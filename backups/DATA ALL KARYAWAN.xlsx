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RYAWAN RILL" sheetId="1" r:id="rId5"/>
    <sheet state="visible" name="TRIGUNA" sheetId="2" r:id="rId6"/>
    <sheet state="visible" name="ELI " sheetId="3" r:id="rId7"/>
    <sheet state="visible" name="KHARISMA" sheetId="4" r:id="rId8"/>
    <sheet state="visible" name="SIGAP" sheetId="5" r:id="rId9"/>
    <sheet state="visible" name="BAHARI" sheetId="6" r:id="rId10"/>
    <sheet state="visible" name="PESONA" sheetId="7" r:id="rId11"/>
    <sheet state="visible" name="CABANG MKS" sheetId="8" r:id="rId12"/>
    <sheet state="visible" name="karyawan resign" sheetId="9" r:id="rId13"/>
    <sheet state="visible" name="LOC KERJA" sheetId="10" r:id="rId14"/>
  </sheets>
  <definedNames>
    <definedName name="DATAKARYAWAN">'DATA KARYAWAN RILL'!$B:$AN</definedName>
    <definedName hidden="1" localSheetId="0" name="_xlnm._FilterDatabase">'DATA KARYAWAN RILL'!$A$1:$CL$231</definedName>
    <definedName hidden="1" localSheetId="8" name="_xlnm._FilterDatabase">'karyawan resign'!$A$1:$CI$987</definedName>
    <definedName hidden="1" localSheetId="9" name="_xlnm._FilterDatabase">'LOC KERJA'!$A$1:$Y$132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tc={64039d5e-2d5f-47c9-a664-cd69ef1748b2}</author>
    <author>tc={e0f05c6b-47c3-452c-bafe-bc7dfcd46073}</author>
  </authors>
  <commentList>
    <comment authorId="0" ref="O66">
      <text>
        <t xml:space="preserve">OCBC NISP 58810105393</t>
      </text>
    </comment>
    <comment authorId="0" ref="O70">
      <text>
        <t xml:space="preserve">OCBC NISP 58810105187</t>
      </text>
    </comment>
    <comment authorId="0" ref="W70">
      <text>
        <t xml:space="preserve">Rida:
TDK ADA RT RW</t>
      </text>
    </comment>
    <comment authorId="0" ref="AM73">
      <text>
        <t xml:space="preserve">Rida:
planner 28 agustus 2023</t>
      </text>
    </comment>
    <comment authorId="0" ref="AH75">
      <text>
        <t xml:space="preserve">Rida:
npwp suami</t>
      </text>
    </comment>
    <comment authorId="0" ref="AM92">
      <text>
        <t xml:space="preserve">Rida:
masuk jadi karyawan magang, 27 september 2023.
jd karyawan kontrak setelah 3 bulan</t>
      </text>
    </comment>
    <comment authorId="0" ref="B106">
      <text>
        <t xml:space="preserve">Rida:
sopir pengganti</t>
      </text>
    </comment>
    <comment authorId="0" ref="E108">
      <text>
        <t xml:space="preserve">masuk magang 27 november 2023.
mulai probation 28 mei 2024</t>
      </text>
    </comment>
    <comment authorId="0" ref="AO108">
      <text>
        <t xml:space="preserve">masuk magang 03 Januari 2024
mulai probation 28 mei 2024</t>
      </text>
    </comment>
    <comment authorId="0" ref="AQ108">
      <text>
        <t xml:space="preserve">nunggu info b rida</t>
      </text>
    </comment>
    <comment authorId="0" ref="E131">
      <text>
        <t xml:space="preserve">diganti 1 soalnya sudah terpakai</t>
      </text>
    </comment>
    <comment authorId="0" ref="E141">
      <text>
        <t xml:space="preserve">KHARISMA</t>
      </text>
    </comment>
    <comment authorId="0" ref="AJ149">
      <text>
        <t xml:space="preserve">TAMBAHAN IBU AKTIF FEBRUARI</t>
      </text>
    </comment>
    <comment authorId="0" ref="C150">
      <text>
        <t xml:space="preserve">MUTASI DARI ELI KE KHARISMA PER AGUSTUS
</t>
      </text>
    </comment>
    <comment authorId="0" ref="C153">
      <text>
        <t xml:space="preserve">MUTASI DARI ELI KE BAHARI PER AGUSTUS</t>
      </text>
    </comment>
    <comment authorId="0" ref="O162">
      <text>
        <t xml:space="preserve">REKENING ATAS NAMA ISTRI
FEBRI FERDIANI</t>
      </text>
    </comment>
    <comment authorId="0" ref="P162">
      <text>
        <t xml:space="preserve">REKENING ATAS NAMA ISTRI FEBRI FERDIANI</t>
      </text>
    </comment>
    <comment authorId="0" ref="P183">
      <text>
        <t xml:space="preserve">password ocbc mobile
Maseko99
pin 112233
</t>
      </text>
    </comment>
    <comment authorId="0" ref="AI187">
      <text>
        <t xml:space="preserve">hold dulu
</t>
      </text>
    </comment>
    <comment authorId="0" ref="P193">
      <text>
        <t xml:space="preserve">an istri
</t>
      </text>
    </comment>
    <comment authorId="0" ref="G211">
      <text>
        <t xml:space="preserve">untuk coretax
</t>
      </text>
    </comment>
    <comment authorId="1" xr:uid="{64039d5e-2d5f-47c9-a664-cd69ef1748b2}" ref="G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password = 28Agustus1992
</t>
      </text>
    </comment>
    <comment authorId="2" xr:uid="{e0f05c6b-47c3-452c-bafe-bc7dfcd46073}" ref="P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058810126928 - OCBC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Rida:
sopir pengganti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Rida:
sopir pengganti</t>
      </text>
    </comment>
    <comment authorId="0" ref="E30">
      <text>
        <t xml:space="preserve">masuk magang 27 november 2023.
mulai probation 28 mei 2024</t>
      </text>
    </comment>
    <comment authorId="0" ref="AO30">
      <text>
        <t xml:space="preserve">nunggu info b rida</t>
      </text>
    </comment>
    <comment authorId="0" ref="O44">
      <text>
        <t xml:space="preserve">OCBC NISP 58810105393</t>
      </text>
    </comment>
    <comment authorId="0" ref="E48">
      <text>
        <t xml:space="preserve">KHARISMA</t>
      </text>
    </comment>
    <comment authorId="0" ref="P59">
      <text>
        <t xml:space="preserve">password ocbc mobile
Maseko99
pin 112233
</t>
      </text>
    </comment>
    <comment authorId="0" ref="AI71">
      <text>
        <t xml:space="preserve">hold dulu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9">
      <text>
        <t xml:space="preserve">Rida:
sopir pengganti</t>
      </text>
    </comment>
  </commentList>
</comments>
</file>

<file path=xl/sharedStrings.xml><?xml version="1.0" encoding="utf-8"?>
<sst xmlns="http://schemas.openxmlformats.org/spreadsheetml/2006/main" count="9153" uniqueCount="2787">
  <si>
    <t>NO</t>
  </si>
  <si>
    <t>Name</t>
  </si>
  <si>
    <t>PT</t>
  </si>
  <si>
    <t>Kategori</t>
  </si>
  <si>
    <t>NIK</t>
  </si>
  <si>
    <t>mobile_phone</t>
  </si>
  <si>
    <t>work_email</t>
  </si>
  <si>
    <t>jabatan</t>
  </si>
  <si>
    <t>divisi</t>
  </si>
  <si>
    <t>LOKASI KERJA</t>
  </si>
  <si>
    <t>Kewarganegaraan</t>
  </si>
  <si>
    <t>Agama</t>
  </si>
  <si>
    <t>Nomor Kartu Keluarga</t>
  </si>
  <si>
    <t>Nomor KTP</t>
  </si>
  <si>
    <t>Nama Bank</t>
  </si>
  <si>
    <t>Nomor Rekening Bank</t>
  </si>
  <si>
    <t>Pendidikan Terakhir</t>
  </si>
  <si>
    <t>STATUS</t>
  </si>
  <si>
    <t>Jenis kelamin</t>
  </si>
  <si>
    <t>Tanggal Lahir</t>
  </si>
  <si>
    <t>Tempat Lahir</t>
  </si>
  <si>
    <t>Alamat domisili sama dengan alamat KTP?</t>
  </si>
  <si>
    <t>Nama Jalan 1</t>
  </si>
  <si>
    <t>Nama Jalan 2</t>
  </si>
  <si>
    <t>Provinsi</t>
  </si>
  <si>
    <t>Kab/Kota</t>
  </si>
  <si>
    <t>Kecamatan</t>
  </si>
  <si>
    <t>Desa/Kelurahan</t>
  </si>
  <si>
    <t>Kode Pos</t>
  </si>
  <si>
    <t>Badge ID</t>
  </si>
  <si>
    <t>PIN</t>
  </si>
  <si>
    <t>PTKP</t>
  </si>
  <si>
    <t>NPWP</t>
  </si>
  <si>
    <t>Nomor NPWP</t>
  </si>
  <si>
    <t>BPJS TK</t>
  </si>
  <si>
    <t>Nomor BPJS Kesehatan</t>
  </si>
  <si>
    <t>Kelas BPJS</t>
  </si>
  <si>
    <t>MASA KERJA</t>
  </si>
  <si>
    <t>Tanggal Bergabung</t>
  </si>
  <si>
    <t>Tanggal Berakhir Percobaan</t>
  </si>
  <si>
    <t>ISKANDARINATA GUNAWAN</t>
  </si>
  <si>
    <t>TRIGUNA</t>
  </si>
  <si>
    <t>081232500528</t>
  </si>
  <si>
    <t>DIREKTUR</t>
  </si>
  <si>
    <t>Indonesia</t>
  </si>
  <si>
    <t>BUDHA</t>
  </si>
  <si>
    <t>3578100110150014</t>
  </si>
  <si>
    <t>3578100607890006</t>
  </si>
  <si>
    <t>SLTA</t>
  </si>
  <si>
    <t>LAKI-LAKI</t>
  </si>
  <si>
    <t>06 JULI 1989</t>
  </si>
  <si>
    <t>SURABAYA</t>
  </si>
  <si>
    <t>LEBAK INDAH NO. 21 RT 01/RW 11</t>
  </si>
  <si>
    <t>JAWA TIMUR</t>
  </si>
  <si>
    <t>TAMBAKSARI</t>
  </si>
  <si>
    <t>GADING</t>
  </si>
  <si>
    <t>K/1</t>
  </si>
  <si>
    <t>800981821619000</t>
  </si>
  <si>
    <t>GO YOSEPH GUNAWAN</t>
  </si>
  <si>
    <t>0811300513</t>
  </si>
  <si>
    <t>KOMISARIS</t>
  </si>
  <si>
    <t>3578100401085968</t>
  </si>
  <si>
    <t>3578102802560004</t>
  </si>
  <si>
    <t>28 FEBRUARI 1956</t>
  </si>
  <si>
    <t>MAKASSAR</t>
  </si>
  <si>
    <t>K/0</t>
  </si>
  <si>
    <t>063646251619000</t>
  </si>
  <si>
    <t>OEI MIMI</t>
  </si>
  <si>
    <t>3578104405610006</t>
  </si>
  <si>
    <t>PEREMPUAN</t>
  </si>
  <si>
    <t>04 MEI 1961</t>
  </si>
  <si>
    <t>TK/0</t>
  </si>
  <si>
    <t>INDAH KRISNAWATI GUNAWAN</t>
  </si>
  <si>
    <t>081235555995</t>
  </si>
  <si>
    <t>KRISTEN</t>
  </si>
  <si>
    <t>3578312609120009</t>
  </si>
  <si>
    <t>3578104906840004</t>
  </si>
  <si>
    <t>09 Juni 1984</t>
  </si>
  <si>
    <t>UC BOULEVARD LOWER BERKELEY 1608</t>
  </si>
  <si>
    <t>SAMBIKEREP</t>
  </si>
  <si>
    <t>MADE</t>
  </si>
  <si>
    <t>TK/3</t>
  </si>
  <si>
    <t>801139585604000</t>
  </si>
  <si>
    <t>JESSLYN JULIA GUNAWAN</t>
  </si>
  <si>
    <t>KHARISMA</t>
  </si>
  <si>
    <t>081330444538</t>
  </si>
  <si>
    <t>3578105707960004</t>
  </si>
  <si>
    <t>SD</t>
  </si>
  <si>
    <t>17 Juli 1996</t>
  </si>
  <si>
    <t>619704729619000</t>
  </si>
  <si>
    <t>MAY MURTINI</t>
  </si>
  <si>
    <t>Karyawan Tetap</t>
  </si>
  <si>
    <t>90-050001</t>
  </si>
  <si>
    <t>081331670266</t>
  </si>
  <si>
    <t>may.trigunasamudratrans@gmail.com</t>
  </si>
  <si>
    <t>DEPUTI GENERAL MANAGER</t>
  </si>
  <si>
    <t>MANAGERIAL</t>
  </si>
  <si>
    <t>TB</t>
  </si>
  <si>
    <t>ISLAM</t>
  </si>
  <si>
    <t>3578172210090005</t>
  </si>
  <si>
    <t>3578175008700002</t>
  </si>
  <si>
    <t>OCBC NISP</t>
  </si>
  <si>
    <t>10 Agustus 1970</t>
  </si>
  <si>
    <t>RANDU BARAT I/50 RT 6/RW 3</t>
  </si>
  <si>
    <t>KENJERAN</t>
  </si>
  <si>
    <t>SIDOTOPO WETAN</t>
  </si>
  <si>
    <t>369145651619000</t>
  </si>
  <si>
    <t>0002305153989</t>
  </si>
  <si>
    <t>Kelas 1</t>
  </si>
  <si>
    <t>AKA JAKARIA</t>
  </si>
  <si>
    <t>97-010003</t>
  </si>
  <si>
    <t>081515223985</t>
  </si>
  <si>
    <t>akazakaria1@gmail.com</t>
  </si>
  <si>
    <t>TKBM</t>
  </si>
  <si>
    <t xml:space="preserve">OPERASIONAL </t>
  </si>
  <si>
    <t>GUDANG</t>
  </si>
  <si>
    <t>3520081102160004</t>
  </si>
  <si>
    <t>3520082707650002</t>
  </si>
  <si>
    <t>27 Juli 1965</t>
  </si>
  <si>
    <t>CIANJUR</t>
  </si>
  <si>
    <t>DUSUN POKO RT 6 RW 3</t>
  </si>
  <si>
    <t>JL GREGES TIMUR NO. 55</t>
  </si>
  <si>
    <t>MAGETAN</t>
  </si>
  <si>
    <t>PANEKAN</t>
  </si>
  <si>
    <t>CEPOKO</t>
  </si>
  <si>
    <t>tidak ada NPWP</t>
  </si>
  <si>
    <t>0002247914171</t>
  </si>
  <si>
    <t>SUGIATNO</t>
  </si>
  <si>
    <t>03-010005</t>
  </si>
  <si>
    <t>085607174831</t>
  </si>
  <si>
    <t>sugiatnonouk@gmail.com</t>
  </si>
  <si>
    <t>3578190510090002</t>
  </si>
  <si>
    <t>3578192812720002</t>
  </si>
  <si>
    <t>SLTP</t>
  </si>
  <si>
    <t>28 Desember 1972</t>
  </si>
  <si>
    <t>MADIUN</t>
  </si>
  <si>
    <t>KANDANGAN MULYA III-B/29-A RT 7/ RW 1</t>
  </si>
  <si>
    <t>BENOWO</t>
  </si>
  <si>
    <t>KANDANGAN</t>
  </si>
  <si>
    <t>K/2</t>
  </si>
  <si>
    <t>0002263607223</t>
  </si>
  <si>
    <t/>
  </si>
  <si>
    <t>PANIYO</t>
  </si>
  <si>
    <t>04-080007</t>
  </si>
  <si>
    <t>085806365548</t>
  </si>
  <si>
    <t>dinasuci75@gmail.com</t>
  </si>
  <si>
    <t>3519111508985458</t>
  </si>
  <si>
    <t>3519112804650001</t>
  </si>
  <si>
    <t>28 April 1965</t>
  </si>
  <si>
    <t>JL JAMBU RT 12/ RW 4</t>
  </si>
  <si>
    <t>MEJAYAN</t>
  </si>
  <si>
    <t>KLECOREJO</t>
  </si>
  <si>
    <t>0002865848545</t>
  </si>
  <si>
    <t>JOKO PRIHATIN</t>
  </si>
  <si>
    <t>06-090009</t>
  </si>
  <si>
    <t>08970954385</t>
  </si>
  <si>
    <t>jokopri2110@gmail.com</t>
  </si>
  <si>
    <t>KRANI</t>
  </si>
  <si>
    <t>3515182601096282</t>
  </si>
  <si>
    <t>3515182110700002</t>
  </si>
  <si>
    <t>21 Oktober 1970</t>
  </si>
  <si>
    <t>BALIKPAPAN</t>
  </si>
  <si>
    <t>JL BOGOWONTO EM-04 RT 51/ RW 6</t>
  </si>
  <si>
    <t>SIDOARJO</t>
  </si>
  <si>
    <t>WARU</t>
  </si>
  <si>
    <t>TROPODO</t>
  </si>
  <si>
    <t>0003051153819</t>
  </si>
  <si>
    <t>BAGUS SETYAWAN</t>
  </si>
  <si>
    <t>08-030010</t>
  </si>
  <si>
    <t>085105222152</t>
  </si>
  <si>
    <t>setyawanbagus77@gmail.com</t>
  </si>
  <si>
    <t>PJ DEPO</t>
  </si>
  <si>
    <t>DEPO</t>
  </si>
  <si>
    <t>3578063105160012</t>
  </si>
  <si>
    <t>3578060503880003</t>
  </si>
  <si>
    <t>5 Maret 1988</t>
  </si>
  <si>
    <t>SIMO KATRUNGAN KIDUL 3/22 RT 8/RW 1</t>
  </si>
  <si>
    <t>SAWAHAN</t>
  </si>
  <si>
    <t>BANYU URIP</t>
  </si>
  <si>
    <t>638429142614000</t>
  </si>
  <si>
    <t>0001789647849</t>
  </si>
  <si>
    <t>APRIL BUDIANTORO</t>
  </si>
  <si>
    <t>12-040012</t>
  </si>
  <si>
    <t>081232399069</t>
  </si>
  <si>
    <t>aprilbudianto411@gmail.com</t>
  </si>
  <si>
    <t>SPV OPERASIONAL JAKARTA</t>
  </si>
  <si>
    <t>JKT</t>
  </si>
  <si>
    <t>3515142601098592</t>
  </si>
  <si>
    <t>3515142504740002</t>
  </si>
  <si>
    <t>25 April 1974</t>
  </si>
  <si>
    <t>MASANGAN WETAN RT 12/RW 4</t>
  </si>
  <si>
    <t xml:space="preserve"> SUKODONO</t>
  </si>
  <si>
    <t>MASANGANWETAN</t>
  </si>
  <si>
    <t>638319921603000</t>
  </si>
  <si>
    <t>0002321036381</t>
  </si>
  <si>
    <t>AHMAD KHOLEK</t>
  </si>
  <si>
    <t>12-040013</t>
  </si>
  <si>
    <t>081217658821</t>
  </si>
  <si>
    <t>raskhalik2112@gmail.com</t>
  </si>
  <si>
    <t>PJ LCL TB</t>
  </si>
  <si>
    <t>3578170201080268</t>
  </si>
  <si>
    <t>3578172112860003</t>
  </si>
  <si>
    <t>21 Desember 1986</t>
  </si>
  <si>
    <t>LAMONGAN</t>
  </si>
  <si>
    <t>BULAK BANTENG LOR BHINEKA 5/64 RT 7/RW 8</t>
  </si>
  <si>
    <t>BULAK BANTENG</t>
  </si>
  <si>
    <t>405368879619000</t>
  </si>
  <si>
    <t>0001393938663</t>
  </si>
  <si>
    <t>JAMI</t>
  </si>
  <si>
    <t>12-100014</t>
  </si>
  <si>
    <t>085733111098</t>
  </si>
  <si>
    <t>jamiputri25@gmail.com</t>
  </si>
  <si>
    <t>MANAGER PRICING</t>
  </si>
  <si>
    <t>3578170101087763</t>
  </si>
  <si>
    <t>3578176507740003</t>
  </si>
  <si>
    <t>25 Juli 1974</t>
  </si>
  <si>
    <t>SRAGEN</t>
  </si>
  <si>
    <t>RANDU BARAT I/60 RT 6/RW 3</t>
  </si>
  <si>
    <t>0002304840418</t>
  </si>
  <si>
    <t>SUTARMUN</t>
  </si>
  <si>
    <t>13-100016</t>
  </si>
  <si>
    <t>081330335519</t>
  </si>
  <si>
    <t>demunableh@gmail.com</t>
  </si>
  <si>
    <t>3519123001240001</t>
  </si>
  <si>
    <t>3519111312770001</t>
  </si>
  <si>
    <t>13 Desember 1977</t>
  </si>
  <si>
    <t>KEDUNGREJO RT 21/RW 7</t>
  </si>
  <si>
    <t>SARADAN</t>
  </si>
  <si>
    <t>SUGIHWARAS</t>
  </si>
  <si>
    <t>4011332446210000</t>
  </si>
  <si>
    <t>0000736657222</t>
  </si>
  <si>
    <t>ADI SUGIARTO</t>
  </si>
  <si>
    <t>14-070018</t>
  </si>
  <si>
    <t>081224258983</t>
  </si>
  <si>
    <t>adisugiarto399@gmail.com</t>
  </si>
  <si>
    <t>3524041208108697</t>
  </si>
  <si>
    <t>3524041011830005</t>
  </si>
  <si>
    <t>11 Oktober 1983</t>
  </si>
  <si>
    <t>MOJOKERTO</t>
  </si>
  <si>
    <t>KATAR RT 1/RW 4</t>
  </si>
  <si>
    <t>NGIMBANG</t>
  </si>
  <si>
    <t>K/3</t>
  </si>
  <si>
    <t>0000755789523</t>
  </si>
  <si>
    <t>TIARA DWI SEPTIANI</t>
  </si>
  <si>
    <t>15-010019</t>
  </si>
  <si>
    <t>089646693444</t>
  </si>
  <si>
    <t>tiaradwisunaryo@gmail.com</t>
  </si>
  <si>
    <t>STAFF AR</t>
  </si>
  <si>
    <t>KEUANGAN</t>
  </si>
  <si>
    <t>3578150712180002</t>
  </si>
  <si>
    <t>3578156609940004</t>
  </si>
  <si>
    <t>26 September 1994</t>
  </si>
  <si>
    <t>KALIANAK TIMUR LEBAR NO.139 RT 7/RW 7</t>
  </si>
  <si>
    <t>KREMBANGAN</t>
  </si>
  <si>
    <t>MOROKREMBANGAN</t>
  </si>
  <si>
    <t>0002308584328</t>
  </si>
  <si>
    <t>SUMIATI</t>
  </si>
  <si>
    <t>15-030021</t>
  </si>
  <si>
    <t>085784800946</t>
  </si>
  <si>
    <t>sumiatining72@gmail.com</t>
  </si>
  <si>
    <t>OB</t>
  </si>
  <si>
    <t>3524263112116148</t>
  </si>
  <si>
    <t>3524266002720002</t>
  </si>
  <si>
    <t>20 Februari 1972</t>
  </si>
  <si>
    <t>WANGEN RT 1/RW 1</t>
  </si>
  <si>
    <t>GLAGAH</t>
  </si>
  <si>
    <t>WANGEN</t>
  </si>
  <si>
    <t>0000790239183</t>
  </si>
  <si>
    <t>SUGIANTO</t>
  </si>
  <si>
    <t>16-020022</t>
  </si>
  <si>
    <t>085231355744</t>
  </si>
  <si>
    <t>Sugiantoboy50@gmail.com</t>
  </si>
  <si>
    <t>3519111107180001</t>
  </si>
  <si>
    <t>3519111504880001</t>
  </si>
  <si>
    <t>15 April 1988</t>
  </si>
  <si>
    <t>DARMOREJO RT 3/ RW 1</t>
  </si>
  <si>
    <t>DARMOREJO</t>
  </si>
  <si>
    <t>0002971265117</t>
  </si>
  <si>
    <t>NANI KUMALA SARI</t>
  </si>
  <si>
    <t>16-020023</t>
  </si>
  <si>
    <t>083830311151</t>
  </si>
  <si>
    <t>nani.trigunasamudra@gmail.com</t>
  </si>
  <si>
    <t>STAFF PRICING</t>
  </si>
  <si>
    <t>PRICING</t>
  </si>
  <si>
    <t>3578121305190006</t>
  </si>
  <si>
    <t>3578126703900002</t>
  </si>
  <si>
    <t>D4/S1</t>
  </si>
  <si>
    <t>27 Maret 1990</t>
  </si>
  <si>
    <t>PESAPEN BARAT 8-C RT 11/RW 2</t>
  </si>
  <si>
    <t>JL. PESAPEN BARAT GG 12 NO.30 B</t>
  </si>
  <si>
    <t>PABEAN CANTIAN</t>
  </si>
  <si>
    <t>PERAK TIMUR</t>
  </si>
  <si>
    <t>0001538250129</t>
  </si>
  <si>
    <t>SHOLIKUL HAKIM</t>
  </si>
  <si>
    <t>16-020024</t>
  </si>
  <si>
    <t>082335388390</t>
  </si>
  <si>
    <t>sholikulhakim175@gmail.com</t>
  </si>
  <si>
    <t>SPV OPERASIONAL</t>
  </si>
  <si>
    <t>3578150503120023</t>
  </si>
  <si>
    <t>3578152710850005</t>
  </si>
  <si>
    <t>27 Oktober 1985</t>
  </si>
  <si>
    <t>REMBANG</t>
  </si>
  <si>
    <t>047422381605000</t>
  </si>
  <si>
    <t>0001154173825</t>
  </si>
  <si>
    <t>EVA KHUSUMA WAHYUNI</t>
  </si>
  <si>
    <t>17-030028</t>
  </si>
  <si>
    <t>085607000945</t>
  </si>
  <si>
    <t>evaakhusuma@gmail.com</t>
  </si>
  <si>
    <t>STAFF DOCUMENT</t>
  </si>
  <si>
    <t>CUSTOMER SERVICE</t>
  </si>
  <si>
    <t>3524211411130005</t>
  </si>
  <si>
    <t>3524215009990002</t>
  </si>
  <si>
    <t>27 Mei 1998</t>
  </si>
  <si>
    <t>GEGER RT 6/RW 1</t>
  </si>
  <si>
    <t>JL. JEPARA IX  NO 8</t>
  </si>
  <si>
    <t>TURI</t>
  </si>
  <si>
    <t>GEGER</t>
  </si>
  <si>
    <t>0003050823723</t>
  </si>
  <si>
    <t>ADRIANSYAH TRI SAPUTRA</t>
  </si>
  <si>
    <t>17-070029</t>
  </si>
  <si>
    <t>081907248993</t>
  </si>
  <si>
    <t>adriansyahtrisaputra@gmail.com</t>
  </si>
  <si>
    <t>STAFF COLLECTION</t>
  </si>
  <si>
    <t>3515182509980001</t>
  </si>
  <si>
    <t>25 September 1998</t>
  </si>
  <si>
    <t>0003051571893</t>
  </si>
  <si>
    <t>SUMARIJONO</t>
  </si>
  <si>
    <t>17-080030</t>
  </si>
  <si>
    <t>085804644628</t>
  </si>
  <si>
    <t>wawanblegedes754@gmail.com</t>
  </si>
  <si>
    <t>ISTIRAHAT</t>
  </si>
  <si>
    <t>3578161801210001</t>
  </si>
  <si>
    <t>3578160812860003</t>
  </si>
  <si>
    <t>8 Desember 1986</t>
  </si>
  <si>
    <t>WONOSARI WETAN 1/29-A RT1/RW 7</t>
  </si>
  <si>
    <t>SEMAMPIR</t>
  </si>
  <si>
    <t>WONOKUSUMO</t>
  </si>
  <si>
    <t>0000788721614</t>
  </si>
  <si>
    <t>HANNA ELOK PRAHASIWI</t>
  </si>
  <si>
    <t>17-090031</t>
  </si>
  <si>
    <t>085839059855</t>
  </si>
  <si>
    <t>hanna.elok@gmail.com</t>
  </si>
  <si>
    <t>MANAGER FINANCE ACC-TAX</t>
  </si>
  <si>
    <t>3578050201086558</t>
  </si>
  <si>
    <t>3578057005960001</t>
  </si>
  <si>
    <t>30 Mei 1996</t>
  </si>
  <si>
    <t>WONOREJO 4/15 RT 11/RW 6</t>
  </si>
  <si>
    <t>TEGALSARI</t>
  </si>
  <si>
    <t>WONOREJO</t>
  </si>
  <si>
    <t>638785667607000</t>
  </si>
  <si>
    <t>0001544740121</t>
  </si>
  <si>
    <t xml:space="preserve"> </t>
  </si>
  <si>
    <t>WIDI DWYANTORO</t>
  </si>
  <si>
    <t>17-100032</t>
  </si>
  <si>
    <t>wididwyantoro@gmail.com</t>
  </si>
  <si>
    <t>DINAS LUAR</t>
  </si>
  <si>
    <t>3578162208920002</t>
  </si>
  <si>
    <t>22 Agustus 1992</t>
  </si>
  <si>
    <t>0001395128823</t>
  </si>
  <si>
    <t>ANDY BAGAS SETIAWAN</t>
  </si>
  <si>
    <t>18-050035</t>
  </si>
  <si>
    <t>089605989342</t>
  </si>
  <si>
    <t>andybagas78@gmail.com</t>
  </si>
  <si>
    <t>STAFF CS &amp; DOC  GUDANG KALIANAK</t>
  </si>
  <si>
    <t>3578190101080589</t>
  </si>
  <si>
    <t>3578191806970001</t>
  </si>
  <si>
    <t>18 Juni 1997</t>
  </si>
  <si>
    <t>KANDANGAN MULYA-3 NO.25 RT 7/ RW 1</t>
  </si>
  <si>
    <t>0002155705468</t>
  </si>
  <si>
    <t>M. MUNIP</t>
  </si>
  <si>
    <t>18-020034</t>
  </si>
  <si>
    <t>085607955982</t>
  </si>
  <si>
    <t>hasinta631@gmail.com</t>
  </si>
  <si>
    <t>OPERASIONAL AQUA PANDAAN</t>
  </si>
  <si>
    <t>PANDAAN</t>
  </si>
  <si>
    <t>3514100101053719</t>
  </si>
  <si>
    <t>3514102811980004</t>
  </si>
  <si>
    <t>28 November 1998</t>
  </si>
  <si>
    <t>PASURUAN</t>
  </si>
  <si>
    <t>DUSUN KESAMBEN RT 3 RW 3</t>
  </si>
  <si>
    <t>PRIGEN</t>
  </si>
  <si>
    <t>SUKORENO</t>
  </si>
  <si>
    <t>0003051928438</t>
  </si>
  <si>
    <t>AMARI STEVANUS</t>
  </si>
  <si>
    <t>18-070036</t>
  </si>
  <si>
    <t>081235617213</t>
  </si>
  <si>
    <t>mariaqueena21@gmail.com</t>
  </si>
  <si>
    <t>3578150110130001</t>
  </si>
  <si>
    <t>3578061301870001</t>
  </si>
  <si>
    <t>13 Januari 1987</t>
  </si>
  <si>
    <t>GADUKAN UTARA 6-B/38 RT 9/ RW 5</t>
  </si>
  <si>
    <t>0002162891856</t>
  </si>
  <si>
    <t>MAFTUHATUN NI'MAH</t>
  </si>
  <si>
    <t>18-070038</t>
  </si>
  <si>
    <t>maftuhatunn.30@gmail.com</t>
  </si>
  <si>
    <t>3578152505230003</t>
  </si>
  <si>
    <t>3524267009000003</t>
  </si>
  <si>
    <t>30 September 2000</t>
  </si>
  <si>
    <t>KREMBANGAN JAYA UTARA 8/51 RT 14 / RW 5</t>
  </si>
  <si>
    <t>KEMAYORAN</t>
  </si>
  <si>
    <t>0000790241141</t>
  </si>
  <si>
    <t>ADI SUSANTO</t>
  </si>
  <si>
    <t>19-010040</t>
  </si>
  <si>
    <t>082199540904</t>
  </si>
  <si>
    <t>adikonyol18@gmail.com</t>
  </si>
  <si>
    <t>3515032103230002</t>
  </si>
  <si>
    <t>3515031505890006</t>
  </si>
  <si>
    <t>15 Mei 1989</t>
  </si>
  <si>
    <t>Sidoarjo</t>
  </si>
  <si>
    <t>KEPER RT 6/RW 3</t>
  </si>
  <si>
    <t>KREMBUNG</t>
  </si>
  <si>
    <t>KEPER</t>
  </si>
  <si>
    <t>0000721176974</t>
  </si>
  <si>
    <t>KUSWANTO</t>
  </si>
  <si>
    <t>19-010042</t>
  </si>
  <si>
    <t>081234419983</t>
  </si>
  <si>
    <t>kus.wantosetro@gmail.com</t>
  </si>
  <si>
    <t>3525131011086515</t>
  </si>
  <si>
    <t>3525131912740001</t>
  </si>
  <si>
    <t>19 Desember 1974</t>
  </si>
  <si>
    <t>GRESIK</t>
  </si>
  <si>
    <t>SETRO RT 8/RW 4</t>
  </si>
  <si>
    <t>MENGANTI</t>
  </si>
  <si>
    <t>SETRO</t>
  </si>
  <si>
    <t>0003051940059</t>
  </si>
  <si>
    <t>MUJIONO</t>
  </si>
  <si>
    <t>19-010043</t>
  </si>
  <si>
    <t>089677634696</t>
  </si>
  <si>
    <t>jhonpeddy81@gmail.com</t>
  </si>
  <si>
    <t>3578151609130002</t>
  </si>
  <si>
    <t>3518162006810004</t>
  </si>
  <si>
    <t>20 Juni 1981</t>
  </si>
  <si>
    <t>NGANJUK</t>
  </si>
  <si>
    <t>GADUKAN UTARA 6 B / 12A RT 8/RW 5</t>
  </si>
  <si>
    <t>0002727439031</t>
  </si>
  <si>
    <t>ZAENAL ARIPIN</t>
  </si>
  <si>
    <t>19-010044</t>
  </si>
  <si>
    <t>085785615079</t>
  </si>
  <si>
    <t>alfirasaputri476@gmail.com</t>
  </si>
  <si>
    <t>3578070109200004</t>
  </si>
  <si>
    <t>3524222712800004</t>
  </si>
  <si>
    <t>27 Desember 1980</t>
  </si>
  <si>
    <t>JL KAPASARI 9 DKA 46 RT 12/RW 5</t>
  </si>
  <si>
    <t>GENTENG</t>
  </si>
  <si>
    <t>KAPASARI</t>
  </si>
  <si>
    <t>0000758064565</t>
  </si>
  <si>
    <t>ISMANTO</t>
  </si>
  <si>
    <t>19-010045</t>
  </si>
  <si>
    <t>085641150376</t>
  </si>
  <si>
    <t>ismanto@gmail.com</t>
  </si>
  <si>
    <t>3525132708090010</t>
  </si>
  <si>
    <t>3525130412780002</t>
  </si>
  <si>
    <t>4 Desember 1978</t>
  </si>
  <si>
    <t>SETRO RT 4/RW 2</t>
  </si>
  <si>
    <t>0000760497748</t>
  </si>
  <si>
    <t>M. SULTONUL ARIFIN</t>
  </si>
  <si>
    <t>19-020047</t>
  </si>
  <si>
    <t>083192946679</t>
  </si>
  <si>
    <t>sultontriguna04@gmail.com</t>
  </si>
  <si>
    <t>STAFF CS &amp; DOC  BONGKAR</t>
  </si>
  <si>
    <t>3578150401000003</t>
  </si>
  <si>
    <t>TDK/BLM SEKOLAH</t>
  </si>
  <si>
    <t>4 Januari 2000</t>
  </si>
  <si>
    <t>0000790136976</t>
  </si>
  <si>
    <t>SUYONO</t>
  </si>
  <si>
    <t>19-030048</t>
  </si>
  <si>
    <t>081246662706</t>
  </si>
  <si>
    <t>suyonosurabaya852@gmail.com</t>
  </si>
  <si>
    <t>3525130911081181</t>
  </si>
  <si>
    <t>3525130609730004</t>
  </si>
  <si>
    <t>9 Juni 1973</t>
  </si>
  <si>
    <t>BLITAR</t>
  </si>
  <si>
    <t>SIDOJANGKUNG RT 14/RW 5</t>
  </si>
  <si>
    <t>SIDOJANGKUNG</t>
  </si>
  <si>
    <t>0000760788112</t>
  </si>
  <si>
    <t>HERI SUSANTO</t>
  </si>
  <si>
    <t>19-030049</t>
  </si>
  <si>
    <t>082139350985</t>
  </si>
  <si>
    <t>Ilham27112016@gmail.com</t>
  </si>
  <si>
    <t>3524162708101560</t>
  </si>
  <si>
    <t>3524162603830002</t>
  </si>
  <si>
    <t>26 Maret 1983</t>
  </si>
  <si>
    <t>SUKOWATI RT 1/ RW 1</t>
  </si>
  <si>
    <t>MANTUP</t>
  </si>
  <si>
    <t>SUMBERKEREP</t>
  </si>
  <si>
    <t>0002811328558</t>
  </si>
  <si>
    <t>RINI ANGGITA PUTRI</t>
  </si>
  <si>
    <t>19-070050</t>
  </si>
  <si>
    <t>081235107055</t>
  </si>
  <si>
    <t>rinianggita0505@gmail.com</t>
  </si>
  <si>
    <t>3578050201086557</t>
  </si>
  <si>
    <t>3578057005980001</t>
  </si>
  <si>
    <t>30 Mei 1998</t>
  </si>
  <si>
    <t>WONOREJO 4C/15 RT 4/ RW 15</t>
  </si>
  <si>
    <t>TANDES</t>
  </si>
  <si>
    <t>MANUKAN KULON</t>
  </si>
  <si>
    <t>0002435035511</t>
  </si>
  <si>
    <t>MEGA KUSUMA PUTRI</t>
  </si>
  <si>
    <t>SIGAP</t>
  </si>
  <si>
    <t>23-040001</t>
  </si>
  <si>
    <t>081338000068</t>
  </si>
  <si>
    <t>megakupu88@gmail.com</t>
  </si>
  <si>
    <t>DIREKTUR SIGAP</t>
  </si>
  <si>
    <t>MKS</t>
  </si>
  <si>
    <t>KATHOLIK</t>
  </si>
  <si>
    <t>3578182705220005</t>
  </si>
  <si>
    <t>3578184302880001</t>
  </si>
  <si>
    <t>3 Februari 1988</t>
  </si>
  <si>
    <t>PERUM CITRA SENTOSA K-7 RT 04/ RW 03</t>
  </si>
  <si>
    <t>LAKARSANTRI</t>
  </si>
  <si>
    <t>TK/2</t>
  </si>
  <si>
    <t>545211336604000</t>
  </si>
  <si>
    <t>0001812020512</t>
  </si>
  <si>
    <t>SUGENG SANTOSO</t>
  </si>
  <si>
    <t>ELI</t>
  </si>
  <si>
    <t>23-030001</t>
  </si>
  <si>
    <t>081233402008</t>
  </si>
  <si>
    <t>sugengsantoso5628@yahoo.co.id</t>
  </si>
  <si>
    <t>DIREKTUR EXPRESS</t>
  </si>
  <si>
    <t>3578120206140001</t>
  </si>
  <si>
    <t>3578060506870004</t>
  </si>
  <si>
    <t>S1</t>
  </si>
  <si>
    <t>5 Juni 1987</t>
  </si>
  <si>
    <t>JL.JAMBANGAN INDAH IV/45 RT 3/ RW 1</t>
  </si>
  <si>
    <t>JAMBANGAN</t>
  </si>
  <si>
    <t>350119285614000</t>
  </si>
  <si>
    <t>0001538146124</t>
  </si>
  <si>
    <t>DEVA ANANDA PUTRI</t>
  </si>
  <si>
    <t>0895335623583</t>
  </si>
  <si>
    <t>devaanandaputri833@gmail.com</t>
  </si>
  <si>
    <t>3578130101088792</t>
  </si>
  <si>
    <t>3578134604000001</t>
  </si>
  <si>
    <t>06 April 2000</t>
  </si>
  <si>
    <t>KEDIRI</t>
  </si>
  <si>
    <t>GUNDIH 3/14 RT 7/RW 1</t>
  </si>
  <si>
    <t>BUBUTAN</t>
  </si>
  <si>
    <t>GUNDIH</t>
  </si>
  <si>
    <t>0002178303513</t>
  </si>
  <si>
    <t>WAHYU RIZKY FIRMANSYAH</t>
  </si>
  <si>
    <t>19-100052</t>
  </si>
  <si>
    <t>085607526177</t>
  </si>
  <si>
    <t>warzkfirma@gmail.com</t>
  </si>
  <si>
    <t>PJ GUDANG OSOWILANGUN</t>
  </si>
  <si>
    <t>3522082001070599</t>
  </si>
  <si>
    <t>3522080112970002</t>
  </si>
  <si>
    <t>1 Desember 1997</t>
  </si>
  <si>
    <t>DUSUN JAMBE RT 05/RW 05</t>
  </si>
  <si>
    <t>GADING 1 NO.23</t>
  </si>
  <si>
    <t>BOJONEGORO</t>
  </si>
  <si>
    <t>KEDUNGADEM</t>
  </si>
  <si>
    <t>KEPOHKIDUL</t>
  </si>
  <si>
    <t>0002726238442</t>
  </si>
  <si>
    <t>YOGA LISTANTO</t>
  </si>
  <si>
    <t>20-010053</t>
  </si>
  <si>
    <t>085866880424</t>
  </si>
  <si>
    <t>yogalistanto5@gmail.com</t>
  </si>
  <si>
    <t>STAFF KRANI</t>
  </si>
  <si>
    <t>3578280801240001</t>
  </si>
  <si>
    <t>3578131611950004</t>
  </si>
  <si>
    <t>16 November 1995</t>
  </si>
  <si>
    <t>0000790303127</t>
  </si>
  <si>
    <t>RIDA CHOLIDHATUS SYAKDIA</t>
  </si>
  <si>
    <t>20-010054</t>
  </si>
  <si>
    <t>082141012805</t>
  </si>
  <si>
    <t>ridasyakdia@gmail.com</t>
  </si>
  <si>
    <t>MANAGER HRD</t>
  </si>
  <si>
    <t>3525151711083614</t>
  </si>
  <si>
    <t>3278036007940001</t>
  </si>
  <si>
    <t>22 Juli 1995</t>
  </si>
  <si>
    <t>JL. KRIKILAN RT 12/RW 5</t>
  </si>
  <si>
    <t>DRIYOREJO</t>
  </si>
  <si>
    <t>KRIKILAN</t>
  </si>
  <si>
    <t>857847594642000</t>
  </si>
  <si>
    <t>0003050819706</t>
  </si>
  <si>
    <t>ERZA DWI FEBRIANA</t>
  </si>
  <si>
    <t>22-020002</t>
  </si>
  <si>
    <t>0882009453661</t>
  </si>
  <si>
    <t>erzafebriana@gmail.com</t>
  </si>
  <si>
    <t>STAFF CS &amp; DOC</t>
  </si>
  <si>
    <t>3525092302160003</t>
  </si>
  <si>
    <t>3525096802970001</t>
  </si>
  <si>
    <t>28 Februari 1997</t>
  </si>
  <si>
    <t>RACIKULON RT 2/ RW 1</t>
  </si>
  <si>
    <t>SIDAYU</t>
  </si>
  <si>
    <t>RACIKULON</t>
  </si>
  <si>
    <t>0002481418056</t>
  </si>
  <si>
    <t>M. JAWAHIR SANTOSO</t>
  </si>
  <si>
    <t>20-030055</t>
  </si>
  <si>
    <t>085735727810</t>
  </si>
  <si>
    <t>santosojawahir@gmail.com</t>
  </si>
  <si>
    <t>SPV PLANNER</t>
  </si>
  <si>
    <t>PLANNER</t>
  </si>
  <si>
    <t>3525130305230001</t>
  </si>
  <si>
    <t>3525132605900001</t>
  </si>
  <si>
    <t>26 Mei 1990</t>
  </si>
  <si>
    <t>MENGANTI RT 2/ RW 1</t>
  </si>
  <si>
    <t>K</t>
  </si>
  <si>
    <t>896870250642000</t>
  </si>
  <si>
    <t>0001538146012</t>
  </si>
  <si>
    <t>EVITALIANI MARDAHLI</t>
  </si>
  <si>
    <t>20-040056</t>
  </si>
  <si>
    <t>081917176288</t>
  </si>
  <si>
    <t>evitaliani1997@gmail.com</t>
  </si>
  <si>
    <t>3578132308210003</t>
  </si>
  <si>
    <t>3578134209970002</t>
  </si>
  <si>
    <t>02 September 1997</t>
  </si>
  <si>
    <t>DUPAK TENGAH 4/15 SURABAYA RT 7/RW 15</t>
  </si>
  <si>
    <t>JEPARA</t>
  </si>
  <si>
    <t>0001276519408</t>
  </si>
  <si>
    <t>HARDIANTO ATMADIBRATA</t>
  </si>
  <si>
    <t>20-080057</t>
  </si>
  <si>
    <t>082334519222</t>
  </si>
  <si>
    <t>hardiantoatmadibrata@gmail.com</t>
  </si>
  <si>
    <t>DRIVER/KRANI</t>
  </si>
  <si>
    <t>OPERASIONAL</t>
  </si>
  <si>
    <t>3578271707180015</t>
  </si>
  <si>
    <t>3578271512920001</t>
  </si>
  <si>
    <t>15 Desember 1992</t>
  </si>
  <si>
    <t>SIMO RUKUN GG. BUNTU 07 RT 02/RW 4</t>
  </si>
  <si>
    <t>SUKOMANUNGGAL</t>
  </si>
  <si>
    <t>SIMOMULYO</t>
  </si>
  <si>
    <t>901255794604000</t>
  </si>
  <si>
    <t>0001807833677</t>
  </si>
  <si>
    <t>SUPARMAN</t>
  </si>
  <si>
    <t>20-080058</t>
  </si>
  <si>
    <t>085811090895</t>
  </si>
  <si>
    <t>suparman65200@gmail.com</t>
  </si>
  <si>
    <t>3523010703064737</t>
  </si>
  <si>
    <t>3523010203830002</t>
  </si>
  <si>
    <t>2 Maret 1983</t>
  </si>
  <si>
    <t>TUBAN</t>
  </si>
  <si>
    <t>DSN KRAJAN RT 4 RW 2</t>
  </si>
  <si>
    <t>KENDURUAN</t>
  </si>
  <si>
    <t>TAWARAN</t>
  </si>
  <si>
    <t>0003265552517</t>
  </si>
  <si>
    <t>FEBRIAN ALYENDO</t>
  </si>
  <si>
    <t>CAB MAKASSAR</t>
  </si>
  <si>
    <t>19-110001</t>
  </si>
  <si>
    <t>082232323738</t>
  </si>
  <si>
    <t>febrian.fufu2702@gmail.com</t>
  </si>
  <si>
    <t>MANAGER GA &amp; ASET</t>
  </si>
  <si>
    <t>BUDDHA</t>
  </si>
  <si>
    <t>3578261006130003</t>
  </si>
  <si>
    <t>7371032702920001</t>
  </si>
  <si>
    <t>27 Februari 1992</t>
  </si>
  <si>
    <t>BABATAN PANTAI UTARA 7/9 RT 1 / RW 5</t>
  </si>
  <si>
    <t>MULYOREJO</t>
  </si>
  <si>
    <t>KALIJUDAN</t>
  </si>
  <si>
    <t>804970663619000</t>
  </si>
  <si>
    <t>0001732116003</t>
  </si>
  <si>
    <t>30 September 2019</t>
  </si>
  <si>
    <t>AHMAD HABIBUR ROHMAN</t>
  </si>
  <si>
    <t>21-090062</t>
  </si>
  <si>
    <t>085733071096</t>
  </si>
  <si>
    <t>hr5194396@gmail.com</t>
  </si>
  <si>
    <t>3504141612061839</t>
  </si>
  <si>
    <t>3504143007790001</t>
  </si>
  <si>
    <t>30 Juli 1979</t>
  </si>
  <si>
    <t>TULUNGAGUNG</t>
  </si>
  <si>
    <t>DUSUN SUKOREJO RT 01/RW 04</t>
  </si>
  <si>
    <t>TULUNGANGUNG</t>
  </si>
  <si>
    <t>KALIDAWIR</t>
  </si>
  <si>
    <t>SUKOREJO KULON</t>
  </si>
  <si>
    <t>0003265551854</t>
  </si>
  <si>
    <t>ARIF PURBAWISESA KURNIAWAN MUSTAFA</t>
  </si>
  <si>
    <t>22-010063</t>
  </si>
  <si>
    <t>082299000200</t>
  </si>
  <si>
    <t>arifpurbawisesa@yahoo.com</t>
  </si>
  <si>
    <t>ASISTEN GENERAL MANAGER</t>
  </si>
  <si>
    <t>3578140501160002</t>
  </si>
  <si>
    <t>3578140403910002</t>
  </si>
  <si>
    <t>D4</t>
  </si>
  <si>
    <t>4 Maret 1991</t>
  </si>
  <si>
    <t>JL. MANUKAN RANU 1/1 RT 1 RW 8</t>
  </si>
  <si>
    <t>727162638604000</t>
  </si>
  <si>
    <t>0001703737451</t>
  </si>
  <si>
    <t>GHARIN HASTA AJI</t>
  </si>
  <si>
    <t>22-020064</t>
  </si>
  <si>
    <t>08123040412</t>
  </si>
  <si>
    <t>gharinaji11@gmail.com</t>
  </si>
  <si>
    <t>DIREKTUR KHARISMA</t>
  </si>
  <si>
    <t>MANAGER</t>
  </si>
  <si>
    <t>3578250801210008</t>
  </si>
  <si>
    <t>3322021107850001</t>
  </si>
  <si>
    <t>D3</t>
  </si>
  <si>
    <t>11 Juli 1985</t>
  </si>
  <si>
    <t>RUNGKUT BARATA IV - 7 RT 2/RW 3</t>
  </si>
  <si>
    <t>GUNUNG ANYAR</t>
  </si>
  <si>
    <t>RUNGKUT MENANGGAL</t>
  </si>
  <si>
    <t>581102795505000</t>
  </si>
  <si>
    <t>0001538253753</t>
  </si>
  <si>
    <t>M.AGUS CHAMARUDIN</t>
  </si>
  <si>
    <t>22-040065</t>
  </si>
  <si>
    <t>0895328275619</t>
  </si>
  <si>
    <t>chamarudinpenyok@gmail.com</t>
  </si>
  <si>
    <t>3514100112220005</t>
  </si>
  <si>
    <t>3514102703020002</t>
  </si>
  <si>
    <t>BLM TAMAT SD</t>
  </si>
  <si>
    <t>27 Maret 2002</t>
  </si>
  <si>
    <t>DUSUN KESAMBEN RT 2/RW 3</t>
  </si>
  <si>
    <t>0003507954039</t>
  </si>
  <si>
    <t>IMAN SULAEMAN</t>
  </si>
  <si>
    <t>22-060066</t>
  </si>
  <si>
    <t>08211602435</t>
  </si>
  <si>
    <t>imansul22@gmail.com</t>
  </si>
  <si>
    <t>STAFF ACCOUNTING &amp; TAX</t>
  </si>
  <si>
    <t>3205220812071858</t>
  </si>
  <si>
    <t>3205222606920001</t>
  </si>
  <si>
    <t>26 Juni 1992</t>
  </si>
  <si>
    <t>GARUT</t>
  </si>
  <si>
    <t>KP. PADASUKA RT 05/ RW 03</t>
  </si>
  <si>
    <t>JL. DUPAK BANGUNREJO GANG 6 NO.16</t>
  </si>
  <si>
    <t>JAWA BARAT</t>
  </si>
  <si>
    <t>CIKAJANG</t>
  </si>
  <si>
    <t>PADASUKA</t>
  </si>
  <si>
    <t>707196333443000</t>
  </si>
  <si>
    <t>0002299711443</t>
  </si>
  <si>
    <t>CICILIA AGITA SAMBUAGA</t>
  </si>
  <si>
    <t>22-060067</t>
  </si>
  <si>
    <t>081282344757</t>
  </si>
  <si>
    <t>ciciliaagita09@gmail.com</t>
  </si>
  <si>
    <t>STAFF CS &amp; DOC LCL</t>
  </si>
  <si>
    <t>3578060501083113</t>
  </si>
  <si>
    <t>3578065809960004</t>
  </si>
  <si>
    <t>18 September 1996</t>
  </si>
  <si>
    <t>BANYU URIP LOR 11/32 RT 5/RW 6</t>
  </si>
  <si>
    <t>KUPANG KRAJAN</t>
  </si>
  <si>
    <t>0001109733581</t>
  </si>
  <si>
    <t>CHRISNADI PALEWANA</t>
  </si>
  <si>
    <t>PESONA</t>
  </si>
  <si>
    <t>22-060001</t>
  </si>
  <si>
    <t>08123015151</t>
  </si>
  <si>
    <r>
      <rPr>
        <rFont val="Calibri"/>
        <color rgb="FF0563C1"/>
        <sz val="11.0"/>
        <u/>
      </rPr>
      <t>pchrisnadi</t>
    </r>
    <r>
      <rPr>
        <rFont val="Calibri"/>
        <color rgb="FF0563C1"/>
        <sz val="11.0"/>
        <u/>
      </rPr>
      <t>@gmail.com</t>
    </r>
  </si>
  <si>
    <t>DIREKTUR PESONA</t>
  </si>
  <si>
    <t>3578290104230002</t>
  </si>
  <si>
    <t>3578201509890001</t>
  </si>
  <si>
    <t>15 September 1989</t>
  </si>
  <si>
    <t>DILI</t>
  </si>
  <si>
    <t>PANTAI MENTARI BLOK I-11 RT 2/RW 4</t>
  </si>
  <si>
    <t>BULAK</t>
  </si>
  <si>
    <t>904082930619000</t>
  </si>
  <si>
    <t>0002877806553</t>
  </si>
  <si>
    <t>DEWI KUMALASARI</t>
  </si>
  <si>
    <t>22-070002</t>
  </si>
  <si>
    <t>0895616285600</t>
  </si>
  <si>
    <t>dewicsiwon@gmail.com</t>
  </si>
  <si>
    <t xml:space="preserve">STAFF CS &amp; DOC </t>
  </si>
  <si>
    <t>3578100601086983</t>
  </si>
  <si>
    <t>3578105310980003</t>
  </si>
  <si>
    <t>13 Oktober 1998</t>
  </si>
  <si>
    <t>PLOSO 10 TENGAH NO. 6 RT 10/RW 5</t>
  </si>
  <si>
    <t>PLOSO</t>
  </si>
  <si>
    <t>416635282619000</t>
  </si>
  <si>
    <t>0001792697951</t>
  </si>
  <si>
    <t>SAMSUL HADI</t>
  </si>
  <si>
    <t>22-080004</t>
  </si>
  <si>
    <t>089504825566</t>
  </si>
  <si>
    <t>samsulfarel3@gmail.com</t>
  </si>
  <si>
    <t>3578140101085001</t>
  </si>
  <si>
    <t>3578141006780001</t>
  </si>
  <si>
    <t>10 Juni 1978</t>
  </si>
  <si>
    <t>LUMAJANG</t>
  </si>
  <si>
    <t>JL.GADEL TIMUR 1/24 RT 9 RW 6</t>
  </si>
  <si>
    <t>PURI MENGANTI INDAH BLOK H-5 GRESIK</t>
  </si>
  <si>
    <t>KARANG POH</t>
  </si>
  <si>
    <t>0003060585156</t>
  </si>
  <si>
    <t>SUWOTO</t>
  </si>
  <si>
    <t>22-090006</t>
  </si>
  <si>
    <t>081333221163</t>
  </si>
  <si>
    <t>suwotowoto051@gmail.com</t>
  </si>
  <si>
    <t>3518140809080001</t>
  </si>
  <si>
    <t>3518160609800002</t>
  </si>
  <si>
    <t>06 September 1980</t>
  </si>
  <si>
    <t>DS KUTOREJO RT 4/RW 2</t>
  </si>
  <si>
    <t>BAGOR</t>
  </si>
  <si>
    <t>KUTOREJO</t>
  </si>
  <si>
    <t>0000735562629</t>
  </si>
  <si>
    <t>NOER ADI CAHYO</t>
  </si>
  <si>
    <t>22-090007</t>
  </si>
  <si>
    <t>082114485561</t>
  </si>
  <si>
    <t>cahyonoer789@gmail.com</t>
  </si>
  <si>
    <t>3578062706190001</t>
  </si>
  <si>
    <t>3578072207920002</t>
  </si>
  <si>
    <t>22 Juli 1992</t>
  </si>
  <si>
    <t>KEMBANG KUNING KRAMAT JAYA 2/8 RT 15/RW 6</t>
  </si>
  <si>
    <t>PAKIS</t>
  </si>
  <si>
    <t>0001703540755</t>
  </si>
  <si>
    <t>RISWAN</t>
  </si>
  <si>
    <t>22-090001</t>
  </si>
  <si>
    <t>082346928988</t>
  </si>
  <si>
    <t>Riswansulaeman98@gmail.com</t>
  </si>
  <si>
    <t>STAF CS &amp; DOC</t>
  </si>
  <si>
    <t>7306031709100003</t>
  </si>
  <si>
    <t>7306032011970002</t>
  </si>
  <si>
    <t>SD SEDERAJAT</t>
  </si>
  <si>
    <t xml:space="preserve"> 12 April 1998</t>
  </si>
  <si>
    <t>ULUGALUNG</t>
  </si>
  <si>
    <t>PATTINRUKANG RT 01/RW 01</t>
  </si>
  <si>
    <t>SULAWESI SELATAN</t>
  </si>
  <si>
    <t>GOWA</t>
  </si>
  <si>
    <t>TOMPOBULU</t>
  </si>
  <si>
    <t>TANETE</t>
  </si>
  <si>
    <t>0001563033734</t>
  </si>
  <si>
    <t>28 JUNI 2024</t>
  </si>
  <si>
    <t>NUR HADIANTO</t>
  </si>
  <si>
    <t>22-090005</t>
  </si>
  <si>
    <t>085655711869</t>
  </si>
  <si>
    <t>nurhadianto2801@gmail.com</t>
  </si>
  <si>
    <t>3578272105210001</t>
  </si>
  <si>
    <t>3578142802010002</t>
  </si>
  <si>
    <t>25 Februari 2001</t>
  </si>
  <si>
    <t>SUKOMANUNGGAL BARU UTARA PJKA</t>
  </si>
  <si>
    <t>0003060585652</t>
  </si>
  <si>
    <t>KLAUDIUS KARIM</t>
  </si>
  <si>
    <t>22-100008</t>
  </si>
  <si>
    <t>081344971881</t>
  </si>
  <si>
    <t>Klaudiokarimkarim15@gmail.com</t>
  </si>
  <si>
    <t>5310132206130001</t>
  </si>
  <si>
    <t>5310130912030004</t>
  </si>
  <si>
    <t>BRI</t>
  </si>
  <si>
    <t>0273 0107 7924 507</t>
  </si>
  <si>
    <t>15 Februari 2003</t>
  </si>
  <si>
    <t>PONG PAHAR</t>
  </si>
  <si>
    <t>MATAWAE RT 1/RW 1</t>
  </si>
  <si>
    <t>SIDORUKUN GG 4 NO. 1 JLN DEMAK BARAT 1 SURABAYA</t>
  </si>
  <si>
    <t>NUSA TENGGARA TIMUR</t>
  </si>
  <si>
    <t>MANGGARAI</t>
  </si>
  <si>
    <t>SATAR MESE UTARA</t>
  </si>
  <si>
    <t>MATA WAE</t>
  </si>
  <si>
    <t>0003530081171</t>
  </si>
  <si>
    <t>MUHA - RESIGN</t>
  </si>
  <si>
    <t>22-110008</t>
  </si>
  <si>
    <t>085704122434</t>
  </si>
  <si>
    <t>muhamuhana01@gmail.com</t>
  </si>
  <si>
    <t>3578190908120026</t>
  </si>
  <si>
    <t>3523012512870001</t>
  </si>
  <si>
    <t>25 Desember 1987</t>
  </si>
  <si>
    <t>KANDANGAN MULYA GG. III / 29 RT 7/RW 1</t>
  </si>
  <si>
    <t>0000749638179</t>
  </si>
  <si>
    <t>RIBUT PUJI PURNOMO</t>
  </si>
  <si>
    <t>22-110077</t>
  </si>
  <si>
    <t>081259865346</t>
  </si>
  <si>
    <t>ributpurnomo711786@gmail.com</t>
  </si>
  <si>
    <t>3578061711120011</t>
  </si>
  <si>
    <t>3578060711860004</t>
  </si>
  <si>
    <t>07 November 1986</t>
  </si>
  <si>
    <t>TAMBAK MAYOR SELATAN III NO. 1 RT 6/RW 7</t>
  </si>
  <si>
    <t>ASEMROWO</t>
  </si>
  <si>
    <t>0001706914675</t>
  </si>
  <si>
    <t>SYANIA YULI NUR AINI</t>
  </si>
  <si>
    <t>22-120078</t>
  </si>
  <si>
    <t>081615972634</t>
  </si>
  <si>
    <t>syaniayulinuraini@gmail.com</t>
  </si>
  <si>
    <t>3518060312090005</t>
  </si>
  <si>
    <t>3518064107000011</t>
  </si>
  <si>
    <t>1 Juli 2000</t>
  </si>
  <si>
    <t>TANJUNGTANI RT 29/RW 6</t>
  </si>
  <si>
    <t>JL. JEPARA VII, NO.2A , RT.7/RW.1 BUBUTAN</t>
  </si>
  <si>
    <t>PRAMBON</t>
  </si>
  <si>
    <t>TANJUNGTANI</t>
  </si>
  <si>
    <t>0000732331552</t>
  </si>
  <si>
    <t>SEPTIAN PRAYOGI</t>
  </si>
  <si>
    <t>23-010004</t>
  </si>
  <si>
    <t>082289190821</t>
  </si>
  <si>
    <t>prayogiseptian1@gmail.com</t>
  </si>
  <si>
    <t>OPERASIONAL CAB. JKT</t>
  </si>
  <si>
    <t>1901012112075153</t>
  </si>
  <si>
    <t>1901013009000006</t>
  </si>
  <si>
    <t>BCA</t>
  </si>
  <si>
    <t>753 0291 779</t>
  </si>
  <si>
    <t>SUNGAILIAT</t>
  </si>
  <si>
    <t>JL. RAYA NO. 5</t>
  </si>
  <si>
    <t>JL BANGUNSARI TENGAH NO. 7</t>
  </si>
  <si>
    <t>KEP. BANGKA BELITUNG</t>
  </si>
  <si>
    <t>BANGKA</t>
  </si>
  <si>
    <t>BUKIT BETUNG</t>
  </si>
  <si>
    <t>401176060315000</t>
  </si>
  <si>
    <t>0001809607645</t>
  </si>
  <si>
    <t>MOCH. AGUS SETIYONO</t>
  </si>
  <si>
    <t>23-010005</t>
  </si>
  <si>
    <t>082245884802</t>
  </si>
  <si>
    <t>agus45227@gmail.com</t>
  </si>
  <si>
    <t>3506152811101885</t>
  </si>
  <si>
    <t>3506153008930001</t>
  </si>
  <si>
    <t>30 Agustus 1993</t>
  </si>
  <si>
    <t>DAWUHAN RT 02/ RW 01</t>
  </si>
  <si>
    <t>SIDORUKUN GG 4 NO 1 JLN DEMAK BARAT 1 SURABAYA</t>
  </si>
  <si>
    <t>PURWOASRI</t>
  </si>
  <si>
    <t>DAWUHAN</t>
  </si>
  <si>
    <t>953418340655000</t>
  </si>
  <si>
    <t>0001656125684</t>
  </si>
  <si>
    <t>28 APRIL 2024</t>
  </si>
  <si>
    <t>28 OKTOBER 2024</t>
  </si>
  <si>
    <t>AGUSTIN DINIARINI</t>
  </si>
  <si>
    <t>23-030006</t>
  </si>
  <si>
    <t>089514714244</t>
  </si>
  <si>
    <t>dinnyalfabian@gmail.com</t>
  </si>
  <si>
    <t>SPV ACC-TAX</t>
  </si>
  <si>
    <t>3578100109200010</t>
  </si>
  <si>
    <t>3578105808920003</t>
  </si>
  <si>
    <t>18 Agustus 1992</t>
  </si>
  <si>
    <t>SETRO 2/21 RT 2/ RW 5</t>
  </si>
  <si>
    <t>457511426619000</t>
  </si>
  <si>
    <t>0001395440008</t>
  </si>
  <si>
    <t>TETAP</t>
  </si>
  <si>
    <t>DITA INDAH RAHMAWATI</t>
  </si>
  <si>
    <t>23-040007</t>
  </si>
  <si>
    <t>085851303483</t>
  </si>
  <si>
    <t>ditaindahra@gmail.com</t>
  </si>
  <si>
    <t>STAFF CS</t>
  </si>
  <si>
    <t>3521103008210002</t>
  </si>
  <si>
    <t>3521105303010003</t>
  </si>
  <si>
    <t>520 055 5904</t>
  </si>
  <si>
    <t>08 Maret 2001</t>
  </si>
  <si>
    <t>NGAWI</t>
  </si>
  <si>
    <t>KERTEN RT 06/RW 04</t>
  </si>
  <si>
    <t>DELES GG II NO 8 KLAMPIS</t>
  </si>
  <si>
    <t>PARON</t>
  </si>
  <si>
    <t>TEGUHAN</t>
  </si>
  <si>
    <t>0002463780712</t>
  </si>
  <si>
    <t>28 Agustus 2023</t>
  </si>
  <si>
    <t>28 AGUSTUS 2024</t>
  </si>
  <si>
    <t>DEVIAYUANDARUM EKA SAPUTRI</t>
  </si>
  <si>
    <t>Karyawan Kontrak</t>
  </si>
  <si>
    <t>23-060010</t>
  </si>
  <si>
    <t>081337760882</t>
  </si>
  <si>
    <t>deviayu2345@gmail.com</t>
  </si>
  <si>
    <t>STAF PAJAK &amp; ACCOUNTING</t>
  </si>
  <si>
    <t>3578140906210013</t>
  </si>
  <si>
    <t>3578146904990001</t>
  </si>
  <si>
    <t>29 APRIL 1999</t>
  </si>
  <si>
    <t>JL. SIKATAN 2/5 RT 02/RW 01</t>
  </si>
  <si>
    <t>MANUKAN WETAN</t>
  </si>
  <si>
    <t>968933028604000</t>
  </si>
  <si>
    <t>0001174479052</t>
  </si>
  <si>
    <t>NOVI LOA</t>
  </si>
  <si>
    <t>23-060002</t>
  </si>
  <si>
    <t>085323886000</t>
  </si>
  <si>
    <t>noviloa06@gmail.com</t>
  </si>
  <si>
    <t>KEPALA KEUANGAN CAB. MKS</t>
  </si>
  <si>
    <t>7371102609170002</t>
  </si>
  <si>
    <t>7372034608890002</t>
  </si>
  <si>
    <t>06 Agustus 1989</t>
  </si>
  <si>
    <t>PARE-PARE</t>
  </si>
  <si>
    <t>JL. GUNUNG RINJANI 2 NO.1 RT 04/ RW 08</t>
  </si>
  <si>
    <t>TAMALATE</t>
  </si>
  <si>
    <t>TANJUNG MERDEKA</t>
  </si>
  <si>
    <t>911596849804000</t>
  </si>
  <si>
    <t>0002618255518</t>
  </si>
  <si>
    <t>Kelas 2</t>
  </si>
  <si>
    <t>ANANDA YULIANA PUTRI</t>
  </si>
  <si>
    <t>23-060011</t>
  </si>
  <si>
    <t>085708520287</t>
  </si>
  <si>
    <r>
      <rPr>
        <rFont val="Calibri"/>
        <color theme="10"/>
        <sz val="11.0"/>
      </rPr>
      <t>anandafh1107</t>
    </r>
    <r>
      <rPr>
        <rFont val="Calibri"/>
        <color rgb="FF0563C1"/>
        <sz val="11.0"/>
        <u/>
      </rPr>
      <t>@gmail.com</t>
    </r>
  </si>
  <si>
    <t>STAFF HRD</t>
  </si>
  <si>
    <t>HRD</t>
  </si>
  <si>
    <t>3520073001180001</t>
  </si>
  <si>
    <t>3520075107000001</t>
  </si>
  <si>
    <t>11 Juli 2000</t>
  </si>
  <si>
    <t>COMPOK RT 01/RW 01</t>
  </si>
  <si>
    <t>JL PLOSO VII NO 8C SURABAYA</t>
  </si>
  <si>
    <t>PLAOSAN</t>
  </si>
  <si>
    <t>DADI</t>
  </si>
  <si>
    <t>0002455230115</t>
  </si>
  <si>
    <t>BERNABAS MBABHO</t>
  </si>
  <si>
    <t>23-060012</t>
  </si>
  <si>
    <t>082190790316</t>
  </si>
  <si>
    <t>barnabas@trigunasamudratrans.net</t>
  </si>
  <si>
    <t>SPV OPERASIONAL CAB. MKS</t>
  </si>
  <si>
    <t>OPERASIONAL MKS</t>
  </si>
  <si>
    <t>7371020612042208</t>
  </si>
  <si>
    <t>7371021008640001</t>
  </si>
  <si>
    <t>D1</t>
  </si>
  <si>
    <t>10 Agustus 1964</t>
  </si>
  <si>
    <t>ENDE FLORES</t>
  </si>
  <si>
    <t>DG TATA III PER MKS UPA REGENCY B/3 RT 02/ RW 02</t>
  </si>
  <si>
    <t>PARANG TAMBUNG</t>
  </si>
  <si>
    <t>725792824804000</t>
  </si>
  <si>
    <t>BELUM (MANDIRI AKTIF)</t>
  </si>
  <si>
    <t>AGUS KURNIAWAN</t>
  </si>
  <si>
    <t>23-070008</t>
  </si>
  <si>
    <t>089506014056</t>
  </si>
  <si>
    <t>abdulfaiz840@gmail.com</t>
  </si>
  <si>
    <t>3578100502140002</t>
  </si>
  <si>
    <t>3578102208890004</t>
  </si>
  <si>
    <t>22 Agustus 1989</t>
  </si>
  <si>
    <t>KEDUNG TARAKAN WETAN NO 110</t>
  </si>
  <si>
    <t>TAMBAK SARI</t>
  </si>
  <si>
    <t>PACAR KEMBANG</t>
  </si>
  <si>
    <t>0001134019157</t>
  </si>
  <si>
    <t>28 JANUARI 2024</t>
  </si>
  <si>
    <t>28 JULI 2024</t>
  </si>
  <si>
    <t>28 OKTOBER 2025</t>
  </si>
  <si>
    <t>28 JANUARI 2026</t>
  </si>
  <si>
    <t>YUNITA AYU PUSPITASARI</t>
  </si>
  <si>
    <t>23-070080</t>
  </si>
  <si>
    <t>087860362152</t>
  </si>
  <si>
    <t>nita05835@gmail.com</t>
  </si>
  <si>
    <t>STAF DOKUMEN</t>
  </si>
  <si>
    <t>INDONESIA</t>
  </si>
  <si>
    <t>3519102505050136</t>
  </si>
  <si>
    <t>3519104706040002</t>
  </si>
  <si>
    <t>07 JUNI 2004</t>
  </si>
  <si>
    <t xml:space="preserve">PURWOGATI RT 07/ RW 03 </t>
  </si>
  <si>
    <t>JL. KAPAS LOR WETAN GANG II NO 71 RT 3 RW 5</t>
  </si>
  <si>
    <t>BALEREJO</t>
  </si>
  <si>
    <t>WARUREJO</t>
  </si>
  <si>
    <t>0001967065593</t>
  </si>
  <si>
    <t>3 Juli 2023</t>
  </si>
  <si>
    <t xml:space="preserve">28 SEPTEMBER 2024 </t>
  </si>
  <si>
    <t>BELUM</t>
  </si>
  <si>
    <t>NURJANNIH PRATIWI RIZAL S.H</t>
  </si>
  <si>
    <t>23-070003</t>
  </si>
  <si>
    <t>082193039457</t>
  </si>
  <si>
    <t>nurjannihpratiwi@gmail.com</t>
  </si>
  <si>
    <t>STAFF AR CAB. MKS</t>
  </si>
  <si>
    <t>7371102011230011</t>
  </si>
  <si>
    <t>7371106702930005</t>
  </si>
  <si>
    <t>27 Februari 1993</t>
  </si>
  <si>
    <t>UJUNG PANDANG</t>
  </si>
  <si>
    <t>JL MANUNGGAL 31 NO.9 RT 04/RW 08</t>
  </si>
  <si>
    <t>MACCINI SOMBALA</t>
  </si>
  <si>
    <t>752660506804000</t>
  </si>
  <si>
    <t>0001585110058</t>
  </si>
  <si>
    <t>28 OKTOBER 2023</t>
  </si>
  <si>
    <t>SRI ASTUTIK</t>
  </si>
  <si>
    <t>23-070082</t>
  </si>
  <si>
    <t>081259680273</t>
  </si>
  <si>
    <t>astutiksri461@gmail.com</t>
  </si>
  <si>
    <t>STAFF CS &amp; DOCUMENT</t>
  </si>
  <si>
    <t>3525022011085836</t>
  </si>
  <si>
    <t>3525025512000001</t>
  </si>
  <si>
    <t>15 Desember 2000</t>
  </si>
  <si>
    <t xml:space="preserve">MAMBUNGLOR RT 02/RW 01 </t>
  </si>
  <si>
    <t>BALONGPANGGGANG</t>
  </si>
  <si>
    <t>BANJARAGUNG</t>
  </si>
  <si>
    <t>0000761717092</t>
  </si>
  <si>
    <t>WANDA DETA LESMANA</t>
  </si>
  <si>
    <t>23-080083</t>
  </si>
  <si>
    <t>081252694763</t>
  </si>
  <si>
    <t>wandadeta732@gmail.com</t>
  </si>
  <si>
    <t>3525131011087567</t>
  </si>
  <si>
    <t>3525130707990002</t>
  </si>
  <si>
    <t>OCBC</t>
  </si>
  <si>
    <t>0000000693815544756</t>
  </si>
  <si>
    <t>07 Juli 1999</t>
  </si>
  <si>
    <t>SETRO RT 06/ RW 03</t>
  </si>
  <si>
    <t>0001607535538</t>
  </si>
  <si>
    <t>28 FEBRUARI 2024</t>
  </si>
  <si>
    <t>28 MEI 2024</t>
  </si>
  <si>
    <t>28 februari 2025</t>
  </si>
  <si>
    <t>28 Mei 2025</t>
  </si>
  <si>
    <t>28 November 2025</t>
  </si>
  <si>
    <t>MUH REZA PALLLEVI L</t>
  </si>
  <si>
    <t>23-080004</t>
  </si>
  <si>
    <t>085786759341</t>
  </si>
  <si>
    <t>humaera.amir@gmail.com</t>
  </si>
  <si>
    <t>STAFF PENAGIHAN</t>
  </si>
  <si>
    <t>7371091604030262</t>
  </si>
  <si>
    <t>7371091305950007</t>
  </si>
  <si>
    <t>13 Mei 1995</t>
  </si>
  <si>
    <t>TELLO BARU RT 01/RW 03</t>
  </si>
  <si>
    <t>PANAKUKANG</t>
  </si>
  <si>
    <t>TELLO BARU</t>
  </si>
  <si>
    <t>08 Agustus 2023</t>
  </si>
  <si>
    <t>ACHMAD ZANIAN YAHYA</t>
  </si>
  <si>
    <t>23-080013</t>
  </si>
  <si>
    <t>081703879856</t>
  </si>
  <si>
    <t>zanianyahya@gmail.com</t>
  </si>
  <si>
    <t>PJ GUDANG KALIANAK</t>
  </si>
  <si>
    <t>3578270301084840</t>
  </si>
  <si>
    <t>3578270602990003</t>
  </si>
  <si>
    <t>058810126936</t>
  </si>
  <si>
    <t>06 Februari 1999</t>
  </si>
  <si>
    <t>SIMO KALANGAN 1/96-K RT 02/RW 07</t>
  </si>
  <si>
    <t>434473617604000</t>
  </si>
  <si>
    <t>0001832038108</t>
  </si>
  <si>
    <t>28 MEI 2025</t>
  </si>
  <si>
    <t>ELRYZA JENAR MAHESA</t>
  </si>
  <si>
    <t>23-080084</t>
  </si>
  <si>
    <t>088804892984</t>
  </si>
  <si>
    <t>elryzaj@gmail.com</t>
  </si>
  <si>
    <t>SPV FINANCE</t>
  </si>
  <si>
    <t>3578292906200001</t>
  </si>
  <si>
    <t>3578176910940005</t>
  </si>
  <si>
    <t>29 Oktober 1994</t>
  </si>
  <si>
    <t>JL TANAH MERAH UTARA 3/60 RT 06/ RW 09</t>
  </si>
  <si>
    <t>TANAH KALI KEDINDING</t>
  </si>
  <si>
    <t>857363667619000</t>
  </si>
  <si>
    <t>0001654240285</t>
  </si>
  <si>
    <t>TIFFANI ISTIQINA</t>
  </si>
  <si>
    <t>23-080085</t>
  </si>
  <si>
    <t>082334542901</t>
  </si>
  <si>
    <t>istiqiffani@gmail.com</t>
  </si>
  <si>
    <t>STAFF AP</t>
  </si>
  <si>
    <t>3578060602230001</t>
  </si>
  <si>
    <t>3517016106920004</t>
  </si>
  <si>
    <t>21 Juni 1992</t>
  </si>
  <si>
    <t>DUKUH KUPANG TIMUR 19/12 RT 07/ RW 09</t>
  </si>
  <si>
    <t>455048832614000</t>
  </si>
  <si>
    <t>0001817140498</t>
  </si>
  <si>
    <t>28 NOVEMBER 2024</t>
  </si>
  <si>
    <t>RESIGN 04 FEBRUARI 2026</t>
  </si>
  <si>
    <t xml:space="preserve">RENALDY SAFRI </t>
  </si>
  <si>
    <t>23-100002</t>
  </si>
  <si>
    <t>089697047070</t>
  </si>
  <si>
    <t>renaldysafrim@gmail.com</t>
  </si>
  <si>
    <t>PJ OPS PESONA</t>
  </si>
  <si>
    <t>3578060101080931</t>
  </si>
  <si>
    <t>3578061505980014</t>
  </si>
  <si>
    <t>15 Mei 1998</t>
  </si>
  <si>
    <t>BANYU URIP LOR 10/68 RT 04/ RW 6</t>
  </si>
  <si>
    <t>404529232614000</t>
  </si>
  <si>
    <t>0001700926119</t>
  </si>
  <si>
    <t>28 DESEMBER 2023</t>
  </si>
  <si>
    <t>02 JANUARI 2025</t>
  </si>
  <si>
    <t>HIMAWAN BUDI PRASETYO</t>
  </si>
  <si>
    <t>082337551892</t>
  </si>
  <si>
    <t>himawanbudiprastyo@gmail.com</t>
  </si>
  <si>
    <t>SOPIR</t>
  </si>
  <si>
    <t>3517062304180010</t>
  </si>
  <si>
    <t>3517060702920002</t>
  </si>
  <si>
    <t>07 Februari 1992</t>
  </si>
  <si>
    <t>JOMBANG</t>
  </si>
  <si>
    <t xml:space="preserve">DSN PANDEAN RT 05 RW 02 </t>
  </si>
  <si>
    <t>MOJOAGUNG</t>
  </si>
  <si>
    <t>MIAGAN</t>
  </si>
  <si>
    <t>03 Oktober 2023</t>
  </si>
  <si>
    <t>NARID SASANDI (SOPIR)</t>
  </si>
  <si>
    <t>23-100003</t>
  </si>
  <si>
    <t>081252646006</t>
  </si>
  <si>
    <t>3578301009190004</t>
  </si>
  <si>
    <t>3578101301850005</t>
  </si>
  <si>
    <t>13 Januari 1985</t>
  </si>
  <si>
    <t xml:space="preserve">MULYOREJO BARU 3-A/9 RT 05 RW 08 </t>
  </si>
  <si>
    <t>PAKAL</t>
  </si>
  <si>
    <t>BABAT JERAWAT</t>
  </si>
  <si>
    <t>18 Oktober 2023</t>
  </si>
  <si>
    <t>JANUAR HAFID BASRI</t>
  </si>
  <si>
    <t>BAHARI</t>
  </si>
  <si>
    <t>23-110002</t>
  </si>
  <si>
    <t>082131971880</t>
  </si>
  <si>
    <t>hafidjanuarr@gmail.com</t>
  </si>
  <si>
    <t>3578120402130001</t>
  </si>
  <si>
    <t>3506212205030003</t>
  </si>
  <si>
    <t>22 Januari 2003</t>
  </si>
  <si>
    <t>KALIMAS BARU PERAK UTARA RT 01/RW 01</t>
  </si>
  <si>
    <t>PERAK UTARA</t>
  </si>
  <si>
    <t>0002698865649</t>
  </si>
  <si>
    <t>AUDI YOHANIS LEATEMIA</t>
  </si>
  <si>
    <t>23-110005</t>
  </si>
  <si>
    <t>082349885195</t>
  </si>
  <si>
    <t>audyleatemia1@gmail.com</t>
  </si>
  <si>
    <t>STAFF COLLECTION CAB. MAKASSAR</t>
  </si>
  <si>
    <t>7371032505210016</t>
  </si>
  <si>
    <t>7371031507980003</t>
  </si>
  <si>
    <t>05 Juni 1997</t>
  </si>
  <si>
    <t>JL. TONDONG KURA NO. 11/27 RT 05/ RW 02</t>
  </si>
  <si>
    <t>MARADEKAYA</t>
  </si>
  <si>
    <t>0003089293964</t>
  </si>
  <si>
    <t>28 JANUARI 2025</t>
  </si>
  <si>
    <t>28 JULI 2025</t>
  </si>
  <si>
    <t>28 JULI 2026</t>
  </si>
  <si>
    <t>RESIGN 25 FEBRUARI 2026</t>
  </si>
  <si>
    <t>PUTRI INDAH WIBOWO</t>
  </si>
  <si>
    <t>23-110003</t>
  </si>
  <si>
    <t>081246308193</t>
  </si>
  <si>
    <t>xputrind@gmail.com</t>
  </si>
  <si>
    <t>3578160612220005</t>
  </si>
  <si>
    <t>3578176709990011</t>
  </si>
  <si>
    <t>27 September 1999</t>
  </si>
  <si>
    <t>RANDU TEJO NO.12 RT.15/RW 13</t>
  </si>
  <si>
    <t>430594325619000</t>
  </si>
  <si>
    <t>0002621233348</t>
  </si>
  <si>
    <t>27 November 2023</t>
  </si>
  <si>
    <t>KUSNO HARIYANTO (SOPIR)</t>
  </si>
  <si>
    <t>23-110004</t>
  </si>
  <si>
    <t>081252283818</t>
  </si>
  <si>
    <t>SOPIR PESONA</t>
  </si>
  <si>
    <t>3518010301190005</t>
  </si>
  <si>
    <t>3518010906900001</t>
  </si>
  <si>
    <t>09 Juni 1990</t>
  </si>
  <si>
    <t>BRUNO RT 05/ RW 04</t>
  </si>
  <si>
    <t>NGUMAN</t>
  </si>
  <si>
    <t>SATRIA ARI PAMUNGKAS</t>
  </si>
  <si>
    <t>23-120004</t>
  </si>
  <si>
    <t>0881027363632</t>
  </si>
  <si>
    <t>satriaaripamungkas321@gmail.com</t>
  </si>
  <si>
    <t>STAFF PLANNER</t>
  </si>
  <si>
    <t>3578171908200010</t>
  </si>
  <si>
    <t>3578171212990004</t>
  </si>
  <si>
    <t>12 Desember 2023</t>
  </si>
  <si>
    <t>TAMBAK WEDI JAYA 3/11 RT 05/RW 02</t>
  </si>
  <si>
    <t>TAMBAK WEDI</t>
  </si>
  <si>
    <t>8 Desember 2023</t>
  </si>
  <si>
    <t>SULTAN SABBAN</t>
  </si>
  <si>
    <t>23-120005</t>
  </si>
  <si>
    <t>082139912275</t>
  </si>
  <si>
    <t>sultanisdolar@gmail.com</t>
  </si>
  <si>
    <t>STAFF CS &amp; DOC  GUDANG OSOWILANGUN</t>
  </si>
  <si>
    <t>3578150902210004</t>
  </si>
  <si>
    <t>3578152007960004</t>
  </si>
  <si>
    <t>20 Juli 1996</t>
  </si>
  <si>
    <t>MALUKU TENGGARA</t>
  </si>
  <si>
    <t>KREMBANGAN BHAKTI 13/9 RT 13/ RW 2</t>
  </si>
  <si>
    <t>531906345605000</t>
  </si>
  <si>
    <t>0003519683627</t>
  </si>
  <si>
    <t>28 MARET 2024</t>
  </si>
  <si>
    <t>28 Juli 2025</t>
  </si>
  <si>
    <t>28 Oktober 2025</t>
  </si>
  <si>
    <t>APRILLIA DWI UTAMI</t>
  </si>
  <si>
    <t>24-010005</t>
  </si>
  <si>
    <t>085954995276</t>
  </si>
  <si>
    <t>aprilliadwiu3@gmail.com</t>
  </si>
  <si>
    <t>3578102608210019</t>
  </si>
  <si>
    <t>3578106204990001</t>
  </si>
  <si>
    <t>22 April 1999</t>
  </si>
  <si>
    <t>NGAGLIK DKA NO. 15 RT 01/ RW 05</t>
  </si>
  <si>
    <t>0000788095912</t>
  </si>
  <si>
    <t>05 januari 2024</t>
  </si>
  <si>
    <t>28 SEPTEMBER 2024</t>
  </si>
  <si>
    <t>PAIMIN</t>
  </si>
  <si>
    <t>24-010007</t>
  </si>
  <si>
    <t>081392357367</t>
  </si>
  <si>
    <t>cakpaimin01@gmail.com</t>
  </si>
  <si>
    <t>3519132906070421</t>
  </si>
  <si>
    <t>3519131802810003</t>
  </si>
  <si>
    <t>18 Februari 1981</t>
  </si>
  <si>
    <t xml:space="preserve">DSN TENGKLIK RT 03/ RW 01 </t>
  </si>
  <si>
    <t>PILANGKENCENG</t>
  </si>
  <si>
    <t>KEDUNGREJO</t>
  </si>
  <si>
    <t>0000736538128</t>
  </si>
  <si>
    <t>28 Maret 2025</t>
  </si>
  <si>
    <t>MUH AFRIZAL A. NUGRAHA</t>
  </si>
  <si>
    <t>24-020007</t>
  </si>
  <si>
    <t>08977205565</t>
  </si>
  <si>
    <t>afrizalngrh12@gmail.com</t>
  </si>
  <si>
    <t>OPERASIONAL MAKASSAR</t>
  </si>
  <si>
    <t>7371132205070044</t>
  </si>
  <si>
    <t>7371130102980007</t>
  </si>
  <si>
    <t>01 Februari 1998</t>
  </si>
  <si>
    <t>JL. HERTASNING BARAT I NO.22 RT 03/RW 01</t>
  </si>
  <si>
    <t>RAPPOCINI</t>
  </si>
  <si>
    <t>BONTO MAKKIO</t>
  </si>
  <si>
    <t>433789195614000</t>
  </si>
  <si>
    <t>12 Februari 2024</t>
  </si>
  <si>
    <t>BAGOES EFENDI SOEBAGIYO</t>
  </si>
  <si>
    <t>24-020089</t>
  </si>
  <si>
    <t>082141271401</t>
  </si>
  <si>
    <t>monozez@gmail.com</t>
  </si>
  <si>
    <t>3578032812200016</t>
  </si>
  <si>
    <t>3578053008900003</t>
  </si>
  <si>
    <t>3 Agustus 1990</t>
  </si>
  <si>
    <t>WONOREJO INDAH TIMUR VII/115 RT 04/ RW 08</t>
  </si>
  <si>
    <t>RUNGKUT</t>
  </si>
  <si>
    <t>826988743607000</t>
  </si>
  <si>
    <t>26 Februari 2024</t>
  </si>
  <si>
    <t>HANDAYANI</t>
  </si>
  <si>
    <t>24-020006</t>
  </si>
  <si>
    <t>085299769212</t>
  </si>
  <si>
    <t>handayanii.said@gmail.com</t>
  </si>
  <si>
    <t>CS.DOC</t>
  </si>
  <si>
    <t>7316042011230003</t>
  </si>
  <si>
    <t>7316046701970001</t>
  </si>
  <si>
    <t>27 Februari 1997</t>
  </si>
  <si>
    <t>MANGGUGU</t>
  </si>
  <si>
    <t>ENREKANG</t>
  </si>
  <si>
    <t>ANGGERAJA</t>
  </si>
  <si>
    <t>037575354805000</t>
  </si>
  <si>
    <t>0002768970104</t>
  </si>
  <si>
    <t>28 Februari 2024</t>
  </si>
  <si>
    <t>ACHMAT PURWANTO</t>
  </si>
  <si>
    <t>24-020008</t>
  </si>
  <si>
    <t>0895344660305</t>
  </si>
  <si>
    <t>achpurwanto4@gmail.com</t>
  </si>
  <si>
    <t>3515102601092685</t>
  </si>
  <si>
    <t>3515102306910001</t>
  </si>
  <si>
    <t>23 Juni 1991</t>
  </si>
  <si>
    <t>DSN PEJAGALAN RT 11/ RW 4</t>
  </si>
  <si>
    <t>WONOAYU</t>
  </si>
  <si>
    <t>SIMOANGINANGIN</t>
  </si>
  <si>
    <t>734924806603000</t>
  </si>
  <si>
    <t>0002244384461</t>
  </si>
  <si>
    <t>FERI SETYAWAN</t>
  </si>
  <si>
    <t>24-020009</t>
  </si>
  <si>
    <t>088235781219</t>
  </si>
  <si>
    <t>setyawanferi495@gmail.com</t>
  </si>
  <si>
    <t>3578311907180008</t>
  </si>
  <si>
    <t>3578310110890001</t>
  </si>
  <si>
    <t>01 Oktober 1989</t>
  </si>
  <si>
    <t>DUKUH ALASMALANG NO. 44 RT. 02/ RW 03</t>
  </si>
  <si>
    <t>SAMBI KEREP</t>
  </si>
  <si>
    <t>BRINGIN</t>
  </si>
  <si>
    <t>662711738604000</t>
  </si>
  <si>
    <t>0001402403488</t>
  </si>
  <si>
    <t>4 Maret 2024</t>
  </si>
  <si>
    <t>10 JULI 2025</t>
  </si>
  <si>
    <t>ADI SUYONO (SOPIR)</t>
  </si>
  <si>
    <t>PESONA 40"</t>
  </si>
  <si>
    <t>23-030005</t>
  </si>
  <si>
    <t>081250070337</t>
  </si>
  <si>
    <t>gendon.aja47@gmail.com</t>
  </si>
  <si>
    <t>3525111603200006</t>
  </si>
  <si>
    <t>3518050106810010</t>
  </si>
  <si>
    <t>01 Juni 1981</t>
  </si>
  <si>
    <t>NGEMBUNG RT 02/ RW 01</t>
  </si>
  <si>
    <t>CERME</t>
  </si>
  <si>
    <t>NGEMBUNG</t>
  </si>
  <si>
    <t>0003688574973</t>
  </si>
  <si>
    <t>DUWI OKTA ARIFIANTO (SOPIR)</t>
  </si>
  <si>
    <t>PESONA 20"</t>
  </si>
  <si>
    <t>085608945132</t>
  </si>
  <si>
    <t>dwioktaarifianto44@gmail.com</t>
  </si>
  <si>
    <t>3516121701031549</t>
  </si>
  <si>
    <t>3516120810010002</t>
  </si>
  <si>
    <t>08 Oktober 2001</t>
  </si>
  <si>
    <t>JATISUMBER RT 01/RW 01</t>
  </si>
  <si>
    <t>TROWULAN</t>
  </si>
  <si>
    <t>WATESUMPAK</t>
  </si>
  <si>
    <t>61362</t>
  </si>
  <si>
    <t>0000725392045</t>
  </si>
  <si>
    <t>YULIUS SAMPE NA'NNA</t>
  </si>
  <si>
    <t>24-040008</t>
  </si>
  <si>
    <t>085399182901</t>
  </si>
  <si>
    <t>yuliussampenanna@gmail.com</t>
  </si>
  <si>
    <t>STAFF FINANCE CAB.MKS</t>
  </si>
  <si>
    <t xml:space="preserve">KEUANGAN </t>
  </si>
  <si>
    <t>7371091801080022</t>
  </si>
  <si>
    <t>7371090306760003</t>
  </si>
  <si>
    <t>0000000058810123438</t>
  </si>
  <si>
    <t>03 Juni 1976</t>
  </si>
  <si>
    <t>TANA TORAJA</t>
  </si>
  <si>
    <t>JL. DIRGANTARA LR 13 NO 4 B</t>
  </si>
  <si>
    <t>PANAKKUANG</t>
  </si>
  <si>
    <t>PAROPO</t>
  </si>
  <si>
    <t>401782420805000</t>
  </si>
  <si>
    <t>0001133475478</t>
  </si>
  <si>
    <t>01 April 2024</t>
  </si>
  <si>
    <t>DWI ARIES PRASETYO (SOPIR)</t>
  </si>
  <si>
    <t>SOPIR PESONA (PENGGANTI)</t>
  </si>
  <si>
    <t>3578272003140009</t>
  </si>
  <si>
    <t>3525112012880001</t>
  </si>
  <si>
    <t>20 Desember 1989</t>
  </si>
  <si>
    <t>SUKOMANUNGGAL BARU SELATAN PJKA NO.65 RT 001/RW 005</t>
  </si>
  <si>
    <t>17 April 2024</t>
  </si>
  <si>
    <t>A. AGUNG WIRA, SE</t>
  </si>
  <si>
    <t>24-020010</t>
  </si>
  <si>
    <t>081331117147</t>
  </si>
  <si>
    <t>wiranostra@gmail.com</t>
  </si>
  <si>
    <t>GENERAL MANAGER</t>
  </si>
  <si>
    <t>HINDHU</t>
  </si>
  <si>
    <t>3515070912130010</t>
  </si>
  <si>
    <t>3515070306830001</t>
  </si>
  <si>
    <t>03 Juni 1983</t>
  </si>
  <si>
    <t>SIDOKARE ASRI A2/9 RT 15/RW 03</t>
  </si>
  <si>
    <t>CANDI</t>
  </si>
  <si>
    <t>SUMOKALI</t>
  </si>
  <si>
    <t>268147600617000</t>
  </si>
  <si>
    <t>0001538146179</t>
  </si>
  <si>
    <t>27 April 2024</t>
  </si>
  <si>
    <t>VITTA MUSDIANA</t>
  </si>
  <si>
    <t>24-050086</t>
  </si>
  <si>
    <t>085843230140</t>
  </si>
  <si>
    <t>vittamusdiana5@gmail.com</t>
  </si>
  <si>
    <t>3578050201083748</t>
  </si>
  <si>
    <t>3578056305960002</t>
  </si>
  <si>
    <t>23 Mei 1996</t>
  </si>
  <si>
    <t>KALIASIN 8/20 RT 08/RW 11</t>
  </si>
  <si>
    <t>KEDUNGDORO</t>
  </si>
  <si>
    <t>03 Januari 2024</t>
  </si>
  <si>
    <t>28 Mei 2024</t>
  </si>
  <si>
    <t>NIKMA RAGIL ANGGRAINI</t>
  </si>
  <si>
    <t>24-060087</t>
  </si>
  <si>
    <t>082142089712</t>
  </si>
  <si>
    <t>nikmaragil@gmail.com</t>
  </si>
  <si>
    <t>SPV CS</t>
  </si>
  <si>
    <t>KHATOLIK</t>
  </si>
  <si>
    <t>3525100208190004</t>
  </si>
  <si>
    <t>3515136306940003</t>
  </si>
  <si>
    <t>0000000058810123412</t>
  </si>
  <si>
    <t>23 Juni 1994</t>
  </si>
  <si>
    <t>LAMONGAN RAYA 44 GKB II</t>
  </si>
  <si>
    <t>MANYAR</t>
  </si>
  <si>
    <t>YOSOWILANGUN</t>
  </si>
  <si>
    <t>754538742603000</t>
  </si>
  <si>
    <t>0001826607295</t>
  </si>
  <si>
    <t>03 Juni 2024</t>
  </si>
  <si>
    <t>HARRIS ALVIAND (SOPIR)</t>
  </si>
  <si>
    <t>24-060007</t>
  </si>
  <si>
    <t>081529433920</t>
  </si>
  <si>
    <t>harisalfiano32@gmail.com</t>
  </si>
  <si>
    <t>3578102812220017</t>
  </si>
  <si>
    <t>3578102605960001</t>
  </si>
  <si>
    <t>26 Mei 1996</t>
  </si>
  <si>
    <t>RANGKAH 7/27-A RT 01/ RW 01</t>
  </si>
  <si>
    <t>RANGKAH</t>
  </si>
  <si>
    <t>TK/1</t>
  </si>
  <si>
    <t>14 Juni 2024</t>
  </si>
  <si>
    <t>MOH. AINUL YAQIN</t>
  </si>
  <si>
    <t>24-060009</t>
  </si>
  <si>
    <t>082331428379</t>
  </si>
  <si>
    <t>yaqin831@gmail.com</t>
  </si>
  <si>
    <t>3578120101085239</t>
  </si>
  <si>
    <t>3578120502000003</t>
  </si>
  <si>
    <t>05 Februari 2000</t>
  </si>
  <si>
    <t>BULAK BANTENG LOR BHINEKA 1/10 RT 04/ RW 08</t>
  </si>
  <si>
    <t>0001162380565</t>
  </si>
  <si>
    <t>28 September 2024</t>
  </si>
  <si>
    <t>KARYAWAN TETAP</t>
  </si>
  <si>
    <t>TRI SILFIA NINGSIH</t>
  </si>
  <si>
    <t>24-070009</t>
  </si>
  <si>
    <t>085342691522</t>
  </si>
  <si>
    <t>trisilfian@gmail.com</t>
  </si>
  <si>
    <t>7306081801100012</t>
  </si>
  <si>
    <t>7306087105930005</t>
  </si>
  <si>
    <t>31 Mei 1993</t>
  </si>
  <si>
    <t>JL ABD MUTHALIB DG NARANG</t>
  </si>
  <si>
    <t>SOMBA OPU</t>
  </si>
  <si>
    <t>PACCINONGANG</t>
  </si>
  <si>
    <t>92113</t>
  </si>
  <si>
    <t>842927543807000</t>
  </si>
  <si>
    <t>01 Juli 2024</t>
  </si>
  <si>
    <t>28 Februari 2025</t>
  </si>
  <si>
    <t>HOFMAN HERI ANTO SIMAREMARE</t>
  </si>
  <si>
    <t>24-090010</t>
  </si>
  <si>
    <t>081265996660</t>
  </si>
  <si>
    <t>hofmanharianto@gmail.com</t>
  </si>
  <si>
    <t>OPERASIONAL CAB. MKS</t>
  </si>
  <si>
    <t>1271092604160012</t>
  </si>
  <si>
    <t>1271091805920001</t>
  </si>
  <si>
    <t>18 Mei 1992</t>
  </si>
  <si>
    <t>L.PAKAM</t>
  </si>
  <si>
    <t>JL. SELAMAT LURUS NO 19-S MEDAN</t>
  </si>
  <si>
    <t>SUMATERA UTARA</t>
  </si>
  <si>
    <t>MEDAN</t>
  </si>
  <si>
    <t>MEDAN AMPLAS</t>
  </si>
  <si>
    <t>SITIREJO III</t>
  </si>
  <si>
    <t>OUTSORCH</t>
  </si>
  <si>
    <t>CRUSCHITA LEVYANA ZYLVY</t>
  </si>
  <si>
    <t>24-070014</t>
  </si>
  <si>
    <t>082257999624</t>
  </si>
  <si>
    <t>chita24levyana@gmail.com</t>
  </si>
  <si>
    <t>3578140101082755</t>
  </si>
  <si>
    <t>3578146407950001</t>
  </si>
  <si>
    <t>24 Juli 1995</t>
  </si>
  <si>
    <t>JL. MANUKAN ADI BLOK 12-E/32</t>
  </si>
  <si>
    <t>910229780604000</t>
  </si>
  <si>
    <t>19 Juli 2024</t>
  </si>
  <si>
    <t>28 Oktober 2024</t>
  </si>
  <si>
    <t>DWI PUTRA WISNU SANTOSO</t>
  </si>
  <si>
    <t>24-080015</t>
  </si>
  <si>
    <t>083831074226</t>
  </si>
  <si>
    <t>3578282002120012</t>
  </si>
  <si>
    <t>3578281201900001</t>
  </si>
  <si>
    <t>12 Januari 1990</t>
  </si>
  <si>
    <t>TAMBAK MAYOR BARAT IV / 27</t>
  </si>
  <si>
    <t>01 Agustus 2024</t>
  </si>
  <si>
    <t>SOFYAN ENDARKO</t>
  </si>
  <si>
    <t>24-080016</t>
  </si>
  <si>
    <t>089653942426</t>
  </si>
  <si>
    <t>sofyan99jp@gmail.com</t>
  </si>
  <si>
    <t>3578130906160001</t>
  </si>
  <si>
    <t>3517120102850008</t>
  </si>
  <si>
    <t>01 Februari 1985</t>
  </si>
  <si>
    <t>DSN CUMPLENG</t>
  </si>
  <si>
    <t>TEMBELANG</t>
  </si>
  <si>
    <t>PULOREJO</t>
  </si>
  <si>
    <t>0002683327847</t>
  </si>
  <si>
    <t>28 November 2024</t>
  </si>
  <si>
    <t>NUR FINAH</t>
  </si>
  <si>
    <t>24-090011</t>
  </si>
  <si>
    <t>089635954312</t>
  </si>
  <si>
    <t>finahmallarangan@gmail.com</t>
  </si>
  <si>
    <t>STAFF AP CAB. MKS</t>
  </si>
  <si>
    <t>7306061803110004</t>
  </si>
  <si>
    <t>7306066508940003</t>
  </si>
  <si>
    <t>0000000058810123453</t>
  </si>
  <si>
    <t>25 Agustus 1994</t>
  </si>
  <si>
    <t>SUNGGUMINASA</t>
  </si>
  <si>
    <t>BALANG-BALANG RT 02/ RW 04</t>
  </si>
  <si>
    <t>BONTOMARANNU</t>
  </si>
  <si>
    <t>BONTOMANAI</t>
  </si>
  <si>
    <t>0002915532617</t>
  </si>
  <si>
    <t>05 September 2024</t>
  </si>
  <si>
    <t>28 Februari 2026</t>
  </si>
  <si>
    <t>SETIAWAN DJODI M</t>
  </si>
  <si>
    <t>24-090012</t>
  </si>
  <si>
    <t>08875295954</t>
  </si>
  <si>
    <t>djodisetiawan75@gmail.com</t>
  </si>
  <si>
    <t>OPERASIONAL CAB MKS</t>
  </si>
  <si>
    <t>7306120707080001</t>
  </si>
  <si>
    <t>7306122804960001</t>
  </si>
  <si>
    <t>25 APRIL 1996</t>
  </si>
  <si>
    <t>GRIYA BAROMBONG BLOK G 4 NO 7</t>
  </si>
  <si>
    <t>BAROMBONG</t>
  </si>
  <si>
    <t>KANJILO</t>
  </si>
  <si>
    <t>92161</t>
  </si>
  <si>
    <t>07 September 2024</t>
  </si>
  <si>
    <t>VIVIN PUJI ASRI RAHAYU</t>
  </si>
  <si>
    <t>24-100017</t>
  </si>
  <si>
    <t>081234609200</t>
  </si>
  <si>
    <t>vivin.parv@gmail.com</t>
  </si>
  <si>
    <t>3578012604180009</t>
  </si>
  <si>
    <t>3578186910940001</t>
  </si>
  <si>
    <t>KEBRAON INDAH PERMAI AA/B RT 01 RW 13</t>
  </si>
  <si>
    <t>KARANG PILANG</t>
  </si>
  <si>
    <t>KEBRAON</t>
  </si>
  <si>
    <t>701828592604000</t>
  </si>
  <si>
    <t>0001609427924</t>
  </si>
  <si>
    <t>10 Oktober 2024</t>
  </si>
  <si>
    <t>28 Desember 2024</t>
  </si>
  <si>
    <t>28 Juni 2025</t>
  </si>
  <si>
    <t>MOCH. AIDIL FITRAH AL-ZAWALI (SOPIR)</t>
  </si>
  <si>
    <t>085829431481</t>
  </si>
  <si>
    <t>mochaidilfitrahalzawali62gmail.com</t>
  </si>
  <si>
    <t>3578170101089129</t>
  </si>
  <si>
    <t>3578170411050001</t>
  </si>
  <si>
    <t>04 Oktober 2005</t>
  </si>
  <si>
    <t>0002162948117</t>
  </si>
  <si>
    <t>VIRGINIA RIZMA ANGGRAENI</t>
  </si>
  <si>
    <t>24-100001</t>
  </si>
  <si>
    <t>081232297096</t>
  </si>
  <si>
    <t>virginiarizma15@gmail.com</t>
  </si>
  <si>
    <t>3578010101087868</t>
  </si>
  <si>
    <t>3578014604000004</t>
  </si>
  <si>
    <t>BOGANGIN BARU A/1 RT 07/RW 05</t>
  </si>
  <si>
    <t>KEDURUS</t>
  </si>
  <si>
    <t>414434613618000</t>
  </si>
  <si>
    <t>14 Oktober 2024</t>
  </si>
  <si>
    <t>28 Januari 2025</t>
  </si>
  <si>
    <t>OUT</t>
  </si>
  <si>
    <t>NURUL AFNI NINGTYAS</t>
  </si>
  <si>
    <t>24-100010</t>
  </si>
  <si>
    <t>087855723891</t>
  </si>
  <si>
    <t>ningtyasnunu@gmail.com</t>
  </si>
  <si>
    <t>SPV  CS &amp; DOC</t>
  </si>
  <si>
    <t>3578202103200002</t>
  </si>
  <si>
    <t>3578207009890002</t>
  </si>
  <si>
    <t>30 September 1989</t>
  </si>
  <si>
    <t>JL WIYUNG INDAH 5/46 BLK K-9 RT 02/RW 06</t>
  </si>
  <si>
    <t>WIYUNG</t>
  </si>
  <si>
    <t>JAJAR TUNGGAL</t>
  </si>
  <si>
    <t>0001897141059</t>
  </si>
  <si>
    <t>HERMAN</t>
  </si>
  <si>
    <t>24-090013</t>
  </si>
  <si>
    <t>082318969203</t>
  </si>
  <si>
    <t>herman211019@gmail.com</t>
  </si>
  <si>
    <t>SPV OPERASIONAL MKS</t>
  </si>
  <si>
    <t>7307033107080004</t>
  </si>
  <si>
    <t>7307031802980002</t>
  </si>
  <si>
    <t>18 Februari 1998</t>
  </si>
  <si>
    <t xml:space="preserve">KAMPALA RT 02/ RW 01 </t>
  </si>
  <si>
    <t>SINJAI</t>
  </si>
  <si>
    <t>SINJAI TIMUR</t>
  </si>
  <si>
    <t>KAMPALA</t>
  </si>
  <si>
    <t>418493029831000</t>
  </si>
  <si>
    <t>SRI AWIYANINGSIH</t>
  </si>
  <si>
    <t>24-100003</t>
  </si>
  <si>
    <t>087854754235</t>
  </si>
  <si>
    <t>Awiyaningsih1805@gmail.com</t>
  </si>
  <si>
    <t>3578240311200011</t>
  </si>
  <si>
    <t>3516075805940001</t>
  </si>
  <si>
    <t>18 Mei 1994</t>
  </si>
  <si>
    <t>PANJANGJIWO SDI NO 42 RT 03/RW 02</t>
  </si>
  <si>
    <t>TENGGILIS MEJOYO</t>
  </si>
  <si>
    <t>PANJANG JIWO</t>
  </si>
  <si>
    <t>0001639581478</t>
  </si>
  <si>
    <t>28 Januari 2026</t>
  </si>
  <si>
    <t>RESIGN 10/01/2026</t>
  </si>
  <si>
    <t>EFENDI (SOPIR)</t>
  </si>
  <si>
    <t>24-110008</t>
  </si>
  <si>
    <t>0821426196770</t>
  </si>
  <si>
    <t>Xpendy467@gmail.com</t>
  </si>
  <si>
    <t>3502021010220002</t>
  </si>
  <si>
    <t>3522040202910003</t>
  </si>
  <si>
    <t>02 Februari 1991</t>
  </si>
  <si>
    <t>DUKUH KEDUNG RT 02/RW 08</t>
  </si>
  <si>
    <t>PONOROGO</t>
  </si>
  <si>
    <t>NGRAYUN</t>
  </si>
  <si>
    <t>BAOSAN KIDUL</t>
  </si>
  <si>
    <t>0000748724365</t>
  </si>
  <si>
    <t>11 November 2024</t>
  </si>
  <si>
    <t>DIMAS RAKA ADJI PRATAMA</t>
  </si>
  <si>
    <t>24-110004</t>
  </si>
  <si>
    <t>083111637368</t>
  </si>
  <si>
    <t>Osowilangondimas@gmail.com</t>
  </si>
  <si>
    <t>3578170102100046</t>
  </si>
  <si>
    <t>3578171908970001</t>
  </si>
  <si>
    <t>19 Agustus 1997</t>
  </si>
  <si>
    <t>BULAK BANTENG BANDAREJO 2 RT 01/RW 03</t>
  </si>
  <si>
    <t>60127</t>
  </si>
  <si>
    <t>0002413837888</t>
  </si>
  <si>
    <t>18 November 2024</t>
  </si>
  <si>
    <t>ANDI RESKY YULIANA</t>
  </si>
  <si>
    <t>24-110014</t>
  </si>
  <si>
    <t>085256509882</t>
  </si>
  <si>
    <t>reskyuliana18@gmail.com</t>
  </si>
  <si>
    <t>STAFF CS &amp; DOC CAB.MKS</t>
  </si>
  <si>
    <t>7371142701060018</t>
  </si>
  <si>
    <t>7371144307940005</t>
  </si>
  <si>
    <t>0000000058810123446</t>
  </si>
  <si>
    <t>03 Juli 1994</t>
  </si>
  <si>
    <t>WATAMPONE</t>
  </si>
  <si>
    <t>BTP. JL. KED. SELATAN 7 BLOK F NO.174 RT. 05 / RW 016</t>
  </si>
  <si>
    <t>TAMALANREA</t>
  </si>
  <si>
    <t>0000041319099</t>
  </si>
  <si>
    <t>RESIGN 25/02/26</t>
  </si>
  <si>
    <t>HANIP EKO WIBOWO</t>
  </si>
  <si>
    <t>24-120004</t>
  </si>
  <si>
    <t>082231422095</t>
  </si>
  <si>
    <t>nurbagus724@gmail.com</t>
  </si>
  <si>
    <t>3519112611200003</t>
  </si>
  <si>
    <t>3519101803950002</t>
  </si>
  <si>
    <t>18 Maret 1995</t>
  </si>
  <si>
    <t>DUSUN KLECO RT 013/ RW 04</t>
  </si>
  <si>
    <t>02 Desember 2024</t>
  </si>
  <si>
    <t>28 Agustus 2025</t>
  </si>
  <si>
    <t>BAYU KUNCORO AJI</t>
  </si>
  <si>
    <t>24-120005</t>
  </si>
  <si>
    <t>085804834012</t>
  </si>
  <si>
    <t>bayukuncoroaji22@gmail.com</t>
  </si>
  <si>
    <t>3521012509080012</t>
  </si>
  <si>
    <t>3521011010010002</t>
  </si>
  <si>
    <t>10 Oktober 2001</t>
  </si>
  <si>
    <t>NGRENDENG RT 02/RW 01</t>
  </si>
  <si>
    <t>SINE</t>
  </si>
  <si>
    <t>NGRENDENG</t>
  </si>
  <si>
    <t>621485150646000</t>
  </si>
  <si>
    <t>10 Desember 2024</t>
  </si>
  <si>
    <t>BONDAN EKA PRASETYA</t>
  </si>
  <si>
    <t>081515913625</t>
  </si>
  <si>
    <t>ekabondan116@gmail.com</t>
  </si>
  <si>
    <t>3578060107220010</t>
  </si>
  <si>
    <t>3578062510960002</t>
  </si>
  <si>
    <t>25 Oktober 1996</t>
  </si>
  <si>
    <t>BANYU URIP KIDUL 1-D15 RT 05/RW 05</t>
  </si>
  <si>
    <t>PATRICK GREGORIUS JIMANTARA</t>
  </si>
  <si>
    <t>24-121005</t>
  </si>
  <si>
    <t>082143228049</t>
  </si>
  <si>
    <t>patrickgregoriusjimantara@gmail.com</t>
  </si>
  <si>
    <t>3578182705220004</t>
  </si>
  <si>
    <t>3576021305960003</t>
  </si>
  <si>
    <t>13 Mei 1996</t>
  </si>
  <si>
    <t>SUMUR WELUT RT 03/ RW 01</t>
  </si>
  <si>
    <t>LAKAR SANTRI</t>
  </si>
  <si>
    <t>SUMUR WELUT</t>
  </si>
  <si>
    <t>822735676602000</t>
  </si>
  <si>
    <t>0001800386829</t>
  </si>
  <si>
    <t>28 Maret 2026</t>
  </si>
  <si>
    <t>NUKE JULINASARI</t>
  </si>
  <si>
    <t>24-120006</t>
  </si>
  <si>
    <t>0895420097400</t>
  </si>
  <si>
    <t>momay.july24@gmail.com</t>
  </si>
  <si>
    <t>3578040512200002</t>
  </si>
  <si>
    <t>3578045207960004</t>
  </si>
  <si>
    <t>58810131175</t>
  </si>
  <si>
    <t>12 Juli 1996</t>
  </si>
  <si>
    <t>WONOSARI KIDUL 4/18 RT 04 RW 03</t>
  </si>
  <si>
    <t>WONOKROMO</t>
  </si>
  <si>
    <t>SAWUNGGALING</t>
  </si>
  <si>
    <t>906951454609000</t>
  </si>
  <si>
    <t>0001616628249</t>
  </si>
  <si>
    <t>28 Desember 2025</t>
  </si>
  <si>
    <t>CHANDRA KUSUMANING PRATIWI</t>
  </si>
  <si>
    <t>24-120007</t>
  </si>
  <si>
    <t>085655466927</t>
  </si>
  <si>
    <t>chandra.k.pratiwi@gmail.com</t>
  </si>
  <si>
    <t>SPV KEUANGAN PESONA</t>
  </si>
  <si>
    <t>3578150504230006</t>
  </si>
  <si>
    <t>3508045005930003</t>
  </si>
  <si>
    <t>10 Mei 1993</t>
  </si>
  <si>
    <t>IKAN GURAMI 3/31 RT 07 RW 06</t>
  </si>
  <si>
    <t>PERAK BARAT</t>
  </si>
  <si>
    <t>410622401625000</t>
  </si>
  <si>
    <t>0000113627733</t>
  </si>
  <si>
    <t>MUTASI PESONA PER JANUARI 2026</t>
  </si>
  <si>
    <t>DANDY FERDIANSYAH</t>
  </si>
  <si>
    <t>25-010008</t>
  </si>
  <si>
    <t>083119947857</t>
  </si>
  <si>
    <t>dandyferdy59@gmail.com</t>
  </si>
  <si>
    <t>3578161808110057</t>
  </si>
  <si>
    <t>3578161805990001</t>
  </si>
  <si>
    <t>SMA</t>
  </si>
  <si>
    <t>18 Mei 1999</t>
  </si>
  <si>
    <t>RANDU BARAT 1-B/17 RT 20/RW 03</t>
  </si>
  <si>
    <t>60128</t>
  </si>
  <si>
    <t>23 Januari 2025</t>
  </si>
  <si>
    <t>MR. SHINTA KURNIA CAHYA MAULANDARI</t>
  </si>
  <si>
    <t>25-010009</t>
  </si>
  <si>
    <t>08977010030</t>
  </si>
  <si>
    <t>maulandarishinta@gmail.com</t>
  </si>
  <si>
    <t>3578180408170002</t>
  </si>
  <si>
    <t>3578185807970001</t>
  </si>
  <si>
    <t>18 Juli 1997</t>
  </si>
  <si>
    <t>BANGKINGAN TIMUR  V RT 06 RW 01</t>
  </si>
  <si>
    <t>BANGKINGAN</t>
  </si>
  <si>
    <t>0001238254536</t>
  </si>
  <si>
    <t>NURUL HIDAYATI</t>
  </si>
  <si>
    <t>25-020010</t>
  </si>
  <si>
    <t>0895352595971</t>
  </si>
  <si>
    <t>nh8278288@gmail.com</t>
  </si>
  <si>
    <t>3525130107210003</t>
  </si>
  <si>
    <t>1603074407920003</t>
  </si>
  <si>
    <t>04 Juli 1992</t>
  </si>
  <si>
    <t>TRENGGALEK</t>
  </si>
  <si>
    <t>SIDOWUNGU RT 17/ RW 05</t>
  </si>
  <si>
    <t>SIDOWUNGU</t>
  </si>
  <si>
    <t>10 Februari 2025</t>
  </si>
  <si>
    <t>KISNANDAR</t>
  </si>
  <si>
    <t>089529687500</t>
  </si>
  <si>
    <t>kisnandar461@gmail.com</t>
  </si>
  <si>
    <t>3578062309160014</t>
  </si>
  <si>
    <t>3522091504010001</t>
  </si>
  <si>
    <t>15 April 2001</t>
  </si>
  <si>
    <t>KEDUNG ANYAR 2/22-A RT 03/RW 12</t>
  </si>
  <si>
    <t>0002441403742</t>
  </si>
  <si>
    <t>M. RIZAL</t>
  </si>
  <si>
    <t>25-020011</t>
  </si>
  <si>
    <t>081335689543</t>
  </si>
  <si>
    <t>frizalkomtas@gmail.com</t>
  </si>
  <si>
    <t>3578122004180004</t>
  </si>
  <si>
    <t>3578122104960004</t>
  </si>
  <si>
    <t>KALIMAS BARAT 3 RT 03/RW 03</t>
  </si>
  <si>
    <t>KREMBANGAN UTARA</t>
  </si>
  <si>
    <t>60163</t>
  </si>
  <si>
    <t>0002461670019</t>
  </si>
  <si>
    <t>ACHMAD FAJAR ZAIN</t>
  </si>
  <si>
    <t>25-020012</t>
  </si>
  <si>
    <t>082132224386</t>
  </si>
  <si>
    <t>fajarzain71@gmail.com</t>
  </si>
  <si>
    <t>3578170201082535</t>
  </si>
  <si>
    <t>3578170606970001</t>
  </si>
  <si>
    <t>06 Juni 1997</t>
  </si>
  <si>
    <t>POGOT BARU 3/17 RT 06/ RW 06</t>
  </si>
  <si>
    <t>0002164715594</t>
  </si>
  <si>
    <t>RESIGN</t>
  </si>
  <si>
    <t>WINDA HAIRANI</t>
  </si>
  <si>
    <t>25-020013</t>
  </si>
  <si>
    <t>085707776162</t>
  </si>
  <si>
    <t>windasiregar93@gmail.com</t>
  </si>
  <si>
    <t>3578140404220004</t>
  </si>
  <si>
    <t>3578056601930001</t>
  </si>
  <si>
    <t>MANDIRI</t>
  </si>
  <si>
    <t>27 Januari 1993</t>
  </si>
  <si>
    <t>MANUKAN LOR Gg. 3A No. 43</t>
  </si>
  <si>
    <t>0001731671932</t>
  </si>
  <si>
    <t>FARIS TAUFIQUL HAKIM</t>
  </si>
  <si>
    <t>25-030012</t>
  </si>
  <si>
    <t>082124555500</t>
  </si>
  <si>
    <t>hakimfaristaufiqul@gmail.com</t>
  </si>
  <si>
    <t>3512050511059608</t>
  </si>
  <si>
    <t>3512050505960001</t>
  </si>
  <si>
    <t>05 Mei 1996</t>
  </si>
  <si>
    <t>SITUBONDO</t>
  </si>
  <si>
    <t xml:space="preserve">Kendit Barat RT 01/RW 01 </t>
  </si>
  <si>
    <t>KENDIT</t>
  </si>
  <si>
    <t>0000116085791</t>
  </si>
  <si>
    <t>14 Maret 2025</t>
  </si>
  <si>
    <t>EKO AGUS SISWOYO (SOPIR)</t>
  </si>
  <si>
    <t>25-030009</t>
  </si>
  <si>
    <t>082190512475</t>
  </si>
  <si>
    <t>pondanyani@gmail.com</t>
  </si>
  <si>
    <t>3518110702130003</t>
  </si>
  <si>
    <t>3518051702850008</t>
  </si>
  <si>
    <t>17 Februari 1985</t>
  </si>
  <si>
    <t>GETAS RT 02/RW 05</t>
  </si>
  <si>
    <t>TANJUNGANOM</t>
  </si>
  <si>
    <t>GETAS</t>
  </si>
  <si>
    <t>0002249264529</t>
  </si>
  <si>
    <t>25-030010</t>
  </si>
  <si>
    <t>085646311007</t>
  </si>
  <si>
    <t>bismil9518@gmail.com</t>
  </si>
  <si>
    <t xml:space="preserve">SOPIR PESONA </t>
  </si>
  <si>
    <t>0002164792847</t>
  </si>
  <si>
    <t>YEHEZKIEL TIGOR AMBANAGA</t>
  </si>
  <si>
    <t>24-110015</t>
  </si>
  <si>
    <t>089602789639</t>
  </si>
  <si>
    <t>kieltigor@gmail.com</t>
  </si>
  <si>
    <t>7371113101180001</t>
  </si>
  <si>
    <t>7371110307000007</t>
  </si>
  <si>
    <t>04030105 8390506</t>
  </si>
  <si>
    <t>03 Juli 2000</t>
  </si>
  <si>
    <t>TAMAN SUDIANG INDAH F1/12 RT 06/RW 09</t>
  </si>
  <si>
    <t>BIRING KANAYA</t>
  </si>
  <si>
    <t>PAI</t>
  </si>
  <si>
    <t>07 April 2025</t>
  </si>
  <si>
    <t>25 juli 2025</t>
  </si>
  <si>
    <t>LUKMANUL KHAKIM (SOPIR)</t>
  </si>
  <si>
    <t>25-040011</t>
  </si>
  <si>
    <t>081217565300</t>
  </si>
  <si>
    <t>klukmanul46@gmail.com</t>
  </si>
  <si>
    <t>3516101606140002</t>
  </si>
  <si>
    <t>3516101410890001</t>
  </si>
  <si>
    <t>14 Oktober 1989</t>
  </si>
  <si>
    <t>DUSUN KENITEN RT 03/RW 02</t>
  </si>
  <si>
    <t>BANGSAL</t>
  </si>
  <si>
    <t>PULONITI</t>
  </si>
  <si>
    <t>0000725961262</t>
  </si>
  <si>
    <t>08 April 2025</t>
  </si>
  <si>
    <t>ABDUL MALIK</t>
  </si>
  <si>
    <t>OUTSOURCING</t>
  </si>
  <si>
    <t>0895417961746</t>
  </si>
  <si>
    <t>abdulmalik.mail030367@gmail.com</t>
  </si>
  <si>
    <t>3578170201081958</t>
  </si>
  <si>
    <t>3578170303670004</t>
  </si>
  <si>
    <t>03 Maret 1967</t>
  </si>
  <si>
    <t>DK BULAK BANTENG PRATAMA 4/9 RT 11/ RW 08</t>
  </si>
  <si>
    <t>YAFI YUTHIA PRADANA</t>
  </si>
  <si>
    <t>25-040018</t>
  </si>
  <si>
    <t>081328785409</t>
  </si>
  <si>
    <t>yafipradana63@gmail.com</t>
  </si>
  <si>
    <t>3578200307230004</t>
  </si>
  <si>
    <t>3502181001950002</t>
  </si>
  <si>
    <t>10 Januari 1995</t>
  </si>
  <si>
    <t>KUTAI</t>
  </si>
  <si>
    <t>WIYUNG SAWAH II/133</t>
  </si>
  <si>
    <t>0001770273292</t>
  </si>
  <si>
    <t>21 April 2025</t>
  </si>
  <si>
    <t>28 Juli 2026</t>
  </si>
  <si>
    <t>ALVIA RACHMA NINGSIH</t>
  </si>
  <si>
    <t>25-040019</t>
  </si>
  <si>
    <t>alviarchmn@gmail.com</t>
  </si>
  <si>
    <t>3578011508220001</t>
  </si>
  <si>
    <t>3526156503970002</t>
  </si>
  <si>
    <t>25 Maret 1997</t>
  </si>
  <si>
    <t>BANGKALAN</t>
  </si>
  <si>
    <t>KEMLATEN ASRI KAV.68 RT 04/ RW 05</t>
  </si>
  <si>
    <t>KARANGPILANG</t>
  </si>
  <si>
    <t>0002308491426</t>
  </si>
  <si>
    <t>RIO PRASETYA PUTRA</t>
  </si>
  <si>
    <t>25-040020</t>
  </si>
  <si>
    <t>081259300805</t>
  </si>
  <si>
    <t>prasetyario13807@gmail.com</t>
  </si>
  <si>
    <t>3515080202110010</t>
  </si>
  <si>
    <t>3515081809930008</t>
  </si>
  <si>
    <t>0184428730</t>
  </si>
  <si>
    <t>18 September 1993</t>
  </si>
  <si>
    <t>JL. DR SOETOMO III/07 RT 04/RW 02</t>
  </si>
  <si>
    <t>MAGERSARI</t>
  </si>
  <si>
    <t>425232071617000</t>
  </si>
  <si>
    <t>0001834139485</t>
  </si>
  <si>
    <t>CINDY KARMILASARI</t>
  </si>
  <si>
    <t>085730306874</t>
  </si>
  <si>
    <t>cindykarmilaaa@gmail.com</t>
  </si>
  <si>
    <t>3522011701075005</t>
  </si>
  <si>
    <t>3522016207000002</t>
  </si>
  <si>
    <t>22 Juli 2000</t>
  </si>
  <si>
    <t>DUSUN NGANTI RT 017 RW 05</t>
  </si>
  <si>
    <t>NGRAHO</t>
  </si>
  <si>
    <t>NGANTI</t>
  </si>
  <si>
    <t>0000745919043</t>
  </si>
  <si>
    <t>HARYO SAMSI (SOPIR)</t>
  </si>
  <si>
    <t>25-040012</t>
  </si>
  <si>
    <t>081259491239</t>
  </si>
  <si>
    <t>aryosamsi1976@gmail.com</t>
  </si>
  <si>
    <t>3578010101084183</t>
  </si>
  <si>
    <t>3578010904760003</t>
  </si>
  <si>
    <t xml:space="preserve">KEMLATEN XII / 28 RT 03 / RW 07 </t>
  </si>
  <si>
    <t>0001284293799</t>
  </si>
  <si>
    <t>REDZAN NURCAHYO</t>
  </si>
  <si>
    <t>25-050021</t>
  </si>
  <si>
    <t>085282089503</t>
  </si>
  <si>
    <t>nurcahyoredzan22@gmail.com</t>
  </si>
  <si>
    <t>3214132103170003</t>
  </si>
  <si>
    <t>3214012201020010</t>
  </si>
  <si>
    <t>058810127017</t>
  </si>
  <si>
    <t>22 Januari 2002</t>
  </si>
  <si>
    <t>PURWAKARTA</t>
  </si>
  <si>
    <t>PERUM BIP BLOK G 36 NO.10 RT 024/008</t>
  </si>
  <si>
    <t>BUNGURSARI</t>
  </si>
  <si>
    <t>CIBENING</t>
  </si>
  <si>
    <t>0001659876164</t>
  </si>
  <si>
    <t>PRESENTASI</t>
  </si>
  <si>
    <t>RINALDY OKTA EKA PRASTYO</t>
  </si>
  <si>
    <t>25-050022</t>
  </si>
  <si>
    <t>081934694972</t>
  </si>
  <si>
    <t>rinaldyprastyo@gmail.com</t>
  </si>
  <si>
    <t>3578020201085796</t>
  </si>
  <si>
    <t>3578020410960003</t>
  </si>
  <si>
    <t>04 Oktober 1996</t>
  </si>
  <si>
    <t>MARGOREJO TANGSI III/46 RT 04/RW 07</t>
  </si>
  <si>
    <t>WONOCOLO</t>
  </si>
  <si>
    <t>MARGOREJO</t>
  </si>
  <si>
    <t>0001537516495</t>
  </si>
  <si>
    <t>PUTRI RATNASARI YOGAVIANI</t>
  </si>
  <si>
    <t>25-050023</t>
  </si>
  <si>
    <t>089678457740</t>
  </si>
  <si>
    <t>putriratna1214@gmail.com</t>
  </si>
  <si>
    <t>3578233001190007</t>
  </si>
  <si>
    <t>3525155412950001</t>
  </si>
  <si>
    <t>058810126985</t>
  </si>
  <si>
    <t>14 Desember 1995</t>
  </si>
  <si>
    <t>JL. KARAH GG. V NO 46 B RT 03/RW 05</t>
  </si>
  <si>
    <t xml:space="preserve">KARAH </t>
  </si>
  <si>
    <t>0001543880845</t>
  </si>
  <si>
    <t>AGNES ARISTA MAYASARI</t>
  </si>
  <si>
    <t>25-050024</t>
  </si>
  <si>
    <t>083856453129</t>
  </si>
  <si>
    <t>agnesaristamayasari@gmail.com</t>
  </si>
  <si>
    <t>3578041705210003</t>
  </si>
  <si>
    <t>3578045706960005</t>
  </si>
  <si>
    <t>17 Juni 1996</t>
  </si>
  <si>
    <t>KESATRIAN ASRAMA YONIF 516 RT 05/ RW 10</t>
  </si>
  <si>
    <t>0002926454455</t>
  </si>
  <si>
    <t>ABD. RAHMAT</t>
  </si>
  <si>
    <t>25-050016</t>
  </si>
  <si>
    <t>082231061462</t>
  </si>
  <si>
    <t>abdrahmat496@gmail.com</t>
  </si>
  <si>
    <t>STAFF OPERASIONAL CAB. MKS</t>
  </si>
  <si>
    <t>7304022803190004</t>
  </si>
  <si>
    <t>7304020402960001</t>
  </si>
  <si>
    <t>058810126910</t>
  </si>
  <si>
    <t>31 Januari 1996</t>
  </si>
  <si>
    <t>ATSY</t>
  </si>
  <si>
    <t>CINONG BARAT</t>
  </si>
  <si>
    <t>JENEPONT0</t>
  </si>
  <si>
    <t>TAMALATEA</t>
  </si>
  <si>
    <t>TONROKASSI</t>
  </si>
  <si>
    <t>431560515801000</t>
  </si>
  <si>
    <t>0001097548953</t>
  </si>
  <si>
    <t>28 Oktober 2026</t>
  </si>
  <si>
    <t>I KOMANG ARI ASTHANATHA</t>
  </si>
  <si>
    <t>25-050025</t>
  </si>
  <si>
    <t>081217560437</t>
  </si>
  <si>
    <t>ariasthanatha@gmail.com</t>
  </si>
  <si>
    <t>HINDU</t>
  </si>
  <si>
    <t>3578302108240001</t>
  </si>
  <si>
    <t>3578062406940002</t>
  </si>
  <si>
    <t>24 Juni 1994</t>
  </si>
  <si>
    <t>KEMBANG KUNING KULON BSR 8 RT 3/RW 6</t>
  </si>
  <si>
    <t>SUGIANTO (SOPIR)</t>
  </si>
  <si>
    <t>25-040013</t>
  </si>
  <si>
    <t>081282275294</t>
  </si>
  <si>
    <t>sugianto280892@gmail.com</t>
  </si>
  <si>
    <t>3522031111190002</t>
  </si>
  <si>
    <t>3522030209890001</t>
  </si>
  <si>
    <t>28 Agustus 1992</t>
  </si>
  <si>
    <t>DUSUN MUNDU RT 15/ RW 05</t>
  </si>
  <si>
    <t>NGAMBON</t>
  </si>
  <si>
    <t>NGLAMPIN</t>
  </si>
  <si>
    <t>0000746328071</t>
  </si>
  <si>
    <t>WAWAN WITONO</t>
  </si>
  <si>
    <t>25-060014</t>
  </si>
  <si>
    <t>081615625892</t>
  </si>
  <si>
    <t>wawanbandeng30@gmail.com</t>
  </si>
  <si>
    <t>3578152903210007</t>
  </si>
  <si>
    <t>3523180710900001</t>
  </si>
  <si>
    <t>LAKI- LAKI</t>
  </si>
  <si>
    <t>KALIANAK TIMUR BLK NO.5 RT 01/RW 07</t>
  </si>
  <si>
    <t>25127477310</t>
  </si>
  <si>
    <t>0000752697134</t>
  </si>
  <si>
    <t>28 Agustus 2026</t>
  </si>
  <si>
    <t>ACHMAD RAFLI</t>
  </si>
  <si>
    <t>OUTSORCING</t>
  </si>
  <si>
    <t>081336376245</t>
  </si>
  <si>
    <t>ahmadrafibinhusain@gmail.com</t>
  </si>
  <si>
    <t>3578122003240062</t>
  </si>
  <si>
    <t>3578122803020001</t>
  </si>
  <si>
    <t>LAKI - LAKI</t>
  </si>
  <si>
    <t>28 Maret 2002</t>
  </si>
  <si>
    <t xml:space="preserve">WONOSARI WETAN BARU IX/46 </t>
  </si>
  <si>
    <t>MEIDY SATYA PRAMANA FASHA</t>
  </si>
  <si>
    <t>25-070011</t>
  </si>
  <si>
    <t>081336009655</t>
  </si>
  <si>
    <t>satyafasha@gmail.com</t>
  </si>
  <si>
    <t>3578081811200016</t>
  </si>
  <si>
    <t>3515130505900002</t>
  </si>
  <si>
    <t>05 Mei 1990</t>
  </si>
  <si>
    <t>DHARMAWANGSA 3/27 RT 04/ RW 01</t>
  </si>
  <si>
    <t>GUBENG</t>
  </si>
  <si>
    <t>AIRLANGGA</t>
  </si>
  <si>
    <t>0002413295313</t>
  </si>
  <si>
    <t>28 September 2025</t>
  </si>
  <si>
    <t>TAUFIK HIDAYAT</t>
  </si>
  <si>
    <t>25-070015</t>
  </si>
  <si>
    <t>081999119388</t>
  </si>
  <si>
    <t>hidayattaufiq517@gmail.com</t>
  </si>
  <si>
    <t>3578151312180007</t>
  </si>
  <si>
    <t>3275091705930017</t>
  </si>
  <si>
    <t>17 Mei 1993</t>
  </si>
  <si>
    <t>GRESIK GADUKAN NO 125-B RT 06 / RW 04</t>
  </si>
  <si>
    <t>0002739530373</t>
  </si>
  <si>
    <t>DELVIANI RINI PONGSIBATA</t>
  </si>
  <si>
    <t>25-070017</t>
  </si>
  <si>
    <t>081341977116</t>
  </si>
  <si>
    <t>delvianiriniponsibata@gmail.com</t>
  </si>
  <si>
    <t>7326152505070408</t>
  </si>
  <si>
    <t>7326154809030002</t>
  </si>
  <si>
    <t>BA'TAN PADANG</t>
  </si>
  <si>
    <t>BA'TAN RT 03/ RW 00</t>
  </si>
  <si>
    <t>TORAJA UTARA</t>
  </si>
  <si>
    <t>KESU</t>
  </si>
  <si>
    <t>BA'TAN</t>
  </si>
  <si>
    <t>0000942972401</t>
  </si>
  <si>
    <t>28 Juni 2026</t>
  </si>
  <si>
    <t>KARIONO ORBA SUSILO (SOPIR)</t>
  </si>
  <si>
    <t>25-070014</t>
  </si>
  <si>
    <t>3508083012150001</t>
  </si>
  <si>
    <t>3578060212840003</t>
  </si>
  <si>
    <t>02 Desember 1984</t>
  </si>
  <si>
    <t>KRAJAN TIMUR RT 03/RW 04</t>
  </si>
  <si>
    <t>ROWOKANGKUNG</t>
  </si>
  <si>
    <t>0001801486934</t>
  </si>
  <si>
    <t>AGUS HARIYADI</t>
  </si>
  <si>
    <t>25-070013</t>
  </si>
  <si>
    <t>089526503040</t>
  </si>
  <si>
    <t>agushariadi034@gmail.com</t>
  </si>
  <si>
    <t>STAFF ADMIN GUDANG (KALIANAK)</t>
  </si>
  <si>
    <t>3578300101082307</t>
  </si>
  <si>
    <t>3578300408020002</t>
  </si>
  <si>
    <t>6170606955</t>
  </si>
  <si>
    <t>04 Agustus 2002</t>
  </si>
  <si>
    <t>PONDOK BENOWO INDAH BLOK BJ-09</t>
  </si>
  <si>
    <t>198533523604000</t>
  </si>
  <si>
    <t>16 Juli 2025</t>
  </si>
  <si>
    <t>DEDIK TRIWIBIANTO (SOPIR)</t>
  </si>
  <si>
    <t>082245724644</t>
  </si>
  <si>
    <t>3525131507130003</t>
  </si>
  <si>
    <t>3516161212870001</t>
  </si>
  <si>
    <t>12 Desember 1987</t>
  </si>
  <si>
    <t xml:space="preserve">DUSUN SETRO RT 05/ RW 03 </t>
  </si>
  <si>
    <t>0002453327245</t>
  </si>
  <si>
    <t>RENDY NOVIANTO</t>
  </si>
  <si>
    <t>25-080026</t>
  </si>
  <si>
    <t>08191460327</t>
  </si>
  <si>
    <t>noviantorendy76@gmail.com</t>
  </si>
  <si>
    <t>3578100101085501</t>
  </si>
  <si>
    <t>3578102011030007</t>
  </si>
  <si>
    <t>PLOSO 2/18 RT 02/ RW 05</t>
  </si>
  <si>
    <t>0002683115818</t>
  </si>
  <si>
    <t>SALMA DELIA DIAH PUTRI</t>
  </si>
  <si>
    <t>085792708940</t>
  </si>
  <si>
    <t>salmadelia1406@gmail.com</t>
  </si>
  <si>
    <t>3525152807170004</t>
  </si>
  <si>
    <t>3505045406030002</t>
  </si>
  <si>
    <t>14 Juni 2003</t>
  </si>
  <si>
    <t>GRAHA PUNCAK ANOMSARI B 8/37 RT 00/RW 00</t>
  </si>
  <si>
    <t>WEDOROANOM</t>
  </si>
  <si>
    <t>SITI NURHALIZA</t>
  </si>
  <si>
    <t>25-080027</t>
  </si>
  <si>
    <t>083849888872</t>
  </si>
  <si>
    <t>lalisasnh@gmail.com</t>
  </si>
  <si>
    <t>3578101303200011</t>
  </si>
  <si>
    <t>3578105012030009</t>
  </si>
  <si>
    <t>1011835207</t>
  </si>
  <si>
    <t>10 Desember 2000</t>
  </si>
  <si>
    <t>KAPAS MADYA 4-G/68 RT 07/RW 02</t>
  </si>
  <si>
    <t>KAPASMADYA BARU</t>
  </si>
  <si>
    <t>DISAMAKAN NIK</t>
  </si>
  <si>
    <t>pindah pesona okt</t>
  </si>
  <si>
    <t>ERWIN DWI YULIANTO</t>
  </si>
  <si>
    <t>25-080014</t>
  </si>
  <si>
    <t>0895322190287</t>
  </si>
  <si>
    <t>erwindwiyuliantoo@gmail.com</t>
  </si>
  <si>
    <t>3507030603200003</t>
  </si>
  <si>
    <t>3507032307020005</t>
  </si>
  <si>
    <t>23 Juli 2002</t>
  </si>
  <si>
    <t>MALANG</t>
  </si>
  <si>
    <t xml:space="preserve">DSN. KRAJAN RT 10, RW 03 </t>
  </si>
  <si>
    <t>BANTUR</t>
  </si>
  <si>
    <t>BANDUNGREJO</t>
  </si>
  <si>
    <t>AKTIF NOVEMBER</t>
  </si>
  <si>
    <t>IMANUL EKO</t>
  </si>
  <si>
    <t>0895409307500</t>
  </si>
  <si>
    <t>imanuleko973@gmail.com</t>
  </si>
  <si>
    <t>3578290101081670</t>
  </si>
  <si>
    <t>3578290410980001</t>
  </si>
  <si>
    <t>04 Oktober 1998</t>
  </si>
  <si>
    <t>KEDUNG COWEK 8/10 RT 04/RW01</t>
  </si>
  <si>
    <t>KEDUNG COWEK</t>
  </si>
  <si>
    <t>CHOIRUL RAMADANI</t>
  </si>
  <si>
    <t>25-080015</t>
  </si>
  <si>
    <t>087879285489</t>
  </si>
  <si>
    <t>c.ramadani1312@gmail.com</t>
  </si>
  <si>
    <t>3578152206230008</t>
  </si>
  <si>
    <t>3578152803930003</t>
  </si>
  <si>
    <t>28 Maret 1993</t>
  </si>
  <si>
    <t>JL REMBANG 132-B RT 01/RW 05</t>
  </si>
  <si>
    <t>DUPAK</t>
  </si>
  <si>
    <t>0002162887863</t>
  </si>
  <si>
    <t>28 Mei 2026</t>
  </si>
  <si>
    <t>ESTI MAEROH</t>
  </si>
  <si>
    <t>25-090016</t>
  </si>
  <si>
    <t>082336431654</t>
  </si>
  <si>
    <t>estimaeroh26@gmail.com</t>
  </si>
  <si>
    <t>3312252904250003</t>
  </si>
  <si>
    <t>3312256603970001</t>
  </si>
  <si>
    <t>088001053781536</t>
  </si>
  <si>
    <t>26 Maret 1997</t>
  </si>
  <si>
    <t>WONOGIRI</t>
  </si>
  <si>
    <t>RANDUKUNING RT 03/RW 06</t>
  </si>
  <si>
    <t>WONIGIRI</t>
  </si>
  <si>
    <t>PUHPELEM</t>
  </si>
  <si>
    <t>OUHPELEM</t>
  </si>
  <si>
    <t>0001705506805</t>
  </si>
  <si>
    <t>ARIF TRI ANANTO</t>
  </si>
  <si>
    <t>25-090086</t>
  </si>
  <si>
    <t>0817325113</t>
  </si>
  <si>
    <t>arifananto60@gmail.com</t>
  </si>
  <si>
    <t>DRIVER</t>
  </si>
  <si>
    <t>3578101901180002</t>
  </si>
  <si>
    <t>3515060402850001</t>
  </si>
  <si>
    <t>04 Februari 1985</t>
  </si>
  <si>
    <t xml:space="preserve">LEBAK TIMUR ASRI NO. 2 </t>
  </si>
  <si>
    <t>0001429924893</t>
  </si>
  <si>
    <t>WIJI ASTUTIK</t>
  </si>
  <si>
    <t>25-090087</t>
  </si>
  <si>
    <t>085784009812</t>
  </si>
  <si>
    <t>diviazahrautomo208@gmail.com</t>
  </si>
  <si>
    <t>3506025112790002</t>
  </si>
  <si>
    <t>058810127629</t>
  </si>
  <si>
    <t>11 Desember 1979</t>
  </si>
  <si>
    <t>DUSUN PONGGOK RT 01, RW 01</t>
  </si>
  <si>
    <t>MOJO</t>
  </si>
  <si>
    <t>PONGGOK</t>
  </si>
  <si>
    <t>0003265551933</t>
  </si>
  <si>
    <t>17O</t>
  </si>
  <si>
    <t>AINUL ROFIK</t>
  </si>
  <si>
    <t>dafirza15@gmail.com</t>
  </si>
  <si>
    <t>3578152502100002</t>
  </si>
  <si>
    <t>3578150312860003</t>
  </si>
  <si>
    <t>03 Desember 1986</t>
  </si>
  <si>
    <t>KALIANAK TIMUR BELAKANG NO 2B RT 02 RW 07</t>
  </si>
  <si>
    <t>ULIN PRAWIBOWO</t>
  </si>
  <si>
    <t>25-090017</t>
  </si>
  <si>
    <t>081327813337</t>
  </si>
  <si>
    <t>ulinprawibowo@gmail.com</t>
  </si>
  <si>
    <t>3522241905120005</t>
  </si>
  <si>
    <t>3522241205970001</t>
  </si>
  <si>
    <t>12 MEI 1997</t>
  </si>
  <si>
    <t>DSN.BULU DS. SAWO</t>
  </si>
  <si>
    <t>JETIS</t>
  </si>
  <si>
    <t>SAWO</t>
  </si>
  <si>
    <t>OKE</t>
  </si>
  <si>
    <t>0002725959655</t>
  </si>
  <si>
    <t>RESIGN 28 MARET 2026</t>
  </si>
  <si>
    <t>NADYA ANGELINA</t>
  </si>
  <si>
    <t>25-090028</t>
  </si>
  <si>
    <t>62 8158700419</t>
  </si>
  <si>
    <t>nadya.angelina42@gmail.com</t>
  </si>
  <si>
    <t>3172040203111075</t>
  </si>
  <si>
    <t>3172046209000008</t>
  </si>
  <si>
    <t>058810127710</t>
  </si>
  <si>
    <t>SMK</t>
  </si>
  <si>
    <t>JAKARTA</t>
  </si>
  <si>
    <t>Jl. Kalibaru Barat RT/RW 004/010</t>
  </si>
  <si>
    <t>JAKARTA UTARA</t>
  </si>
  <si>
    <t>CILINCING</t>
  </si>
  <si>
    <t>KALIBARU</t>
  </si>
  <si>
    <t>0000379639001</t>
  </si>
  <si>
    <t>SATRIA HENDIKA</t>
  </si>
  <si>
    <t>25-090018</t>
  </si>
  <si>
    <t>083847943879</t>
  </si>
  <si>
    <t>satriahendika453@gmail.com</t>
  </si>
  <si>
    <t>3316023101250006</t>
  </si>
  <si>
    <t>3316042904030001</t>
  </si>
  <si>
    <t>087601001780501</t>
  </si>
  <si>
    <t>BLORA</t>
  </si>
  <si>
    <t>TEMULUS RT009 RW002</t>
  </si>
  <si>
    <t>JAWA TENGAH</t>
  </si>
  <si>
    <t>RANDUBLATUNG</t>
  </si>
  <si>
    <t>TEMULUS</t>
  </si>
  <si>
    <t>MOCH BAGUS RAMADHANI (SOPIR)</t>
  </si>
  <si>
    <t>085704258204</t>
  </si>
  <si>
    <t>masdanidani774@gmail.com</t>
  </si>
  <si>
    <t>3516130212020286</t>
  </si>
  <si>
    <t>3516130512020002</t>
  </si>
  <si>
    <t>05 Desember 2002</t>
  </si>
  <si>
    <t>KEDUNGMALING II RT/RW 07/03</t>
  </si>
  <si>
    <t>SOOKO</t>
  </si>
  <si>
    <t>KEDUNG MALING</t>
  </si>
  <si>
    <t>0000725012763</t>
  </si>
  <si>
    <t>ABDUL HARIS</t>
  </si>
  <si>
    <t>25-100019</t>
  </si>
  <si>
    <t>089696996200</t>
  </si>
  <si>
    <t>abdulharis1409@gmail.com</t>
  </si>
  <si>
    <t>3578110706210011</t>
  </si>
  <si>
    <t>3578110909960001</t>
  </si>
  <si>
    <t>KAPASARI PEDUKUHAN 3/1 RT/RW 001/010</t>
  </si>
  <si>
    <t>SIMOKERTO</t>
  </si>
  <si>
    <t>TAMBAKREJO</t>
  </si>
  <si>
    <t>0001176974346</t>
  </si>
  <si>
    <t>NIKOLAUS SATRIA</t>
  </si>
  <si>
    <t>TRIGUNA MAGANG</t>
  </si>
  <si>
    <t>Karyawan Magang</t>
  </si>
  <si>
    <t>081934352011</t>
  </si>
  <si>
    <t>nikolaussatria@gmail.com</t>
  </si>
  <si>
    <t>MAGANG</t>
  </si>
  <si>
    <t>3578013004020002</t>
  </si>
  <si>
    <t>GRIYA KEBRAON UTAMA DL/12C RT04 RW10</t>
  </si>
  <si>
    <t>BELUM REGISTRASI</t>
  </si>
  <si>
    <t>EKO HERI ERNANTO</t>
  </si>
  <si>
    <t>25-110017</t>
  </si>
  <si>
    <t>081227329519</t>
  </si>
  <si>
    <t>masekokodok51@gmail.com</t>
  </si>
  <si>
    <t>3525133008220005</t>
  </si>
  <si>
    <t>3524110312870001</t>
  </si>
  <si>
    <t>058810128445</t>
  </si>
  <si>
    <t>03 Desember 1987</t>
  </si>
  <si>
    <t>SIDOJANGKUNG RT14 RW05</t>
  </si>
  <si>
    <t>RESIGN 28/12/25</t>
  </si>
  <si>
    <t>YUNI PUSPITO SARI</t>
  </si>
  <si>
    <t>25-110020</t>
  </si>
  <si>
    <t>087861406764</t>
  </si>
  <si>
    <t>p.sarii1106@gmail.com</t>
  </si>
  <si>
    <t>ACCOUNT PAYABLE</t>
  </si>
  <si>
    <t>3519122702980034</t>
  </si>
  <si>
    <t>3519125106940003</t>
  </si>
  <si>
    <t>11 Juni 1994</t>
  </si>
  <si>
    <t>BRUWOK RT004 RW001</t>
  </si>
  <si>
    <t>KLUMUTAN</t>
  </si>
  <si>
    <t>RESIGN 28/01/26</t>
  </si>
  <si>
    <t>FIRDINIA PUTERI ASTARI</t>
  </si>
  <si>
    <t>25-110021</t>
  </si>
  <si>
    <t>082146241608</t>
  </si>
  <si>
    <t>niastari26@gmail.com</t>
  </si>
  <si>
    <t>ACCOUNT RECEIVABLE</t>
  </si>
  <si>
    <t>3578061811210007</t>
  </si>
  <si>
    <t>3578066606980004</t>
  </si>
  <si>
    <t>D2</t>
  </si>
  <si>
    <t>26 Juni 1998</t>
  </si>
  <si>
    <t>PAKIS 3/56</t>
  </si>
  <si>
    <t>0002436957281</t>
  </si>
  <si>
    <t>FENI WULANDARI</t>
  </si>
  <si>
    <t>62 812-3506-4373</t>
  </si>
  <si>
    <t>feniw150511@gmail.com</t>
  </si>
  <si>
    <t>3578312810190001</t>
  </si>
  <si>
    <t>3578316206940004</t>
  </si>
  <si>
    <t>0328 0108 6502 507</t>
  </si>
  <si>
    <t>22 juni 1994</t>
  </si>
  <si>
    <t>DK. KUWUKAN 2 NO. 71</t>
  </si>
  <si>
    <t>LONTAR</t>
  </si>
  <si>
    <t>0002156151666</t>
  </si>
  <si>
    <t>VANESIA GRASIELA LINADY</t>
  </si>
  <si>
    <t>25-110018</t>
  </si>
  <si>
    <t>62 822-1051-1833</t>
  </si>
  <si>
    <t>vanesialinady@gmail.com</t>
  </si>
  <si>
    <t>7373022812070020</t>
  </si>
  <si>
    <t>7373024502040001</t>
  </si>
  <si>
    <t>058810128635</t>
  </si>
  <si>
    <t>05 Februari 2004</t>
  </si>
  <si>
    <t>Jl. BARATA LATTU NO. 35 RT/RW 002/004</t>
  </si>
  <si>
    <t>PALOPO</t>
  </si>
  <si>
    <t>WARA UTARA</t>
  </si>
  <si>
    <t xml:space="preserve">LUMINDA </t>
  </si>
  <si>
    <t>AKTIF FEBRUARI</t>
  </si>
  <si>
    <t>28 feb 2026 (cek presentasi)</t>
  </si>
  <si>
    <t>M. YUSUF ABDUL K.</t>
  </si>
  <si>
    <t>25-110012</t>
  </si>
  <si>
    <t>yusufmaspaet@gmail.com</t>
  </si>
  <si>
    <t>HARDANI DEWA SAPUTRA MOHAR</t>
  </si>
  <si>
    <t>25-110019</t>
  </si>
  <si>
    <t>085386504488</t>
  </si>
  <si>
    <t>hardanidewasaputramohar@gmail.com</t>
  </si>
  <si>
    <t>7306081510080006</t>
  </si>
  <si>
    <t>7306081207930003</t>
  </si>
  <si>
    <t>058810128627</t>
  </si>
  <si>
    <t>12 Juli 1993</t>
  </si>
  <si>
    <t>JL. MANGGA I LING. PAO-PAO B.5 RT008 RW004</t>
  </si>
  <si>
    <t>SUKMA DWI ARUM</t>
  </si>
  <si>
    <t>085853855718</t>
  </si>
  <si>
    <t>arumsukmadwi@gmail.com</t>
  </si>
  <si>
    <t>3518121409020170</t>
  </si>
  <si>
    <t>3518125001980001</t>
  </si>
  <si>
    <t>CIMB NIAGA</t>
  </si>
  <si>
    <t>708272482400</t>
  </si>
  <si>
    <t>10 Januari 1998</t>
  </si>
  <si>
    <t>DSN SUMENGKO RT02 RT01</t>
  </si>
  <si>
    <t>SUKOMORO</t>
  </si>
  <si>
    <t>SUMENGKO</t>
  </si>
  <si>
    <t>HABIS KONTRAK</t>
  </si>
  <si>
    <t>MOHAMMAD ZUCHRI</t>
  </si>
  <si>
    <t>082336336062</t>
  </si>
  <si>
    <t>sabatamuhammad@gmail.com</t>
  </si>
  <si>
    <t>3525151711084076</t>
  </si>
  <si>
    <t>3525151501980001</t>
  </si>
  <si>
    <t>BNI</t>
  </si>
  <si>
    <t>1886192650</t>
  </si>
  <si>
    <t>15 Januari 1998</t>
  </si>
  <si>
    <t>KRIKILAN RT15 RW 06</t>
  </si>
  <si>
    <t>TIO HERNADIANSAH</t>
  </si>
  <si>
    <t>25-110029</t>
  </si>
  <si>
    <t>0895329456747</t>
  </si>
  <si>
    <t>tiohernadiansah@gmail.com</t>
  </si>
  <si>
    <t>3525151711084618</t>
  </si>
  <si>
    <t>3525161006000001</t>
  </si>
  <si>
    <t>058810128692</t>
  </si>
  <si>
    <t>10 MEI 2000</t>
  </si>
  <si>
    <t>PERUM GRIYA KENCANA BLOK I C /76</t>
  </si>
  <si>
    <t>MOJOSARIREJO</t>
  </si>
  <si>
    <t>oke</t>
  </si>
  <si>
    <t>MUHAMMAD SODIQ</t>
  </si>
  <si>
    <t>25-110022</t>
  </si>
  <si>
    <t>085785810477</t>
  </si>
  <si>
    <t>shodikm60@gmail.com</t>
  </si>
  <si>
    <t>3517090710100010</t>
  </si>
  <si>
    <t>3517090708790008</t>
  </si>
  <si>
    <t>058810128726</t>
  </si>
  <si>
    <t>07 Agustus 1979</t>
  </si>
  <si>
    <t>DSN SARILOYO RT007 RW006</t>
  </si>
  <si>
    <t>SAMBONG DUKUH</t>
  </si>
  <si>
    <t>0002378552949</t>
  </si>
  <si>
    <t>ILHAM SAPUTRA</t>
  </si>
  <si>
    <t>25-110023</t>
  </si>
  <si>
    <t>08999001289</t>
  </si>
  <si>
    <t>ilhamsaputra.111102@gmail.com</t>
  </si>
  <si>
    <t>3578130101083516</t>
  </si>
  <si>
    <t>3578130509980002</t>
  </si>
  <si>
    <t>4100237097</t>
  </si>
  <si>
    <t>MA</t>
  </si>
  <si>
    <t>JEPARA VI/17 SURABAYA RT06 RW01</t>
  </si>
  <si>
    <t>0001544484881</t>
  </si>
  <si>
    <t>ARDO SUJOYONO</t>
  </si>
  <si>
    <t>25-110030</t>
  </si>
  <si>
    <t>083115774149</t>
  </si>
  <si>
    <t>baretoardo672@gmail.com</t>
  </si>
  <si>
    <t>3525132906060003</t>
  </si>
  <si>
    <t>058810128684</t>
  </si>
  <si>
    <t>SMP</t>
  </si>
  <si>
    <t>29 Desember 2006</t>
  </si>
  <si>
    <t>SETRO RT04 RW02</t>
  </si>
  <si>
    <t>0000760498187</t>
  </si>
  <si>
    <t>CICIK NURHAYATI</t>
  </si>
  <si>
    <t>25-110031</t>
  </si>
  <si>
    <t>081356595071</t>
  </si>
  <si>
    <t>ciciknurhayati2@gmail.com</t>
  </si>
  <si>
    <t>indonesia</t>
  </si>
  <si>
    <t>3524092511150002</t>
  </si>
  <si>
    <t>3524096507890001</t>
  </si>
  <si>
    <t>058810129443</t>
  </si>
  <si>
    <t>25 Juli 1989</t>
  </si>
  <si>
    <t>MIRU RT02 RW01</t>
  </si>
  <si>
    <t>SEKARAN</t>
  </si>
  <si>
    <t>MIRU</t>
  </si>
  <si>
    <t>AKTIF MARET</t>
  </si>
  <si>
    <t>ANJAR</t>
  </si>
  <si>
    <t>25-120001</t>
  </si>
  <si>
    <t>082142000357</t>
  </si>
  <si>
    <t>anjarsoedjono@gmail.com</t>
  </si>
  <si>
    <t>STAFF FINANCE</t>
  </si>
  <si>
    <t>3578052511190001</t>
  </si>
  <si>
    <t>3578054405950001</t>
  </si>
  <si>
    <t>1030585727</t>
  </si>
  <si>
    <t>04 Mei 1995</t>
  </si>
  <si>
    <t>PANDEGILING 5/44 RT06 RW07</t>
  </si>
  <si>
    <t>RESIGN 28/02/26</t>
  </si>
  <si>
    <t>MUHA</t>
  </si>
  <si>
    <t>25-120024</t>
  </si>
  <si>
    <t>muhamuhana8@gmail.com</t>
  </si>
  <si>
    <t>BUDI RATNA SARI</t>
  </si>
  <si>
    <t>25-120022</t>
  </si>
  <si>
    <t>085735786799</t>
  </si>
  <si>
    <t>nanasari1122@gmail.com</t>
  </si>
  <si>
    <t>ACCOUNTING &amp; TAX</t>
  </si>
  <si>
    <t>3578100501089787</t>
  </si>
  <si>
    <t>3578104905930006</t>
  </si>
  <si>
    <t>058810129401</t>
  </si>
  <si>
    <t>09 Mei 1993</t>
  </si>
  <si>
    <t>DUKUH SETRO 10-A/5 RT006 RW002</t>
  </si>
  <si>
    <t>DUKUH SETRO</t>
  </si>
  <si>
    <t>RESIGN 28 Maret 2026</t>
  </si>
  <si>
    <t>ANIS SASMITA</t>
  </si>
  <si>
    <t>25-120032</t>
  </si>
  <si>
    <t>081559615650</t>
  </si>
  <si>
    <t>anissasmita5@gmail.com</t>
  </si>
  <si>
    <t>3578130301086709</t>
  </si>
  <si>
    <t>3578135909980001</t>
  </si>
  <si>
    <t>058810129435</t>
  </si>
  <si>
    <t>MARGORUKUN V/40 RT006 RW010</t>
  </si>
  <si>
    <t>RESIGN 31/01/26</t>
  </si>
  <si>
    <t>MUHAMMAD RAFLI RAMADHANI</t>
  </si>
  <si>
    <t>081332400378</t>
  </si>
  <si>
    <t>ramadhanirafli41@gmail.com</t>
  </si>
  <si>
    <t>3578120301080520</t>
  </si>
  <si>
    <t>3578122211010002</t>
  </si>
  <si>
    <t>058810129534</t>
  </si>
  <si>
    <t>TELUK NIBUNG TIMUR 6/2-B RT006 RW008</t>
  </si>
  <si>
    <t>TANJUNG PERAK</t>
  </si>
  <si>
    <t>AKTIF MEI</t>
  </si>
  <si>
    <t>28 September 2026</t>
  </si>
  <si>
    <t>VIVI VIDYA PARAMITHA</t>
  </si>
  <si>
    <t>25-120025</t>
  </si>
  <si>
    <t>087870880860</t>
  </si>
  <si>
    <t>vivividyaparamita@gmail.com</t>
  </si>
  <si>
    <t>3578270101081709</t>
  </si>
  <si>
    <t>3578275306000001</t>
  </si>
  <si>
    <t>058810129419</t>
  </si>
  <si>
    <t>13 Juni 2000</t>
  </si>
  <si>
    <t>SIMO MAGEREJO 15/21 RT005 RW001</t>
  </si>
  <si>
    <t>RESIGN 25 APRIL 2026</t>
  </si>
  <si>
    <t>FERIN ECHA VALENTINA</t>
  </si>
  <si>
    <t>26-010025</t>
  </si>
  <si>
    <t>082233116607</t>
  </si>
  <si>
    <t>ferinechavalentina@gmail.com</t>
  </si>
  <si>
    <t>3507162611070003</t>
  </si>
  <si>
    <t>3507166901010002</t>
  </si>
  <si>
    <t>29 Januari 2001</t>
  </si>
  <si>
    <t>JL. PANGGUNG RT024 RW002</t>
  </si>
  <si>
    <t>TUMPANG</t>
  </si>
  <si>
    <t>KIDAL</t>
  </si>
  <si>
    <t>ARIS SETIAWAN (SOPIR)</t>
  </si>
  <si>
    <t>RESIGN 12 JANUARI 2026</t>
  </si>
  <si>
    <t>ERIK ARIYANTO</t>
  </si>
  <si>
    <t>26-010026</t>
  </si>
  <si>
    <t>082257420058</t>
  </si>
  <si>
    <t>ms.erikariyanto@gmail.com</t>
  </si>
  <si>
    <t>3578150301087039</t>
  </si>
  <si>
    <t>3578152209980003</t>
  </si>
  <si>
    <t>058810129799</t>
  </si>
  <si>
    <t>TAMBAK ASRI BUNGA RAMPAI 55-A</t>
  </si>
  <si>
    <t>RESIGN 2 APRIL 2026</t>
  </si>
  <si>
    <t>ADITYA PERDANA PUTRA</t>
  </si>
  <si>
    <t>26-010027</t>
  </si>
  <si>
    <t>08132501615</t>
  </si>
  <si>
    <t>aadityaperdanapp@gmail.com</t>
  </si>
  <si>
    <t>3578030101086245</t>
  </si>
  <si>
    <t>3578032702010002</t>
  </si>
  <si>
    <t>058810129815</t>
  </si>
  <si>
    <t>27 Februari 2001</t>
  </si>
  <si>
    <t>KEDUNG ASEM, II/6</t>
  </si>
  <si>
    <t>KEDUNG BARUK</t>
  </si>
  <si>
    <t>AURELLIYA DESITA ELIYASSARI</t>
  </si>
  <si>
    <t>26-010033</t>
  </si>
  <si>
    <t>085706636569</t>
  </si>
  <si>
    <t>aurelliyadesita25@gmail.com</t>
  </si>
  <si>
    <t>3516143005230005</t>
  </si>
  <si>
    <t>3517126512990005</t>
  </si>
  <si>
    <t>058810129732</t>
  </si>
  <si>
    <t>25 Desember 1999</t>
  </si>
  <si>
    <t>DJAWAKARYA RESIDENCE BLOK. M-36</t>
  </si>
  <si>
    <t>GEDEG</t>
  </si>
  <si>
    <t>BANDUNG</t>
  </si>
  <si>
    <t>DIDIK SUGI HARIYANTO (SOPIR)</t>
  </si>
  <si>
    <t>26-010034</t>
  </si>
  <si>
    <t>085204858847</t>
  </si>
  <si>
    <t>ydidik566@gmail.com</t>
  </si>
  <si>
    <t>3525081008090002</t>
  </si>
  <si>
    <t>3516081911810002</t>
  </si>
  <si>
    <t>DUSUN MIRU RT001 RW003</t>
  </si>
  <si>
    <t>KEDAMEAN</t>
  </si>
  <si>
    <t>BANYUURIP</t>
  </si>
  <si>
    <t>ANGGA DWI SUSETYO</t>
  </si>
  <si>
    <t>26-010035</t>
  </si>
  <si>
    <t>087855215242</t>
  </si>
  <si>
    <t>anggasusetyo61@gmail.com</t>
  </si>
  <si>
    <t>3578060501081242</t>
  </si>
  <si>
    <t>3578172105970004</t>
  </si>
  <si>
    <t>058810129963</t>
  </si>
  <si>
    <t>JL. PETEMON 2/50 RT03 RW09</t>
  </si>
  <si>
    <t>PETEMON</t>
  </si>
  <si>
    <t>DESI RAHMAWATI</t>
  </si>
  <si>
    <t>26-010036</t>
  </si>
  <si>
    <t>085230472089</t>
  </si>
  <si>
    <t>desirahma373@gmail.com</t>
  </si>
  <si>
    <t>3578190201081748</t>
  </si>
  <si>
    <t>3578196412990004</t>
  </si>
  <si>
    <t>058810130128</t>
  </si>
  <si>
    <t>24 Desember 1999</t>
  </si>
  <si>
    <t>BANDAREJO GG CANDI-3/26 RT11 RW05</t>
  </si>
  <si>
    <t>SEMEMI</t>
  </si>
  <si>
    <t>SURATMAN (SOPIR)</t>
  </si>
  <si>
    <t>26-010037</t>
  </si>
  <si>
    <t>08384893762</t>
  </si>
  <si>
    <t>putri13018@gmail.com</t>
  </si>
  <si>
    <t>3522101805100032</t>
  </si>
  <si>
    <t>3522100610830003</t>
  </si>
  <si>
    <t>06 Oktober 1983</t>
  </si>
  <si>
    <t>DUSUN KARANGDAYU RT001 RW001</t>
  </si>
  <si>
    <t>BAURENO</t>
  </si>
  <si>
    <t>KARANGDAYU</t>
  </si>
  <si>
    <t>WANDA SEPTIASMANING AYU</t>
  </si>
  <si>
    <t>26-010038</t>
  </si>
  <si>
    <t>085746182855</t>
  </si>
  <si>
    <t>wandaayu157@gmail.com</t>
  </si>
  <si>
    <t>3578111901110018</t>
  </si>
  <si>
    <t>3578116609970001</t>
  </si>
  <si>
    <t>058810130540</t>
  </si>
  <si>
    <t>SIMOKERTO 2/61 RT001 RW004</t>
  </si>
  <si>
    <t>BATAL</t>
  </si>
  <si>
    <t>VANIA APRILIA RIYADI</t>
  </si>
  <si>
    <t>26-010039</t>
  </si>
  <si>
    <t>082264235522</t>
  </si>
  <si>
    <t>vaniapriliar12@gmail.com</t>
  </si>
  <si>
    <t>3578101108220007</t>
  </si>
  <si>
    <t>3578175204950005</t>
  </si>
  <si>
    <t>3191 0103 1460 538</t>
  </si>
  <si>
    <t>RANGKAH BUNTU 1/45 RT006 RW006</t>
  </si>
  <si>
    <t>KARNO (SOPIR)</t>
  </si>
  <si>
    <t>26-010040</t>
  </si>
  <si>
    <t>3519053110110005</t>
  </si>
  <si>
    <t>3519050809880001</t>
  </si>
  <si>
    <t>DKH KLINGGAN RT045 RW004</t>
  </si>
  <si>
    <t>PACALAN</t>
  </si>
  <si>
    <t>AKTIF APRIL</t>
  </si>
  <si>
    <t xml:space="preserve">BPJS KES DI HOLD DULU </t>
  </si>
  <si>
    <t>SULTHAN RAKA PUTRA</t>
  </si>
  <si>
    <t>26-010041</t>
  </si>
  <si>
    <t>081216254689</t>
  </si>
  <si>
    <t>sulthanraka88@gmail.com</t>
  </si>
  <si>
    <t>3578300101083598</t>
  </si>
  <si>
    <t>3578303001990001</t>
  </si>
  <si>
    <t>PONDOK BENOWO INDAH BLOK YY-24</t>
  </si>
  <si>
    <t>MUSTHOFA AHMAD</t>
  </si>
  <si>
    <t>26-020044</t>
  </si>
  <si>
    <t>SATPAM PESONA</t>
  </si>
  <si>
    <t>3578282601120030</t>
  </si>
  <si>
    <t>3578282008770001</t>
  </si>
  <si>
    <t>Jl Raya Tambaklangon 56 RT001 RW005</t>
  </si>
  <si>
    <t>TAMBAK SARIOSO</t>
  </si>
  <si>
    <t>M SAIKHUL AMIN</t>
  </si>
  <si>
    <t>26-020041</t>
  </si>
  <si>
    <t>0895420746040</t>
  </si>
  <si>
    <t>saikhulamin389@gmail.com</t>
  </si>
  <si>
    <t>3575022612190002</t>
  </si>
  <si>
    <t>3575031207970001</t>
  </si>
  <si>
    <t>058810130474</t>
  </si>
  <si>
    <t>JL. KEBON JAYA</t>
  </si>
  <si>
    <t>KOTA PASURUAN</t>
  </si>
  <si>
    <t>PURWOREJO</t>
  </si>
  <si>
    <t>KEBONAGUNG</t>
  </si>
  <si>
    <t>FERNANDA HANUN SARASIWI</t>
  </si>
  <si>
    <t>26-020042</t>
  </si>
  <si>
    <t>0881027040098</t>
  </si>
  <si>
    <t>hanun170299@gmail.com</t>
  </si>
  <si>
    <t>3578151201220012</t>
  </si>
  <si>
    <t>3518115702990005</t>
  </si>
  <si>
    <t>SEDAYU 3/2 RT003 RW003</t>
  </si>
  <si>
    <t>MUH RIDWAN</t>
  </si>
  <si>
    <t>26-020043</t>
  </si>
  <si>
    <t>088704273991</t>
  </si>
  <si>
    <t>fiilukman20@gmail.com</t>
  </si>
  <si>
    <t>7371091911240012</t>
  </si>
  <si>
    <t>7371071901930006</t>
  </si>
  <si>
    <t>JL. U SUMOHARJO LR 4 RT002 RW002</t>
  </si>
  <si>
    <t>KOTA MAKASSAR</t>
  </si>
  <si>
    <t>PANAKKUKANG</t>
  </si>
  <si>
    <t>KARUWISI UTARA</t>
  </si>
  <si>
    <t>HAIDAR FAKHRI</t>
  </si>
  <si>
    <t>082228544827</t>
  </si>
  <si>
    <t>haidar.fakhri.16@gmail.com</t>
  </si>
  <si>
    <t>3578250201080436</t>
  </si>
  <si>
    <t>3578252203000001</t>
  </si>
  <si>
    <t>DIV</t>
  </si>
  <si>
    <t>PERUM IKIP B-73 GUNUNGANYAR RT002 RW006</t>
  </si>
  <si>
    <t>APRILIA NUR RACHMAWATI</t>
  </si>
  <si>
    <t>26-030044</t>
  </si>
  <si>
    <t>082140514224</t>
  </si>
  <si>
    <t>aprilrachrw@gmail.com</t>
  </si>
  <si>
    <t>3578130301086693</t>
  </si>
  <si>
    <t>3578135604970006</t>
  </si>
  <si>
    <t>DUPAK V/64 RT010 RW006</t>
  </si>
  <si>
    <t>MARISA YUMAR AVIANTI</t>
  </si>
  <si>
    <t>26-030045</t>
  </si>
  <si>
    <t>082345637033</t>
  </si>
  <si>
    <t>ichamarisa2405@gmail.com</t>
  </si>
  <si>
    <t>3578041408180003</t>
  </si>
  <si>
    <t>3578046405940003</t>
  </si>
  <si>
    <t>NGAGELREJO 1-B/11 RT010 RW002</t>
  </si>
  <si>
    <t>NGAGELREJO</t>
  </si>
  <si>
    <t>GAIZKA FADHIIL DANOE PRATAMA</t>
  </si>
  <si>
    <t>26-030046</t>
  </si>
  <si>
    <t>089612162178</t>
  </si>
  <si>
    <t>fadhilgaizka123@gmail.com</t>
  </si>
  <si>
    <t>3515080705100014</t>
  </si>
  <si>
    <t>3515080911010014</t>
  </si>
  <si>
    <t>BELUM MENIKAH</t>
  </si>
  <si>
    <t>P.BLURU PERMAI CH-18 RT005 RW011</t>
  </si>
  <si>
    <t>BLURU KIDUL</t>
  </si>
  <si>
    <t>+GAJI APRIL</t>
  </si>
  <si>
    <t>AMALIA DAMAYANTI</t>
  </si>
  <si>
    <t>26-030047</t>
  </si>
  <si>
    <t>62 823-3030-3738</t>
  </si>
  <si>
    <t>amaliadamayanti94@gmail.com</t>
  </si>
  <si>
    <t>3578120412170005</t>
  </si>
  <si>
    <t>3578144208940001</t>
  </si>
  <si>
    <t>MENIKAH</t>
  </si>
  <si>
    <t>TAMBAK GRINSING BARU 3/5/11 RT012 RW013</t>
  </si>
  <si>
    <t>AJENG GUSTI PUTRI CEMPAKA SARI</t>
  </si>
  <si>
    <t>26-030048</t>
  </si>
  <si>
    <t>089687899459</t>
  </si>
  <si>
    <t>putricempaka2809@gmail.com</t>
  </si>
  <si>
    <t>351531902250014</t>
  </si>
  <si>
    <t>5303052809030001</t>
  </si>
  <si>
    <t>KRAMAT JEGU DUSUN. JEGU RT001 RW004</t>
  </si>
  <si>
    <t>TAMAN</t>
  </si>
  <si>
    <t>KRAMATJEGU</t>
  </si>
  <si>
    <t>ERICK FANDIKA PRATAMA</t>
  </si>
  <si>
    <t>26-040049</t>
  </si>
  <si>
    <t>08131003090</t>
  </si>
  <si>
    <t>e.fandika.p@gmail.com</t>
  </si>
  <si>
    <t>3578190509220007</t>
  </si>
  <si>
    <t>3578132704940003</t>
  </si>
  <si>
    <t>BANDAREJO-3 CANDI 4/15 RT011 RW005</t>
  </si>
  <si>
    <t>RESIGN 13 APRIL 2026</t>
  </si>
  <si>
    <t>GAJI TIDAK DIBERIKAN</t>
  </si>
  <si>
    <t>M. ALI KARSIDI</t>
  </si>
  <si>
    <t>26-040050</t>
  </si>
  <si>
    <t>0882005144676</t>
  </si>
  <si>
    <t>3523121603062829</t>
  </si>
  <si>
    <t>3523121506780006</t>
  </si>
  <si>
    <t>GROBOGAN</t>
  </si>
  <si>
    <t>DSN BOGANG RT003 RW005</t>
  </si>
  <si>
    <t>JENU</t>
  </si>
  <si>
    <t>BEJI</t>
  </si>
  <si>
    <t>YOHANES REGHONG</t>
  </si>
  <si>
    <t>26-040051</t>
  </si>
  <si>
    <t>08136784072</t>
  </si>
  <si>
    <t>2172041810190004</t>
  </si>
  <si>
    <t>5309090112940001</t>
  </si>
  <si>
    <t>TANALAIN</t>
  </si>
  <si>
    <t>JL. AISYAH SULAIMAN GG SEI SERAI RT005 RW011</t>
  </si>
  <si>
    <t>KEPULAUAN RIAU</t>
  </si>
  <si>
    <t>KOTA TANJUNG PINANG</t>
  </si>
  <si>
    <t>BUKIT BESTARI</t>
  </si>
  <si>
    <t>SEI JANG</t>
  </si>
  <si>
    <t>GESILIA ANGELIN SABAN</t>
  </si>
  <si>
    <t>26-040052</t>
  </si>
  <si>
    <t>081244367798</t>
  </si>
  <si>
    <t>gesiliaangelin843@gmail.com</t>
  </si>
  <si>
    <t>7371020512022297</t>
  </si>
  <si>
    <t>7371027009940003</t>
  </si>
  <si>
    <t>JL. KANCIL III NO.5 RT001 RW001</t>
  </si>
  <si>
    <t>MAMAJANG</t>
  </si>
  <si>
    <t>MAMAJANG LUAR</t>
  </si>
  <si>
    <t>IRMA WATI</t>
  </si>
  <si>
    <t>26-040053</t>
  </si>
  <si>
    <t>0895395051272</t>
  </si>
  <si>
    <t>irmaw3181@gmail.com</t>
  </si>
  <si>
    <t>3524132208109083</t>
  </si>
  <si>
    <t>3524136311000001</t>
  </si>
  <si>
    <t>PANDEGILING 1/127 RT001 RW007</t>
  </si>
  <si>
    <t>JAMBON</t>
  </si>
  <si>
    <t>BLEMBEM</t>
  </si>
  <si>
    <t>DEVI CHOIRUN NISA</t>
  </si>
  <si>
    <t>26-040054</t>
  </si>
  <si>
    <t>085337730445</t>
  </si>
  <si>
    <t>devinisa21@gmail.com</t>
  </si>
  <si>
    <t>3578056101970003</t>
  </si>
  <si>
    <t>DUKUH RT004 RW008</t>
  </si>
  <si>
    <t>hijau</t>
  </si>
  <si>
    <t>mks</t>
  </si>
  <si>
    <t>kuning</t>
  </si>
  <si>
    <t>blm masuk bpjs</t>
  </si>
  <si>
    <t>THR NATAL</t>
  </si>
  <si>
    <t>biru</t>
  </si>
  <si>
    <t>resign</t>
  </si>
  <si>
    <t>merah</t>
  </si>
  <si>
    <t>direksi</t>
  </si>
  <si>
    <t>Database Karyawan Terbaru</t>
  </si>
  <si>
    <t xml:space="preserve">                                                                                         </t>
  </si>
  <si>
    <t>department_id/id</t>
  </si>
  <si>
    <t>job_id/id</t>
  </si>
  <si>
    <t>Golongan Darah</t>
  </si>
  <si>
    <t>Nomor BPJS Ketenagakerjaan</t>
  </si>
  <si>
    <t>Column1</t>
  </si>
  <si>
    <t>Tanggal Mulai Kontrak</t>
  </si>
  <si>
    <t>Tanggal Berakhir Kontrak</t>
  </si>
  <si>
    <t>3578104405610000</t>
  </si>
  <si>
    <t>15 Mei 2025</t>
  </si>
  <si>
    <t>02 Agustus 2025</t>
  </si>
  <si>
    <t>68 M</t>
  </si>
  <si>
    <t>18M</t>
  </si>
  <si>
    <t>PEGAWAI TETAP</t>
  </si>
  <si>
    <t>28 NOVEMBER 2025</t>
  </si>
  <si>
    <t>02 Juli 2025</t>
  </si>
  <si>
    <t>5M</t>
  </si>
  <si>
    <t>BARNABAS MBABHO</t>
  </si>
  <si>
    <t>AKTIF DESEMBER</t>
  </si>
  <si>
    <t>24-040010</t>
  </si>
  <si>
    <t>SUDAH EMAIL RO</t>
  </si>
  <si>
    <t>bpjs tk aktif november</t>
  </si>
  <si>
    <t>bpjs kes aktif desember</t>
  </si>
  <si>
    <t>Nama</t>
  </si>
  <si>
    <t>10 November 2023</t>
  </si>
  <si>
    <t>no</t>
  </si>
  <si>
    <t>BPJS Ketenagakerjaan</t>
  </si>
  <si>
    <t>BPJS Pensiun</t>
  </si>
  <si>
    <t>BPJS Kesehatan</t>
  </si>
  <si>
    <t>LOC KERJA</t>
  </si>
  <si>
    <t>FENDI SETIAWAN</t>
  </si>
  <si>
    <t>17-030027</t>
  </si>
  <si>
    <t>085784701768</t>
  </si>
  <si>
    <t>3519112502080124</t>
  </si>
  <si>
    <t>3519110808010003</t>
  </si>
  <si>
    <t>8 Februari 1998</t>
  </si>
  <si>
    <t>JL TRUNOJOYO RT 13/RW 14</t>
  </si>
  <si>
    <t>Ikut</t>
  </si>
  <si>
    <t>0000738884507</t>
  </si>
  <si>
    <t>17 JULI 2023</t>
  </si>
  <si>
    <t>CHAFIDUDDIN</t>
  </si>
  <si>
    <t>23-010003</t>
  </si>
  <si>
    <t>082228658238</t>
  </si>
  <si>
    <t>d.chafidz@gmail.com</t>
  </si>
  <si>
    <t>3514180501220014</t>
  </si>
  <si>
    <t>3514183005990003</t>
  </si>
  <si>
    <t>30 Mei 1999</t>
  </si>
  <si>
    <t>DUSUN BRAMBANG BARAT RT 1/RW 1</t>
  </si>
  <si>
    <t>JL PANCALA V BLOK D14 NO 11 PERUMNAS KRATON HARMONI. DS BENDUNGAN KEC. KRATON KAB PASURUAN</t>
  </si>
  <si>
    <t>GONDANGWETAN</t>
  </si>
  <si>
    <t>BRAMBANG</t>
  </si>
  <si>
    <t>0002416581999</t>
  </si>
  <si>
    <t>07 AGUSTUS 2023</t>
  </si>
  <si>
    <t>LUCKY MAHARANI SAFITRI</t>
  </si>
  <si>
    <t>23-060008</t>
  </si>
  <si>
    <t>083833355688</t>
  </si>
  <si>
    <t>lm.safitri13@gmail.com</t>
  </si>
  <si>
    <t>3510221411190003</t>
  </si>
  <si>
    <t>3510225306960002</t>
  </si>
  <si>
    <t>S2</t>
  </si>
  <si>
    <t>13 Juni 1996</t>
  </si>
  <si>
    <t>BANYUWANGI</t>
  </si>
  <si>
    <t>KRAJAN RT 05/ RW 01</t>
  </si>
  <si>
    <t>JL IKAN TONGKOL NO. 22</t>
  </si>
  <si>
    <t>SILIRAGUNG</t>
  </si>
  <si>
    <t>BARUREJO</t>
  </si>
  <si>
    <t>27 SEPTEMBER 2023</t>
  </si>
  <si>
    <t>21 OKTOBER 2023</t>
  </si>
  <si>
    <t>22-110009</t>
  </si>
  <si>
    <t>30 OKTOBER 2023</t>
  </si>
  <si>
    <t>CABANG</t>
  </si>
  <si>
    <t>19-090051</t>
  </si>
  <si>
    <t>STAFF SICEPAT</t>
  </si>
  <si>
    <t>28 NOVEMBER 2023</t>
  </si>
  <si>
    <t>20 JANUARI2024</t>
  </si>
  <si>
    <t>19 JANUARI 2024</t>
  </si>
  <si>
    <t>TAMBAK WEDI JAYA 3/11</t>
  </si>
  <si>
    <t>1 MARET 2024</t>
  </si>
  <si>
    <t>23-080007</t>
  </si>
  <si>
    <t>25 MARET 2024</t>
  </si>
  <si>
    <t>MOCH AGUS SETYONO</t>
  </si>
  <si>
    <t>06 Juli 2024</t>
  </si>
  <si>
    <t>KALIANAK</t>
  </si>
  <si>
    <t>EXPRESS</t>
  </si>
  <si>
    <t>22-090003</t>
  </si>
  <si>
    <t>STAF CS. DOC</t>
  </si>
  <si>
    <t>28 Juli 2024</t>
  </si>
  <si>
    <t>03 Agustus 2024</t>
  </si>
  <si>
    <t>24-010006</t>
  </si>
  <si>
    <t>28 Agustus 2024</t>
  </si>
  <si>
    <t>24099309940</t>
  </si>
  <si>
    <t>10 September 2024</t>
  </si>
  <si>
    <t>CRUSCHITA LEVYANA SYLVY</t>
  </si>
  <si>
    <t>14 Desember 2024</t>
  </si>
  <si>
    <t>21 DESEMBER 2024</t>
  </si>
  <si>
    <t>31 Januari 2025</t>
  </si>
  <si>
    <t>18 Februari 2024</t>
  </si>
  <si>
    <t>8 Februari 2025</t>
  </si>
  <si>
    <t>7 mei 2025</t>
  </si>
  <si>
    <t>4 Juni 2024</t>
  </si>
  <si>
    <t>HARRIS ALVIAND</t>
  </si>
  <si>
    <t>25 Mei 1996</t>
  </si>
  <si>
    <t>10 Juni 2025</t>
  </si>
  <si>
    <t>26 Juni 2025</t>
  </si>
  <si>
    <t>07 Agustus 2025</t>
  </si>
  <si>
    <t>15 Agustus 2025</t>
  </si>
  <si>
    <t>25 Agustus 2025</t>
  </si>
  <si>
    <t>30 Agustus 2025</t>
  </si>
  <si>
    <t xml:space="preserve">BURUH </t>
  </si>
  <si>
    <r>
      <rPr>
        <rFont val="Calibri"/>
        <color rgb="FF000000"/>
        <sz val="11.0"/>
        <u/>
      </rPr>
      <t>anandafh1107</t>
    </r>
    <r>
      <rPr>
        <rFont val="Calibri"/>
        <color rgb="FF0563C1"/>
        <sz val="11.0"/>
        <u/>
      </rPr>
      <t>@gmail.com</t>
    </r>
  </si>
  <si>
    <t>0 Tahun 2 Bulan</t>
  </si>
  <si>
    <t>0 Tahun 1 Bulan</t>
  </si>
  <si>
    <t>2 Tahun 5 Bulan</t>
  </si>
  <si>
    <t>0 Tahun 4 Bulan</t>
  </si>
  <si>
    <t>0 Tahun 3 Bulan</t>
  </si>
  <si>
    <t>NAMA PT</t>
  </si>
  <si>
    <t>OFF</t>
  </si>
  <si>
    <t>NURJANNIH</t>
  </si>
  <si>
    <t>MKS (OUTSC)</t>
  </si>
  <si>
    <t>OUTSRC</t>
  </si>
  <si>
    <t>MOCH. AIDIL FITRAH AL-ZAWALI(SOPIR)</t>
  </si>
  <si>
    <t>M.RIZAL</t>
  </si>
  <si>
    <t>LUKMANUL KHAKIM</t>
  </si>
  <si>
    <t>HARYO SAMSI</t>
  </si>
  <si>
    <t xml:space="preserve">PUTRI RATNASARI YOGAVIANI </t>
  </si>
  <si>
    <t>KARIONO ORBA SUSILO</t>
  </si>
  <si>
    <t>lantai 2 = 30</t>
  </si>
  <si>
    <t>(1)nurul cuti</t>
  </si>
  <si>
    <t>lantai 3 = 16</t>
  </si>
  <si>
    <t>kebersihan = 3</t>
  </si>
  <si>
    <t>lcl = 7 +3+2</t>
  </si>
  <si>
    <t>bos = 4</t>
  </si>
  <si>
    <t>doni</t>
  </si>
  <si>
    <t>p totok</t>
  </si>
  <si>
    <t>SUMARIJONO OFF</t>
  </si>
  <si>
    <t>very</t>
  </si>
  <si>
    <t>TOTAL</t>
  </si>
  <si>
    <t>SBY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</si>
</sst>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D/M/YYYY"/>
    <numFmt numFmtId="166" formatCode="[$-13809]dd\ mmmm\ yyyy"/>
    <numFmt numFmtId="167" formatCode="m/d/yyyy h:mm:ss"/>
    <numFmt numFmtId="168" formatCode="0;[Red]0"/>
    <numFmt numFmtId="169" formatCode="[$-13809]dd/mm/yyyy"/>
    <numFmt numFmtId="170" formatCode="d mmmm yyyy"/>
    <numFmt numFmtId="171" formatCode="dd mmmm yyyy"/>
    <numFmt numFmtId="172" formatCode="d mmmmyyyy"/>
    <numFmt numFmtId="173" formatCode="d/m/yy"/>
  </numFmts>
  <fonts count="68">
    <font>
      <sz val="11.0"/>
      <color theme="1"/>
      <name val="Calibri"/>
      <scheme val="minor"/>
    </font>
    <font>
      <sz val="15.0"/>
      <color rgb="FF000000"/>
      <name val="Calibri"/>
    </font>
    <font>
      <color rgb="FF00B0F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color rgb="FF000000"/>
      <name val="Calibri"/>
      <scheme val="minor"/>
    </font>
    <font>
      <color rgb="FF000000"/>
      <name val="Calibri"/>
    </font>
    <font>
      <sz val="11.0"/>
      <color rgb="FF0C0C0C"/>
      <name val="Calibri"/>
    </font>
    <font>
      <sz val="11.0"/>
      <color rgb="FF0563C1"/>
      <name val="Calibri"/>
    </font>
    <font>
      <sz val="11.0"/>
      <color theme="1"/>
      <name val="Times New Roman"/>
    </font>
    <font>
      <color theme="1"/>
      <name val="Calibri"/>
      <scheme val="minor"/>
    </font>
    <font>
      <sz val="11.0"/>
      <color rgb="FF00B0F0"/>
      <name val="Calibri"/>
    </font>
    <font>
      <u/>
      <sz val="11.0"/>
      <color rgb="FF000000"/>
      <name val="Calibri"/>
    </font>
    <font>
      <sz val="11.0"/>
      <color rgb="FF000000"/>
      <name val="Times New Roman"/>
    </font>
    <font>
      <u/>
      <sz val="11.0"/>
      <color theme="10"/>
      <name val="Calibri"/>
    </font>
    <font>
      <sz val="11.0"/>
      <color rgb="FF2F549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sz val="11.0"/>
      <color rgb="FF1F1F1F"/>
      <name val="Calibri"/>
    </font>
    <font>
      <u/>
      <sz val="11.0"/>
      <color rgb="FF0070C0"/>
      <name val="Calibri"/>
    </font>
    <font>
      <sz val="11.0"/>
      <color rgb="FF171616"/>
      <name val="Calibri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u/>
      <sz val="11.0"/>
      <color theme="10"/>
      <name val="Calibri"/>
    </font>
    <font>
      <u/>
      <sz val="11.0"/>
      <color rgb="FF000000"/>
      <name val="Calibri"/>
    </font>
    <font>
      <u/>
      <sz val="11.0"/>
      <color theme="10"/>
      <name val="Calibri"/>
    </font>
    <font>
      <sz val="12.0"/>
      <color theme="1"/>
      <name val="Calibri"/>
    </font>
    <font>
      <sz val="11.0"/>
      <color theme="10"/>
      <name val="Calibri"/>
    </font>
    <font>
      <sz val="10.0"/>
      <color rgb="FF00B0F0"/>
      <name val="Arial"/>
    </font>
    <font>
      <u/>
      <sz val="11.0"/>
      <color rgb="FF0563C1"/>
      <name val="Calibri"/>
    </font>
    <font>
      <sz val="12.0"/>
      <color rgb="FF000000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sz val="11.0"/>
      <color rgb="FF1F3864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color rgb="FF5E5E5E"/>
      <name val="&quot;Google Sans&quot;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FF0000"/>
      <name val="Calibri"/>
    </font>
    <font>
      <color rgb="FFFF0000"/>
      <name val="Calibri"/>
      <scheme val="minor"/>
    </font>
    <font>
      <u/>
      <color rgb="FF0000FF"/>
    </font>
    <font>
      <b/>
      <sz val="11.0"/>
      <color theme="1"/>
      <name val="Calibri"/>
    </font>
    <font>
      <b/>
      <sz val="11.0"/>
      <color rgb="FFFF0000"/>
      <name val="Calibri"/>
    </font>
    <font>
      <u/>
      <sz val="11.0"/>
      <color theme="1"/>
      <name val="Calibri"/>
    </font>
    <font>
      <sz val="10.0"/>
      <color rgb="FFFF0000"/>
      <name val="Arial"/>
    </font>
    <font>
      <color rgb="FF0000FF"/>
      <name val="Calibri"/>
      <scheme val="minor"/>
    </font>
    <font>
      <sz val="11.0"/>
      <color rgb="FF0000FF"/>
      <name val="Calibri"/>
    </font>
    <font>
      <u/>
      <sz val="11.0"/>
      <color rgb="FF0070C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FF0000"/>
      <name val="Calibri"/>
    </font>
    <font>
      <u/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4B083"/>
        <bgColor rgb="FFF4B083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0563C1"/>
        <bgColor rgb="FF0563C1"/>
      </patternFill>
    </fill>
    <fill>
      <patternFill patternType="solid">
        <fgColor rgb="FFC00000"/>
        <bgColor rgb="FFC0000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6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0" fillId="0" fontId="2" numFmtId="0" xfId="0" applyFont="1"/>
    <xf borderId="0" fillId="3" fontId="3" numFmtId="0" xfId="0" applyAlignment="1" applyFill="1" applyFont="1">
      <alignment readingOrder="0" shrinkToFit="0" vertical="bottom" wrapText="0"/>
    </xf>
    <xf borderId="1" fillId="3" fontId="4" numFmtId="0" xfId="0" applyBorder="1" applyFont="1"/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2" fillId="3" fontId="4" numFmtId="0" xfId="0" applyBorder="1" applyFont="1"/>
    <xf borderId="0" fillId="3" fontId="4" numFmtId="0" xfId="0" applyFont="1"/>
    <xf borderId="0" fillId="3" fontId="4" numFmtId="0" xfId="0" applyAlignment="1" applyFont="1">
      <alignment horizontal="center"/>
    </xf>
    <xf borderId="3" fillId="3" fontId="4" numFmtId="0" xfId="0" applyBorder="1" applyFont="1"/>
    <xf borderId="1" fillId="3" fontId="5" numFmtId="0" xfId="0" applyBorder="1" applyFont="1"/>
    <xf borderId="1" fillId="3" fontId="4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/>
    </xf>
    <xf borderId="0" fillId="4" fontId="6" numFmtId="0" xfId="0" applyAlignment="1" applyFill="1" applyFont="1">
      <alignment horizontal="right" readingOrder="0"/>
    </xf>
    <xf borderId="1" fillId="5" fontId="5" numFmtId="0" xfId="0" applyBorder="1" applyFill="1" applyFont="1"/>
    <xf borderId="0" fillId="5" fontId="3" numFmtId="0" xfId="0" applyAlignment="1" applyFont="1">
      <alignment readingOrder="0" shrinkToFit="0" vertical="bottom" wrapText="0"/>
    </xf>
    <xf borderId="1" fillId="5" fontId="4" numFmtId="0" xfId="0" applyBorder="1" applyFont="1"/>
    <xf borderId="2" fillId="5" fontId="4" numFmtId="0" xfId="0" applyBorder="1" applyFont="1"/>
    <xf quotePrefix="1" borderId="0" fillId="5" fontId="7" numFmtId="0" xfId="0" applyAlignment="1" applyFont="1">
      <alignment horizontal="left" readingOrder="0" vertical="top"/>
    </xf>
    <xf borderId="3" fillId="5" fontId="4" numFmtId="0" xfId="0" applyBorder="1" applyFont="1"/>
    <xf borderId="1" fillId="5" fontId="4" numFmtId="0" xfId="0" applyAlignment="1" applyBorder="1" applyFont="1">
      <alignment readingOrder="0"/>
    </xf>
    <xf borderId="1" fillId="4" fontId="4" numFmtId="0" xfId="0" applyBorder="1" applyFont="1"/>
    <xf quotePrefix="1" borderId="1" fillId="5" fontId="4" numFmtId="0" xfId="0" applyBorder="1" applyFont="1"/>
    <xf quotePrefix="1" borderId="2" fillId="5" fontId="4" numFmtId="0" xfId="0" applyBorder="1" applyFont="1"/>
    <xf borderId="0" fillId="5" fontId="4" numFmtId="0" xfId="0" applyFont="1"/>
    <xf borderId="0" fillId="5" fontId="4" numFmtId="0" xfId="0" applyAlignment="1" applyFont="1">
      <alignment horizontal="center"/>
    </xf>
    <xf borderId="0" fillId="5" fontId="7" numFmtId="0" xfId="0" applyAlignment="1" applyFont="1">
      <alignment readingOrder="0" vertical="bottom"/>
    </xf>
    <xf borderId="1" fillId="5" fontId="4" numFmtId="0" xfId="0" applyAlignment="1" applyBorder="1" applyFont="1">
      <alignment horizontal="left"/>
    </xf>
    <xf quotePrefix="1" borderId="1" fillId="5" fontId="4" numFmtId="0" xfId="0" applyAlignment="1" applyBorder="1" applyFont="1">
      <alignment readingOrder="0"/>
    </xf>
    <xf borderId="1" fillId="5" fontId="4" numFmtId="164" xfId="0" applyAlignment="1" applyBorder="1" applyFont="1" applyNumberFormat="1">
      <alignment readingOrder="0"/>
    </xf>
    <xf quotePrefix="1" borderId="2" fillId="5" fontId="4" numFmtId="0" xfId="0" applyAlignment="1" applyBorder="1" applyFont="1">
      <alignment readingOrder="0"/>
    </xf>
    <xf quotePrefix="1" borderId="1" fillId="5" fontId="4" numFmtId="0" xfId="0" applyAlignment="1" applyBorder="1" applyFont="1">
      <alignment horizontal="left"/>
    </xf>
    <xf borderId="1" fillId="4" fontId="4" numFmtId="0" xfId="0" applyAlignment="1" applyBorder="1" applyFont="1">
      <alignment readingOrder="0"/>
    </xf>
    <xf borderId="1" fillId="5" fontId="5" numFmtId="0" xfId="0" applyAlignment="1" applyBorder="1" applyFont="1">
      <alignment horizontal="left"/>
    </xf>
    <xf borderId="0" fillId="2" fontId="6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quotePrefix="1" borderId="0" fillId="0" fontId="4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5" fontId="4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Font="1"/>
    <xf quotePrefix="1" borderId="0" fillId="0" fontId="4" numFmtId="1" xfId="0" applyAlignment="1" applyFont="1" applyNumberFormat="1">
      <alignment horizontal="left" vertic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left"/>
    </xf>
    <xf borderId="0" fillId="0" fontId="4" numFmtId="165" xfId="0" applyAlignment="1" applyFont="1" applyNumberFormat="1">
      <alignment horizontal="left"/>
    </xf>
    <xf borderId="0" fillId="3" fontId="4" numFmtId="0" xfId="0" applyAlignment="1" applyFont="1">
      <alignment horizontal="left"/>
    </xf>
    <xf borderId="0" fillId="0" fontId="4" numFmtId="49" xfId="0" applyFont="1" applyNumberFormat="1"/>
    <xf borderId="0" fillId="0" fontId="4" numFmtId="0" xfId="0" applyAlignment="1" applyFont="1">
      <alignment horizontal="left" readingOrder="0"/>
    </xf>
    <xf borderId="0" fillId="0" fontId="10" numFmtId="166" xfId="0" applyAlignment="1" applyFont="1" applyNumberFormat="1">
      <alignment horizontal="left" vertical="center"/>
    </xf>
    <xf borderId="0" fillId="0" fontId="4" numFmtId="167" xfId="0" applyAlignment="1" applyFont="1" applyNumberFormat="1">
      <alignment horizontal="left"/>
    </xf>
    <xf borderId="0" fillId="0" fontId="3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6" numFmtId="0" xfId="0" applyFont="1"/>
    <xf borderId="0" fillId="0" fontId="3" numFmtId="0" xfId="0" applyAlignment="1" applyFont="1">
      <alignment vertical="center"/>
    </xf>
    <xf quotePrefix="1" borderId="0" fillId="0" fontId="3" numFmtId="0" xfId="0" applyFont="1"/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quotePrefix="1" borderId="0" fillId="0" fontId="3" numFmtId="0" xfId="0" applyAlignment="1" applyFont="1">
      <alignment horizontal="left" vertical="center"/>
    </xf>
    <xf borderId="0" fillId="0" fontId="6" numFmtId="0" xfId="0" applyAlignment="1" applyFont="1">
      <alignment horizontal="center" readingOrder="0"/>
    </xf>
    <xf borderId="0" fillId="0" fontId="3" numFmtId="165" xfId="0" applyAlignment="1" applyFont="1" applyNumberFormat="1">
      <alignment horizontal="left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14" numFmtId="166" xfId="0" applyAlignment="1" applyFont="1" applyNumberFormat="1">
      <alignment horizontal="left" vertical="center"/>
    </xf>
    <xf borderId="0" fillId="6" fontId="6" numFmtId="0" xfId="0" applyAlignment="1" applyFill="1" applyFont="1">
      <alignment horizontal="right"/>
    </xf>
    <xf borderId="0" fillId="6" fontId="8" numFmtId="0" xfId="0" applyFont="1"/>
    <xf borderId="0" fillId="6" fontId="8" numFmtId="0" xfId="0" applyAlignment="1" applyFont="1">
      <alignment shrinkToFit="0" vertical="bottom" wrapText="0"/>
    </xf>
    <xf borderId="0" fillId="6" fontId="11" numFmtId="0" xfId="0" applyFont="1"/>
    <xf borderId="0" fillId="6" fontId="4" numFmtId="0" xfId="0" applyAlignment="1" applyFont="1">
      <alignment vertical="center"/>
    </xf>
    <xf quotePrefix="1" borderId="0" fillId="6" fontId="4" numFmtId="0" xfId="0" applyFont="1"/>
    <xf borderId="0" fillId="6" fontId="15" numFmtId="0" xfId="0" applyFont="1"/>
    <xf borderId="0" fillId="6" fontId="4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6" fontId="10" numFmtId="166" xfId="0" applyAlignment="1" applyFont="1" applyNumberFormat="1">
      <alignment horizontal="center" vertical="center"/>
    </xf>
    <xf quotePrefix="1" borderId="0" fillId="6" fontId="4" numFmtId="1" xfId="0" applyAlignment="1" applyFont="1" applyNumberFormat="1">
      <alignment horizontal="left" vertical="center"/>
    </xf>
    <xf borderId="0" fillId="6" fontId="11" numFmtId="0" xfId="0" applyAlignment="1" applyFont="1">
      <alignment horizontal="center"/>
    </xf>
    <xf borderId="0" fillId="6" fontId="12" numFmtId="0" xfId="0" applyFont="1"/>
    <xf borderId="0" fillId="6" fontId="4" numFmtId="165" xfId="0" applyAlignment="1" applyFont="1" applyNumberFormat="1">
      <alignment horizontal="left"/>
    </xf>
    <xf borderId="0" fillId="6" fontId="16" numFmtId="0" xfId="0" applyFont="1"/>
    <xf borderId="0" fillId="6" fontId="4" numFmtId="0" xfId="0" applyAlignment="1" applyFont="1">
      <alignment horizontal="left" readingOrder="0"/>
    </xf>
    <xf borderId="0" fillId="6" fontId="10" numFmtId="166" xfId="0" applyAlignment="1" applyFont="1" applyNumberFormat="1">
      <alignment horizontal="left" vertical="center"/>
    </xf>
    <xf borderId="0" fillId="0" fontId="3" numFmtId="0" xfId="0" applyAlignment="1" applyFont="1">
      <alignment horizontal="center" readingOrder="0" vertical="center"/>
    </xf>
    <xf quotePrefix="1" borderId="0" fillId="0" fontId="3" numFmtId="0" xfId="0" applyAlignment="1" applyFont="1">
      <alignment horizontal="left"/>
    </xf>
    <xf quotePrefix="1" borderId="0" fillId="0" fontId="3" numFmtId="165" xfId="0" applyAlignment="1" applyFont="1" applyNumberFormat="1">
      <alignment horizontal="left"/>
    </xf>
    <xf borderId="0" fillId="3" fontId="6" numFmtId="0" xfId="0" applyAlignment="1" applyFont="1">
      <alignment readingOrder="0"/>
    </xf>
    <xf borderId="0" fillId="0" fontId="3" numFmtId="166" xfId="0" applyAlignment="1" applyFont="1" applyNumberFormat="1">
      <alignment horizontal="left" vertical="center"/>
    </xf>
    <xf borderId="0" fillId="0" fontId="4" numFmtId="0" xfId="0" applyAlignment="1" applyFont="1">
      <alignment vertical="center"/>
    </xf>
    <xf quotePrefix="1" borderId="0" fillId="0" fontId="4" numFmtId="0" xfId="0" applyFont="1"/>
    <xf borderId="0" fillId="0" fontId="17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12" numFmtId="0" xfId="0" applyFont="1"/>
    <xf borderId="0" fillId="3" fontId="11" numFmtId="0" xfId="0" applyAlignment="1" applyFont="1">
      <alignment readingOrder="0"/>
    </xf>
    <xf borderId="0" fillId="0" fontId="16" numFmtId="0" xfId="0" applyFont="1"/>
    <xf borderId="0" fillId="0" fontId="4" numFmtId="166" xfId="0" applyAlignment="1" applyFont="1" applyNumberFormat="1">
      <alignment horizontal="left" vertical="center"/>
    </xf>
    <xf quotePrefix="1" borderId="0" fillId="0" fontId="4" numFmtId="165" xfId="0" applyAlignment="1" applyFont="1" applyNumberFormat="1">
      <alignment horizontal="left"/>
    </xf>
    <xf borderId="0" fillId="2" fontId="3" numFmtId="0" xfId="0" applyAlignment="1" applyFont="1">
      <alignment horizontal="right"/>
    </xf>
    <xf borderId="0" fillId="0" fontId="4" numFmtId="0" xfId="0" applyFont="1"/>
    <xf borderId="0" fillId="0" fontId="10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3" fontId="4" numFmtId="0" xfId="0" applyAlignment="1" applyFont="1">
      <alignment readingOrder="0"/>
    </xf>
    <xf quotePrefix="1" borderId="0" fillId="0" fontId="4" numFmtId="49" xfId="0" applyFont="1" applyNumberFormat="1"/>
    <xf borderId="0" fillId="0" fontId="18" numFmtId="0" xfId="0" applyAlignment="1" applyFont="1">
      <alignment readingOrder="0"/>
    </xf>
    <xf borderId="0" fillId="5" fontId="4" numFmtId="0" xfId="0" applyAlignment="1" applyFont="1">
      <alignment readingOrder="0" vertical="center"/>
    </xf>
    <xf quotePrefix="1" borderId="0" fillId="0" fontId="4" numFmtId="168" xfId="0" applyAlignment="1" applyFont="1" applyNumberFormat="1">
      <alignment horizontal="left" vertical="center"/>
    </xf>
    <xf borderId="0" fillId="6" fontId="3" numFmtId="0" xfId="0" applyAlignment="1" applyFont="1">
      <alignment shrinkToFit="0" vertical="bottom" wrapText="0"/>
    </xf>
    <xf borderId="0" fillId="6" fontId="4" numFmtId="166" xfId="0" applyAlignment="1" applyFont="1" applyNumberFormat="1">
      <alignment horizontal="center" vertical="center"/>
    </xf>
    <xf quotePrefix="1" borderId="0" fillId="6" fontId="4" numFmtId="0" xfId="0" applyAlignment="1" applyFont="1">
      <alignment horizontal="left"/>
    </xf>
    <xf borderId="0" fillId="6" fontId="5" numFmtId="0" xfId="0" applyFont="1"/>
    <xf borderId="0" fillId="6" fontId="4" numFmtId="0" xfId="0" applyAlignment="1" applyFont="1">
      <alignment horizontal="left"/>
    </xf>
    <xf borderId="0" fillId="6" fontId="4" numFmtId="166" xfId="0" applyAlignment="1" applyFont="1" applyNumberFormat="1">
      <alignment horizontal="left" vertical="center"/>
    </xf>
    <xf borderId="0" fillId="0" fontId="19" numFmtId="0" xfId="0" applyAlignment="1" applyFont="1">
      <alignment readingOrder="0"/>
    </xf>
    <xf borderId="0" fillId="0" fontId="3" numFmtId="16" xfId="0" applyFont="1" applyNumberFormat="1"/>
    <xf quotePrefix="1" borderId="0" fillId="0" fontId="4" numFmtId="169" xfId="0" applyAlignment="1" applyFont="1" applyNumberFormat="1">
      <alignment horizontal="left"/>
    </xf>
    <xf borderId="0" fillId="6" fontId="4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/>
    </xf>
    <xf quotePrefix="1" borderId="0" fillId="0" fontId="4" numFmtId="0" xfId="0" applyAlignment="1" applyFont="1">
      <alignment horizontal="left" vertical="center"/>
    </xf>
    <xf borderId="0" fillId="3" fontId="11" numFmtId="0" xfId="0" applyFont="1"/>
    <xf borderId="0" fillId="0" fontId="5" numFmtId="0" xfId="0" applyFont="1"/>
    <xf borderId="0" fillId="3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1" fillId="7" fontId="5" numFmtId="0" xfId="0" applyBorder="1" applyFill="1" applyFont="1"/>
    <xf borderId="0" fillId="0" fontId="20" numFmtId="0" xfId="0" applyAlignment="1" applyFont="1">
      <alignment horizontal="left" readingOrder="0"/>
    </xf>
    <xf borderId="0" fillId="6" fontId="11" numFmtId="0" xfId="0" applyAlignment="1" applyFont="1">
      <alignment readingOrder="0"/>
    </xf>
    <xf borderId="0" fillId="6" fontId="8" numFmtId="0" xfId="0" applyAlignment="1" applyFont="1">
      <alignment horizontal="left" readingOrder="0" shrinkToFit="0" vertical="bottom" wrapText="0"/>
    </xf>
    <xf borderId="0" fillId="6" fontId="21" numFmtId="0" xfId="0" applyAlignment="1" applyFont="1">
      <alignment readingOrder="0"/>
    </xf>
    <xf borderId="0" fillId="0" fontId="4" numFmtId="16" xfId="0" applyAlignment="1" applyFont="1" applyNumberFormat="1">
      <alignment vertical="center"/>
    </xf>
    <xf borderId="0" fillId="0" fontId="9" numFmtId="0" xfId="0" applyAlignment="1" applyFont="1">
      <alignment readingOrder="0"/>
    </xf>
    <xf borderId="0" fillId="3" fontId="4" numFmtId="0" xfId="0" applyAlignment="1" applyFont="1">
      <alignment horizontal="left" readingOrder="0"/>
    </xf>
    <xf quotePrefix="1" borderId="0" fillId="0" fontId="11" numFmtId="0" xfId="0" applyAlignment="1" applyFont="1">
      <alignment readingOrder="0"/>
    </xf>
    <xf quotePrefix="1" borderId="0" fillId="0" fontId="4" numFmtId="12" xfId="0" applyAlignment="1" applyFont="1" applyNumberFormat="1">
      <alignment horizontal="left"/>
    </xf>
    <xf borderId="0" fillId="0" fontId="4" numFmtId="16" xfId="0" applyFont="1" applyNumberFormat="1"/>
    <xf quotePrefix="1" borderId="0" fillId="0" fontId="3" numFmtId="1" xfId="0" applyAlignment="1" applyFont="1" applyNumberFormat="1">
      <alignment horizontal="left" vertical="center"/>
    </xf>
    <xf borderId="0" fillId="3" fontId="6" numFmtId="0" xfId="0" applyFont="1"/>
    <xf borderId="0" fillId="6" fontId="6" numFmtId="0" xfId="0" applyFont="1"/>
    <xf borderId="0" fillId="6" fontId="3" numFmtId="0" xfId="0" applyAlignment="1" applyFont="1">
      <alignment vertical="center"/>
    </xf>
    <xf quotePrefix="1" borderId="0" fillId="6" fontId="3" numFmtId="0" xfId="0" applyFont="1"/>
    <xf borderId="0" fillId="6" fontId="22" numFmtId="0" xfId="0" applyAlignment="1" applyFont="1">
      <alignment readingOrder="0"/>
    </xf>
    <xf borderId="0" fillId="6" fontId="3" numFmtId="166" xfId="0" applyAlignment="1" applyFont="1" applyNumberFormat="1">
      <alignment horizontal="center" vertical="center"/>
    </xf>
    <xf quotePrefix="1" borderId="0" fillId="6" fontId="3" numFmtId="0" xfId="0" applyAlignment="1" applyFont="1">
      <alignment horizontal="left"/>
    </xf>
    <xf borderId="0" fillId="6" fontId="6" numFmtId="0" xfId="0" applyAlignment="1" applyFont="1">
      <alignment horizontal="center"/>
    </xf>
    <xf borderId="0" fillId="6" fontId="3" numFmtId="0" xfId="0" applyFont="1"/>
    <xf borderId="0" fillId="6" fontId="3" numFmtId="165" xfId="0" applyAlignment="1" applyFont="1" applyNumberFormat="1">
      <alignment horizontal="left"/>
    </xf>
    <xf borderId="0" fillId="6" fontId="3" numFmtId="0" xfId="0" applyAlignment="1" applyFont="1">
      <alignment horizontal="left" readingOrder="0"/>
    </xf>
    <xf borderId="0" fillId="6" fontId="3" numFmtId="166" xfId="0" applyAlignment="1" applyFont="1" applyNumberFormat="1">
      <alignment horizontal="left" vertical="center"/>
    </xf>
    <xf borderId="0" fillId="0" fontId="23" numFmtId="0" xfId="0" applyAlignment="1" applyFont="1">
      <alignment readingOrder="0"/>
    </xf>
    <xf borderId="1" fillId="2" fontId="3" numFmtId="0" xfId="0" applyAlignment="1" applyBorder="1" applyFont="1">
      <alignment horizontal="right"/>
    </xf>
    <xf borderId="0" fillId="0" fontId="3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11" numFmtId="0" xfId="0" applyFont="1"/>
    <xf borderId="1" fillId="6" fontId="3" numFmtId="0" xfId="0" applyAlignment="1" applyBorder="1" applyFont="1">
      <alignment horizontal="right"/>
    </xf>
    <xf borderId="1" fillId="6" fontId="4" numFmtId="0" xfId="0" applyBorder="1" applyFont="1"/>
    <xf borderId="0" fillId="6" fontId="3" numFmtId="0" xfId="0" applyAlignment="1" applyFont="1">
      <alignment shrinkToFit="0" vertical="bottom" wrapText="0"/>
    </xf>
    <xf borderId="1" fillId="6" fontId="4" numFmtId="0" xfId="0" applyAlignment="1" applyBorder="1" applyFont="1">
      <alignment vertical="center"/>
    </xf>
    <xf quotePrefix="1" borderId="1" fillId="6" fontId="4" numFmtId="0" xfId="0" applyBorder="1" applyFont="1"/>
    <xf borderId="1" fillId="6" fontId="24" numFmtId="0" xfId="0" applyBorder="1" applyFont="1"/>
    <xf borderId="1" fillId="6" fontId="4" numFmtId="166" xfId="0" applyAlignment="1" applyBorder="1" applyFont="1" applyNumberFormat="1">
      <alignment horizontal="center" vertical="center"/>
    </xf>
    <xf quotePrefix="1" borderId="1" fillId="6" fontId="4" numFmtId="1" xfId="0" applyAlignment="1" applyBorder="1" applyFont="1" applyNumberFormat="1">
      <alignment horizontal="left" vertical="center"/>
    </xf>
    <xf quotePrefix="1" borderId="2" fillId="6" fontId="4" numFmtId="1" xfId="0" applyAlignment="1" applyBorder="1" applyFont="1" applyNumberFormat="1">
      <alignment horizontal="left" vertical="center"/>
    </xf>
    <xf borderId="0" fillId="6" fontId="4" numFmtId="0" xfId="0" applyAlignment="1" applyFont="1">
      <alignment horizontal="center"/>
    </xf>
    <xf borderId="3" fillId="6" fontId="5" numFmtId="0" xfId="0" applyBorder="1" applyFont="1"/>
    <xf borderId="1" fillId="6" fontId="12" numFmtId="0" xfId="0" applyBorder="1" applyFont="1"/>
    <xf quotePrefix="1" borderId="1" fillId="6" fontId="4" numFmtId="165" xfId="0" applyAlignment="1" applyBorder="1" applyFont="1" applyNumberFormat="1">
      <alignment horizontal="left"/>
    </xf>
    <xf borderId="1" fillId="6" fontId="4" numFmtId="0" xfId="0" applyAlignment="1" applyBorder="1" applyFont="1">
      <alignment horizontal="left" readingOrder="0"/>
    </xf>
    <xf borderId="1" fillId="6" fontId="4" numFmtId="166" xfId="0" applyAlignment="1" applyBorder="1" applyFont="1" applyNumberFormat="1">
      <alignment horizontal="left" vertical="center"/>
    </xf>
    <xf borderId="0" fillId="0" fontId="25" numFmtId="0" xfId="0" applyAlignment="1" applyFont="1">
      <alignment readingOrder="0"/>
    </xf>
    <xf quotePrefix="1" borderId="0" fillId="0" fontId="4" numFmtId="2" xfId="0" applyAlignment="1" applyFont="1" applyNumberFormat="1">
      <alignment horizontal="left"/>
    </xf>
    <xf borderId="0" fillId="6" fontId="11" numFmtId="0" xfId="0" applyAlignment="1" applyFont="1">
      <alignment horizontal="center" readingOrder="0"/>
    </xf>
    <xf borderId="0" fillId="6" fontId="4" numFmtId="49" xfId="0" applyFont="1" applyNumberFormat="1"/>
    <xf borderId="0" fillId="0" fontId="4" numFmtId="166" xfId="0" applyAlignment="1" applyFont="1" applyNumberFormat="1">
      <alignment horizontal="left" readingOrder="0" vertical="center"/>
    </xf>
    <xf borderId="0" fillId="0" fontId="3" numFmtId="166" xfId="0" applyAlignment="1" applyFont="1" applyNumberFormat="1">
      <alignment horizontal="left" readingOrder="0" vertical="center"/>
    </xf>
    <xf borderId="0" fillId="0" fontId="26" numFmtId="0" xfId="0" applyAlignment="1" applyFont="1">
      <alignment readingOrder="0" shrinkToFit="0" vertical="bottom" wrapText="0"/>
    </xf>
    <xf quotePrefix="1" borderId="0" fillId="0" fontId="3" numFmtId="0" xfId="0" applyAlignment="1" applyFont="1">
      <alignment horizontal="left" readingOrder="0"/>
    </xf>
    <xf borderId="4" fillId="6" fontId="27" numFmtId="0" xfId="0" applyBorder="1" applyFont="1"/>
    <xf quotePrefix="1" borderId="1" fillId="6" fontId="4" numFmtId="0" xfId="0" applyAlignment="1" applyBorder="1" applyFont="1">
      <alignment horizontal="left" vertical="center"/>
    </xf>
    <xf quotePrefix="1" borderId="2" fillId="6" fontId="4" numFmtId="0" xfId="0" applyAlignment="1" applyBorder="1" applyFont="1">
      <alignment horizontal="left" vertical="center"/>
    </xf>
    <xf borderId="3" fillId="6" fontId="4" numFmtId="0" xfId="0" applyBorder="1" applyFont="1"/>
    <xf borderId="1" fillId="6" fontId="4" numFmtId="165" xfId="0" applyAlignment="1" applyBorder="1" applyFont="1" applyNumberFormat="1">
      <alignment horizontal="left"/>
    </xf>
    <xf borderId="1" fillId="6" fontId="4" numFmtId="49" xfId="0" applyBorder="1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49" xfId="0" applyFont="1" applyNumberFormat="1"/>
    <xf quotePrefix="1" borderId="0" fillId="0" fontId="3" numFmtId="49" xfId="0" applyFont="1" applyNumberFormat="1"/>
    <xf quotePrefix="1" borderId="0" fillId="6" fontId="4" numFmtId="165" xfId="0" applyAlignment="1" applyFont="1" applyNumberFormat="1">
      <alignment horizontal="left"/>
    </xf>
    <xf quotePrefix="1" borderId="0" fillId="6" fontId="4" numFmtId="49" xfId="0" applyFont="1" applyNumberFormat="1"/>
    <xf borderId="0" fillId="0" fontId="28" numFmtId="0" xfId="0" applyFont="1"/>
    <xf borderId="0" fillId="0" fontId="29" numFmtId="0" xfId="0" applyAlignment="1" applyFont="1">
      <alignment horizontal="left"/>
    </xf>
    <xf quotePrefix="1" borderId="0" fillId="0" fontId="3" numFmtId="15" xfId="0" applyAlignment="1" applyFont="1" applyNumberFormat="1">
      <alignment horizontal="left"/>
    </xf>
    <xf borderId="0" fillId="6" fontId="30" numFmtId="0" xfId="0" applyAlignment="1" applyFont="1">
      <alignment horizontal="left"/>
    </xf>
    <xf borderId="0" fillId="6" fontId="31" numFmtId="0" xfId="0" applyAlignment="1" applyFont="1">
      <alignment horizontal="left" shrinkToFit="0" vertical="bottom" wrapText="0"/>
    </xf>
    <xf quotePrefix="1" borderId="0" fillId="6" fontId="4" numFmtId="15" xfId="0" applyAlignment="1" applyFont="1" applyNumberFormat="1">
      <alignment horizontal="left"/>
    </xf>
    <xf borderId="1" fillId="6" fontId="30" numFmtId="0" xfId="0" applyAlignment="1" applyBorder="1" applyFont="1">
      <alignment horizontal="left"/>
    </xf>
    <xf borderId="0" fillId="6" fontId="31" numFmtId="0" xfId="0" applyAlignment="1" applyFont="1">
      <alignment horizontal="left" shrinkToFit="0" vertical="bottom" wrapText="0"/>
    </xf>
    <xf borderId="1" fillId="6" fontId="32" numFmtId="0" xfId="0" applyBorder="1" applyFont="1"/>
    <xf quotePrefix="1" borderId="2" fillId="6" fontId="4" numFmtId="0" xfId="0" applyBorder="1" applyFont="1"/>
    <xf borderId="1" fillId="6" fontId="4" numFmtId="0" xfId="0" applyAlignment="1" applyBorder="1" applyFont="1">
      <alignment horizontal="left"/>
    </xf>
    <xf quotePrefix="1" borderId="1" fillId="6" fontId="4" numFmtId="0" xfId="0" applyAlignment="1" applyBorder="1" applyFont="1">
      <alignment horizontal="left"/>
    </xf>
    <xf borderId="0" fillId="6" fontId="29" numFmtId="0" xfId="0" applyAlignment="1" applyFont="1">
      <alignment horizontal="left"/>
    </xf>
    <xf borderId="0" fillId="6" fontId="3" numFmtId="0" xfId="0" applyAlignment="1" applyFont="1">
      <alignment readingOrder="0" shrinkToFit="0" vertical="bottom" wrapText="0"/>
    </xf>
    <xf borderId="0" fillId="6" fontId="3" numFmtId="0" xfId="0" applyAlignment="1" applyFont="1">
      <alignment readingOrder="0"/>
    </xf>
    <xf borderId="0" fillId="6" fontId="6" numFmtId="0" xfId="0" applyAlignment="1" applyFont="1">
      <alignment readingOrder="0"/>
    </xf>
    <xf borderId="0" fillId="6" fontId="6" numFmtId="0" xfId="0" applyAlignment="1" applyFont="1">
      <alignment horizontal="center" readingOrder="0"/>
    </xf>
    <xf borderId="0" fillId="6" fontId="3" numFmtId="0" xfId="0" applyAlignment="1" applyFont="1">
      <alignment horizontal="left"/>
    </xf>
    <xf borderId="0" fillId="6" fontId="3" numFmtId="0" xfId="0" applyAlignment="1" applyFont="1">
      <alignment shrinkToFit="0" wrapText="1"/>
    </xf>
    <xf borderId="0" fillId="6" fontId="3" numFmtId="0" xfId="0" applyAlignment="1" applyFont="1">
      <alignment horizontal="right"/>
    </xf>
    <xf borderId="1" fillId="6" fontId="29" numFmtId="0" xfId="0" applyAlignment="1" applyBorder="1" applyFont="1">
      <alignment horizontal="left" readingOrder="0"/>
    </xf>
    <xf borderId="1" fillId="6" fontId="3" numFmtId="0" xfId="0" applyBorder="1" applyFont="1"/>
    <xf borderId="1" fillId="6" fontId="3" numFmtId="0" xfId="0" applyAlignment="1" applyBorder="1" applyFont="1">
      <alignment readingOrder="0" vertical="center"/>
    </xf>
    <xf quotePrefix="1" borderId="1" fillId="6" fontId="3" numFmtId="0" xfId="0" applyBorder="1" applyFont="1"/>
    <xf borderId="1" fillId="6" fontId="33" numFmtId="0" xfId="0" applyBorder="1" applyFont="1"/>
    <xf borderId="1" fillId="6" fontId="3" numFmtId="0" xfId="0" applyAlignment="1" applyBorder="1" applyFont="1">
      <alignment vertical="center"/>
    </xf>
    <xf quotePrefix="1" borderId="2" fillId="6" fontId="3" numFmtId="0" xfId="0" applyBorder="1" applyFont="1"/>
    <xf borderId="0" fillId="6" fontId="3" numFmtId="0" xfId="0" applyAlignment="1" applyFont="1">
      <alignment horizontal="center"/>
    </xf>
    <xf borderId="3" fillId="6" fontId="3" numFmtId="0" xfId="0" applyBorder="1" applyFont="1"/>
    <xf borderId="1" fillId="6" fontId="3" numFmtId="0" xfId="0" applyAlignment="1" applyBorder="1" applyFont="1">
      <alignment horizontal="left"/>
    </xf>
    <xf borderId="1" fillId="6" fontId="3" numFmtId="0" xfId="0" applyAlignment="1" applyBorder="1" applyFont="1">
      <alignment horizontal="left" readingOrder="0"/>
    </xf>
    <xf quotePrefix="1" borderId="1" fillId="6" fontId="3" numFmtId="0" xfId="0" applyAlignment="1" applyBorder="1" applyFont="1">
      <alignment horizontal="left"/>
    </xf>
    <xf borderId="1" fillId="6" fontId="3" numFmtId="166" xfId="0" applyAlignment="1" applyBorder="1" applyFont="1" applyNumberFormat="1">
      <alignment horizontal="left" vertical="center"/>
    </xf>
    <xf borderId="0" fillId="0" fontId="34" numFmtId="0" xfId="0" applyFont="1"/>
    <xf quotePrefix="1" borderId="2" fillId="6" fontId="4" numFmtId="0" xfId="0" applyAlignment="1" applyBorder="1" applyFont="1">
      <alignment horizontal="left"/>
    </xf>
    <xf borderId="1" fillId="6" fontId="5" numFmtId="0" xfId="0" applyBorder="1" applyFont="1"/>
    <xf borderId="0" fillId="6" fontId="3" numFmtId="0" xfId="0" applyAlignment="1" applyFont="1">
      <alignment horizontal="left" shrinkToFit="0" vertical="bottom" wrapText="0"/>
    </xf>
    <xf borderId="0" fillId="6" fontId="4" numFmtId="165" xfId="0" applyFont="1" applyNumberFormat="1"/>
    <xf quotePrefix="1" borderId="0" fillId="6" fontId="4" numFmtId="15" xfId="0" applyFont="1" applyNumberFormat="1"/>
    <xf borderId="0" fillId="6" fontId="35" numFmtId="0" xfId="0" applyFont="1"/>
    <xf borderId="0" fillId="0" fontId="29" numFmtId="0" xfId="0" applyAlignment="1" applyFont="1">
      <alignment horizontal="left" vertical="center"/>
    </xf>
    <xf borderId="0" fillId="0" fontId="36" numFmtId="0" xfId="0" applyAlignment="1" applyFont="1">
      <alignment readingOrder="0"/>
    </xf>
    <xf borderId="0" fillId="5" fontId="25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4" numFmtId="165" xfId="0" applyFont="1" applyNumberFormat="1"/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5" fontId="11" numFmtId="170" xfId="0" applyAlignment="1" applyFont="1" applyNumberFormat="1">
      <alignment readingOrder="0"/>
    </xf>
    <xf borderId="0" fillId="6" fontId="25" numFmtId="0" xfId="0" applyAlignment="1" applyFont="1">
      <alignment readingOrder="0"/>
    </xf>
    <xf quotePrefix="1" borderId="0" fillId="6" fontId="4" numFmtId="0" xfId="0" applyAlignment="1" applyFont="1">
      <alignment readingOrder="0"/>
    </xf>
    <xf borderId="0" fillId="6" fontId="11" numFmtId="170" xfId="0" applyAlignment="1" applyFont="1" applyNumberFormat="1">
      <alignment readingOrder="0"/>
    </xf>
    <xf borderId="0" fillId="0" fontId="35" numFmtId="0" xfId="0" applyFont="1"/>
    <xf borderId="0" fillId="5" fontId="11" numFmtId="0" xfId="0" applyFont="1"/>
    <xf quotePrefix="1" borderId="0" fillId="6" fontId="11" numFmtId="170" xfId="0" applyAlignment="1" applyFont="1" applyNumberFormat="1">
      <alignment readingOrder="0"/>
    </xf>
    <xf borderId="0" fillId="0" fontId="37" numFmtId="0" xfId="0" applyAlignment="1" applyFont="1">
      <alignment horizontal="left" readingOrder="0"/>
    </xf>
    <xf quotePrefix="1" borderId="0" fillId="0" fontId="38" numFmtId="0" xfId="0" applyAlignment="1" applyFont="1">
      <alignment readingOrder="0"/>
    </xf>
    <xf borderId="0" fillId="0" fontId="39" numFmtId="0" xfId="0" applyFont="1"/>
    <xf borderId="0" fillId="0" fontId="35" numFmtId="0" xfId="0" applyAlignment="1" applyFont="1">
      <alignment readingOrder="0"/>
    </xf>
    <xf borderId="0" fillId="0" fontId="35" numFmtId="0" xfId="0" applyAlignment="1" applyFont="1">
      <alignment horizontal="center"/>
    </xf>
    <xf quotePrefix="1" borderId="0" fillId="0" fontId="35" numFmtId="0" xfId="0" applyFont="1"/>
    <xf borderId="0" fillId="5" fontId="11" numFmtId="0" xfId="0" applyAlignment="1" applyFont="1">
      <alignment readingOrder="0"/>
    </xf>
    <xf borderId="0" fillId="2" fontId="11" numFmtId="170" xfId="0" applyAlignment="1" applyFont="1" applyNumberFormat="1">
      <alignment readingOrder="0"/>
    </xf>
    <xf borderId="0" fillId="0" fontId="11" numFmtId="170" xfId="0" applyAlignment="1" applyFont="1" applyNumberFormat="1">
      <alignment readingOrder="0"/>
    </xf>
    <xf borderId="0" fillId="3" fontId="11" numFmtId="170" xfId="0" applyAlignment="1" applyFont="1" applyNumberFormat="1">
      <alignment readingOrder="0"/>
    </xf>
    <xf quotePrefix="1" borderId="0" fillId="6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0" numFmtId="0" xfId="0" applyAlignment="1" applyFont="1">
      <alignment horizontal="left" readingOrder="0"/>
    </xf>
    <xf borderId="1" fillId="5" fontId="3" numFmtId="0" xfId="0" applyAlignment="1" applyBorder="1" applyFont="1">
      <alignment horizontal="left"/>
    </xf>
    <xf quotePrefix="1"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right"/>
    </xf>
    <xf borderId="0" fillId="2" fontId="6" numFmtId="170" xfId="0" applyAlignment="1" applyFont="1" applyNumberFormat="1">
      <alignment readingOrder="0"/>
    </xf>
    <xf borderId="0" fillId="2" fontId="6" numFmtId="0" xfId="0" applyAlignment="1" applyFont="1">
      <alignment readingOrder="0"/>
    </xf>
    <xf quotePrefix="1" borderId="0" fillId="5" fontId="6" numFmtId="0" xfId="0" applyAlignment="1" applyFont="1">
      <alignment readingOrder="0"/>
    </xf>
    <xf borderId="0" fillId="5" fontId="6" numFmtId="0" xfId="0" applyAlignment="1" applyFont="1">
      <alignment readingOrder="0"/>
    </xf>
    <xf borderId="1" fillId="6" fontId="4" numFmtId="0" xfId="0" applyAlignment="1" applyBorder="1" applyFont="1">
      <alignment readingOrder="0" vertical="center"/>
    </xf>
    <xf borderId="1" fillId="6" fontId="35" numFmtId="0" xfId="0" applyBorder="1" applyFont="1"/>
    <xf borderId="0" fillId="0" fontId="41" numFmtId="0" xfId="0" applyAlignment="1" applyFont="1">
      <alignment horizontal="left"/>
    </xf>
    <xf quotePrefix="1" borderId="0" fillId="0" fontId="4" numFmtId="0" xfId="0" applyAlignment="1" applyFont="1">
      <alignment horizontal="center" readingOrder="0"/>
    </xf>
    <xf quotePrefix="1" borderId="0" fillId="0" fontId="4" numFmtId="15" xfId="0" applyAlignment="1" applyFont="1" applyNumberFormat="1">
      <alignment horizontal="left"/>
    </xf>
    <xf borderId="0" fillId="0" fontId="4" numFmtId="0" xfId="0" applyAlignment="1" applyFont="1">
      <alignment horizontal="right"/>
    </xf>
    <xf quotePrefix="1" borderId="1" fillId="7" fontId="4" numFmtId="0" xfId="0" applyAlignment="1" applyBorder="1" applyFont="1">
      <alignment horizontal="left"/>
    </xf>
    <xf borderId="0" fillId="4" fontId="11" numFmtId="0" xfId="0" applyAlignment="1" applyFont="1">
      <alignment readingOrder="0"/>
    </xf>
    <xf borderId="0" fillId="6" fontId="3" numFmtId="0" xfId="0" applyAlignment="1" applyFont="1">
      <alignment horizontal="left" shrinkToFit="0" vertical="bottom" wrapText="0"/>
    </xf>
    <xf borderId="1" fillId="6" fontId="4" numFmtId="0" xfId="0" applyAlignment="1" applyBorder="1" applyFont="1">
      <alignment horizontal="right"/>
    </xf>
    <xf quotePrefix="1" borderId="0" fillId="0" fontId="42" numFmtId="0" xfId="0" applyFont="1"/>
    <xf borderId="0" fillId="2" fontId="11" numFmtId="0" xfId="0" applyFont="1"/>
    <xf borderId="1" fillId="6" fontId="42" numFmtId="0" xfId="0" applyBorder="1" applyFont="1"/>
    <xf borderId="0" fillId="5" fontId="4" numFmtId="0" xfId="0" applyAlignment="1" applyFont="1">
      <alignment horizontal="left" readingOrder="0"/>
    </xf>
    <xf borderId="0" fillId="0" fontId="42" numFmtId="0" xfId="0" applyFont="1"/>
    <xf quotePrefix="1" borderId="0" fillId="0" fontId="4" numFmtId="15" xfId="0" applyFont="1" applyNumberFormat="1"/>
    <xf quotePrefix="1" borderId="0" fillId="0" fontId="4" numFmtId="16" xfId="0" applyFont="1" applyNumberFormat="1"/>
    <xf borderId="0" fillId="6" fontId="4" numFmtId="0" xfId="0" applyAlignment="1" applyFont="1">
      <alignment horizontal="right"/>
    </xf>
    <xf borderId="0" fillId="6" fontId="42" numFmtId="0" xfId="0" applyFont="1"/>
    <xf quotePrefix="1" borderId="0" fillId="5" fontId="11" numFmtId="0" xfId="0" applyAlignment="1" applyFont="1">
      <alignment readingOrder="0"/>
    </xf>
    <xf quotePrefix="1" borderId="0" fillId="2" fontId="4" numFmtId="15" xfId="0" applyFont="1" applyNumberFormat="1"/>
    <xf borderId="0" fillId="6" fontId="6" numFmtId="0" xfId="0" applyAlignment="1" applyFont="1">
      <alignment horizontal="right" readingOrder="0"/>
    </xf>
    <xf borderId="0" fillId="2" fontId="6" numFmtId="0" xfId="0" applyAlignment="1" applyFont="1">
      <alignment horizontal="right" readingOrder="0"/>
    </xf>
    <xf borderId="0" fillId="5" fontId="3" numFmtId="0" xfId="0" applyAlignment="1" applyFont="1">
      <alignment horizontal="left" readingOrder="0"/>
    </xf>
    <xf quotePrefix="1" borderId="0" fillId="5" fontId="3" numFmtId="0" xfId="0" applyFont="1"/>
    <xf quotePrefix="1" borderId="0" fillId="2" fontId="3" numFmtId="15" xfId="0" applyFont="1" applyNumberFormat="1"/>
    <xf quotePrefix="1" borderId="0" fillId="2" fontId="6" numFmtId="0" xfId="0" applyAlignment="1" applyFont="1">
      <alignment readingOrder="0"/>
    </xf>
    <xf borderId="1" fillId="6" fontId="3" numFmtId="0" xfId="0" applyAlignment="1" applyBorder="1" applyFont="1">
      <alignment horizontal="right" readingOrder="0"/>
    </xf>
    <xf quotePrefix="1" borderId="1" fillId="6" fontId="4" numFmtId="15" xfId="0" applyBorder="1" applyFont="1" applyNumberFormat="1"/>
    <xf borderId="0" fillId="6" fontId="3" numFmtId="0" xfId="0" applyAlignment="1" applyFont="1">
      <alignment horizontal="left" readingOrder="0" shrinkToFit="0" vertical="bottom" wrapText="0"/>
    </xf>
    <xf quotePrefix="1" borderId="0" fillId="5" fontId="4" numFmtId="0" xfId="0" applyAlignment="1" applyFont="1">
      <alignment horizontal="left" readingOrder="0"/>
    </xf>
    <xf borderId="0" fillId="0" fontId="4" numFmtId="15" xfId="0" applyFont="1" applyNumberFormat="1"/>
    <xf quotePrefix="1" borderId="0" fillId="0" fontId="4" numFmtId="0" xfId="0" applyAlignment="1" applyFont="1">
      <alignment horizontal="right"/>
    </xf>
    <xf borderId="1" fillId="2" fontId="3" numFmtId="0" xfId="0" applyAlignment="1" applyBorder="1" applyFont="1">
      <alignment horizontal="right" readingOrder="0"/>
    </xf>
    <xf quotePrefix="1" borderId="0" fillId="0" fontId="11" numFmtId="0" xfId="0" applyAlignment="1" applyFont="1">
      <alignment horizontal="center" readingOrder="0"/>
    </xf>
    <xf quotePrefix="1" borderId="0" fillId="5" fontId="4" numFmtId="0" xfId="0" applyFont="1"/>
    <xf quotePrefix="1" borderId="0" fillId="0" fontId="4" numFmtId="166" xfId="0" applyAlignment="1" applyFont="1" applyNumberFormat="1">
      <alignment horizontal="left" vertical="center"/>
    </xf>
    <xf borderId="0" fillId="6" fontId="4" numFmtId="15" xfId="0" applyFont="1" applyNumberFormat="1"/>
    <xf borderId="0" fillId="3" fontId="7" numFmtId="0" xfId="0" applyAlignment="1" applyFont="1">
      <alignment readingOrder="0" vertical="bottom"/>
    </xf>
    <xf borderId="0" fillId="6" fontId="7" numFmtId="0" xfId="0" applyAlignment="1" applyFont="1">
      <alignment readingOrder="0" vertical="bottom"/>
    </xf>
    <xf borderId="0" fillId="6" fontId="43" numFmtId="0" xfId="0" applyAlignment="1" applyFont="1">
      <alignment readingOrder="0"/>
    </xf>
    <xf quotePrefix="1" borderId="0" fillId="6" fontId="11" numFmtId="0" xfId="0" applyAlignment="1" applyFont="1">
      <alignment horizontal="center" readingOrder="0"/>
    </xf>
    <xf borderId="0" fillId="6" fontId="4" numFmtId="0" xfId="0" applyAlignment="1" applyFont="1">
      <alignment horizontal="right" readingOrder="0"/>
    </xf>
    <xf borderId="0" fillId="6" fontId="4" numFmtId="0" xfId="0" applyAlignment="1" applyFont="1">
      <alignment readingOrder="0"/>
    </xf>
    <xf quotePrefix="1" borderId="0" fillId="6" fontId="4" numFmtId="0" xfId="0" applyAlignment="1" applyFont="1">
      <alignment horizontal="left" readingOrder="0"/>
    </xf>
    <xf quotePrefix="1"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quotePrefix="1" borderId="0" fillId="2" fontId="4" numFmtId="0" xfId="0" applyAlignment="1" applyFont="1">
      <alignment readingOrder="0"/>
    </xf>
    <xf quotePrefix="1" borderId="0" fillId="2" fontId="11" numFmtId="0" xfId="0" applyAlignment="1" applyFont="1">
      <alignment readingOrder="0"/>
    </xf>
    <xf quotePrefix="1" borderId="0" fillId="6" fontId="4" numFmtId="0" xfId="0" applyAlignment="1" applyFont="1">
      <alignment readingOrder="0" vertical="center"/>
    </xf>
    <xf borderId="0" fillId="6" fontId="9" numFmtId="0" xfId="0" applyAlignment="1" applyFont="1">
      <alignment readingOrder="0"/>
    </xf>
    <xf quotePrefix="1" borderId="0" fillId="6" fontId="4" numFmtId="0" xfId="0" applyAlignment="1" applyFont="1">
      <alignment horizontal="right" readingOrder="0"/>
    </xf>
    <xf quotePrefix="1" borderId="0" fillId="6" fontId="3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8" fontId="4" numFmtId="0" xfId="0" applyAlignment="1" applyFill="1" applyFont="1">
      <alignment horizontal="left" readingOrder="0"/>
    </xf>
    <xf quotePrefix="1" borderId="0" fillId="5" fontId="3" numFmtId="0" xfId="0" applyAlignment="1" applyFont="1">
      <alignment readingOrder="0" vertical="center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quotePrefix="1" borderId="0" fillId="2" fontId="3" numFmtId="0" xfId="0" applyAlignment="1" applyFont="1">
      <alignment readingOrder="0"/>
    </xf>
    <xf borderId="0" fillId="3" fontId="3" numFmtId="170" xfId="0" applyAlignment="1" applyFont="1" applyNumberFormat="1">
      <alignment readingOrder="0"/>
    </xf>
    <xf quotePrefix="1" borderId="0" fillId="2" fontId="4" numFmtId="0" xfId="0" applyAlignment="1" applyFont="1">
      <alignment horizontal="left" readingOrder="0"/>
    </xf>
    <xf borderId="0" fillId="2" fontId="4" numFmtId="170" xfId="0" applyAlignment="1" applyFont="1" applyNumberFormat="1">
      <alignment readingOrder="0"/>
    </xf>
    <xf borderId="0" fillId="5" fontId="4" numFmtId="170" xfId="0" applyAlignment="1" applyFont="1" applyNumberFormat="1">
      <alignment readingOrder="0"/>
    </xf>
    <xf quotePrefix="1" borderId="0" fillId="0" fontId="4" numFmtId="0" xfId="0" applyAlignment="1" applyFont="1">
      <alignment horizontal="right" readingOrder="0"/>
    </xf>
    <xf borderId="0" fillId="8" fontId="11" numFmtId="0" xfId="0" applyAlignment="1" applyFont="1">
      <alignment readingOrder="0"/>
    </xf>
    <xf borderId="0" fillId="3" fontId="4" numFmtId="170" xfId="0" applyAlignment="1" applyFont="1" applyNumberFormat="1">
      <alignment readingOrder="0"/>
    </xf>
    <xf borderId="0" fillId="6" fontId="44" numFmtId="0" xfId="0" applyAlignment="1" applyFont="1">
      <alignment readingOrder="0"/>
    </xf>
    <xf borderId="0" fillId="6" fontId="4" numFmtId="171" xfId="0" applyAlignment="1" applyFont="1" applyNumberFormat="1">
      <alignment horizontal="left" readingOrder="0"/>
    </xf>
    <xf borderId="0" fillId="6" fontId="3" numFmtId="0" xfId="0" applyAlignment="1" applyFont="1">
      <alignment readingOrder="0"/>
    </xf>
    <xf quotePrefix="1" borderId="0" fillId="6" fontId="3" numFmtId="0" xfId="0" applyAlignment="1" applyFont="1">
      <alignment horizontal="left" readingOrder="0"/>
    </xf>
    <xf borderId="0" fillId="6" fontId="3" numFmtId="0" xfId="0" applyAlignment="1" applyFont="1">
      <alignment horizontal="right" readingOrder="0"/>
    </xf>
    <xf quotePrefix="1" borderId="0" fillId="6" fontId="6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3" fontId="11" numFmtId="170" xfId="0" applyAlignment="1" applyFont="1" applyNumberFormat="1">
      <alignment horizontal="left" readingOrder="0"/>
    </xf>
    <xf quotePrefix="1" borderId="0" fillId="6" fontId="11" numFmtId="0" xfId="0" applyAlignment="1" applyFont="1">
      <alignment horizontal="center"/>
    </xf>
    <xf quotePrefix="1" borderId="0" fillId="6" fontId="11" numFmtId="0" xfId="0" applyFont="1"/>
    <xf quotePrefix="1" borderId="0" fillId="6" fontId="42" numFmtId="0" xfId="0" applyFont="1"/>
    <xf borderId="0" fillId="0" fontId="4" numFmtId="170" xfId="0" applyAlignment="1" applyFont="1" applyNumberFormat="1">
      <alignment horizontal="left" readingOrder="0"/>
    </xf>
    <xf borderId="0" fillId="2" fontId="4" numFmtId="0" xfId="0" applyAlignment="1" applyFont="1">
      <alignment readingOrder="0"/>
    </xf>
    <xf borderId="0" fillId="5" fontId="11" numFmtId="170" xfId="0" applyAlignment="1" applyFont="1" applyNumberFormat="1">
      <alignment horizontal="left" readingOrder="0"/>
    </xf>
    <xf quotePrefix="1" borderId="0" fillId="3" fontId="11" numFmtId="0" xfId="0" applyAlignment="1" applyFont="1">
      <alignment readingOrder="0"/>
    </xf>
    <xf borderId="0" fillId="6" fontId="4" numFmtId="172" xfId="0" applyAlignment="1" applyFont="1" applyNumberFormat="1">
      <alignment horizontal="left" readingOrder="0"/>
    </xf>
    <xf quotePrefix="1" borderId="0" fillId="0" fontId="3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2" numFmtId="0" xfId="0" applyAlignment="1" applyFont="1">
      <alignment horizontal="left" readingOrder="0"/>
    </xf>
    <xf borderId="0" fillId="2" fontId="4" numFmtId="172" xfId="0" applyAlignment="1" applyFont="1" applyNumberFormat="1">
      <alignment horizontal="left" readingOrder="0"/>
    </xf>
    <xf borderId="0" fillId="2" fontId="45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horizontal="left" readingOrder="0"/>
    </xf>
    <xf borderId="0" fillId="6" fontId="46" numFmtId="0" xfId="0" applyAlignment="1" applyFont="1">
      <alignment readingOrder="0"/>
    </xf>
    <xf borderId="0" fillId="6" fontId="3" numFmtId="170" xfId="0" applyAlignment="1" applyFont="1" applyNumberFormat="1">
      <alignment readingOrder="0"/>
    </xf>
    <xf borderId="0" fillId="6" fontId="6" numFmtId="170" xfId="0" applyAlignment="1" applyFont="1" applyNumberFormat="1">
      <alignment horizontal="left" readingOrder="0"/>
    </xf>
    <xf borderId="0" fillId="2" fontId="3" numFmtId="0" xfId="0" applyAlignment="1" applyFont="1">
      <alignment horizontal="right" readingOrder="0"/>
    </xf>
    <xf borderId="0" fillId="0" fontId="47" numFmtId="0" xfId="0" applyAlignment="1" applyFont="1">
      <alignment readingOrder="0"/>
    </xf>
    <xf borderId="0" fillId="2" fontId="48" numFmtId="0" xfId="0" applyAlignment="1" applyFont="1">
      <alignment readingOrder="0"/>
    </xf>
    <xf quotePrefix="1" borderId="0" fillId="2" fontId="4" numFmtId="0" xfId="0" applyFont="1"/>
    <xf quotePrefix="1" borderId="0" fillId="2" fontId="4" numFmtId="0" xfId="0" applyAlignment="1" applyFont="1">
      <alignment horizontal="left"/>
    </xf>
    <xf borderId="0" fillId="2" fontId="11" numFmtId="0" xfId="0" applyAlignment="1" applyFont="1">
      <alignment horizontal="center"/>
    </xf>
    <xf borderId="0" fillId="2" fontId="4" numFmtId="0" xfId="0" applyAlignment="1" applyFont="1">
      <alignment horizontal="left"/>
    </xf>
    <xf borderId="0" fillId="2" fontId="4" numFmtId="0" xfId="0" applyAlignment="1" applyFont="1">
      <alignment horizontal="right"/>
    </xf>
    <xf borderId="0" fillId="2" fontId="4" numFmtId="15" xfId="0" applyFont="1" applyNumberFormat="1"/>
    <xf borderId="0" fillId="2" fontId="11" numFmtId="0" xfId="0" applyAlignment="1" applyFont="1">
      <alignment readingOrder="0"/>
    </xf>
    <xf quotePrefix="1" borderId="0" fillId="6" fontId="3" numFmtId="170" xfId="0" applyAlignment="1" applyFont="1" applyNumberFormat="1">
      <alignment horizontal="left" readingOrder="0"/>
    </xf>
    <xf quotePrefix="1" borderId="0" fillId="5" fontId="4" numFmtId="0" xfId="0" applyAlignment="1" applyFont="1">
      <alignment readingOrder="0" vertical="center"/>
    </xf>
    <xf borderId="0" fillId="2" fontId="4" numFmtId="170" xfId="0" applyAlignment="1" applyFont="1" applyNumberFormat="1">
      <alignment horizontal="left" readingOrder="0"/>
    </xf>
    <xf borderId="0" fillId="9" fontId="11" numFmtId="0" xfId="0" applyAlignment="1" applyFill="1" applyFont="1">
      <alignment readingOrder="0"/>
    </xf>
    <xf borderId="0" fillId="6" fontId="3" numFmtId="171" xfId="0" applyAlignment="1" applyFont="1" applyNumberFormat="1">
      <alignment horizontal="left" readingOrder="0"/>
    </xf>
    <xf borderId="0" fillId="6" fontId="3" numFmtId="170" xfId="0" applyAlignment="1" applyFont="1" applyNumberFormat="1">
      <alignment horizontal="left" readingOrder="0"/>
    </xf>
    <xf borderId="0" fillId="10" fontId="11" numFmtId="170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2" fontId="49" numFmtId="0" xfId="0" applyAlignment="1" applyFont="1">
      <alignment readingOrder="0"/>
    </xf>
    <xf borderId="0" fillId="2" fontId="11" numFmtId="0" xfId="0" applyAlignment="1" applyFont="1">
      <alignment horizontal="center" readingOrder="0"/>
    </xf>
    <xf borderId="0" fillId="2" fontId="4" numFmtId="0" xfId="0" applyAlignment="1" applyFont="1">
      <alignment horizontal="right" readingOrder="0"/>
    </xf>
    <xf borderId="0" fillId="2" fontId="3" numFmtId="0" xfId="0" applyAlignment="1" applyFont="1">
      <alignment readingOrder="0" vertical="center"/>
    </xf>
    <xf borderId="0" fillId="2" fontId="50" numFmtId="0" xfId="0" applyAlignment="1" applyFont="1">
      <alignment readingOrder="0"/>
    </xf>
    <xf borderId="0" fillId="2" fontId="6" numFmtId="0" xfId="0" applyFont="1"/>
    <xf quotePrefix="1" borderId="0" fillId="2" fontId="3" numFmtId="0" xfId="0" applyAlignment="1" applyFont="1">
      <alignment horizontal="left" readingOrder="0"/>
    </xf>
    <xf borderId="0" fillId="2" fontId="6" numFmtId="0" xfId="0" applyAlignment="1" applyFont="1">
      <alignment horizontal="center" readingOrder="0"/>
    </xf>
    <xf borderId="0" fillId="2" fontId="3" numFmtId="171" xfId="0" applyAlignment="1" applyFont="1" applyNumberFormat="1">
      <alignment horizontal="left" readingOrder="0"/>
    </xf>
    <xf quotePrefix="1" borderId="0" fillId="5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quotePrefix="1" borderId="0" fillId="9" fontId="11" numFmtId="0" xfId="0" applyAlignment="1" applyFont="1">
      <alignment readingOrder="0"/>
    </xf>
    <xf quotePrefix="1" borderId="0" fillId="5" fontId="3" numFmtId="0" xfId="0" applyAlignment="1" applyFont="1">
      <alignment readingOrder="0"/>
    </xf>
    <xf borderId="0" fillId="0" fontId="11" numFmtId="171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0" fillId="0" fontId="3" numFmtId="15" xfId="0" applyFont="1" applyNumberFormat="1"/>
    <xf quotePrefix="1" borderId="0" fillId="6" fontId="6" numFmtId="0" xfId="0" applyAlignment="1" applyFont="1">
      <alignment horizontal="center" readingOrder="0"/>
    </xf>
    <xf borderId="0" fillId="0" fontId="11" numFmtId="170" xfId="0" applyAlignment="1" applyFont="1" applyNumberFormat="1">
      <alignment horizontal="left" readingOrder="0"/>
    </xf>
    <xf borderId="0" fillId="0" fontId="51" numFmtId="0" xfId="0" applyAlignment="1" applyFont="1">
      <alignment horizontal="left" readingOrder="0"/>
    </xf>
    <xf borderId="0" fillId="0" fontId="6" numFmtId="0" xfId="0" applyAlignment="1" applyFont="1">
      <alignment horizontal="left"/>
    </xf>
    <xf quotePrefix="1" borderId="0" fillId="6" fontId="3" numFmtId="0" xfId="0" applyAlignment="1" applyFont="1">
      <alignment readingOrder="0" vertical="center"/>
    </xf>
    <xf quotePrefix="1" borderId="0" fillId="6" fontId="5" numFmtId="0" xfId="0" applyAlignment="1" applyFont="1">
      <alignment horizontal="left" readingOrder="0"/>
    </xf>
    <xf borderId="0" fillId="6" fontId="11" numFmtId="170" xfId="0" applyAlignment="1" applyFont="1" applyNumberFormat="1">
      <alignment horizontal="left" readingOrder="0"/>
    </xf>
    <xf borderId="0" fillId="6" fontId="5" numFmtId="0" xfId="0" applyAlignment="1" applyFont="1">
      <alignment horizontal="left" readingOrder="0"/>
    </xf>
    <xf borderId="0" fillId="8" fontId="4" numFmtId="0" xfId="0" applyAlignment="1" applyFont="1">
      <alignment vertical="bottom"/>
    </xf>
    <xf borderId="0" fillId="0" fontId="3" numFmtId="171" xfId="0" applyAlignment="1" applyFont="1" applyNumberFormat="1">
      <alignment readingOrder="0"/>
    </xf>
    <xf borderId="0" fillId="5" fontId="2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3" numFmtId="0" xfId="0" applyFont="1"/>
    <xf borderId="0" fillId="0" fontId="53" numFmtId="0" xfId="0" applyAlignment="1" applyFont="1">
      <alignment readingOrder="0"/>
    </xf>
    <xf quotePrefix="1" borderId="0" fillId="0" fontId="53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3" numFmtId="170" xfId="0" applyAlignment="1" applyFont="1" applyNumberFormat="1">
      <alignment horizontal="left" readingOrder="0"/>
    </xf>
    <xf borderId="0" fillId="0" fontId="3" numFmtId="170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6" numFmtId="170" xfId="0" applyAlignment="1" applyFont="1" applyNumberFormat="1">
      <alignment readingOrder="0"/>
    </xf>
    <xf borderId="0" fillId="3" fontId="6" numFmtId="170" xfId="0" applyAlignment="1" applyFont="1" applyNumberFormat="1">
      <alignment readingOrder="0"/>
    </xf>
    <xf borderId="0" fillId="5" fontId="3" numFmtId="0" xfId="0" applyAlignment="1" applyFont="1">
      <alignment horizontal="right" readingOrder="0"/>
    </xf>
    <xf borderId="0" fillId="9" fontId="6" numFmtId="0" xfId="0" applyAlignment="1" applyFont="1">
      <alignment readingOrder="0"/>
    </xf>
    <xf quotePrefix="1" borderId="0" fillId="9" fontId="6" numFmtId="0" xfId="0" applyAlignment="1" applyFont="1">
      <alignment horizontal="center" readingOrder="0"/>
    </xf>
    <xf borderId="0" fillId="0" fontId="6" numFmtId="0" xfId="0" applyFont="1"/>
    <xf borderId="0" fillId="0" fontId="3" numFmtId="166" xfId="0" applyAlignment="1" applyFont="1" applyNumberFormat="1">
      <alignment readingOrder="0"/>
    </xf>
    <xf quotePrefix="1" borderId="0" fillId="3" fontId="6" numFmtId="0" xfId="0" applyAlignment="1" applyFont="1">
      <alignment readingOrder="0"/>
    </xf>
    <xf borderId="0" fillId="0" fontId="11" numFmtId="171" xfId="0" applyAlignment="1" applyFont="1" applyNumberFormat="1">
      <alignment readingOrder="0"/>
    </xf>
    <xf borderId="0" fillId="11" fontId="11" numFmtId="0" xfId="0" applyAlignment="1" applyFill="1" applyFont="1">
      <alignment readingOrder="0"/>
    </xf>
    <xf quotePrefix="1" borderId="0" fillId="11" fontId="11" numFmtId="0" xfId="0" applyAlignment="1" applyFont="1">
      <alignment readingOrder="0"/>
    </xf>
    <xf borderId="0" fillId="11" fontId="11" numFmtId="0" xfId="0" applyFont="1"/>
    <xf borderId="0" fillId="11" fontId="11" numFmtId="170" xfId="0" applyAlignment="1" applyFont="1" applyNumberFormat="1">
      <alignment readingOrder="0"/>
    </xf>
    <xf borderId="0" fillId="11" fontId="6" numFmtId="0" xfId="0" applyFont="1"/>
    <xf borderId="0" fillId="11" fontId="11" numFmtId="171" xfId="0" applyAlignment="1" applyFont="1" applyNumberFormat="1">
      <alignment readingOrder="0"/>
    </xf>
    <xf borderId="0" fillId="11" fontId="6" numFmtId="170" xfId="0" applyAlignment="1" applyFont="1" applyNumberFormat="1">
      <alignment readingOrder="0"/>
    </xf>
    <xf borderId="0" fillId="12" fontId="6" numFmtId="0" xfId="0" applyAlignment="1" applyFill="1" applyFont="1">
      <alignment horizontal="right" readingOrder="0"/>
    </xf>
    <xf borderId="0" fillId="12" fontId="11" numFmtId="0" xfId="0" applyAlignment="1" applyFont="1">
      <alignment readingOrder="0"/>
    </xf>
    <xf borderId="0" fillId="12" fontId="3" numFmtId="0" xfId="0" applyAlignment="1" applyFont="1">
      <alignment readingOrder="0" shrinkToFit="0" vertical="bottom" wrapText="0"/>
    </xf>
    <xf quotePrefix="1" borderId="0" fillId="12" fontId="11" numFmtId="0" xfId="0" applyAlignment="1" applyFont="1">
      <alignment readingOrder="0"/>
    </xf>
    <xf borderId="0" fillId="12" fontId="11" numFmtId="0" xfId="0" applyFont="1"/>
    <xf borderId="0" fillId="12" fontId="11" numFmtId="0" xfId="0" applyAlignment="1" applyFont="1">
      <alignment horizontal="center"/>
    </xf>
    <xf borderId="0" fillId="12" fontId="11" numFmtId="170" xfId="0" applyAlignment="1" applyFont="1" applyNumberFormat="1">
      <alignment readingOrder="0"/>
    </xf>
    <xf borderId="0" fillId="12" fontId="4" numFmtId="0" xfId="0" applyAlignment="1" applyFont="1">
      <alignment horizontal="left" readingOrder="0"/>
    </xf>
    <xf borderId="0" fillId="12" fontId="6" numFmtId="0" xfId="0" applyFont="1"/>
    <xf borderId="0" fillId="0" fontId="3" numFmtId="0" xfId="0" applyAlignment="1" applyFont="1">
      <alignment shrinkToFit="0" vertical="bottom" wrapText="0"/>
    </xf>
    <xf borderId="0" fillId="0" fontId="54" numFmtId="0" xfId="0" applyAlignment="1" applyFont="1">
      <alignment readingOrder="0"/>
    </xf>
    <xf borderId="0" fillId="3" fontId="55" numFmtId="0" xfId="0" applyAlignment="1" applyFont="1">
      <alignment vertical="bottom"/>
    </xf>
    <xf borderId="0" fillId="3" fontId="55" numFmtId="0" xfId="0" applyAlignment="1" applyFont="1">
      <alignment horizontal="center" vertical="bottom"/>
    </xf>
    <xf borderId="0" fillId="3" fontId="56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8" numFmtId="0" xfId="0" applyAlignment="1" applyFont="1">
      <alignment horizontal="left"/>
    </xf>
    <xf borderId="0" fillId="0" fontId="4" numFmtId="1" xfId="0" applyAlignment="1" applyFont="1" applyNumberFormat="1">
      <alignment horizontal="left"/>
    </xf>
    <xf borderId="0" fillId="0" fontId="4" numFmtId="49" xfId="0" applyAlignment="1" applyFont="1" applyNumberFormat="1">
      <alignment horizontal="left"/>
    </xf>
    <xf borderId="0" fillId="0" fontId="4" numFmtId="166" xfId="0" applyAlignment="1" applyFont="1" applyNumberFormat="1">
      <alignment horizontal="left"/>
    </xf>
    <xf borderId="0" fillId="0" fontId="8" numFmtId="0" xfId="0" applyFont="1"/>
    <xf borderId="0" fillId="0" fontId="57" numFmtId="0" xfId="0" applyAlignment="1" applyFont="1">
      <alignment horizontal="left"/>
    </xf>
    <xf borderId="0" fillId="0" fontId="10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68" xfId="0" applyAlignment="1" applyFont="1" applyNumberFormat="1">
      <alignment horizontal="left"/>
    </xf>
    <xf borderId="0" fillId="0" fontId="4" numFmtId="16" xfId="0" applyAlignment="1" applyFont="1" applyNumberFormat="1">
      <alignment horizontal="left"/>
    </xf>
    <xf borderId="0" fillId="0" fontId="4" numFmtId="169" xfId="0" applyAlignment="1" applyFont="1" applyNumberFormat="1">
      <alignment horizontal="left"/>
    </xf>
    <xf borderId="0" fillId="0" fontId="4" numFmtId="0" xfId="0" applyAlignment="1" applyFont="1">
      <alignment horizontal="left"/>
    </xf>
    <xf borderId="1" fillId="7" fontId="4" numFmtId="0" xfId="0" applyBorder="1" applyFont="1"/>
    <xf borderId="0" fillId="0" fontId="4" numFmtId="12" xfId="0" applyAlignment="1" applyFont="1" applyNumberFormat="1">
      <alignment horizontal="left"/>
    </xf>
    <xf borderId="0" fillId="0" fontId="3" numFmtId="171" xfId="0" applyAlignment="1" applyFont="1" applyNumberFormat="1">
      <alignment horizontal="left" readingOrder="0"/>
    </xf>
    <xf borderId="0" fillId="0" fontId="53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15" xfId="0" applyFont="1" applyNumberFormat="1"/>
    <xf borderId="0" fillId="0" fontId="36" numFmtId="0" xfId="0" applyFont="1"/>
    <xf quotePrefix="1" borderId="0" fillId="4" fontId="7" numFmtId="0" xfId="0" applyAlignment="1" applyFont="1">
      <alignment horizontal="left" readingOrder="0" vertical="top"/>
    </xf>
    <xf quotePrefix="1" borderId="1" fillId="4" fontId="4" numFmtId="0" xfId="0" applyBorder="1" applyFont="1"/>
    <xf borderId="0" fillId="4" fontId="7" numFmtId="0" xfId="0" applyAlignment="1" applyFont="1">
      <alignment readingOrder="0" vertical="bottom"/>
    </xf>
    <xf borderId="1" fillId="4" fontId="4" numFmtId="0" xfId="0" applyAlignment="1" applyBorder="1" applyFont="1">
      <alignment horizontal="left"/>
    </xf>
    <xf quotePrefix="1" borderId="1" fillId="4" fontId="4" numFmtId="0" xfId="0" applyAlignment="1" applyBorder="1" applyFont="1">
      <alignment readingOrder="0"/>
    </xf>
    <xf borderId="0" fillId="4" fontId="4" numFmtId="0" xfId="0" applyFont="1"/>
    <xf quotePrefix="1" borderId="1" fillId="4" fontId="4" numFmtId="0" xfId="0" applyAlignment="1" applyBorder="1" applyFont="1">
      <alignment horizontal="left"/>
    </xf>
    <xf borderId="1" fillId="4" fontId="4" numFmtId="0" xfId="0" applyAlignment="1" applyBorder="1" applyFont="1">
      <alignment horizontal="left" readingOrder="0"/>
    </xf>
    <xf borderId="0" fillId="3" fontId="4" numFmtId="0" xfId="0" applyAlignment="1" applyFont="1">
      <alignment horizontal="left" vertical="bottom"/>
    </xf>
    <xf borderId="0" fillId="0" fontId="11" numFmtId="0" xfId="0" applyAlignment="1" applyFont="1">
      <alignment horizontal="left"/>
    </xf>
    <xf borderId="0" fillId="0" fontId="58" numFmtId="0" xfId="0" applyAlignment="1" applyFont="1">
      <alignment horizontal="left"/>
    </xf>
    <xf borderId="0" fillId="0" fontId="4" numFmtId="15" xfId="0" applyAlignment="1" applyFont="1" applyNumberFormat="1">
      <alignment horizontal="left"/>
    </xf>
    <xf borderId="0" fillId="2" fontId="11" numFmtId="0" xfId="0" applyAlignment="1" applyFont="1">
      <alignment horizontal="left"/>
    </xf>
    <xf borderId="0" fillId="2" fontId="11" numFmtId="0" xfId="0" applyAlignment="1" applyFont="1">
      <alignment horizontal="left" readingOrder="0"/>
    </xf>
    <xf borderId="0" fillId="5" fontId="4" numFmtId="170" xfId="0" applyAlignment="1" applyFont="1" applyNumberFormat="1">
      <alignment horizontal="left" readingOrder="0"/>
    </xf>
    <xf borderId="0" fillId="4" fontId="4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4" numFmtId="170" xfId="0" applyAlignment="1" applyFont="1" applyNumberFormat="1">
      <alignment horizontal="left"/>
    </xf>
    <xf borderId="0" fillId="4" fontId="4" numFmtId="0" xfId="0" applyAlignment="1" applyFont="1">
      <alignment readingOrder="0"/>
    </xf>
    <xf borderId="0" fillId="5" fontId="6" numFmtId="0" xfId="0" applyFont="1"/>
    <xf borderId="0" fillId="3" fontId="4" numFmtId="172" xfId="0" applyAlignment="1" applyFont="1" applyNumberFormat="1">
      <alignment horizontal="left" readingOrder="0"/>
    </xf>
    <xf borderId="0" fillId="2" fontId="4" numFmtId="0" xfId="0" applyFont="1"/>
    <xf borderId="0" fillId="0" fontId="4" numFmtId="171" xfId="0" applyAlignment="1" applyFont="1" applyNumberFormat="1">
      <alignment horizontal="left"/>
    </xf>
    <xf borderId="1" fillId="13" fontId="4" numFmtId="0" xfId="0" applyAlignment="1" applyBorder="1" applyFill="1" applyFont="1">
      <alignment horizontal="left"/>
    </xf>
    <xf borderId="1" fillId="13" fontId="4" numFmtId="0" xfId="0" applyBorder="1" applyFont="1"/>
    <xf borderId="0" fillId="13" fontId="4" numFmtId="0" xfId="0" applyFont="1"/>
    <xf borderId="0" fillId="0" fontId="4" numFmtId="2" xfId="0" applyAlignment="1" applyFont="1" applyNumberFormat="1">
      <alignment horizontal="left"/>
    </xf>
    <xf borderId="0" fillId="14" fontId="30" numFmtId="0" xfId="0" applyAlignment="1" applyFill="1" applyFont="1">
      <alignment horizontal="left" vertical="center"/>
    </xf>
    <xf borderId="0" fillId="0" fontId="30" numFmtId="0" xfId="0" applyAlignment="1" applyFont="1">
      <alignment horizontal="left"/>
    </xf>
    <xf borderId="0" fillId="0" fontId="4" numFmtId="172" xfId="0" applyAlignment="1" applyFont="1" applyNumberFormat="1">
      <alignment horizontal="left"/>
    </xf>
    <xf borderId="0" fillId="3" fontId="55" numFmtId="0" xfId="0" applyAlignment="1" applyFont="1">
      <alignment vertical="bottom"/>
    </xf>
    <xf borderId="0" fillId="3" fontId="55" numFmtId="0" xfId="0" applyAlignment="1" applyFont="1">
      <alignment horizontal="center" vertical="bottom"/>
    </xf>
    <xf borderId="0" fillId="3" fontId="56" numFmtId="0" xfId="0" applyAlignment="1" applyFont="1">
      <alignment vertical="bottom"/>
    </xf>
    <xf borderId="0" fillId="3" fontId="4" numFmtId="0" xfId="0" applyAlignment="1" applyFont="1">
      <alignment vertical="bottom"/>
    </xf>
    <xf quotePrefix="1" borderId="0" fillId="3" fontId="4" numFmtId="0" xfId="0" applyAlignment="1" applyFont="1">
      <alignment readingOrder="0"/>
    </xf>
    <xf borderId="0" fillId="15" fontId="53" numFmtId="0" xfId="0" applyFill="1" applyFont="1"/>
    <xf borderId="0" fillId="16" fontId="11" numFmtId="0" xfId="0" applyFill="1" applyFont="1"/>
    <xf borderId="0" fillId="15" fontId="58" numFmtId="0" xfId="0" applyAlignment="1" applyFont="1">
      <alignment horizontal="left" readingOrder="0"/>
    </xf>
    <xf borderId="0" fillId="10" fontId="4" numFmtId="0" xfId="0" applyAlignment="1" applyFont="1">
      <alignment horizontal="left"/>
    </xf>
    <xf borderId="0" fillId="3" fontId="4" numFmtId="0" xfId="0" applyAlignment="1" applyFont="1">
      <alignment vertical="bottom"/>
    </xf>
    <xf borderId="0" fillId="10" fontId="4" numFmtId="0" xfId="0" applyAlignment="1" applyFont="1">
      <alignment horizontal="left" readingOrder="0"/>
    </xf>
    <xf borderId="0" fillId="2" fontId="4" numFmtId="0" xfId="0" applyAlignment="1" applyFont="1">
      <alignment vertical="bottom"/>
    </xf>
    <xf borderId="0" fillId="0" fontId="59" numFmtId="0" xfId="0" applyFont="1"/>
    <xf borderId="0" fillId="0" fontId="59" numFmtId="0" xfId="0" applyAlignment="1" applyFont="1">
      <alignment readingOrder="0"/>
    </xf>
    <xf borderId="0" fillId="0" fontId="60" numFmtId="0" xfId="0" applyAlignment="1" applyFont="1">
      <alignment horizontal="left"/>
    </xf>
    <xf borderId="0" fillId="2" fontId="60" numFmtId="0" xfId="0" applyAlignment="1" applyFont="1">
      <alignment horizontal="left" readingOrder="0"/>
    </xf>
    <xf borderId="0" fillId="0" fontId="60" numFmtId="0" xfId="0" applyAlignment="1" applyFont="1">
      <alignment horizontal="left" readingOrder="0"/>
    </xf>
    <xf borderId="0" fillId="5" fontId="59" numFmtId="0" xfId="0" applyAlignment="1" applyFont="1">
      <alignment readingOrder="0"/>
    </xf>
    <xf borderId="0" fillId="0" fontId="61" numFmtId="0" xfId="0" applyAlignment="1" applyFont="1">
      <alignment horizontal="left"/>
    </xf>
    <xf borderId="0" fillId="0" fontId="35" numFmtId="49" xfId="0" applyFont="1" applyNumberFormat="1"/>
    <xf borderId="1" fillId="2" fontId="4" numFmtId="0" xfId="0" applyAlignment="1" applyBorder="1" applyFont="1">
      <alignment readingOrder="0" vertical="center"/>
    </xf>
    <xf borderId="0" fillId="5" fontId="53" numFmtId="0" xfId="0" applyAlignment="1" applyFont="1">
      <alignment readingOrder="0"/>
    </xf>
    <xf borderId="0" fillId="5" fontId="5" numFmtId="0" xfId="0" applyAlignment="1" applyFont="1">
      <alignment horizontal="left"/>
    </xf>
    <xf borderId="0" fillId="5" fontId="4" numFmtId="0" xfId="0" applyAlignment="1" applyFont="1">
      <alignment vertical="center"/>
    </xf>
    <xf borderId="0" fillId="5" fontId="62" numFmtId="0" xfId="0" applyFont="1"/>
    <xf borderId="0" fillId="5" fontId="4" numFmtId="0" xfId="0" applyAlignment="1" applyFont="1">
      <alignment horizontal="left"/>
    </xf>
    <xf quotePrefix="1" borderId="0" fillId="5" fontId="4" numFmtId="0" xfId="0" applyAlignment="1" applyFont="1">
      <alignment horizontal="left"/>
    </xf>
    <xf borderId="0" fillId="5" fontId="4" numFmtId="0" xfId="0" applyAlignment="1" applyFont="1">
      <alignment horizontal="right"/>
    </xf>
    <xf borderId="0" fillId="5" fontId="42" numFmtId="0" xfId="0" applyFont="1"/>
    <xf quotePrefix="1" borderId="0" fillId="5" fontId="4" numFmtId="15" xfId="0" applyFont="1" applyNumberFormat="1"/>
    <xf borderId="0" fillId="5" fontId="11" numFmtId="0" xfId="0" applyAlignment="1" applyFont="1">
      <alignment horizontal="left"/>
    </xf>
    <xf borderId="0" fillId="5" fontId="4" numFmtId="15" xfId="0" applyAlignment="1" applyFont="1" applyNumberFormat="1">
      <alignment horizontal="left"/>
    </xf>
    <xf borderId="0" fillId="2" fontId="4" numFmtId="0" xfId="0" applyAlignment="1" applyFont="1">
      <alignment vertical="center"/>
    </xf>
    <xf borderId="0" fillId="2" fontId="63" numFmtId="0" xfId="0" applyFont="1"/>
    <xf borderId="0" fillId="2" fontId="12" numFmtId="0" xfId="0" applyFont="1"/>
    <xf borderId="0" fillId="2" fontId="4" numFmtId="165" xfId="0" applyFont="1" applyNumberFormat="1"/>
    <xf borderId="0" fillId="2" fontId="4" numFmtId="166" xfId="0" applyAlignment="1" applyFont="1" applyNumberFormat="1">
      <alignment horizontal="left" vertical="center"/>
    </xf>
    <xf borderId="0" fillId="2" fontId="35" numFmtId="0" xfId="0" applyFont="1"/>
    <xf borderId="0" fillId="2" fontId="30" numFmtId="0" xfId="0" applyAlignment="1" applyFont="1">
      <alignment horizontal="left"/>
    </xf>
    <xf borderId="0" fillId="2" fontId="5" numFmtId="0" xfId="0" applyFont="1"/>
    <xf quotePrefix="1" borderId="0" fillId="2" fontId="4" numFmtId="15" xfId="0" applyAlignment="1" applyFont="1" applyNumberFormat="1">
      <alignment horizontal="left"/>
    </xf>
    <xf borderId="0" fillId="2" fontId="16" numFmtId="0" xfId="0" applyFont="1"/>
    <xf quotePrefix="1" borderId="0" fillId="2" fontId="4" numFmtId="0" xfId="0" applyAlignment="1" applyFont="1">
      <alignment readingOrder="0" vertical="center"/>
    </xf>
    <xf borderId="0" fillId="2" fontId="4" numFmtId="165" xfId="0" applyAlignment="1" applyFont="1" applyNumberFormat="1">
      <alignment horizontal="left"/>
    </xf>
    <xf quotePrefix="1" borderId="0" fillId="2" fontId="11" numFmtId="0" xfId="0" applyAlignment="1" applyFont="1">
      <alignment horizontal="left" readingOrder="0"/>
    </xf>
    <xf borderId="0" fillId="2" fontId="4" numFmtId="0" xfId="0" applyAlignment="1" applyFont="1">
      <alignment vertical="bottom"/>
    </xf>
    <xf quotePrefix="1" borderId="0" fillId="2" fontId="4" numFmtId="0" xfId="0" applyAlignment="1" applyFont="1">
      <alignment vertical="bottom"/>
    </xf>
    <xf borderId="0" fillId="2" fontId="6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2" fontId="42" numFmtId="0" xfId="0" applyAlignment="1" applyFont="1">
      <alignment vertical="bottom"/>
    </xf>
    <xf quotePrefix="1" borderId="0" fillId="2" fontId="4" numFmtId="0" xfId="0" applyAlignment="1" applyFont="1">
      <alignment horizontal="left" readingOrder="0" vertical="bottom"/>
    </xf>
    <xf borderId="0" fillId="2" fontId="4" numFmtId="15" xfId="0" applyAlignment="1" applyFont="1" applyNumberFormat="1">
      <alignment vertical="bottom"/>
    </xf>
    <xf borderId="0" fillId="2" fontId="9" numFmtId="0" xfId="0" applyAlignment="1" applyFont="1">
      <alignment readingOrder="0"/>
    </xf>
    <xf borderId="0" fillId="2" fontId="7" numFmtId="0" xfId="0" applyAlignment="1" applyFont="1">
      <alignment readingOrder="0" vertical="bottom"/>
    </xf>
    <xf borderId="0" fillId="2" fontId="4" numFmtId="171" xfId="0" applyAlignment="1" applyFont="1" applyNumberFormat="1">
      <alignment horizontal="left" readingOrder="0"/>
    </xf>
    <xf borderId="0" fillId="2" fontId="25" numFmtId="0" xfId="0" applyAlignment="1" applyFont="1">
      <alignment readingOrder="0"/>
    </xf>
    <xf quotePrefix="1" borderId="0" fillId="2" fontId="4" numFmtId="0" xfId="0" applyAlignment="1" applyFont="1">
      <alignment horizontal="right" readingOrder="0"/>
    </xf>
    <xf borderId="0" fillId="2" fontId="8" numFmtId="0" xfId="0" applyFont="1"/>
    <xf quotePrefix="1" borderId="0" fillId="2" fontId="4" numFmtId="1" xfId="0" applyAlignment="1" applyFont="1" applyNumberFormat="1">
      <alignment horizontal="left" vertical="center"/>
    </xf>
    <xf borderId="0" fillId="2" fontId="10" numFmtId="166" xfId="0" applyAlignment="1" applyFont="1" applyNumberFormat="1">
      <alignment horizontal="left" vertical="center"/>
    </xf>
    <xf borderId="0" fillId="2" fontId="42" numFmtId="0" xfId="0" applyFont="1"/>
    <xf borderId="0" fillId="2" fontId="8" numFmtId="0" xfId="0" applyAlignment="1" applyFont="1">
      <alignment horizontal="left" readingOrder="0" shrinkToFit="0" vertical="bottom" wrapText="0"/>
    </xf>
    <xf quotePrefix="1" borderId="0" fillId="2" fontId="11" numFmtId="0" xfId="0" applyAlignment="1" applyFont="1">
      <alignment horizontal="center" readingOrder="0"/>
    </xf>
    <xf borderId="0" fillId="2" fontId="53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4" numFmtId="0" xfId="0" applyFont="1"/>
    <xf borderId="0" fillId="2" fontId="65" numFmtId="0" xfId="0" applyAlignment="1" applyFont="1">
      <alignment readingOrder="0"/>
    </xf>
    <xf borderId="0" fillId="2" fontId="4" numFmtId="166" xfId="0" applyAlignment="1" applyFont="1" applyNumberFormat="1">
      <alignment horizontal="center" vertical="center"/>
    </xf>
    <xf borderId="0" fillId="2" fontId="4" numFmtId="49" xfId="0" applyFont="1" applyNumberFormat="1"/>
    <xf borderId="0" fillId="2" fontId="29" numFmtId="0" xfId="0" applyAlignment="1" applyFont="1">
      <alignment horizontal="left"/>
    </xf>
    <xf borderId="0" fillId="2" fontId="53" numFmtId="0" xfId="0" applyFont="1"/>
    <xf borderId="0" fillId="2" fontId="5" numFmtId="0" xfId="0" applyAlignment="1" applyFont="1">
      <alignment readingOrder="0" vertical="center"/>
    </xf>
    <xf quotePrefix="1" borderId="0" fillId="2" fontId="5" numFmtId="0" xfId="0" applyFont="1"/>
    <xf borderId="0" fillId="2" fontId="5" numFmtId="0" xfId="0" applyAlignment="1" applyFont="1">
      <alignment readingOrder="0"/>
    </xf>
    <xf borderId="0" fillId="2" fontId="53" numFmtId="0" xfId="0" applyAlignment="1" applyFont="1">
      <alignment horizontal="center" readingOrder="0"/>
    </xf>
    <xf borderId="0" fillId="2" fontId="5" numFmtId="0" xfId="0" applyAlignment="1" applyFont="1">
      <alignment horizontal="left"/>
    </xf>
    <xf borderId="0" fillId="2" fontId="5" numFmtId="0" xfId="0" applyAlignment="1" applyFont="1">
      <alignment shrinkToFit="0" wrapText="1"/>
    </xf>
    <xf borderId="0" fillId="2" fontId="5" numFmtId="0" xfId="0" applyAlignment="1" applyFont="1">
      <alignment horizontal="right"/>
    </xf>
    <xf borderId="0" fillId="2" fontId="5" numFmtId="0" xfId="0" applyAlignment="1" applyFont="1">
      <alignment horizontal="left" readingOrder="0"/>
    </xf>
    <xf quotePrefix="1" borderId="0" fillId="2" fontId="5" numFmtId="0" xfId="0" applyAlignment="1" applyFont="1">
      <alignment horizontal="left"/>
    </xf>
    <xf borderId="0" fillId="2" fontId="5" numFmtId="166" xfId="0" applyAlignment="1" applyFont="1" applyNumberFormat="1">
      <alignment horizontal="left" vertical="center"/>
    </xf>
    <xf quotePrefix="1" borderId="0" fillId="2" fontId="5" numFmtId="0" xfId="0" applyAlignment="1" applyFont="1">
      <alignment readingOrder="0"/>
    </xf>
    <xf borderId="0" fillId="2" fontId="66" numFmtId="0" xfId="0" applyAlignment="1" applyFont="1">
      <alignment readingOrder="0"/>
    </xf>
    <xf quotePrefix="1" borderId="0" fillId="2" fontId="5" numFmtId="0" xfId="0" applyAlignment="1" applyFont="1">
      <alignment horizontal="left" readingOrder="0"/>
    </xf>
    <xf borderId="0" fillId="2" fontId="53" numFmtId="0" xfId="0" applyAlignment="1" applyFont="1">
      <alignment horizontal="center"/>
    </xf>
    <xf borderId="0" fillId="2" fontId="5" numFmtId="0" xfId="0" applyAlignment="1" applyFont="1">
      <alignment horizontal="right" readingOrder="0"/>
    </xf>
    <xf quotePrefix="1" borderId="0" fillId="2" fontId="53" numFmtId="0" xfId="0" applyAlignment="1" applyFont="1">
      <alignment readingOrder="0"/>
    </xf>
    <xf borderId="0" fillId="2" fontId="3" numFmtId="0" xfId="0" applyAlignment="1" applyFont="1">
      <alignment readingOrder="0" shrinkToFit="0" vertical="bottom" wrapText="0"/>
    </xf>
    <xf quotePrefix="1" borderId="0" fillId="2" fontId="6" numFmtId="0" xfId="0" applyAlignment="1" applyFont="1">
      <alignment horizontal="center" readingOrder="0"/>
    </xf>
    <xf borderId="0" fillId="2" fontId="3" numFmtId="170" xfId="0" applyAlignment="1" applyFont="1" applyNumberFormat="1">
      <alignment horizontal="left" readingOrder="0"/>
    </xf>
    <xf borderId="0" fillId="0" fontId="11" numFmtId="164" xfId="0" applyAlignment="1" applyFont="1" applyNumberFormat="1">
      <alignment horizontal="left" readingOrder="0"/>
    </xf>
    <xf borderId="0" fillId="2" fontId="11" numFmtId="164" xfId="0" applyAlignment="1" applyFont="1" applyNumberFormat="1">
      <alignment readingOrder="0"/>
    </xf>
    <xf borderId="0" fillId="0" fontId="11" numFmtId="0" xfId="0" applyFont="1"/>
    <xf borderId="0" fillId="0" fontId="11" numFmtId="166" xfId="0" applyFont="1" applyNumberFormat="1"/>
    <xf borderId="0" fillId="0" fontId="11" numFmtId="173" xfId="0" applyAlignment="1" applyFont="1" applyNumberFormat="1">
      <alignment readingOrder="0"/>
    </xf>
    <xf borderId="0" fillId="0" fontId="11" numFmtId="170" xfId="0" applyFont="1" applyNumberFormat="1"/>
    <xf quotePrefix="1" borderId="0" fillId="0" fontId="5" numFmtId="0" xfId="0" applyAlignment="1" applyFont="1">
      <alignment horizontal="left" readingOrder="0"/>
    </xf>
    <xf borderId="0" fillId="0" fontId="6" numFmtId="164" xfId="0" applyAlignment="1" applyFont="1" applyNumberFormat="1">
      <alignment readingOrder="0"/>
    </xf>
    <xf borderId="0" fillId="0" fontId="6" numFmtId="173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Font="1"/>
    <xf quotePrefix="1" borderId="0" fillId="0" fontId="4" numFmtId="0" xfId="0" applyAlignment="1" applyFont="1">
      <alignment vertical="bottom"/>
    </xf>
    <xf borderId="0" fillId="0" fontId="67" numFmtId="0" xfId="0" applyAlignment="1" applyFont="1">
      <alignment vertical="bottom"/>
    </xf>
    <xf borderId="0" fillId="0" fontId="4" numFmtId="170" xfId="0" applyAlignment="1" applyFont="1" applyNumberFormat="1">
      <alignment horizontal="right" vertical="bottom"/>
    </xf>
    <xf borderId="0" fillId="0" fontId="4" numFmtId="170" xfId="0" applyAlignment="1" applyFont="1" applyNumberFormat="1">
      <alignment vertical="bottom"/>
    </xf>
    <xf borderId="0" fillId="0" fontId="4" numFmtId="173" xfId="0" applyAlignment="1" applyFont="1" applyNumberFormat="1">
      <alignment readingOrder="0" vertical="bottom"/>
    </xf>
    <xf quotePrefix="1" borderId="0" fillId="0" fontId="4" numFmtId="170" xfId="0" applyAlignment="1" applyFont="1" applyNumberFormat="1">
      <alignment vertical="bottom"/>
    </xf>
    <xf borderId="0" fillId="0" fontId="4" numFmtId="171" xfId="0" applyAlignment="1" applyFont="1" applyNumberFormat="1">
      <alignment vertical="bottom"/>
    </xf>
    <xf borderId="0" fillId="0" fontId="4" numFmtId="166" xfId="0" applyFont="1" applyNumberFormat="1"/>
    <xf borderId="0" fillId="0" fontId="4" numFmtId="164" xfId="0" applyAlignment="1" applyFont="1" applyNumberFormat="1">
      <alignment readingOrder="0" vertical="bottom"/>
    </xf>
    <xf quotePrefix="1" borderId="0" fillId="0" fontId="11" numFmtId="0" xfId="0" applyFont="1"/>
    <xf quotePrefix="1" borderId="0" fillId="0" fontId="11" numFmtId="0" xfId="0" applyAlignment="1" applyFont="1">
      <alignment horizontal="left"/>
    </xf>
    <xf borderId="0" fillId="0" fontId="11" numFmtId="164" xfId="0" applyAlignment="1" applyFont="1" applyNumberFormat="1">
      <alignment readingOrder="0"/>
    </xf>
    <xf borderId="0" fillId="17" fontId="6" numFmtId="0" xfId="0" applyAlignment="1" applyFill="1" applyFont="1">
      <alignment readingOrder="0"/>
    </xf>
    <xf borderId="0" fillId="8" fontId="3" numFmtId="0" xfId="0" applyAlignment="1" applyFont="1">
      <alignment horizontal="left" readingOrder="0"/>
    </xf>
    <xf borderId="0" fillId="8" fontId="6" numFmtId="0" xfId="0" applyAlignment="1" applyFont="1">
      <alignment readingOrder="0"/>
    </xf>
    <xf borderId="0" fillId="18" fontId="6" numFmtId="0" xfId="0" applyAlignment="1" applyFill="1" applyFont="1">
      <alignment readingOrder="0"/>
    </xf>
    <xf quotePrefix="1" borderId="0" fillId="5" fontId="6" numFmtId="0" xfId="0" applyAlignment="1" applyFont="1">
      <alignment horizontal="center" readingOrder="0"/>
    </xf>
    <xf quotePrefix="1" borderId="0" fillId="0" fontId="3" numFmtId="170" xfId="0" applyAlignment="1" applyFont="1" applyNumberFormat="1">
      <alignment readingOrder="0"/>
    </xf>
    <xf borderId="0" fillId="0" fontId="11" numFmtId="0" xfId="0" applyAlignment="1" applyFont="1">
      <alignment horizontal="left"/>
    </xf>
    <xf borderId="0" fillId="10" fontId="6" numFmtId="0" xfId="0" applyAlignment="1" applyFont="1">
      <alignment readingOrder="0"/>
    </xf>
    <xf borderId="0" fillId="5" fontId="3" numFmtId="170" xfId="0" applyAlignment="1" applyFont="1" applyNumberFormat="1">
      <alignment readingOrder="0"/>
    </xf>
    <xf borderId="1" fillId="2" fontId="55" numFmtId="0" xfId="0" applyAlignment="1" applyBorder="1" applyFont="1">
      <alignment vertical="bottom"/>
    </xf>
    <xf borderId="1" fillId="16" fontId="4" numFmtId="0" xfId="0" applyBorder="1" applyFont="1"/>
    <xf borderId="1" fillId="16" fontId="4" numFmtId="0" xfId="0" applyAlignment="1" applyBorder="1" applyFont="1">
      <alignment readingOrder="0"/>
    </xf>
    <xf borderId="0" fillId="2" fontId="4" numFmtId="0" xfId="0" applyAlignment="1" applyFont="1">
      <alignment horizontal="right" vertical="bottom"/>
    </xf>
    <xf borderId="2" fillId="4" fontId="4" numFmtId="0" xfId="0" applyBorder="1" applyFont="1"/>
    <xf borderId="0" fillId="5" fontId="4" numFmtId="0" xfId="0" applyAlignment="1" applyFont="1">
      <alignment readingOrder="0"/>
    </xf>
    <xf borderId="0" fillId="3" fontId="30" numFmtId="0" xfId="0" applyAlignment="1" applyFont="1">
      <alignment horizontal="left"/>
    </xf>
    <xf borderId="0" fillId="4" fontId="4" numFmtId="0" xfId="0" applyAlignment="1" applyFont="1">
      <alignment horizontal="right" vertical="bottom"/>
    </xf>
    <xf borderId="0" fillId="0" fontId="30" numFmtId="0" xfId="0" applyAlignment="1" applyFont="1">
      <alignment horizontal="left" vertical="center"/>
    </xf>
    <xf borderId="1" fillId="2" fontId="4" numFmtId="0" xfId="0" applyBorder="1" applyFont="1"/>
    <xf borderId="1" fillId="2" fontId="4" numFmtId="0" xfId="0" applyAlignment="1" applyBorder="1" applyFont="1">
      <alignment readingOrder="0"/>
    </xf>
    <xf borderId="0" fillId="2" fontId="11" numFmtId="0" xfId="0" applyAlignment="1" applyFont="1">
      <alignment readingOrder="0"/>
    </xf>
    <xf borderId="0" fillId="5" fontId="6" numFmtId="0" xfId="0" applyAlignment="1" applyFont="1">
      <alignment horizontal="left" readingOrder="0"/>
    </xf>
    <xf borderId="0" fillId="3" fontId="11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RD Triguna" id="{9b33b864-5cd8-475d-bd26-ebdddb3622f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63" dT="2025-08-25T06:12:43.00" personId="{9b33b864-5cd8-475d-bd26-ebdddb3622fa}" id="{e0f05c6b-47c3-452c-bafe-bc7dfcd46073}" done="0">
    <x18tc:text xml:space="preserve">058810126928 - OCBC</x18tc:text>
  </x18tc:threadedComment>
  <x18tc:threadedComment ref="G158" dT="2025-06-13T09:25:31.00" personId="{9b33b864-5cd8-475d-bd26-ebdddb3622fa}" id="{64039d5e-2d5f-47c9-a664-cd69ef1748b2}" done="0">
    <x18tc:text xml:space="preserve">password = 28Agustus1992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amsulfarel3@gmail.com" TargetMode="External"/><Relationship Id="rId42" Type="http://schemas.openxmlformats.org/officeDocument/2006/relationships/hyperlink" Target="mailto:cahyonoer789@gmail.com" TargetMode="External"/><Relationship Id="rId41" Type="http://schemas.openxmlformats.org/officeDocument/2006/relationships/hyperlink" Target="mailto:suwotowoto051@gmail.com" TargetMode="External"/><Relationship Id="rId44" Type="http://schemas.openxmlformats.org/officeDocument/2006/relationships/hyperlink" Target="mailto:nurhadianto2801@gmail.com" TargetMode="External"/><Relationship Id="rId43" Type="http://schemas.openxmlformats.org/officeDocument/2006/relationships/hyperlink" Target="mailto:Riswansulaeman98@gmail.com" TargetMode="External"/><Relationship Id="rId46" Type="http://schemas.openxmlformats.org/officeDocument/2006/relationships/hyperlink" Target="mailto:ributpurnomo711786@gmail.com" TargetMode="External"/><Relationship Id="rId45" Type="http://schemas.openxmlformats.org/officeDocument/2006/relationships/hyperlink" Target="mailto:muhamuhana01@gmail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akazakaria1@gmail.com" TargetMode="External"/><Relationship Id="rId9" Type="http://schemas.openxmlformats.org/officeDocument/2006/relationships/hyperlink" Target="mailto:aprilbudianto411@gmail.com" TargetMode="External"/><Relationship Id="rId48" Type="http://schemas.openxmlformats.org/officeDocument/2006/relationships/hyperlink" Target="mailto:prayogiseptian1@gmail.com" TargetMode="External"/><Relationship Id="rId47" Type="http://schemas.openxmlformats.org/officeDocument/2006/relationships/hyperlink" Target="mailto:d.chafidz@gmail.com" TargetMode="External"/><Relationship Id="rId49" Type="http://schemas.openxmlformats.org/officeDocument/2006/relationships/hyperlink" Target="mailto:agus45227@gmail.com" TargetMode="External"/><Relationship Id="rId5" Type="http://schemas.openxmlformats.org/officeDocument/2006/relationships/hyperlink" Target="mailto:sugiatnonouk@gmail.com" TargetMode="External"/><Relationship Id="rId6" Type="http://schemas.openxmlformats.org/officeDocument/2006/relationships/hyperlink" Target="mailto:dinasuci75@gmail.com" TargetMode="External"/><Relationship Id="rId7" Type="http://schemas.openxmlformats.org/officeDocument/2006/relationships/hyperlink" Target="mailto:jokopri2110@gmail.com" TargetMode="External"/><Relationship Id="rId8" Type="http://schemas.openxmlformats.org/officeDocument/2006/relationships/hyperlink" Target="mailto:setyawanbagus77@gmail.com" TargetMode="External"/><Relationship Id="rId73" Type="http://schemas.openxmlformats.org/officeDocument/2006/relationships/hyperlink" Target="http://mochaidilfitrahalzawali62gmail.com" TargetMode="External"/><Relationship Id="rId72" Type="http://schemas.openxmlformats.org/officeDocument/2006/relationships/hyperlink" Target="mailto:vittamusdiana5@gmail.com" TargetMode="External"/><Relationship Id="rId31" Type="http://schemas.openxmlformats.org/officeDocument/2006/relationships/hyperlink" Target="mailto:evitaliani1997@gmail.com" TargetMode="External"/><Relationship Id="rId75" Type="http://schemas.openxmlformats.org/officeDocument/2006/relationships/hyperlink" Target="http://hidayattaufiq517gmail.com/" TargetMode="External"/><Relationship Id="rId30" Type="http://schemas.openxmlformats.org/officeDocument/2006/relationships/hyperlink" Target="mailto:santosojawahir@gmail.com" TargetMode="External"/><Relationship Id="rId74" Type="http://schemas.openxmlformats.org/officeDocument/2006/relationships/hyperlink" Target="http://nurcahyoredzan222gmail.com/" TargetMode="External"/><Relationship Id="rId33" Type="http://schemas.openxmlformats.org/officeDocument/2006/relationships/hyperlink" Target="mailto:suparman65200@gmail.com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mailto:hardiantoatmadibrata@gmail.com" TargetMode="External"/><Relationship Id="rId76" Type="http://schemas.openxmlformats.org/officeDocument/2006/relationships/hyperlink" Target="https://docs.google.com/spreadsheets/d/16YmBm5C6HC1rvJdwH4isk3P9PHIr_0EVVoO2jrGJ60I/edit?usp=sharing" TargetMode="External"/><Relationship Id="rId35" Type="http://schemas.openxmlformats.org/officeDocument/2006/relationships/hyperlink" Target="mailto:chamarudinpenyok@gmail.com" TargetMode="External"/><Relationship Id="rId34" Type="http://schemas.openxmlformats.org/officeDocument/2006/relationships/hyperlink" Target="mailto:arifpurbawisesa@yahoo.com" TargetMode="External"/><Relationship Id="rId78" Type="http://schemas.openxmlformats.org/officeDocument/2006/relationships/vmlDrawing" Target="../drawings/vmlDrawing1.vml"/><Relationship Id="rId71" Type="http://schemas.openxmlformats.org/officeDocument/2006/relationships/hyperlink" Target="mailto:setyawanferi495@gmail.com" TargetMode="External"/><Relationship Id="rId70" Type="http://schemas.openxmlformats.org/officeDocument/2006/relationships/hyperlink" Target="mailto:handayanii.said@gmail.com" TargetMode="External"/><Relationship Id="rId37" Type="http://schemas.openxmlformats.org/officeDocument/2006/relationships/hyperlink" Target="mailto:ciciliaagita09@gmail.com" TargetMode="External"/><Relationship Id="rId36" Type="http://schemas.openxmlformats.org/officeDocument/2006/relationships/hyperlink" Target="mailto:imansul22@gmail.com" TargetMode="External"/><Relationship Id="rId39" Type="http://schemas.openxmlformats.org/officeDocument/2006/relationships/hyperlink" Target="mailto:dewicsiwon@gmail.com" TargetMode="External"/><Relationship Id="rId38" Type="http://schemas.openxmlformats.org/officeDocument/2006/relationships/hyperlink" Target="mailto:ang.pahlewana@gmail.com" TargetMode="External"/><Relationship Id="rId62" Type="http://schemas.openxmlformats.org/officeDocument/2006/relationships/hyperlink" Target="mailto:istiqiffani@gmail.com" TargetMode="External"/><Relationship Id="rId61" Type="http://schemas.openxmlformats.org/officeDocument/2006/relationships/hyperlink" Target="mailto:elryzaj@gmail.com" TargetMode="External"/><Relationship Id="rId20" Type="http://schemas.openxmlformats.org/officeDocument/2006/relationships/hyperlink" Target="mailto:mariaqueena21@gmail.com" TargetMode="External"/><Relationship Id="rId64" Type="http://schemas.openxmlformats.org/officeDocument/2006/relationships/hyperlink" Target="mailto:hafidjanuarr@gmail.com" TargetMode="External"/><Relationship Id="rId63" Type="http://schemas.openxmlformats.org/officeDocument/2006/relationships/hyperlink" Target="mailto:renaldysafrim@gmail.com" TargetMode="External"/><Relationship Id="rId22" Type="http://schemas.openxmlformats.org/officeDocument/2006/relationships/hyperlink" Target="mailto:alfirasaputri476@gmail.com" TargetMode="External"/><Relationship Id="rId66" Type="http://schemas.openxmlformats.org/officeDocument/2006/relationships/hyperlink" Target="mailto:xputrind@gmail.com" TargetMode="External"/><Relationship Id="rId21" Type="http://schemas.openxmlformats.org/officeDocument/2006/relationships/hyperlink" Target="mailto:kus.wantosetro@gmail.com" TargetMode="External"/><Relationship Id="rId65" Type="http://schemas.openxmlformats.org/officeDocument/2006/relationships/hyperlink" Target="mailto:audyleatemia1@gmail.com" TargetMode="External"/><Relationship Id="rId24" Type="http://schemas.openxmlformats.org/officeDocument/2006/relationships/hyperlink" Target="mailto:rinianggita0505@gmail.com" TargetMode="External"/><Relationship Id="rId68" Type="http://schemas.openxmlformats.org/officeDocument/2006/relationships/hyperlink" Target="mailto:sultanisdolar@gmail.com" TargetMode="External"/><Relationship Id="rId23" Type="http://schemas.openxmlformats.org/officeDocument/2006/relationships/hyperlink" Target="mailto:ismanto@gmail.com" TargetMode="External"/><Relationship Id="rId67" Type="http://schemas.openxmlformats.org/officeDocument/2006/relationships/hyperlink" Target="mailto:satriaaripamungkas321@gmail.com" TargetMode="External"/><Relationship Id="rId60" Type="http://schemas.openxmlformats.org/officeDocument/2006/relationships/hyperlink" Target="mailto:zanianyahya@gmail.com" TargetMode="External"/><Relationship Id="rId26" Type="http://schemas.openxmlformats.org/officeDocument/2006/relationships/hyperlink" Target="mailto:devaanandaputri833@gmail.com" TargetMode="External"/><Relationship Id="rId25" Type="http://schemas.openxmlformats.org/officeDocument/2006/relationships/hyperlink" Target="mailto:megakupu88@gmail.com" TargetMode="External"/><Relationship Id="rId69" Type="http://schemas.openxmlformats.org/officeDocument/2006/relationships/hyperlink" Target="mailto:aprilliadwiu3@gmail.com" TargetMode="External"/><Relationship Id="rId28" Type="http://schemas.openxmlformats.org/officeDocument/2006/relationships/hyperlink" Target="mailto:yogalistianto5@gmail.com" TargetMode="External"/><Relationship Id="rId27" Type="http://schemas.openxmlformats.org/officeDocument/2006/relationships/hyperlink" Target="mailto:warzkfirman@gmail.com" TargetMode="External"/><Relationship Id="rId29" Type="http://schemas.openxmlformats.org/officeDocument/2006/relationships/hyperlink" Target="mailto:erzafebriana@gmail.com" TargetMode="External"/><Relationship Id="rId51" Type="http://schemas.openxmlformats.org/officeDocument/2006/relationships/hyperlink" Target="mailto:deviayu2345@gmail.com" TargetMode="External"/><Relationship Id="rId50" Type="http://schemas.openxmlformats.org/officeDocument/2006/relationships/hyperlink" Target="mailto:ditaindahra@gmail.com" TargetMode="External"/><Relationship Id="rId53" Type="http://schemas.openxmlformats.org/officeDocument/2006/relationships/hyperlink" Target="mailto:barnabas@trigunasamudratrans.net" TargetMode="External"/><Relationship Id="rId52" Type="http://schemas.openxmlformats.org/officeDocument/2006/relationships/hyperlink" Target="mailto:linandayuliana20@gmail.com" TargetMode="External"/><Relationship Id="rId11" Type="http://schemas.openxmlformats.org/officeDocument/2006/relationships/hyperlink" Target="mailto:tiaradwisunaryo@gmail.com" TargetMode="External"/><Relationship Id="rId55" Type="http://schemas.openxmlformats.org/officeDocument/2006/relationships/hyperlink" Target="mailto:nita05835@gmail.com" TargetMode="External"/><Relationship Id="rId10" Type="http://schemas.openxmlformats.org/officeDocument/2006/relationships/hyperlink" Target="mailto:raskhalik2112@gmail.com" TargetMode="External"/><Relationship Id="rId54" Type="http://schemas.openxmlformats.org/officeDocument/2006/relationships/hyperlink" Target="mailto:abdulfaiz840@gmail.com" TargetMode="External"/><Relationship Id="rId13" Type="http://schemas.openxmlformats.org/officeDocument/2006/relationships/hyperlink" Target="mailto:nani.trigunasamudra@gmail.com" TargetMode="External"/><Relationship Id="rId57" Type="http://schemas.openxmlformats.org/officeDocument/2006/relationships/hyperlink" Target="mailto:astutiksri461@gmail.com" TargetMode="External"/><Relationship Id="rId12" Type="http://schemas.openxmlformats.org/officeDocument/2006/relationships/hyperlink" Target="mailto:sumiatining@gmail.com" TargetMode="External"/><Relationship Id="rId56" Type="http://schemas.openxmlformats.org/officeDocument/2006/relationships/hyperlink" Target="mailto:nurjannihpratiwi@gmail.com" TargetMode="External"/><Relationship Id="rId15" Type="http://schemas.openxmlformats.org/officeDocument/2006/relationships/hyperlink" Target="mailto:evaakhusuma@gmail.com" TargetMode="External"/><Relationship Id="rId59" Type="http://schemas.openxmlformats.org/officeDocument/2006/relationships/hyperlink" Target="mailto:humaera.amir@gmail.com" TargetMode="External"/><Relationship Id="rId14" Type="http://schemas.openxmlformats.org/officeDocument/2006/relationships/hyperlink" Target="mailto:sholikulhakim175@gmail.com" TargetMode="External"/><Relationship Id="rId58" Type="http://schemas.openxmlformats.org/officeDocument/2006/relationships/hyperlink" Target="mailto:wandadeta732@gmail.com" TargetMode="External"/><Relationship Id="rId17" Type="http://schemas.openxmlformats.org/officeDocument/2006/relationships/hyperlink" Target="mailto:wawanblegedes754@gmail.com" TargetMode="External"/><Relationship Id="rId16" Type="http://schemas.openxmlformats.org/officeDocument/2006/relationships/hyperlink" Target="mailto:adriansyahtrisaputra@gmail.com" TargetMode="External"/><Relationship Id="rId19" Type="http://schemas.openxmlformats.org/officeDocument/2006/relationships/hyperlink" Target="mailto:andybagas78@gmail.com" TargetMode="External"/><Relationship Id="rId18" Type="http://schemas.openxmlformats.org/officeDocument/2006/relationships/hyperlink" Target="mailto:hanna.elok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m.safitri13@gmail.com" TargetMode="External"/><Relationship Id="rId3" Type="http://schemas.openxmlformats.org/officeDocument/2006/relationships/hyperlink" Target="mailto:nurhadianto2801@gmail.com" TargetMode="External"/><Relationship Id="rId4" Type="http://schemas.openxmlformats.org/officeDocument/2006/relationships/hyperlink" Target="mailto:muhamuhana01@gmail.com" TargetMode="External"/><Relationship Id="rId9" Type="http://schemas.openxmlformats.org/officeDocument/2006/relationships/hyperlink" Target="mailto:arifpurbawisesa@yahoo.com" TargetMode="External"/><Relationship Id="rId5" Type="http://schemas.openxmlformats.org/officeDocument/2006/relationships/hyperlink" Target="mailto:humaera.amir@gmail.com" TargetMode="External"/><Relationship Id="rId6" Type="http://schemas.openxmlformats.org/officeDocument/2006/relationships/hyperlink" Target="mailto:devaanandaputri833@gmail.com" TargetMode="External"/><Relationship Id="rId7" Type="http://schemas.openxmlformats.org/officeDocument/2006/relationships/hyperlink" Target="mailto:hafidjanuarr@gmail.com" TargetMode="External"/><Relationship Id="rId8" Type="http://schemas.openxmlformats.org/officeDocument/2006/relationships/hyperlink" Target="mailto:d.chafidz@gmail.com" TargetMode="External"/><Relationship Id="rId20" Type="http://schemas.openxmlformats.org/officeDocument/2006/relationships/hyperlink" Target="mailto:santosojawahir@gmail.com" TargetMode="External"/><Relationship Id="rId22" Type="http://schemas.openxmlformats.org/officeDocument/2006/relationships/hyperlink" Target="mailto:andybagas78@gmail.com" TargetMode="External"/><Relationship Id="rId21" Type="http://schemas.openxmlformats.org/officeDocument/2006/relationships/hyperlink" Target="mailto:setyawanferi495@gmail.com" TargetMode="External"/><Relationship Id="rId24" Type="http://schemas.openxmlformats.org/officeDocument/2006/relationships/hyperlink" Target="mailto:linandayuliana20@gmail.com" TargetMode="External"/><Relationship Id="rId23" Type="http://schemas.openxmlformats.org/officeDocument/2006/relationships/hyperlink" Target="mailto:sumiatining@gmail.com" TargetMode="External"/><Relationship Id="rId26" Type="http://schemas.openxmlformats.org/officeDocument/2006/relationships/vmlDrawing" Target="../drawings/vmlDrawing3.vml"/><Relationship Id="rId25" Type="http://schemas.openxmlformats.org/officeDocument/2006/relationships/drawing" Target="../drawings/drawing9.xml"/><Relationship Id="rId11" Type="http://schemas.openxmlformats.org/officeDocument/2006/relationships/hyperlink" Target="mailto:agus45227@gmail.com" TargetMode="External"/><Relationship Id="rId10" Type="http://schemas.openxmlformats.org/officeDocument/2006/relationships/hyperlink" Target="mailto:satriaaripamungkas321@gmail.com" TargetMode="External"/><Relationship Id="rId13" Type="http://schemas.openxmlformats.org/officeDocument/2006/relationships/hyperlink" Target="mailto:ismanto@gmail.com" TargetMode="External"/><Relationship Id="rId12" Type="http://schemas.openxmlformats.org/officeDocument/2006/relationships/hyperlink" Target="mailto:Riswansulaeman98@gmail.com" TargetMode="External"/><Relationship Id="rId15" Type="http://schemas.openxmlformats.org/officeDocument/2006/relationships/hyperlink" Target="mailto:deviayu2345@gmail.com" TargetMode="External"/><Relationship Id="rId14" Type="http://schemas.openxmlformats.org/officeDocument/2006/relationships/hyperlink" Target="mailto:aprilliadwiu3@gmail.com" TargetMode="External"/><Relationship Id="rId17" Type="http://schemas.openxmlformats.org/officeDocument/2006/relationships/hyperlink" Target="mailto:sugiatnonouk@gmail.com" TargetMode="External"/><Relationship Id="rId16" Type="http://schemas.openxmlformats.org/officeDocument/2006/relationships/hyperlink" Target="mailto:handayanii.said@gmail.com" TargetMode="External"/><Relationship Id="rId19" Type="http://schemas.openxmlformats.org/officeDocument/2006/relationships/hyperlink" Target="mailto:nita05835@gmail.com" TargetMode="External"/><Relationship Id="rId18" Type="http://schemas.openxmlformats.org/officeDocument/2006/relationships/hyperlink" Target="mailto:vittamusdiana5@gmail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14"/>
    <col customWidth="1" min="2" max="2" width="32.71"/>
    <col customWidth="1" min="3" max="4" width="18.43"/>
    <col customWidth="1" min="5" max="5" width="14.0"/>
    <col customWidth="1" min="6" max="6" width="20.86"/>
    <col customWidth="1" min="7" max="7" width="43.29"/>
    <col customWidth="1" min="8" max="8" width="45.14"/>
    <col customWidth="1" min="9" max="9" width="29.57"/>
    <col customWidth="1" min="10" max="10" width="15.57"/>
    <col customWidth="1" min="11" max="11" width="14.86"/>
    <col customWidth="1" min="12" max="12" width="9.14"/>
    <col customWidth="1" min="13" max="13" width="25.0"/>
    <col customWidth="1" min="14" max="14" width="19.86"/>
    <col customWidth="1" min="15" max="15" width="17.0"/>
    <col customWidth="1" min="16" max="16" width="23.29"/>
    <col customWidth="1" min="17" max="17" width="9.14"/>
    <col customWidth="1" min="18" max="18" width="9.71"/>
    <col customWidth="1" min="19" max="19" width="16.0"/>
    <col customWidth="1" min="20" max="20" width="21.14"/>
    <col customWidth="1" min="21" max="21" width="19.0"/>
    <col customWidth="1" min="22" max="22" width="20.86"/>
    <col customWidth="1" min="23" max="23" width="53.57"/>
    <col customWidth="1" min="24" max="24" width="31.57"/>
    <col customWidth="1" min="25" max="25" width="21.57"/>
    <col customWidth="1" min="26" max="26" width="17.29"/>
    <col customWidth="1" min="27" max="27" width="28.29"/>
    <col customWidth="1" min="28" max="28" width="26.57"/>
    <col customWidth="1" min="29" max="29" width="9.29"/>
    <col customWidth="1" min="30" max="32" width="9.14"/>
    <col customWidth="1" min="33" max="33" width="18.71"/>
    <col customWidth="1" min="34" max="34" width="21.71"/>
    <col customWidth="1" min="35" max="35" width="20.57"/>
    <col customWidth="1" min="36" max="36" width="23.43"/>
    <col customWidth="1" min="37" max="37" width="13.29"/>
    <col customWidth="1" min="38" max="38" width="19.86"/>
    <col customWidth="1" min="39" max="39" width="17.57"/>
    <col customWidth="1" min="40" max="40" width="19.29"/>
    <col customWidth="1" min="41" max="41" width="19.14"/>
    <col customWidth="1" min="42" max="42" width="24.43"/>
    <col customWidth="1" min="43" max="43" width="19.57"/>
    <col customWidth="1" min="44" max="44" width="16.71"/>
    <col customWidth="1" min="45" max="45" width="18.0"/>
    <col customWidth="1" min="46" max="46" width="15.57"/>
    <col customWidth="1" min="47" max="47" width="23.14"/>
    <col customWidth="1" min="48" max="90" width="9.14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1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12" t="s">
        <v>34</v>
      </c>
      <c r="AJ1" s="4" t="s">
        <v>35</v>
      </c>
      <c r="AK1" s="4" t="s">
        <v>36</v>
      </c>
      <c r="AL1" s="5" t="s">
        <v>37</v>
      </c>
      <c r="AM1" s="13" t="s">
        <v>38</v>
      </c>
      <c r="AN1" s="4" t="s">
        <v>39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8"/>
      <c r="CG1" s="8"/>
      <c r="CH1" s="8"/>
      <c r="CI1" s="8"/>
      <c r="CJ1" s="8"/>
      <c r="CK1" s="8"/>
      <c r="CL1" s="8"/>
    </row>
    <row r="2" ht="15.75" customHeight="1">
      <c r="A2" s="14">
        <v>1.0</v>
      </c>
      <c r="B2" s="15" t="s">
        <v>40</v>
      </c>
      <c r="C2" s="16" t="s">
        <v>41</v>
      </c>
      <c r="D2" s="17"/>
      <c r="E2" s="18"/>
      <c r="F2" s="19" t="s">
        <v>42</v>
      </c>
      <c r="G2" s="20"/>
      <c r="H2" s="21" t="s">
        <v>43</v>
      </c>
      <c r="I2" s="17"/>
      <c r="J2" s="17"/>
      <c r="K2" s="21" t="s">
        <v>44</v>
      </c>
      <c r="L2" s="22" t="s">
        <v>45</v>
      </c>
      <c r="M2" s="23" t="s">
        <v>46</v>
      </c>
      <c r="N2" s="24" t="s">
        <v>47</v>
      </c>
      <c r="O2" s="25"/>
      <c r="P2" s="26"/>
      <c r="Q2" s="20" t="s">
        <v>48</v>
      </c>
      <c r="R2" s="17"/>
      <c r="S2" s="17" t="s">
        <v>49</v>
      </c>
      <c r="T2" s="23" t="s">
        <v>50</v>
      </c>
      <c r="U2" s="27" t="s">
        <v>51</v>
      </c>
      <c r="V2" s="17"/>
      <c r="W2" s="17" t="s">
        <v>52</v>
      </c>
      <c r="X2" s="17"/>
      <c r="Y2" s="28" t="s">
        <v>53</v>
      </c>
      <c r="Z2" s="28" t="s">
        <v>51</v>
      </c>
      <c r="AA2" s="28" t="s">
        <v>54</v>
      </c>
      <c r="AB2" s="17" t="s">
        <v>55</v>
      </c>
      <c r="AC2" s="17">
        <v>60134.0</v>
      </c>
      <c r="AD2" s="17"/>
      <c r="AE2" s="17"/>
      <c r="AF2" s="13" t="s">
        <v>56</v>
      </c>
      <c r="AG2" s="17"/>
      <c r="AH2" s="29" t="s">
        <v>57</v>
      </c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30">
        <v>46100.0</v>
      </c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25"/>
      <c r="CG2" s="25"/>
      <c r="CH2" s="25"/>
      <c r="CI2" s="25"/>
      <c r="CJ2" s="25"/>
      <c r="CK2" s="25"/>
      <c r="CL2" s="25"/>
    </row>
    <row r="3" ht="15.75" customHeight="1">
      <c r="A3" s="14">
        <v>2.0</v>
      </c>
      <c r="B3" s="15" t="s">
        <v>58</v>
      </c>
      <c r="C3" s="16" t="s">
        <v>41</v>
      </c>
      <c r="D3" s="17"/>
      <c r="E3" s="18"/>
      <c r="F3" s="19" t="s">
        <v>59</v>
      </c>
      <c r="G3" s="20"/>
      <c r="H3" s="21" t="s">
        <v>60</v>
      </c>
      <c r="I3" s="17"/>
      <c r="J3" s="17"/>
      <c r="K3" s="21" t="s">
        <v>44</v>
      </c>
      <c r="L3" s="22" t="s">
        <v>45</v>
      </c>
      <c r="M3" s="23" t="s">
        <v>61</v>
      </c>
      <c r="N3" s="24" t="s">
        <v>62</v>
      </c>
      <c r="O3" s="25"/>
      <c r="P3" s="26"/>
      <c r="Q3" s="20" t="s">
        <v>48</v>
      </c>
      <c r="R3" s="17"/>
      <c r="S3" s="17" t="s">
        <v>49</v>
      </c>
      <c r="T3" s="23" t="s">
        <v>63</v>
      </c>
      <c r="U3" s="27" t="s">
        <v>64</v>
      </c>
      <c r="V3" s="17"/>
      <c r="W3" s="17" t="s">
        <v>52</v>
      </c>
      <c r="X3" s="17"/>
      <c r="Y3" s="28" t="s">
        <v>53</v>
      </c>
      <c r="Z3" s="28" t="s">
        <v>51</v>
      </c>
      <c r="AA3" s="28" t="s">
        <v>54</v>
      </c>
      <c r="AB3" s="17" t="s">
        <v>55</v>
      </c>
      <c r="AC3" s="17">
        <v>60134.0</v>
      </c>
      <c r="AD3" s="17"/>
      <c r="AE3" s="17"/>
      <c r="AF3" s="12" t="s">
        <v>65</v>
      </c>
      <c r="AG3" s="17"/>
      <c r="AH3" s="29" t="s">
        <v>66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25"/>
      <c r="CG3" s="25"/>
      <c r="CH3" s="25"/>
      <c r="CI3" s="25"/>
      <c r="CJ3" s="25"/>
      <c r="CK3" s="25"/>
      <c r="CL3" s="25"/>
    </row>
    <row r="4" ht="15.75" customHeight="1">
      <c r="A4" s="14">
        <v>3.0</v>
      </c>
      <c r="B4" s="15" t="s">
        <v>67</v>
      </c>
      <c r="C4" s="16" t="s">
        <v>41</v>
      </c>
      <c r="D4" s="17"/>
      <c r="E4" s="18"/>
      <c r="F4" s="19" t="s">
        <v>59</v>
      </c>
      <c r="G4" s="20"/>
      <c r="H4" s="21" t="s">
        <v>60</v>
      </c>
      <c r="I4" s="17"/>
      <c r="J4" s="17"/>
      <c r="K4" s="21" t="s">
        <v>44</v>
      </c>
      <c r="L4" s="22" t="s">
        <v>45</v>
      </c>
      <c r="M4" s="23" t="s">
        <v>61</v>
      </c>
      <c r="N4" s="31" t="s">
        <v>68</v>
      </c>
      <c r="O4" s="25"/>
      <c r="P4" s="26"/>
      <c r="Q4" s="20" t="s">
        <v>48</v>
      </c>
      <c r="R4" s="17"/>
      <c r="S4" s="17" t="s">
        <v>69</v>
      </c>
      <c r="T4" s="32" t="s">
        <v>70</v>
      </c>
      <c r="U4" s="27" t="s">
        <v>64</v>
      </c>
      <c r="V4" s="17"/>
      <c r="W4" s="17" t="s">
        <v>52</v>
      </c>
      <c r="X4" s="17"/>
      <c r="Y4" s="28" t="s">
        <v>53</v>
      </c>
      <c r="Z4" s="28" t="s">
        <v>51</v>
      </c>
      <c r="AA4" s="28" t="s">
        <v>54</v>
      </c>
      <c r="AB4" s="17" t="s">
        <v>55</v>
      </c>
      <c r="AC4" s="17">
        <v>60134.0</v>
      </c>
      <c r="AD4" s="17"/>
      <c r="AE4" s="17"/>
      <c r="AF4" s="13" t="s">
        <v>71</v>
      </c>
      <c r="AG4" s="17"/>
      <c r="AH4" s="29" t="s">
        <v>66</v>
      </c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25"/>
      <c r="CG4" s="25"/>
      <c r="CH4" s="25"/>
      <c r="CI4" s="25"/>
      <c r="CJ4" s="25"/>
      <c r="CK4" s="25"/>
      <c r="CL4" s="25"/>
    </row>
    <row r="5" ht="12.75" customHeight="1">
      <c r="A5" s="14">
        <v>4.0</v>
      </c>
      <c r="B5" s="15" t="s">
        <v>72</v>
      </c>
      <c r="C5" s="16" t="s">
        <v>41</v>
      </c>
      <c r="D5" s="17"/>
      <c r="E5" s="18"/>
      <c r="F5" s="19" t="s">
        <v>73</v>
      </c>
      <c r="G5" s="20"/>
      <c r="H5" s="21" t="s">
        <v>60</v>
      </c>
      <c r="I5" s="17"/>
      <c r="J5" s="17"/>
      <c r="K5" s="21" t="s">
        <v>44</v>
      </c>
      <c r="L5" s="33" t="s">
        <v>74</v>
      </c>
      <c r="M5" s="21" t="s">
        <v>75</v>
      </c>
      <c r="N5" s="31" t="s">
        <v>76</v>
      </c>
      <c r="O5" s="25"/>
      <c r="P5" s="26"/>
      <c r="Q5" s="20"/>
      <c r="R5" s="17"/>
      <c r="S5" s="17" t="s">
        <v>69</v>
      </c>
      <c r="T5" s="29" t="s">
        <v>77</v>
      </c>
      <c r="U5" s="27" t="s">
        <v>64</v>
      </c>
      <c r="V5" s="17"/>
      <c r="W5" s="21" t="s">
        <v>78</v>
      </c>
      <c r="X5" s="17"/>
      <c r="Y5" s="28" t="s">
        <v>53</v>
      </c>
      <c r="Z5" s="28" t="s">
        <v>51</v>
      </c>
      <c r="AA5" s="21" t="s">
        <v>79</v>
      </c>
      <c r="AB5" s="21" t="s">
        <v>80</v>
      </c>
      <c r="AC5" s="17"/>
      <c r="AD5" s="17"/>
      <c r="AE5" s="17"/>
      <c r="AF5" s="12" t="s">
        <v>81</v>
      </c>
      <c r="AG5" s="17"/>
      <c r="AH5" s="29" t="s">
        <v>82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25"/>
      <c r="CG5" s="25"/>
      <c r="CH5" s="25"/>
      <c r="CI5" s="25"/>
      <c r="CJ5" s="25"/>
      <c r="CK5" s="25"/>
      <c r="CL5" s="25"/>
    </row>
    <row r="6" ht="15.75" customHeight="1">
      <c r="A6" s="14">
        <v>5.0</v>
      </c>
      <c r="B6" s="34" t="s">
        <v>83</v>
      </c>
      <c r="C6" s="16" t="s">
        <v>84</v>
      </c>
      <c r="D6" s="17"/>
      <c r="E6" s="18"/>
      <c r="F6" s="19" t="s">
        <v>85</v>
      </c>
      <c r="G6" s="20"/>
      <c r="H6" s="21" t="s">
        <v>60</v>
      </c>
      <c r="I6" s="17"/>
      <c r="J6" s="17"/>
      <c r="K6" s="21" t="s">
        <v>44</v>
      </c>
      <c r="L6" s="22" t="s">
        <v>45</v>
      </c>
      <c r="M6" s="23" t="s">
        <v>61</v>
      </c>
      <c r="N6" s="24" t="s">
        <v>86</v>
      </c>
      <c r="O6" s="25"/>
      <c r="P6" s="26"/>
      <c r="Q6" s="20" t="s">
        <v>87</v>
      </c>
      <c r="R6" s="17"/>
      <c r="S6" s="17" t="s">
        <v>69</v>
      </c>
      <c r="T6" s="32" t="s">
        <v>88</v>
      </c>
      <c r="U6" s="27" t="s">
        <v>51</v>
      </c>
      <c r="V6" s="17"/>
      <c r="W6" s="17" t="s">
        <v>52</v>
      </c>
      <c r="X6" s="17"/>
      <c r="Y6" s="28" t="s">
        <v>53</v>
      </c>
      <c r="Z6" s="28" t="s">
        <v>51</v>
      </c>
      <c r="AA6" s="28" t="s">
        <v>54</v>
      </c>
      <c r="AB6" s="17" t="s">
        <v>55</v>
      </c>
      <c r="AC6" s="17">
        <v>60134.0</v>
      </c>
      <c r="AD6" s="17"/>
      <c r="AE6" s="17"/>
      <c r="AF6" s="12" t="s">
        <v>71</v>
      </c>
      <c r="AG6" s="17"/>
      <c r="AH6" s="29" t="s">
        <v>89</v>
      </c>
      <c r="AI6" s="17"/>
      <c r="AJ6" s="17"/>
      <c r="AK6" s="17"/>
      <c r="AL6" s="17">
        <f>subtotal(3,AL7:AL219)</f>
        <v>134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25"/>
      <c r="CG6" s="25"/>
      <c r="CH6" s="25"/>
      <c r="CI6" s="25"/>
      <c r="CJ6" s="25"/>
      <c r="CK6" s="25"/>
      <c r="CL6" s="25"/>
    </row>
    <row r="7">
      <c r="A7" s="35">
        <v>1.0</v>
      </c>
      <c r="B7" s="36" t="s">
        <v>90</v>
      </c>
      <c r="C7" s="37" t="s">
        <v>41</v>
      </c>
      <c r="D7" s="38" t="s">
        <v>91</v>
      </c>
      <c r="E7" s="39" t="s">
        <v>92</v>
      </c>
      <c r="F7" s="40" t="s">
        <v>93</v>
      </c>
      <c r="G7" s="41" t="s">
        <v>94</v>
      </c>
      <c r="H7" s="42" t="s">
        <v>95</v>
      </c>
      <c r="I7" s="43" t="s">
        <v>96</v>
      </c>
      <c r="J7" s="44" t="s">
        <v>97</v>
      </c>
      <c r="K7" s="38" t="s">
        <v>44</v>
      </c>
      <c r="L7" s="45" t="s">
        <v>98</v>
      </c>
      <c r="M7" s="46" t="s">
        <v>99</v>
      </c>
      <c r="N7" s="46" t="s">
        <v>100</v>
      </c>
      <c r="O7" s="45" t="s">
        <v>101</v>
      </c>
      <c r="P7" s="47">
        <v>5.8810105617E10</v>
      </c>
      <c r="Q7" s="45" t="s">
        <v>48</v>
      </c>
      <c r="R7" s="48"/>
      <c r="S7" s="38" t="s">
        <v>69</v>
      </c>
      <c r="T7" s="49" t="s">
        <v>102</v>
      </c>
      <c r="U7" s="38" t="s">
        <v>51</v>
      </c>
      <c r="V7" s="38"/>
      <c r="W7" s="38" t="s">
        <v>103</v>
      </c>
      <c r="X7" s="38"/>
      <c r="Y7" s="38" t="s">
        <v>53</v>
      </c>
      <c r="Z7" s="38" t="s">
        <v>51</v>
      </c>
      <c r="AA7" s="38" t="s">
        <v>104</v>
      </c>
      <c r="AB7" s="38" t="s">
        <v>105</v>
      </c>
      <c r="AC7" s="45">
        <v>60128.0</v>
      </c>
      <c r="AD7" s="38"/>
      <c r="AE7" s="38"/>
      <c r="AF7" s="50" t="s">
        <v>71</v>
      </c>
      <c r="AG7" s="48"/>
      <c r="AH7" s="51" t="s">
        <v>106</v>
      </c>
      <c r="AI7" s="52">
        <v>1.8027094046E10</v>
      </c>
      <c r="AJ7" s="40" t="s">
        <v>107</v>
      </c>
      <c r="AK7" s="38" t="s">
        <v>108</v>
      </c>
      <c r="AL7" s="45" t="str">
        <f t="shared" ref="AL7:AL8" si="1">DATEDIF(AM7,NOW(),"y")&amp;" Tahun "&amp;DATEDIF(AM7,NOW(),"ym")&amp;" Bulan"</f>
        <v>35 Tahun 11 Bulan</v>
      </c>
      <c r="AM7" s="53">
        <v>33008.0</v>
      </c>
      <c r="AN7" s="38"/>
      <c r="AO7" s="54">
        <f>now()</f>
        <v>46133.06282</v>
      </c>
      <c r="AP7" s="38"/>
      <c r="AW7" s="45" t="str">
        <f t="shared" ref="AW7:AW8" si="2">DATEDIF(AM7,$AW$2,"Y") &amp; " Tahun " &amp; DATEDIF(AM7,$AW$2,"YM") &amp; " Bulan"</f>
        <v>35 Tahun 10 Bulan</v>
      </c>
    </row>
    <row r="8" ht="15.0" customHeight="1">
      <c r="A8" s="35">
        <v>2.0</v>
      </c>
      <c r="B8" s="55" t="s">
        <v>109</v>
      </c>
      <c r="C8" s="56" t="s">
        <v>41</v>
      </c>
      <c r="D8" s="57" t="s">
        <v>91</v>
      </c>
      <c r="E8" s="58" t="s">
        <v>110</v>
      </c>
      <c r="F8" s="59" t="s">
        <v>111</v>
      </c>
      <c r="G8" s="60" t="s">
        <v>112</v>
      </c>
      <c r="H8" s="61" t="s">
        <v>113</v>
      </c>
      <c r="I8" s="62" t="s">
        <v>114</v>
      </c>
      <c r="J8" s="63" t="s">
        <v>115</v>
      </c>
      <c r="K8" s="57" t="s">
        <v>44</v>
      </c>
      <c r="L8" s="57" t="s">
        <v>98</v>
      </c>
      <c r="M8" s="64" t="s">
        <v>116</v>
      </c>
      <c r="N8" s="64" t="s">
        <v>117</v>
      </c>
      <c r="O8" s="57" t="s">
        <v>101</v>
      </c>
      <c r="P8" s="65">
        <v>5.8810105385E10</v>
      </c>
      <c r="Q8" s="57" t="s">
        <v>87</v>
      </c>
      <c r="R8" s="55"/>
      <c r="S8" s="57" t="s">
        <v>49</v>
      </c>
      <c r="T8" s="66" t="s">
        <v>118</v>
      </c>
      <c r="U8" s="57" t="s">
        <v>119</v>
      </c>
      <c r="V8" s="57"/>
      <c r="W8" s="57" t="s">
        <v>120</v>
      </c>
      <c r="X8" s="57" t="s">
        <v>121</v>
      </c>
      <c r="Y8" s="57" t="s">
        <v>53</v>
      </c>
      <c r="Z8" s="57" t="s">
        <v>122</v>
      </c>
      <c r="AA8" s="57" t="s">
        <v>123</v>
      </c>
      <c r="AB8" s="57" t="s">
        <v>124</v>
      </c>
      <c r="AC8" s="57">
        <v>63352.0</v>
      </c>
      <c r="AD8" s="57"/>
      <c r="AE8" s="57"/>
      <c r="AF8" s="67" t="s">
        <v>56</v>
      </c>
      <c r="AG8" s="55"/>
      <c r="AH8" s="55" t="s">
        <v>125</v>
      </c>
      <c r="AI8" s="68">
        <v>1.8027093865E10</v>
      </c>
      <c r="AJ8" s="59" t="s">
        <v>126</v>
      </c>
      <c r="AK8" s="57" t="s">
        <v>108</v>
      </c>
      <c r="AL8" s="45" t="str">
        <f t="shared" si="1"/>
        <v>29 Tahun 3 Bulan</v>
      </c>
      <c r="AM8" s="69">
        <v>35431.0</v>
      </c>
      <c r="AN8" s="57"/>
      <c r="AO8" s="57"/>
      <c r="AP8" s="57"/>
      <c r="AQ8" s="57"/>
      <c r="AR8" s="57"/>
      <c r="AS8" s="57"/>
      <c r="AT8" s="57"/>
      <c r="AU8" s="57"/>
      <c r="AV8" s="57"/>
      <c r="AW8" s="45" t="str">
        <f t="shared" si="2"/>
        <v>29 Tahun 2 Bulan</v>
      </c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</row>
    <row r="9" ht="15.0" hidden="1" customHeight="1">
      <c r="A9" s="70">
        <v>3.0</v>
      </c>
      <c r="B9" s="71" t="s">
        <v>127</v>
      </c>
      <c r="C9" s="72"/>
      <c r="D9" s="73" t="s">
        <v>91</v>
      </c>
      <c r="E9" s="74" t="s">
        <v>128</v>
      </c>
      <c r="F9" s="75" t="s">
        <v>129</v>
      </c>
      <c r="G9" s="76" t="s">
        <v>130</v>
      </c>
      <c r="H9" s="77" t="s">
        <v>113</v>
      </c>
      <c r="I9" s="78" t="s">
        <v>114</v>
      </c>
      <c r="J9" s="79"/>
      <c r="K9" s="73" t="s">
        <v>44</v>
      </c>
      <c r="L9" s="73" t="s">
        <v>98</v>
      </c>
      <c r="M9" s="80" t="s">
        <v>131</v>
      </c>
      <c r="N9" s="80" t="s">
        <v>132</v>
      </c>
      <c r="O9" s="73" t="s">
        <v>101</v>
      </c>
      <c r="P9" s="81"/>
      <c r="Q9" s="73" t="s">
        <v>133</v>
      </c>
      <c r="R9" s="82"/>
      <c r="S9" s="73" t="s">
        <v>49</v>
      </c>
      <c r="T9" s="83" t="s">
        <v>134</v>
      </c>
      <c r="U9" s="73" t="s">
        <v>135</v>
      </c>
      <c r="V9" s="73"/>
      <c r="W9" s="73" t="s">
        <v>136</v>
      </c>
      <c r="X9" s="73"/>
      <c r="Y9" s="73" t="s">
        <v>53</v>
      </c>
      <c r="Z9" s="73" t="s">
        <v>51</v>
      </c>
      <c r="AA9" s="73" t="s">
        <v>137</v>
      </c>
      <c r="AB9" s="73" t="s">
        <v>138</v>
      </c>
      <c r="AC9" s="73">
        <v>60199.0</v>
      </c>
      <c r="AD9" s="73"/>
      <c r="AE9" s="73"/>
      <c r="AF9" s="73" t="s">
        <v>139</v>
      </c>
      <c r="AG9" s="82"/>
      <c r="AH9" s="84" t="s">
        <v>125</v>
      </c>
      <c r="AI9" s="85">
        <v>1.8027093832E10</v>
      </c>
      <c r="AJ9" s="73" t="s">
        <v>140</v>
      </c>
      <c r="AK9" s="73" t="s">
        <v>108</v>
      </c>
      <c r="AL9" s="73"/>
      <c r="AM9" s="86">
        <v>37622.0</v>
      </c>
      <c r="AN9" s="73"/>
      <c r="AO9" s="73" t="s">
        <v>141</v>
      </c>
      <c r="AP9" s="73" t="s">
        <v>141</v>
      </c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</row>
    <row r="10" ht="15.0" customHeight="1">
      <c r="A10" s="35">
        <v>4.0</v>
      </c>
      <c r="B10" s="57" t="s">
        <v>142</v>
      </c>
      <c r="C10" s="56" t="s">
        <v>41</v>
      </c>
      <c r="D10" s="57" t="s">
        <v>91</v>
      </c>
      <c r="E10" s="58" t="s">
        <v>143</v>
      </c>
      <c r="F10" s="59" t="s">
        <v>144</v>
      </c>
      <c r="G10" s="60" t="s">
        <v>145</v>
      </c>
      <c r="H10" s="61" t="s">
        <v>113</v>
      </c>
      <c r="I10" s="62" t="s">
        <v>114</v>
      </c>
      <c r="J10" s="87" t="s">
        <v>115</v>
      </c>
      <c r="K10" s="57" t="s">
        <v>44</v>
      </c>
      <c r="L10" s="57" t="s">
        <v>98</v>
      </c>
      <c r="M10" s="88" t="s">
        <v>146</v>
      </c>
      <c r="N10" s="88" t="s">
        <v>147</v>
      </c>
      <c r="O10" s="57" t="s">
        <v>101</v>
      </c>
      <c r="P10" s="65">
        <v>5.8810105351E10</v>
      </c>
      <c r="Q10" s="57" t="s">
        <v>87</v>
      </c>
      <c r="R10" s="55"/>
      <c r="S10" s="57" t="s">
        <v>49</v>
      </c>
      <c r="T10" s="89" t="s">
        <v>148</v>
      </c>
      <c r="U10" s="57" t="s">
        <v>135</v>
      </c>
      <c r="V10" s="57"/>
      <c r="W10" s="57" t="s">
        <v>149</v>
      </c>
      <c r="X10" s="57"/>
      <c r="Y10" s="57" t="s">
        <v>53</v>
      </c>
      <c r="Z10" s="57" t="s">
        <v>135</v>
      </c>
      <c r="AA10" s="57" t="s">
        <v>150</v>
      </c>
      <c r="AB10" s="57" t="s">
        <v>151</v>
      </c>
      <c r="AC10" s="57">
        <v>63153.0</v>
      </c>
      <c r="AD10" s="57"/>
      <c r="AE10" s="57"/>
      <c r="AF10" s="90" t="s">
        <v>65</v>
      </c>
      <c r="AG10" s="55"/>
      <c r="AH10" s="55" t="s">
        <v>125</v>
      </c>
      <c r="AI10" s="68">
        <v>1.8027093949E10</v>
      </c>
      <c r="AJ10" s="57" t="s">
        <v>152</v>
      </c>
      <c r="AK10" s="57" t="s">
        <v>108</v>
      </c>
      <c r="AL10" s="57" t="str">
        <f t="shared" ref="AL10:AL15" si="3">DATEDIF(AM10,NOW(),"y")&amp;" Tahun "&amp;DATEDIF(AM10,NOW(),"ym")&amp;" Bulan"</f>
        <v>21 Tahun 8 Bulan</v>
      </c>
      <c r="AM10" s="91">
        <v>38201.0</v>
      </c>
      <c r="AN10" s="57"/>
      <c r="AO10" s="57"/>
      <c r="AP10" s="57"/>
      <c r="AQ10" s="57"/>
      <c r="AR10" s="57"/>
      <c r="AS10" s="57"/>
      <c r="AT10" s="57"/>
      <c r="AU10" s="57"/>
      <c r="AV10" s="57"/>
      <c r="AW10" s="45" t="str">
        <f t="shared" ref="AW10:AW15" si="4">DATEDIF(AM10,$AW$2,"Y") &amp; " Tahun " &amp; DATEDIF(AM10,$AW$2,"YM") &amp; " Bulan"</f>
        <v>21 Tahun 7 Bulan</v>
      </c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</row>
    <row r="11" ht="15.75" customHeight="1">
      <c r="A11" s="35">
        <v>5.0</v>
      </c>
      <c r="B11" s="57" t="s">
        <v>153</v>
      </c>
      <c r="C11" s="37" t="s">
        <v>41</v>
      </c>
      <c r="D11" s="45" t="s">
        <v>91</v>
      </c>
      <c r="E11" s="92" t="s">
        <v>154</v>
      </c>
      <c r="F11" s="93" t="s">
        <v>155</v>
      </c>
      <c r="G11" s="94" t="s">
        <v>156</v>
      </c>
      <c r="H11" s="95" t="s">
        <v>157</v>
      </c>
      <c r="I11" s="62" t="s">
        <v>114</v>
      </c>
      <c r="J11" s="96" t="s">
        <v>115</v>
      </c>
      <c r="K11" s="45" t="s">
        <v>44</v>
      </c>
      <c r="L11" s="45" t="s">
        <v>98</v>
      </c>
      <c r="M11" s="46" t="s">
        <v>158</v>
      </c>
      <c r="N11" s="46" t="s">
        <v>159</v>
      </c>
      <c r="O11" s="45" t="s">
        <v>101</v>
      </c>
      <c r="P11" s="47">
        <v>5.8810105468E10</v>
      </c>
      <c r="Q11" s="45" t="s">
        <v>48</v>
      </c>
      <c r="R11" s="97"/>
      <c r="S11" s="45" t="s">
        <v>49</v>
      </c>
      <c r="T11" s="49" t="s">
        <v>160</v>
      </c>
      <c r="U11" s="45" t="s">
        <v>161</v>
      </c>
      <c r="W11" s="45" t="s">
        <v>162</v>
      </c>
      <c r="Y11" s="45" t="s">
        <v>53</v>
      </c>
      <c r="Z11" s="45" t="s">
        <v>163</v>
      </c>
      <c r="AA11" s="45" t="s">
        <v>164</v>
      </c>
      <c r="AB11" s="45" t="s">
        <v>165</v>
      </c>
      <c r="AC11" s="45">
        <v>61256.0</v>
      </c>
      <c r="AF11" s="98" t="s">
        <v>139</v>
      </c>
      <c r="AG11" s="97"/>
      <c r="AH11" s="99" t="s">
        <v>125</v>
      </c>
      <c r="AI11" s="52">
        <v>1.8027093972E10</v>
      </c>
      <c r="AJ11" s="45" t="s">
        <v>166</v>
      </c>
      <c r="AK11" s="45" t="s">
        <v>108</v>
      </c>
      <c r="AL11" s="45" t="str">
        <f t="shared" si="3"/>
        <v>19 Tahun 7 Bulan</v>
      </c>
      <c r="AM11" s="100">
        <v>38961.0</v>
      </c>
      <c r="AW11" s="45" t="str">
        <f t="shared" si="4"/>
        <v>19 Tahun 6 Bulan</v>
      </c>
    </row>
    <row r="12" ht="15.0" customHeight="1">
      <c r="A12" s="35">
        <v>6.0</v>
      </c>
      <c r="B12" s="57" t="s">
        <v>167</v>
      </c>
      <c r="C12" s="37" t="s">
        <v>41</v>
      </c>
      <c r="D12" s="45" t="s">
        <v>91</v>
      </c>
      <c r="E12" s="92" t="s">
        <v>168</v>
      </c>
      <c r="F12" s="93" t="s">
        <v>169</v>
      </c>
      <c r="G12" s="94" t="s">
        <v>170</v>
      </c>
      <c r="H12" s="95" t="s">
        <v>171</v>
      </c>
      <c r="I12" s="62" t="s">
        <v>114</v>
      </c>
      <c r="J12" s="96" t="s">
        <v>172</v>
      </c>
      <c r="K12" s="45" t="s">
        <v>44</v>
      </c>
      <c r="L12" s="45" t="s">
        <v>98</v>
      </c>
      <c r="M12" s="46" t="s">
        <v>173</v>
      </c>
      <c r="N12" s="46" t="s">
        <v>174</v>
      </c>
      <c r="O12" s="45" t="s">
        <v>101</v>
      </c>
      <c r="P12" s="47">
        <v>5.8810105484E10</v>
      </c>
      <c r="Q12" s="45" t="s">
        <v>48</v>
      </c>
      <c r="R12" s="97"/>
      <c r="S12" s="45" t="s">
        <v>49</v>
      </c>
      <c r="T12" s="49" t="s">
        <v>175</v>
      </c>
      <c r="U12" s="45" t="s">
        <v>51</v>
      </c>
      <c r="W12" s="45" t="s">
        <v>176</v>
      </c>
      <c r="Y12" s="45" t="s">
        <v>53</v>
      </c>
      <c r="Z12" s="45" t="s">
        <v>51</v>
      </c>
      <c r="AA12" s="45" t="s">
        <v>177</v>
      </c>
      <c r="AB12" s="45" t="s">
        <v>178</v>
      </c>
      <c r="AC12" s="45">
        <v>60254.0</v>
      </c>
      <c r="AF12" s="98" t="s">
        <v>56</v>
      </c>
      <c r="AG12" s="97"/>
      <c r="AH12" s="51" t="s">
        <v>179</v>
      </c>
      <c r="AI12" s="52">
        <v>1.8027093766E10</v>
      </c>
      <c r="AJ12" s="40" t="s">
        <v>180</v>
      </c>
      <c r="AK12" s="45" t="s">
        <v>108</v>
      </c>
      <c r="AL12" s="45" t="str">
        <f t="shared" si="3"/>
        <v>18 Tahun 1 Bulan</v>
      </c>
      <c r="AM12" s="100">
        <v>39508.0</v>
      </c>
      <c r="AW12" s="45" t="str">
        <f t="shared" si="4"/>
        <v>18 Tahun 0 Bulan</v>
      </c>
    </row>
    <row r="13" ht="15.0" customHeight="1">
      <c r="A13" s="35">
        <v>7.0</v>
      </c>
      <c r="B13" s="48" t="s">
        <v>181</v>
      </c>
      <c r="C13" s="37" t="s">
        <v>41</v>
      </c>
      <c r="D13" s="45" t="s">
        <v>91</v>
      </c>
      <c r="E13" s="92" t="s">
        <v>182</v>
      </c>
      <c r="F13" s="93" t="s">
        <v>183</v>
      </c>
      <c r="G13" s="94" t="s">
        <v>184</v>
      </c>
      <c r="H13" s="95" t="s">
        <v>185</v>
      </c>
      <c r="I13" s="62" t="s">
        <v>114</v>
      </c>
      <c r="J13" s="96" t="s">
        <v>186</v>
      </c>
      <c r="K13" s="45" t="s">
        <v>44</v>
      </c>
      <c r="L13" s="45" t="s">
        <v>98</v>
      </c>
      <c r="M13" s="46" t="s">
        <v>187</v>
      </c>
      <c r="N13" s="46" t="s">
        <v>188</v>
      </c>
      <c r="O13" s="45" t="s">
        <v>101</v>
      </c>
      <c r="P13" s="47">
        <v>5.881010545E10</v>
      </c>
      <c r="Q13" s="45" t="s">
        <v>48</v>
      </c>
      <c r="R13" s="97"/>
      <c r="S13" s="45" t="s">
        <v>49</v>
      </c>
      <c r="T13" s="101" t="s">
        <v>189</v>
      </c>
      <c r="U13" s="45" t="s">
        <v>51</v>
      </c>
      <c r="W13" s="45" t="s">
        <v>190</v>
      </c>
      <c r="Y13" s="45" t="s">
        <v>53</v>
      </c>
      <c r="Z13" s="45" t="s">
        <v>163</v>
      </c>
      <c r="AA13" s="45" t="s">
        <v>191</v>
      </c>
      <c r="AB13" s="45" t="s">
        <v>192</v>
      </c>
      <c r="AC13" s="45">
        <v>61258.0</v>
      </c>
      <c r="AF13" s="98" t="s">
        <v>56</v>
      </c>
      <c r="AG13" s="97"/>
      <c r="AH13" s="51" t="s">
        <v>193</v>
      </c>
      <c r="AI13" s="52">
        <v>1.8027094004E10</v>
      </c>
      <c r="AJ13" s="45" t="s">
        <v>194</v>
      </c>
      <c r="AK13" s="45" t="s">
        <v>108</v>
      </c>
      <c r="AL13" s="45" t="str">
        <f t="shared" si="3"/>
        <v>14 Tahun 0 Bulan</v>
      </c>
      <c r="AM13" s="100">
        <v>41008.0</v>
      </c>
      <c r="AW13" s="45" t="str">
        <f t="shared" si="4"/>
        <v>13 Tahun 11 Bulan</v>
      </c>
    </row>
    <row r="14" ht="15.0" customHeight="1">
      <c r="A14" s="102">
        <v>8.0</v>
      </c>
      <c r="B14" s="55" t="s">
        <v>195</v>
      </c>
      <c r="C14" s="37" t="s">
        <v>41</v>
      </c>
      <c r="D14" s="103" t="s">
        <v>91</v>
      </c>
      <c r="E14" s="92" t="s">
        <v>196</v>
      </c>
      <c r="F14" s="93" t="s">
        <v>197</v>
      </c>
      <c r="G14" s="94" t="s">
        <v>198</v>
      </c>
      <c r="H14" s="95" t="s">
        <v>199</v>
      </c>
      <c r="I14" s="62" t="s">
        <v>114</v>
      </c>
      <c r="J14" s="104" t="s">
        <v>97</v>
      </c>
      <c r="K14" s="103" t="s">
        <v>44</v>
      </c>
      <c r="L14" s="103" t="s">
        <v>98</v>
      </c>
      <c r="M14" s="46" t="s">
        <v>200</v>
      </c>
      <c r="N14" s="46" t="s">
        <v>201</v>
      </c>
      <c r="O14" s="103" t="s">
        <v>101</v>
      </c>
      <c r="P14" s="105">
        <v>5.8810105948E10</v>
      </c>
      <c r="Q14" s="103" t="s">
        <v>133</v>
      </c>
      <c r="R14" s="97"/>
      <c r="S14" s="103" t="s">
        <v>49</v>
      </c>
      <c r="T14" s="49" t="s">
        <v>202</v>
      </c>
      <c r="U14" s="103" t="s">
        <v>203</v>
      </c>
      <c r="V14" s="103"/>
      <c r="W14" s="103" t="s">
        <v>204</v>
      </c>
      <c r="X14" s="103"/>
      <c r="Y14" s="103" t="s">
        <v>53</v>
      </c>
      <c r="Z14" s="103" t="s">
        <v>51</v>
      </c>
      <c r="AA14" s="103" t="s">
        <v>104</v>
      </c>
      <c r="AB14" s="103" t="s">
        <v>205</v>
      </c>
      <c r="AC14" s="103">
        <v>60127.0</v>
      </c>
      <c r="AD14" s="103"/>
      <c r="AE14" s="103"/>
      <c r="AF14" s="106" t="s">
        <v>139</v>
      </c>
      <c r="AG14" s="97"/>
      <c r="AH14" s="107" t="s">
        <v>206</v>
      </c>
      <c r="AI14" s="52">
        <v>1.802709398E10</v>
      </c>
      <c r="AJ14" s="103" t="s">
        <v>207</v>
      </c>
      <c r="AK14" s="103" t="s">
        <v>108</v>
      </c>
      <c r="AL14" s="45" t="str">
        <f t="shared" si="3"/>
        <v>14 Tahun 0 Bulan</v>
      </c>
      <c r="AM14" s="53">
        <v>41019.0</v>
      </c>
      <c r="AN14" s="103"/>
      <c r="AO14" s="103"/>
      <c r="AP14" s="103"/>
      <c r="AQ14" s="103"/>
      <c r="AR14" s="103"/>
      <c r="AS14" s="103"/>
      <c r="AT14" s="103"/>
      <c r="AU14" s="103"/>
      <c r="AV14" s="103"/>
      <c r="AW14" s="45" t="str">
        <f t="shared" si="4"/>
        <v>13 Tahun 10 Bulan</v>
      </c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</row>
    <row r="15" ht="15.0" customHeight="1">
      <c r="A15" s="35">
        <v>9.0</v>
      </c>
      <c r="B15" s="57" t="s">
        <v>208</v>
      </c>
      <c r="C15" s="37" t="s">
        <v>41</v>
      </c>
      <c r="D15" s="45" t="s">
        <v>91</v>
      </c>
      <c r="E15" s="92" t="s">
        <v>209</v>
      </c>
      <c r="F15" s="93" t="s">
        <v>210</v>
      </c>
      <c r="G15" s="108" t="s">
        <v>211</v>
      </c>
      <c r="H15" s="109" t="s">
        <v>212</v>
      </c>
      <c r="I15" s="109" t="s">
        <v>96</v>
      </c>
      <c r="J15" s="96" t="s">
        <v>97</v>
      </c>
      <c r="K15" s="45" t="s">
        <v>44</v>
      </c>
      <c r="L15" s="45" t="s">
        <v>98</v>
      </c>
      <c r="M15" s="110" t="s">
        <v>213</v>
      </c>
      <c r="N15" s="110" t="s">
        <v>214</v>
      </c>
      <c r="O15" s="45" t="s">
        <v>101</v>
      </c>
      <c r="P15" s="47">
        <v>5.8810105963E10</v>
      </c>
      <c r="Q15" s="45" t="s">
        <v>48</v>
      </c>
      <c r="R15" s="97"/>
      <c r="S15" s="45" t="s">
        <v>69</v>
      </c>
      <c r="T15" s="49" t="s">
        <v>215</v>
      </c>
      <c r="U15" s="45" t="s">
        <v>216</v>
      </c>
      <c r="W15" s="45" t="s">
        <v>217</v>
      </c>
      <c r="Y15" s="45" t="s">
        <v>53</v>
      </c>
      <c r="Z15" s="45" t="s">
        <v>51</v>
      </c>
      <c r="AA15" s="45" t="s">
        <v>104</v>
      </c>
      <c r="AB15" s="45" t="s">
        <v>105</v>
      </c>
      <c r="AC15" s="45">
        <v>60128.0</v>
      </c>
      <c r="AF15" s="50" t="s">
        <v>71</v>
      </c>
      <c r="AG15" s="97"/>
      <c r="AH15" s="99" t="s">
        <v>125</v>
      </c>
      <c r="AI15" s="52">
        <v>1.802709379E10</v>
      </c>
      <c r="AJ15" s="45" t="s">
        <v>218</v>
      </c>
      <c r="AK15" s="45" t="s">
        <v>108</v>
      </c>
      <c r="AL15" s="45" t="str">
        <f t="shared" si="3"/>
        <v>13 Tahun 6 Bulan</v>
      </c>
      <c r="AM15" s="100">
        <v>41197.0</v>
      </c>
      <c r="AW15" s="45" t="str">
        <f t="shared" si="4"/>
        <v>13 Tahun 5 Bulan</v>
      </c>
    </row>
    <row r="16" ht="15.0" hidden="1" customHeight="1">
      <c r="A16" s="70">
        <v>10.0</v>
      </c>
      <c r="B16" s="73" t="s">
        <v>219</v>
      </c>
      <c r="C16" s="111"/>
      <c r="D16" s="73" t="s">
        <v>91</v>
      </c>
      <c r="E16" s="74" t="s">
        <v>220</v>
      </c>
      <c r="F16" s="75" t="s">
        <v>221</v>
      </c>
      <c r="G16" s="76" t="s">
        <v>222</v>
      </c>
      <c r="H16" s="77" t="s">
        <v>113</v>
      </c>
      <c r="I16" s="78" t="s">
        <v>114</v>
      </c>
      <c r="J16" s="112"/>
      <c r="K16" s="73" t="s">
        <v>44</v>
      </c>
      <c r="L16" s="73" t="s">
        <v>98</v>
      </c>
      <c r="M16" s="113" t="s">
        <v>223</v>
      </c>
      <c r="N16" s="113" t="s">
        <v>224</v>
      </c>
      <c r="O16" s="73" t="s">
        <v>101</v>
      </c>
      <c r="P16" s="81"/>
      <c r="Q16" s="73" t="s">
        <v>87</v>
      </c>
      <c r="R16" s="82"/>
      <c r="S16" s="73" t="s">
        <v>49</v>
      </c>
      <c r="T16" s="83" t="s">
        <v>225</v>
      </c>
      <c r="U16" s="73" t="s">
        <v>135</v>
      </c>
      <c r="V16" s="114"/>
      <c r="W16" s="73" t="s">
        <v>226</v>
      </c>
      <c r="X16" s="73"/>
      <c r="Y16" s="73" t="s">
        <v>53</v>
      </c>
      <c r="Z16" s="73" t="s">
        <v>135</v>
      </c>
      <c r="AA16" s="73" t="s">
        <v>227</v>
      </c>
      <c r="AB16" s="73" t="s">
        <v>228</v>
      </c>
      <c r="AC16" s="73">
        <v>63153.0</v>
      </c>
      <c r="AD16" s="73" t="s">
        <v>141</v>
      </c>
      <c r="AE16" s="73" t="s">
        <v>141</v>
      </c>
      <c r="AF16" s="115" t="s">
        <v>56</v>
      </c>
      <c r="AG16" s="82"/>
      <c r="AH16" s="75" t="s">
        <v>229</v>
      </c>
      <c r="AI16" s="85">
        <v>1.8027093709E10</v>
      </c>
      <c r="AJ16" s="73" t="s">
        <v>230</v>
      </c>
      <c r="AK16" s="73" t="s">
        <v>108</v>
      </c>
      <c r="AL16" s="73" t="s">
        <v>141</v>
      </c>
      <c r="AM16" s="116">
        <v>41568.0</v>
      </c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</row>
    <row r="17" ht="15.0" customHeight="1">
      <c r="A17" s="35">
        <v>11.0</v>
      </c>
      <c r="B17" s="57" t="s">
        <v>231</v>
      </c>
      <c r="C17" s="56" t="s">
        <v>41</v>
      </c>
      <c r="D17" s="57" t="s">
        <v>91</v>
      </c>
      <c r="E17" s="58" t="s">
        <v>232</v>
      </c>
      <c r="F17" s="59" t="s">
        <v>233</v>
      </c>
      <c r="G17" s="117" t="s">
        <v>234</v>
      </c>
      <c r="H17" s="61" t="s">
        <v>113</v>
      </c>
      <c r="I17" s="62" t="s">
        <v>114</v>
      </c>
      <c r="J17" s="87" t="s">
        <v>115</v>
      </c>
      <c r="K17" s="57" t="s">
        <v>44</v>
      </c>
      <c r="L17" s="57" t="s">
        <v>98</v>
      </c>
      <c r="M17" s="88" t="s">
        <v>235</v>
      </c>
      <c r="N17" s="88" t="s">
        <v>236</v>
      </c>
      <c r="O17" s="57" t="s">
        <v>101</v>
      </c>
      <c r="P17" s="65">
        <v>5.8810105302E10</v>
      </c>
      <c r="Q17" s="57" t="s">
        <v>133</v>
      </c>
      <c r="R17" s="55"/>
      <c r="S17" s="57" t="s">
        <v>49</v>
      </c>
      <c r="T17" s="66" t="s">
        <v>237</v>
      </c>
      <c r="U17" s="57" t="s">
        <v>238</v>
      </c>
      <c r="V17" s="57"/>
      <c r="W17" s="57" t="s">
        <v>239</v>
      </c>
      <c r="X17" s="118"/>
      <c r="Y17" s="57" t="s">
        <v>53</v>
      </c>
      <c r="Z17" s="57" t="s">
        <v>203</v>
      </c>
      <c r="AA17" s="57" t="s">
        <v>240</v>
      </c>
      <c r="AB17" s="57" t="s">
        <v>240</v>
      </c>
      <c r="AC17" s="57">
        <v>62273.0</v>
      </c>
      <c r="AD17" s="57"/>
      <c r="AE17" s="57"/>
      <c r="AF17" s="90" t="s">
        <v>241</v>
      </c>
      <c r="AG17" s="55"/>
      <c r="AH17" s="55" t="s">
        <v>125</v>
      </c>
      <c r="AI17" s="68">
        <v>1.8027093717E10</v>
      </c>
      <c r="AJ17" s="57" t="s">
        <v>242</v>
      </c>
      <c r="AK17" s="57" t="s">
        <v>108</v>
      </c>
      <c r="AL17" s="57" t="str">
        <f t="shared" ref="AL17:AL18" si="5">DATEDIF(AM17,NOW(),"y")&amp;" Tahun "&amp;DATEDIF(AM17,NOW(),"ym")&amp;" Bulan"</f>
        <v>11 Tahun 8 Bulan</v>
      </c>
      <c r="AM17" s="91">
        <v>41857.0</v>
      </c>
      <c r="AN17" s="57"/>
      <c r="AO17" s="57"/>
      <c r="AP17" s="57"/>
      <c r="AQ17" s="57"/>
      <c r="AR17" s="57"/>
      <c r="AS17" s="57"/>
      <c r="AT17" s="57"/>
      <c r="AU17" s="57"/>
      <c r="AV17" s="57"/>
      <c r="AW17" s="45" t="str">
        <f t="shared" ref="AW17:AW18" si="6">DATEDIF(AM17,$AW$2,"Y") &amp; " Tahun " &amp; DATEDIF(AM17,$AW$2,"YM") &amp; " Bulan"</f>
        <v>11 Tahun 7 Bulan</v>
      </c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</row>
    <row r="18">
      <c r="A18" s="35">
        <v>12.0</v>
      </c>
      <c r="B18" s="57" t="s">
        <v>243</v>
      </c>
      <c r="C18" s="37" t="s">
        <v>41</v>
      </c>
      <c r="D18" s="45" t="s">
        <v>91</v>
      </c>
      <c r="E18" s="92" t="s">
        <v>244</v>
      </c>
      <c r="F18" s="93" t="s">
        <v>245</v>
      </c>
      <c r="G18" s="94" t="s">
        <v>246</v>
      </c>
      <c r="H18" s="95" t="s">
        <v>247</v>
      </c>
      <c r="I18" s="109" t="s">
        <v>248</v>
      </c>
      <c r="J18" s="96" t="s">
        <v>97</v>
      </c>
      <c r="K18" s="45" t="s">
        <v>44</v>
      </c>
      <c r="L18" s="45" t="s">
        <v>98</v>
      </c>
      <c r="M18" s="110" t="s">
        <v>249</v>
      </c>
      <c r="N18" s="110" t="s">
        <v>250</v>
      </c>
      <c r="O18" s="45" t="s">
        <v>101</v>
      </c>
      <c r="P18" s="47">
        <v>5.8810105732E10</v>
      </c>
      <c r="Q18" s="45" t="s">
        <v>48</v>
      </c>
      <c r="R18" s="97"/>
      <c r="S18" s="45" t="s">
        <v>69</v>
      </c>
      <c r="T18" s="119" t="s">
        <v>251</v>
      </c>
      <c r="U18" s="45" t="s">
        <v>51</v>
      </c>
      <c r="W18" s="45" t="s">
        <v>252</v>
      </c>
      <c r="Y18" s="45" t="s">
        <v>53</v>
      </c>
      <c r="Z18" s="45" t="s">
        <v>51</v>
      </c>
      <c r="AA18" s="45" t="s">
        <v>253</v>
      </c>
      <c r="AB18" s="45" t="s">
        <v>254</v>
      </c>
      <c r="AC18" s="45">
        <v>60178.0</v>
      </c>
      <c r="AF18" s="50" t="s">
        <v>71</v>
      </c>
      <c r="AG18" s="97"/>
      <c r="AH18" s="99" t="s">
        <v>125</v>
      </c>
      <c r="AI18" s="52">
        <v>1.400820523E10</v>
      </c>
      <c r="AJ18" s="45" t="s">
        <v>255</v>
      </c>
      <c r="AK18" s="45" t="s">
        <v>108</v>
      </c>
      <c r="AL18" s="45" t="str">
        <f t="shared" si="5"/>
        <v>11 Tahun 3 Bulan</v>
      </c>
      <c r="AM18" s="100">
        <v>42009.0</v>
      </c>
      <c r="AW18" s="45" t="str">
        <f t="shared" si="6"/>
        <v>11 Tahun 2 Bulan</v>
      </c>
    </row>
    <row r="19" ht="15.0" hidden="1" customHeight="1">
      <c r="A19" s="70">
        <v>13.0</v>
      </c>
      <c r="B19" s="73" t="s">
        <v>256</v>
      </c>
      <c r="C19" s="111" t="s">
        <v>41</v>
      </c>
      <c r="D19" s="73" t="s">
        <v>91</v>
      </c>
      <c r="E19" s="74" t="s">
        <v>257</v>
      </c>
      <c r="F19" s="75" t="s">
        <v>258</v>
      </c>
      <c r="G19" s="76" t="s">
        <v>259</v>
      </c>
      <c r="H19" s="77" t="s">
        <v>260</v>
      </c>
      <c r="I19" s="78" t="s">
        <v>260</v>
      </c>
      <c r="J19" s="112"/>
      <c r="K19" s="73" t="s">
        <v>44</v>
      </c>
      <c r="L19" s="73" t="s">
        <v>98</v>
      </c>
      <c r="M19" s="113" t="s">
        <v>261</v>
      </c>
      <c r="N19" s="113" t="s">
        <v>262</v>
      </c>
      <c r="O19" s="73" t="s">
        <v>101</v>
      </c>
      <c r="P19" s="81">
        <v>5.8810105997E10</v>
      </c>
      <c r="Q19" s="73" t="s">
        <v>133</v>
      </c>
      <c r="R19" s="82"/>
      <c r="S19" s="73" t="s">
        <v>69</v>
      </c>
      <c r="T19" s="83" t="s">
        <v>263</v>
      </c>
      <c r="U19" s="73" t="s">
        <v>203</v>
      </c>
      <c r="V19" s="114"/>
      <c r="W19" s="73" t="s">
        <v>264</v>
      </c>
      <c r="X19" s="73"/>
      <c r="Y19" s="73" t="s">
        <v>53</v>
      </c>
      <c r="Z19" s="73" t="s">
        <v>203</v>
      </c>
      <c r="AA19" s="73" t="s">
        <v>265</v>
      </c>
      <c r="AB19" s="73" t="s">
        <v>266</v>
      </c>
      <c r="AC19" s="73">
        <v>62292.0</v>
      </c>
      <c r="AD19" s="73"/>
      <c r="AE19" s="73"/>
      <c r="AF19" s="115" t="s">
        <v>71</v>
      </c>
      <c r="AG19" s="82"/>
      <c r="AH19" s="120" t="s">
        <v>125</v>
      </c>
      <c r="AI19" s="85">
        <v>1.8027093824E10</v>
      </c>
      <c r="AJ19" s="73" t="s">
        <v>267</v>
      </c>
      <c r="AK19" s="73" t="s">
        <v>108</v>
      </c>
      <c r="AL19" s="73"/>
      <c r="AM19" s="116">
        <v>42087.0</v>
      </c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</row>
    <row r="20">
      <c r="A20" s="35">
        <v>14.0</v>
      </c>
      <c r="B20" s="57" t="s">
        <v>268</v>
      </c>
      <c r="C20" s="56" t="s">
        <v>41</v>
      </c>
      <c r="D20" s="57" t="s">
        <v>91</v>
      </c>
      <c r="E20" s="58" t="s">
        <v>269</v>
      </c>
      <c r="F20" s="59" t="s">
        <v>270</v>
      </c>
      <c r="G20" s="121" t="s">
        <v>271</v>
      </c>
      <c r="H20" s="61" t="s">
        <v>113</v>
      </c>
      <c r="I20" s="62" t="s">
        <v>114</v>
      </c>
      <c r="J20" s="87" t="s">
        <v>115</v>
      </c>
      <c r="K20" s="57" t="s">
        <v>44</v>
      </c>
      <c r="L20" s="57" t="s">
        <v>98</v>
      </c>
      <c r="M20" s="88" t="s">
        <v>272</v>
      </c>
      <c r="N20" s="88" t="s">
        <v>273</v>
      </c>
      <c r="O20" s="57" t="s">
        <v>101</v>
      </c>
      <c r="P20" s="122"/>
      <c r="Q20" s="57" t="s">
        <v>48</v>
      </c>
      <c r="R20" s="55"/>
      <c r="S20" s="57" t="s">
        <v>49</v>
      </c>
      <c r="T20" s="89" t="s">
        <v>274</v>
      </c>
      <c r="U20" s="57" t="s">
        <v>135</v>
      </c>
      <c r="V20" s="57"/>
      <c r="W20" s="57" t="s">
        <v>275</v>
      </c>
      <c r="X20" s="57"/>
      <c r="Y20" s="57" t="s">
        <v>53</v>
      </c>
      <c r="Z20" s="57" t="s">
        <v>135</v>
      </c>
      <c r="AA20" s="57" t="s">
        <v>150</v>
      </c>
      <c r="AB20" s="57" t="s">
        <v>276</v>
      </c>
      <c r="AC20" s="57">
        <v>63153.0</v>
      </c>
      <c r="AD20" s="57"/>
      <c r="AE20" s="57"/>
      <c r="AF20" s="90" t="s">
        <v>139</v>
      </c>
      <c r="AG20" s="55"/>
      <c r="AH20" s="55" t="s">
        <v>125</v>
      </c>
      <c r="AI20" s="68">
        <v>1.8027093857E10</v>
      </c>
      <c r="AJ20" s="57" t="s">
        <v>277</v>
      </c>
      <c r="AK20" s="57" t="s">
        <v>108</v>
      </c>
      <c r="AL20" s="57" t="str">
        <f t="shared" ref="AL20:AL27" si="7">DATEDIF(AM20,NOW(),"y")&amp;" Tahun "&amp;DATEDIF(AM20,NOW(),"ym")&amp;" Bulan"</f>
        <v>10 Tahun 2 Bulan</v>
      </c>
      <c r="AM20" s="91">
        <v>42403.0</v>
      </c>
      <c r="AN20" s="57"/>
      <c r="AO20" s="57"/>
      <c r="AP20" s="57"/>
      <c r="AQ20" s="57"/>
      <c r="AR20" s="57"/>
      <c r="AS20" s="57"/>
      <c r="AT20" s="57"/>
      <c r="AU20" s="57"/>
      <c r="AV20" s="57"/>
      <c r="AW20" s="45" t="str">
        <f t="shared" ref="AW20:AW27" si="8">DATEDIF(AM20,$AW$2,"Y") &amp; " Tahun " &amp; DATEDIF(AM20,$AW$2,"YM") &amp; " Bulan"</f>
        <v>10 Tahun 1 Bulan</v>
      </c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</row>
    <row r="21">
      <c r="A21" s="35">
        <v>15.0</v>
      </c>
      <c r="B21" s="57" t="s">
        <v>278</v>
      </c>
      <c r="C21" s="37" t="s">
        <v>41</v>
      </c>
      <c r="D21" s="45" t="s">
        <v>91</v>
      </c>
      <c r="E21" s="92" t="s">
        <v>279</v>
      </c>
      <c r="F21" s="93" t="s">
        <v>280</v>
      </c>
      <c r="G21" s="94" t="s">
        <v>281</v>
      </c>
      <c r="H21" s="109" t="s">
        <v>282</v>
      </c>
      <c r="I21" s="109" t="s">
        <v>283</v>
      </c>
      <c r="J21" s="96" t="s">
        <v>97</v>
      </c>
      <c r="K21" s="45" t="s">
        <v>44</v>
      </c>
      <c r="L21" s="45" t="s">
        <v>98</v>
      </c>
      <c r="M21" s="110" t="s">
        <v>284</v>
      </c>
      <c r="N21" s="110" t="s">
        <v>285</v>
      </c>
      <c r="O21" s="45" t="s">
        <v>101</v>
      </c>
      <c r="P21" s="47">
        <v>5.8810105641E10</v>
      </c>
      <c r="Q21" s="45" t="s">
        <v>286</v>
      </c>
      <c r="R21" s="97"/>
      <c r="S21" s="45" t="s">
        <v>69</v>
      </c>
      <c r="T21" s="49" t="s">
        <v>287</v>
      </c>
      <c r="U21" s="45" t="s">
        <v>51</v>
      </c>
      <c r="W21" s="45" t="s">
        <v>288</v>
      </c>
      <c r="X21" s="45" t="s">
        <v>289</v>
      </c>
      <c r="Y21" s="45" t="s">
        <v>53</v>
      </c>
      <c r="Z21" s="45" t="s">
        <v>51</v>
      </c>
      <c r="AA21" s="45" t="s">
        <v>290</v>
      </c>
      <c r="AB21" s="45" t="s">
        <v>291</v>
      </c>
      <c r="AC21" s="45">
        <v>60164.0</v>
      </c>
      <c r="AF21" s="50" t="s">
        <v>71</v>
      </c>
      <c r="AG21" s="97"/>
      <c r="AH21" s="99" t="s">
        <v>125</v>
      </c>
      <c r="AI21" s="52">
        <v>1.8027093873E10</v>
      </c>
      <c r="AJ21" s="45" t="s">
        <v>292</v>
      </c>
      <c r="AK21" s="45" t="s">
        <v>108</v>
      </c>
      <c r="AL21" s="45" t="str">
        <f t="shared" si="7"/>
        <v>10 Tahun 2 Bulan</v>
      </c>
      <c r="AM21" s="100">
        <v>42411.0</v>
      </c>
      <c r="AW21" s="45" t="str">
        <f t="shared" si="8"/>
        <v>10 Tahun 1 Bulan</v>
      </c>
    </row>
    <row r="22">
      <c r="A22" s="35">
        <v>16.0</v>
      </c>
      <c r="B22" s="57" t="s">
        <v>293</v>
      </c>
      <c r="C22" s="37" t="s">
        <v>41</v>
      </c>
      <c r="D22" s="45" t="s">
        <v>91</v>
      </c>
      <c r="E22" s="92" t="s">
        <v>294</v>
      </c>
      <c r="F22" s="93" t="s">
        <v>295</v>
      </c>
      <c r="G22" s="94" t="s">
        <v>296</v>
      </c>
      <c r="H22" s="92" t="s">
        <v>297</v>
      </c>
      <c r="I22" s="62" t="s">
        <v>114</v>
      </c>
      <c r="J22" s="96" t="s">
        <v>97</v>
      </c>
      <c r="K22" s="45" t="s">
        <v>44</v>
      </c>
      <c r="L22" s="45" t="s">
        <v>98</v>
      </c>
      <c r="M22" s="123" t="s">
        <v>298</v>
      </c>
      <c r="N22" s="123" t="s">
        <v>299</v>
      </c>
      <c r="O22" s="45" t="s">
        <v>101</v>
      </c>
      <c r="P22" s="47">
        <v>5.8810105716E10</v>
      </c>
      <c r="Q22" s="45" t="s">
        <v>48</v>
      </c>
      <c r="R22" s="97"/>
      <c r="S22" s="45" t="s">
        <v>49</v>
      </c>
      <c r="T22" s="49" t="s">
        <v>300</v>
      </c>
      <c r="U22" s="45" t="s">
        <v>301</v>
      </c>
      <c r="W22" s="45" t="s">
        <v>252</v>
      </c>
      <c r="Y22" s="45" t="s">
        <v>53</v>
      </c>
      <c r="Z22" s="45" t="s">
        <v>51</v>
      </c>
      <c r="AA22" s="45" t="s">
        <v>253</v>
      </c>
      <c r="AB22" s="45" t="s">
        <v>254</v>
      </c>
      <c r="AC22" s="45">
        <v>60178.0</v>
      </c>
      <c r="AF22" s="124" t="s">
        <v>139</v>
      </c>
      <c r="AG22" s="97"/>
      <c r="AH22" s="93" t="s">
        <v>302</v>
      </c>
      <c r="AI22" s="52">
        <v>1.802709402E10</v>
      </c>
      <c r="AJ22" s="45" t="s">
        <v>303</v>
      </c>
      <c r="AK22" s="45" t="s">
        <v>108</v>
      </c>
      <c r="AL22" s="45" t="str">
        <f t="shared" si="7"/>
        <v>10 Tahun 2 Bulan</v>
      </c>
      <c r="AM22" s="100">
        <v>42412.0</v>
      </c>
      <c r="AW22" s="45" t="str">
        <f t="shared" si="8"/>
        <v>10 Tahun 1 Bulan</v>
      </c>
    </row>
    <row r="23">
      <c r="A23" s="35">
        <v>17.0</v>
      </c>
      <c r="B23" s="57" t="s">
        <v>304</v>
      </c>
      <c r="C23" s="37" t="s">
        <v>41</v>
      </c>
      <c r="D23" s="45" t="s">
        <v>91</v>
      </c>
      <c r="E23" s="92" t="s">
        <v>305</v>
      </c>
      <c r="F23" s="93" t="s">
        <v>306</v>
      </c>
      <c r="G23" s="94" t="s">
        <v>307</v>
      </c>
      <c r="H23" s="95" t="s">
        <v>308</v>
      </c>
      <c r="I23" s="109" t="s">
        <v>309</v>
      </c>
      <c r="J23" s="96" t="s">
        <v>97</v>
      </c>
      <c r="K23" s="45" t="s">
        <v>44</v>
      </c>
      <c r="L23" s="45" t="s">
        <v>98</v>
      </c>
      <c r="M23" s="110" t="s">
        <v>310</v>
      </c>
      <c r="N23" s="110" t="s">
        <v>311</v>
      </c>
      <c r="O23" s="45" t="s">
        <v>101</v>
      </c>
      <c r="P23" s="47">
        <v>5.881010531E10</v>
      </c>
      <c r="Q23" s="125" t="s">
        <v>133</v>
      </c>
      <c r="R23" s="97"/>
      <c r="S23" s="45" t="s">
        <v>69</v>
      </c>
      <c r="T23" s="49" t="s">
        <v>312</v>
      </c>
      <c r="U23" s="45" t="s">
        <v>203</v>
      </c>
      <c r="W23" s="45" t="s">
        <v>313</v>
      </c>
      <c r="X23" s="45" t="s">
        <v>314</v>
      </c>
      <c r="Y23" s="45" t="s">
        <v>53</v>
      </c>
      <c r="Z23" s="45" t="s">
        <v>203</v>
      </c>
      <c r="AA23" s="45" t="s">
        <v>315</v>
      </c>
      <c r="AB23" s="45" t="s">
        <v>316</v>
      </c>
      <c r="AC23" s="45">
        <v>62252.0</v>
      </c>
      <c r="AF23" s="126" t="s">
        <v>71</v>
      </c>
      <c r="AG23" s="97"/>
      <c r="AH23" s="99" t="s">
        <v>125</v>
      </c>
      <c r="AI23" s="52">
        <v>1.8027093725E10</v>
      </c>
      <c r="AJ23" s="45" t="s">
        <v>317</v>
      </c>
      <c r="AK23" s="45" t="s">
        <v>108</v>
      </c>
      <c r="AL23" s="45" t="str">
        <f t="shared" si="7"/>
        <v>9 Tahun 1 Bulan</v>
      </c>
      <c r="AM23" s="100">
        <v>42804.0</v>
      </c>
      <c r="AW23" s="45" t="str">
        <f t="shared" si="8"/>
        <v>9 Tahun 0 Bulan</v>
      </c>
    </row>
    <row r="24">
      <c r="A24" s="35">
        <v>18.0</v>
      </c>
      <c r="B24" s="57" t="s">
        <v>318</v>
      </c>
      <c r="C24" s="37" t="s">
        <v>41</v>
      </c>
      <c r="D24" s="45" t="s">
        <v>91</v>
      </c>
      <c r="E24" s="92" t="s">
        <v>319</v>
      </c>
      <c r="F24" s="93" t="s">
        <v>320</v>
      </c>
      <c r="G24" s="94" t="s">
        <v>321</v>
      </c>
      <c r="H24" s="95" t="s">
        <v>322</v>
      </c>
      <c r="I24" s="109" t="s">
        <v>248</v>
      </c>
      <c r="J24" s="96" t="s">
        <v>97</v>
      </c>
      <c r="K24" s="45" t="s">
        <v>44</v>
      </c>
      <c r="L24" s="45" t="s">
        <v>98</v>
      </c>
      <c r="M24" s="46" t="s">
        <v>158</v>
      </c>
      <c r="N24" s="46" t="s">
        <v>323</v>
      </c>
      <c r="O24" s="45" t="s">
        <v>101</v>
      </c>
      <c r="P24" s="47">
        <v>5.8810105443E10</v>
      </c>
      <c r="Q24" s="45" t="s">
        <v>133</v>
      </c>
      <c r="R24" s="97"/>
      <c r="S24" s="45" t="s">
        <v>49</v>
      </c>
      <c r="T24" s="101" t="s">
        <v>324</v>
      </c>
      <c r="U24" s="45" t="s">
        <v>163</v>
      </c>
      <c r="W24" s="45" t="s">
        <v>162</v>
      </c>
      <c r="Y24" s="45" t="s">
        <v>53</v>
      </c>
      <c r="Z24" s="45" t="s">
        <v>163</v>
      </c>
      <c r="AA24" s="45" t="s">
        <v>164</v>
      </c>
      <c r="AB24" s="45" t="s">
        <v>165</v>
      </c>
      <c r="AC24" s="45">
        <v>61256.0</v>
      </c>
      <c r="AF24" s="127" t="s">
        <v>65</v>
      </c>
      <c r="AG24" s="97"/>
      <c r="AH24" s="99" t="s">
        <v>125</v>
      </c>
      <c r="AI24" s="52">
        <v>1.8027093741E10</v>
      </c>
      <c r="AJ24" s="45" t="s">
        <v>325</v>
      </c>
      <c r="AK24" s="45" t="s">
        <v>108</v>
      </c>
      <c r="AL24" s="45" t="str">
        <f t="shared" si="7"/>
        <v>8 Tahun 8 Bulan</v>
      </c>
      <c r="AM24" s="100">
        <v>42947.0</v>
      </c>
      <c r="AW24" s="45" t="str">
        <f t="shared" si="8"/>
        <v>8 Tahun 7 Bulan</v>
      </c>
    </row>
    <row r="25">
      <c r="A25" s="35">
        <v>19.0</v>
      </c>
      <c r="B25" s="128" t="s">
        <v>326</v>
      </c>
      <c r="C25" s="56" t="s">
        <v>41</v>
      </c>
      <c r="D25" s="57" t="s">
        <v>91</v>
      </c>
      <c r="E25" s="58" t="s">
        <v>327</v>
      </c>
      <c r="F25" s="59" t="s">
        <v>328</v>
      </c>
      <c r="G25" s="129" t="s">
        <v>329</v>
      </c>
      <c r="H25" s="61" t="s">
        <v>113</v>
      </c>
      <c r="I25" s="62" t="s">
        <v>114</v>
      </c>
      <c r="J25" s="121" t="s">
        <v>330</v>
      </c>
      <c r="K25" s="57" t="s">
        <v>44</v>
      </c>
      <c r="L25" s="57" t="s">
        <v>98</v>
      </c>
      <c r="M25" s="88" t="s">
        <v>331</v>
      </c>
      <c r="N25" s="88" t="s">
        <v>332</v>
      </c>
      <c r="O25" s="57" t="s">
        <v>101</v>
      </c>
      <c r="P25" s="65">
        <v>5.8810105971E10</v>
      </c>
      <c r="Q25" s="57" t="s">
        <v>87</v>
      </c>
      <c r="R25" s="55"/>
      <c r="S25" s="57" t="s">
        <v>49</v>
      </c>
      <c r="T25" s="66" t="s">
        <v>333</v>
      </c>
      <c r="U25" s="57" t="s">
        <v>51</v>
      </c>
      <c r="V25" s="57"/>
      <c r="W25" s="57" t="s">
        <v>334</v>
      </c>
      <c r="X25" s="57"/>
      <c r="Y25" s="57" t="s">
        <v>53</v>
      </c>
      <c r="Z25" s="57" t="s">
        <v>51</v>
      </c>
      <c r="AA25" s="57" t="s">
        <v>335</v>
      </c>
      <c r="AB25" s="57" t="s">
        <v>336</v>
      </c>
      <c r="AC25" s="57">
        <v>60154.0</v>
      </c>
      <c r="AD25" s="57"/>
      <c r="AE25" s="57"/>
      <c r="AF25" s="67" t="s">
        <v>71</v>
      </c>
      <c r="AG25" s="55"/>
      <c r="AH25" s="55" t="s">
        <v>125</v>
      </c>
      <c r="AI25" s="68">
        <v>1.8027093899E10</v>
      </c>
      <c r="AJ25" s="57" t="s">
        <v>337</v>
      </c>
      <c r="AK25" s="57" t="s">
        <v>108</v>
      </c>
      <c r="AL25" s="57" t="str">
        <f t="shared" si="7"/>
        <v>8 Tahun 7 Bulan</v>
      </c>
      <c r="AM25" s="91">
        <v>42975.0</v>
      </c>
      <c r="AN25" s="57"/>
      <c r="AO25" s="57"/>
      <c r="AP25" s="57"/>
      <c r="AQ25" s="57"/>
      <c r="AR25" s="57"/>
      <c r="AS25" s="57"/>
      <c r="AT25" s="57"/>
      <c r="AU25" s="57"/>
      <c r="AV25" s="57"/>
      <c r="AW25" s="45" t="str">
        <f t="shared" si="8"/>
        <v>8 Tahun 6 Bulan</v>
      </c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</row>
    <row r="26" ht="15.75" customHeight="1">
      <c r="A26" s="35">
        <v>20.0</v>
      </c>
      <c r="B26" s="57" t="s">
        <v>338</v>
      </c>
      <c r="C26" s="37" t="s">
        <v>41</v>
      </c>
      <c r="D26" s="45" t="s">
        <v>91</v>
      </c>
      <c r="E26" s="92" t="s">
        <v>339</v>
      </c>
      <c r="F26" s="93" t="s">
        <v>340</v>
      </c>
      <c r="G26" s="94" t="s">
        <v>341</v>
      </c>
      <c r="H26" s="95" t="s">
        <v>342</v>
      </c>
      <c r="I26" s="109" t="s">
        <v>248</v>
      </c>
      <c r="J26" s="96" t="s">
        <v>97</v>
      </c>
      <c r="K26" s="45" t="s">
        <v>44</v>
      </c>
      <c r="L26" s="45" t="s">
        <v>98</v>
      </c>
      <c r="M26" s="46" t="s">
        <v>343</v>
      </c>
      <c r="N26" s="46" t="s">
        <v>344</v>
      </c>
      <c r="O26" s="45" t="s">
        <v>101</v>
      </c>
      <c r="P26" s="47">
        <v>5.8810105583E10</v>
      </c>
      <c r="Q26" s="125" t="s">
        <v>48</v>
      </c>
      <c r="R26" s="97"/>
      <c r="S26" s="45" t="s">
        <v>69</v>
      </c>
      <c r="T26" s="49" t="s">
        <v>345</v>
      </c>
      <c r="U26" s="45" t="s">
        <v>51</v>
      </c>
      <c r="W26" s="45" t="s">
        <v>346</v>
      </c>
      <c r="Y26" s="45" t="s">
        <v>53</v>
      </c>
      <c r="Z26" s="45" t="s">
        <v>51</v>
      </c>
      <c r="AA26" s="45" t="s">
        <v>347</v>
      </c>
      <c r="AB26" s="45" t="s">
        <v>348</v>
      </c>
      <c r="AC26" s="45">
        <v>60263.0</v>
      </c>
      <c r="AF26" s="50" t="s">
        <v>71</v>
      </c>
      <c r="AG26" s="97"/>
      <c r="AH26" s="107" t="s">
        <v>349</v>
      </c>
      <c r="AI26" s="52">
        <v>1.8027093782E10</v>
      </c>
      <c r="AJ26" s="45" t="s">
        <v>350</v>
      </c>
      <c r="AK26" s="45" t="s">
        <v>108</v>
      </c>
      <c r="AL26" s="45" t="str">
        <f t="shared" si="7"/>
        <v>8 Tahun 7 Bulan</v>
      </c>
      <c r="AM26" s="100">
        <v>42982.0</v>
      </c>
      <c r="AW26" s="45" t="str">
        <f t="shared" si="8"/>
        <v>8 Tahun 6 Bulan</v>
      </c>
      <c r="CE26" s="45" t="s">
        <v>351</v>
      </c>
    </row>
    <row r="27" ht="15.75" customHeight="1">
      <c r="A27" s="35">
        <v>21.0</v>
      </c>
      <c r="B27" s="57" t="s">
        <v>352</v>
      </c>
      <c r="C27" s="37" t="s">
        <v>41</v>
      </c>
      <c r="D27" s="45" t="s">
        <v>91</v>
      </c>
      <c r="E27" s="92" t="s">
        <v>353</v>
      </c>
      <c r="F27" s="93" t="s">
        <v>280</v>
      </c>
      <c r="G27" s="108" t="s">
        <v>354</v>
      </c>
      <c r="H27" s="92" t="s">
        <v>355</v>
      </c>
      <c r="I27" s="62" t="s">
        <v>114</v>
      </c>
      <c r="J27" s="96" t="s">
        <v>172</v>
      </c>
      <c r="K27" s="45" t="s">
        <v>44</v>
      </c>
      <c r="L27" s="45" t="s">
        <v>98</v>
      </c>
      <c r="M27" s="46" t="s">
        <v>284</v>
      </c>
      <c r="N27" s="46" t="s">
        <v>356</v>
      </c>
      <c r="O27" s="45" t="s">
        <v>101</v>
      </c>
      <c r="P27" s="47">
        <v>5.881010574E10</v>
      </c>
      <c r="Q27" s="45" t="s">
        <v>48</v>
      </c>
      <c r="R27" s="97"/>
      <c r="S27" s="45" t="s">
        <v>49</v>
      </c>
      <c r="T27" s="49" t="s">
        <v>357</v>
      </c>
      <c r="U27" s="45" t="s">
        <v>51</v>
      </c>
      <c r="W27" s="45" t="s">
        <v>288</v>
      </c>
      <c r="X27" s="45" t="s">
        <v>289</v>
      </c>
      <c r="Y27" s="45" t="s">
        <v>53</v>
      </c>
      <c r="Z27" s="45" t="s">
        <v>51</v>
      </c>
      <c r="AA27" s="45" t="s">
        <v>290</v>
      </c>
      <c r="AB27" s="45" t="s">
        <v>291</v>
      </c>
      <c r="AC27" s="45">
        <v>60164.0</v>
      </c>
      <c r="AF27" s="124" t="s">
        <v>139</v>
      </c>
      <c r="AG27" s="97"/>
      <c r="AH27" s="99" t="s">
        <v>125</v>
      </c>
      <c r="AI27" s="52">
        <v>1.8027093881E10</v>
      </c>
      <c r="AJ27" s="45" t="s">
        <v>358</v>
      </c>
      <c r="AK27" s="45" t="s">
        <v>108</v>
      </c>
      <c r="AL27" s="45" t="str">
        <f t="shared" si="7"/>
        <v>8 Tahun 5 Bulan</v>
      </c>
      <c r="AM27" s="100">
        <v>43038.0</v>
      </c>
      <c r="AW27" s="45" t="str">
        <f t="shared" si="8"/>
        <v>8 Tahun 4 Bulan</v>
      </c>
    </row>
    <row r="28" ht="15.75" hidden="1" customHeight="1">
      <c r="A28" s="130">
        <v>22.0</v>
      </c>
      <c r="B28" s="73" t="s">
        <v>359</v>
      </c>
      <c r="C28" s="131" t="s">
        <v>41</v>
      </c>
      <c r="D28" s="73" t="s">
        <v>91</v>
      </c>
      <c r="E28" s="74" t="s">
        <v>360</v>
      </c>
      <c r="F28" s="75" t="s">
        <v>361</v>
      </c>
      <c r="G28" s="132" t="s">
        <v>362</v>
      </c>
      <c r="H28" s="77" t="s">
        <v>363</v>
      </c>
      <c r="I28" s="77" t="s">
        <v>309</v>
      </c>
      <c r="J28" s="112"/>
      <c r="K28" s="73" t="s">
        <v>44</v>
      </c>
      <c r="L28" s="73" t="s">
        <v>98</v>
      </c>
      <c r="M28" s="80" t="s">
        <v>364</v>
      </c>
      <c r="N28" s="80" t="s">
        <v>365</v>
      </c>
      <c r="O28" s="73" t="s">
        <v>101</v>
      </c>
      <c r="P28" s="81"/>
      <c r="Q28" s="114" t="s">
        <v>87</v>
      </c>
      <c r="R28" s="82"/>
      <c r="S28" s="73" t="s">
        <v>49</v>
      </c>
      <c r="T28" s="83" t="s">
        <v>366</v>
      </c>
      <c r="U28" s="73" t="s">
        <v>51</v>
      </c>
      <c r="V28" s="73"/>
      <c r="W28" s="73" t="s">
        <v>367</v>
      </c>
      <c r="X28" s="73"/>
      <c r="Y28" s="73" t="s">
        <v>53</v>
      </c>
      <c r="Z28" s="73" t="s">
        <v>51</v>
      </c>
      <c r="AA28" s="73" t="s">
        <v>137</v>
      </c>
      <c r="AB28" s="73" t="s">
        <v>138</v>
      </c>
      <c r="AC28" s="73">
        <v>60199.0</v>
      </c>
      <c r="AD28" s="73"/>
      <c r="AE28" s="73"/>
      <c r="AF28" s="115" t="s">
        <v>71</v>
      </c>
      <c r="AG28" s="82"/>
      <c r="AH28" s="84" t="s">
        <v>125</v>
      </c>
      <c r="AI28" s="85">
        <v>2.0016994301E10</v>
      </c>
      <c r="AJ28" s="73" t="s">
        <v>368</v>
      </c>
      <c r="AK28" s="73" t="s">
        <v>108</v>
      </c>
      <c r="AL28" s="73"/>
      <c r="AM28" s="116">
        <v>43243.0</v>
      </c>
      <c r="AN28" s="130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</row>
    <row r="29" ht="15.75" customHeight="1">
      <c r="A29" s="35">
        <v>23.0</v>
      </c>
      <c r="B29" s="48" t="s">
        <v>369</v>
      </c>
      <c r="C29" s="37" t="s">
        <v>41</v>
      </c>
      <c r="D29" s="45" t="s">
        <v>91</v>
      </c>
      <c r="E29" s="133" t="s">
        <v>370</v>
      </c>
      <c r="F29" s="93" t="s">
        <v>371</v>
      </c>
      <c r="G29" s="134" t="s">
        <v>372</v>
      </c>
      <c r="H29" s="95" t="s">
        <v>373</v>
      </c>
      <c r="I29" s="62" t="s">
        <v>114</v>
      </c>
      <c r="J29" s="96" t="s">
        <v>374</v>
      </c>
      <c r="K29" s="45" t="s">
        <v>44</v>
      </c>
      <c r="L29" s="45" t="s">
        <v>98</v>
      </c>
      <c r="M29" s="46" t="s">
        <v>375</v>
      </c>
      <c r="N29" s="46" t="s">
        <v>376</v>
      </c>
      <c r="O29" s="45" t="s">
        <v>101</v>
      </c>
      <c r="P29" s="47">
        <v>5.8810105427E10</v>
      </c>
      <c r="Q29" s="125" t="s">
        <v>133</v>
      </c>
      <c r="R29" s="97"/>
      <c r="S29" s="45" t="s">
        <v>49</v>
      </c>
      <c r="T29" s="119" t="s">
        <v>377</v>
      </c>
      <c r="U29" s="45" t="s">
        <v>378</v>
      </c>
      <c r="W29" s="45" t="s">
        <v>379</v>
      </c>
      <c r="Y29" s="45" t="s">
        <v>53</v>
      </c>
      <c r="Z29" s="45" t="s">
        <v>378</v>
      </c>
      <c r="AA29" s="45" t="s">
        <v>380</v>
      </c>
      <c r="AB29" s="45" t="s">
        <v>381</v>
      </c>
      <c r="AC29" s="45">
        <v>67157.0</v>
      </c>
      <c r="AF29" s="135" t="s">
        <v>56</v>
      </c>
      <c r="AG29" s="97"/>
      <c r="AH29" s="99" t="s">
        <v>125</v>
      </c>
      <c r="AI29" s="52">
        <v>2.0066955897E10</v>
      </c>
      <c r="AJ29" s="45" t="s">
        <v>382</v>
      </c>
      <c r="AK29" s="45" t="s">
        <v>108</v>
      </c>
      <c r="AL29" s="45" t="str">
        <f t="shared" ref="AL29:AL35" si="9">DATEDIF(AM29,NOW(),"y")&amp;" Tahun "&amp;DATEDIF(AM29,NOW(),"ym")&amp;" Bulan"</f>
        <v>8 Tahun 2 Bulan</v>
      </c>
      <c r="AM29" s="100">
        <v>43132.0</v>
      </c>
      <c r="AW29" s="45" t="str">
        <f t="shared" ref="AW29:AW35" si="10">DATEDIF(AM29,$AW$2,"Y") &amp; " Tahun " &amp; DATEDIF(AM29,$AW$2,"YM") &amp; " Bulan"</f>
        <v>8 Tahun 1 Bulan</v>
      </c>
    </row>
    <row r="30" ht="15.75" customHeight="1">
      <c r="A30" s="35">
        <v>24.0</v>
      </c>
      <c r="B30" s="57" t="s">
        <v>383</v>
      </c>
      <c r="C30" s="37" t="s">
        <v>41</v>
      </c>
      <c r="D30" s="45" t="s">
        <v>91</v>
      </c>
      <c r="E30" s="92" t="s">
        <v>384</v>
      </c>
      <c r="F30" s="93" t="s">
        <v>385</v>
      </c>
      <c r="G30" s="94" t="s">
        <v>386</v>
      </c>
      <c r="H30" s="92" t="s">
        <v>355</v>
      </c>
      <c r="I30" s="62" t="s">
        <v>114</v>
      </c>
      <c r="J30" s="96" t="s">
        <v>172</v>
      </c>
      <c r="K30" s="45" t="s">
        <v>44</v>
      </c>
      <c r="L30" s="45" t="s">
        <v>98</v>
      </c>
      <c r="M30" s="123" t="s">
        <v>387</v>
      </c>
      <c r="N30" s="123" t="s">
        <v>388</v>
      </c>
      <c r="O30" s="45" t="s">
        <v>101</v>
      </c>
      <c r="P30" s="47">
        <v>5.8810105476E10</v>
      </c>
      <c r="Q30" s="45" t="s">
        <v>133</v>
      </c>
      <c r="R30" s="97"/>
      <c r="S30" s="45" t="s">
        <v>49</v>
      </c>
      <c r="T30" s="49" t="s">
        <v>389</v>
      </c>
      <c r="U30" s="45" t="s">
        <v>51</v>
      </c>
      <c r="W30" s="45" t="s">
        <v>390</v>
      </c>
      <c r="Y30" s="45" t="s">
        <v>53</v>
      </c>
      <c r="Z30" s="45" t="s">
        <v>51</v>
      </c>
      <c r="AA30" s="45" t="s">
        <v>253</v>
      </c>
      <c r="AB30" s="45" t="s">
        <v>254</v>
      </c>
      <c r="AC30" s="45">
        <v>60178.0</v>
      </c>
      <c r="AF30" s="124" t="s">
        <v>56</v>
      </c>
      <c r="AG30" s="97"/>
      <c r="AH30" s="99" t="s">
        <v>125</v>
      </c>
      <c r="AI30" s="52">
        <v>1.6022087601E10</v>
      </c>
      <c r="AJ30" s="45" t="s">
        <v>391</v>
      </c>
      <c r="AK30" s="45" t="s">
        <v>108</v>
      </c>
      <c r="AL30" s="45" t="str">
        <f t="shared" si="9"/>
        <v>7 Tahun 10 Bulan</v>
      </c>
      <c r="AM30" s="100">
        <v>43252.0</v>
      </c>
      <c r="AW30" s="45" t="str">
        <f t="shared" si="10"/>
        <v>7 Tahun 9 Bulan</v>
      </c>
    </row>
    <row r="31" ht="15.75" customHeight="1">
      <c r="A31" s="35">
        <v>25.0</v>
      </c>
      <c r="B31" s="57" t="s">
        <v>392</v>
      </c>
      <c r="C31" s="37" t="s">
        <v>41</v>
      </c>
      <c r="D31" s="45" t="s">
        <v>91</v>
      </c>
      <c r="E31" s="92" t="s">
        <v>393</v>
      </c>
      <c r="F31" s="93" t="s">
        <v>258</v>
      </c>
      <c r="G31" s="108" t="s">
        <v>394</v>
      </c>
      <c r="H31" s="109" t="s">
        <v>282</v>
      </c>
      <c r="I31" s="109" t="s">
        <v>283</v>
      </c>
      <c r="J31" s="96" t="s">
        <v>97</v>
      </c>
      <c r="K31" s="45" t="s">
        <v>44</v>
      </c>
      <c r="L31" s="45" t="s">
        <v>98</v>
      </c>
      <c r="M31" s="46" t="s">
        <v>395</v>
      </c>
      <c r="N31" s="46" t="s">
        <v>396</v>
      </c>
      <c r="O31" s="45" t="s">
        <v>101</v>
      </c>
      <c r="P31" s="47">
        <v>5.8810105914E10</v>
      </c>
      <c r="Q31" s="45" t="s">
        <v>48</v>
      </c>
      <c r="R31" s="97"/>
      <c r="S31" s="45" t="s">
        <v>69</v>
      </c>
      <c r="T31" s="101" t="s">
        <v>397</v>
      </c>
      <c r="U31" s="45" t="s">
        <v>203</v>
      </c>
      <c r="W31" s="45" t="s">
        <v>398</v>
      </c>
      <c r="Y31" s="45" t="s">
        <v>53</v>
      </c>
      <c r="Z31" s="45" t="s">
        <v>51</v>
      </c>
      <c r="AA31" s="45" t="s">
        <v>253</v>
      </c>
      <c r="AB31" s="45" t="s">
        <v>399</v>
      </c>
      <c r="AC31" s="45">
        <v>62292.0</v>
      </c>
      <c r="AF31" s="135" t="s">
        <v>71</v>
      </c>
      <c r="AG31" s="97"/>
      <c r="AH31" s="99" t="s">
        <v>125</v>
      </c>
      <c r="AI31" s="52">
        <v>1.9076930486E10</v>
      </c>
      <c r="AJ31" s="136" t="s">
        <v>400</v>
      </c>
      <c r="AK31" s="45" t="s">
        <v>108</v>
      </c>
      <c r="AL31" s="45" t="str">
        <f t="shared" si="9"/>
        <v>7 Tahun 9 Bulan</v>
      </c>
      <c r="AM31" s="100">
        <v>43290.0</v>
      </c>
      <c r="AW31" s="45" t="str">
        <f t="shared" si="10"/>
        <v>7 Tahun 8 Bulan</v>
      </c>
    </row>
    <row r="32" ht="15.75" customHeight="1">
      <c r="A32" s="35">
        <v>26.0</v>
      </c>
      <c r="B32" s="48" t="s">
        <v>401</v>
      </c>
      <c r="C32" s="37" t="s">
        <v>41</v>
      </c>
      <c r="D32" s="45" t="s">
        <v>91</v>
      </c>
      <c r="E32" s="92" t="s">
        <v>402</v>
      </c>
      <c r="F32" s="93" t="s">
        <v>403</v>
      </c>
      <c r="G32" s="108" t="s">
        <v>404</v>
      </c>
      <c r="H32" s="95" t="s">
        <v>373</v>
      </c>
      <c r="I32" s="62" t="s">
        <v>114</v>
      </c>
      <c r="J32" s="96" t="s">
        <v>374</v>
      </c>
      <c r="K32" s="45" t="s">
        <v>44</v>
      </c>
      <c r="L32" s="45" t="s">
        <v>98</v>
      </c>
      <c r="M32" s="40" t="s">
        <v>405</v>
      </c>
      <c r="N32" s="137" t="s">
        <v>406</v>
      </c>
      <c r="O32" s="45" t="s">
        <v>101</v>
      </c>
      <c r="P32" s="47">
        <v>5.8810105435E10</v>
      </c>
      <c r="Q32" s="45" t="s">
        <v>133</v>
      </c>
      <c r="R32" s="97"/>
      <c r="S32" s="45" t="s">
        <v>49</v>
      </c>
      <c r="T32" s="49" t="s">
        <v>407</v>
      </c>
      <c r="U32" s="45" t="s">
        <v>408</v>
      </c>
      <c r="V32" s="125" t="b">
        <v>1</v>
      </c>
      <c r="W32" s="45" t="s">
        <v>409</v>
      </c>
      <c r="X32" s="138"/>
      <c r="Y32" s="45" t="s">
        <v>53</v>
      </c>
      <c r="Z32" s="45" t="s">
        <v>163</v>
      </c>
      <c r="AA32" s="45" t="s">
        <v>410</v>
      </c>
      <c r="AB32" s="45" t="s">
        <v>411</v>
      </c>
      <c r="AC32" s="45">
        <v>61275.0</v>
      </c>
      <c r="AE32" s="45" t="s">
        <v>141</v>
      </c>
      <c r="AF32" s="124" t="s">
        <v>56</v>
      </c>
      <c r="AG32" s="97"/>
      <c r="AH32" s="99" t="s">
        <v>125</v>
      </c>
      <c r="AI32" s="52">
        <v>1.9076930445E10</v>
      </c>
      <c r="AJ32" s="45" t="s">
        <v>412</v>
      </c>
      <c r="AK32" s="45" t="s">
        <v>108</v>
      </c>
      <c r="AL32" s="45" t="str">
        <f t="shared" si="9"/>
        <v>7 Tahun 3 Bulan</v>
      </c>
      <c r="AM32" s="100">
        <v>43466.0</v>
      </c>
      <c r="AW32" s="45" t="str">
        <f t="shared" si="10"/>
        <v>7 Tahun 2 Bulan</v>
      </c>
    </row>
    <row r="33" ht="15.75" customHeight="1">
      <c r="A33" s="35">
        <v>27.0</v>
      </c>
      <c r="B33" s="57" t="s">
        <v>413</v>
      </c>
      <c r="C33" s="56" t="s">
        <v>41</v>
      </c>
      <c r="D33" s="57" t="s">
        <v>91</v>
      </c>
      <c r="E33" s="58" t="s">
        <v>414</v>
      </c>
      <c r="F33" s="59" t="s">
        <v>415</v>
      </c>
      <c r="G33" s="60" t="s">
        <v>416</v>
      </c>
      <c r="H33" s="61" t="s">
        <v>113</v>
      </c>
      <c r="I33" s="62" t="s">
        <v>114</v>
      </c>
      <c r="J33" s="87" t="s">
        <v>115</v>
      </c>
      <c r="K33" s="57" t="s">
        <v>44</v>
      </c>
      <c r="L33" s="57" t="s">
        <v>98</v>
      </c>
      <c r="M33" s="139" t="s">
        <v>417</v>
      </c>
      <c r="N33" s="139" t="s">
        <v>418</v>
      </c>
      <c r="O33" s="57" t="s">
        <v>101</v>
      </c>
      <c r="P33" s="65">
        <v>5.881010526E10</v>
      </c>
      <c r="Q33" s="57" t="s">
        <v>48</v>
      </c>
      <c r="R33" s="55"/>
      <c r="S33" s="57" t="s">
        <v>49</v>
      </c>
      <c r="T33" s="66" t="s">
        <v>419</v>
      </c>
      <c r="U33" s="57" t="s">
        <v>420</v>
      </c>
      <c r="V33" s="57"/>
      <c r="W33" s="57" t="s">
        <v>421</v>
      </c>
      <c r="X33" s="57"/>
      <c r="Y33" s="57" t="s">
        <v>53</v>
      </c>
      <c r="Z33" s="57" t="s">
        <v>420</v>
      </c>
      <c r="AA33" s="57" t="s">
        <v>422</v>
      </c>
      <c r="AB33" s="57" t="s">
        <v>423</v>
      </c>
      <c r="AC33" s="57">
        <v>61174.0</v>
      </c>
      <c r="AD33" s="57"/>
      <c r="AE33" s="57"/>
      <c r="AF33" s="140" t="s">
        <v>56</v>
      </c>
      <c r="AG33" s="55"/>
      <c r="AH33" s="55" t="s">
        <v>125</v>
      </c>
      <c r="AI33" s="68">
        <v>1.9076930536E10</v>
      </c>
      <c r="AJ33" s="57" t="s">
        <v>424</v>
      </c>
      <c r="AK33" s="57" t="s">
        <v>108</v>
      </c>
      <c r="AL33" s="57" t="str">
        <f t="shared" si="9"/>
        <v>7 Tahun 3 Bulan</v>
      </c>
      <c r="AM33" s="91">
        <v>43476.0</v>
      </c>
      <c r="AN33" s="57"/>
      <c r="AO33" s="57"/>
      <c r="AP33" s="57"/>
      <c r="AQ33" s="57"/>
      <c r="AR33" s="57"/>
      <c r="AS33" s="57"/>
      <c r="AT33" s="57"/>
      <c r="AU33" s="57"/>
      <c r="AV33" s="57"/>
      <c r="AW33" s="45" t="str">
        <f t="shared" si="10"/>
        <v>7 Tahun 2 Bulan</v>
      </c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</row>
    <row r="34" ht="15.75" customHeight="1">
      <c r="A34" s="35">
        <v>28.0</v>
      </c>
      <c r="B34" s="57" t="s">
        <v>425</v>
      </c>
      <c r="C34" s="56" t="s">
        <v>41</v>
      </c>
      <c r="D34" s="57" t="s">
        <v>91</v>
      </c>
      <c r="E34" s="58" t="s">
        <v>426</v>
      </c>
      <c r="F34" s="59" t="s">
        <v>427</v>
      </c>
      <c r="G34" s="60" t="s">
        <v>428</v>
      </c>
      <c r="H34" s="61" t="s">
        <v>113</v>
      </c>
      <c r="I34" s="62" t="s">
        <v>114</v>
      </c>
      <c r="J34" s="87" t="s">
        <v>115</v>
      </c>
      <c r="K34" s="57" t="s">
        <v>44</v>
      </c>
      <c r="L34" s="57" t="s">
        <v>98</v>
      </c>
      <c r="M34" s="88" t="s">
        <v>429</v>
      </c>
      <c r="N34" s="88" t="s">
        <v>430</v>
      </c>
      <c r="O34" s="57" t="s">
        <v>101</v>
      </c>
      <c r="P34" s="65">
        <v>5.8810105633E10</v>
      </c>
      <c r="Q34" s="57" t="s">
        <v>87</v>
      </c>
      <c r="R34" s="55"/>
      <c r="S34" s="57" t="s">
        <v>49</v>
      </c>
      <c r="T34" s="66" t="s">
        <v>431</v>
      </c>
      <c r="U34" s="57" t="s">
        <v>432</v>
      </c>
      <c r="V34" s="57"/>
      <c r="W34" s="57" t="s">
        <v>433</v>
      </c>
      <c r="X34" s="57"/>
      <c r="Y34" s="57" t="s">
        <v>53</v>
      </c>
      <c r="Z34" s="57" t="s">
        <v>51</v>
      </c>
      <c r="AA34" s="57" t="s">
        <v>253</v>
      </c>
      <c r="AB34" s="57" t="s">
        <v>254</v>
      </c>
      <c r="AC34" s="57">
        <v>60178.0</v>
      </c>
      <c r="AD34" s="57"/>
      <c r="AE34" s="57"/>
      <c r="AF34" s="140" t="s">
        <v>139</v>
      </c>
      <c r="AG34" s="55"/>
      <c r="AH34" s="55" t="s">
        <v>125</v>
      </c>
      <c r="AI34" s="68">
        <v>1.9076930437E10</v>
      </c>
      <c r="AJ34" s="57" t="s">
        <v>434</v>
      </c>
      <c r="AK34" s="57" t="s">
        <v>108</v>
      </c>
      <c r="AL34" s="57" t="str">
        <f t="shared" si="9"/>
        <v>7 Tahun 3 Bulan</v>
      </c>
      <c r="AM34" s="91">
        <v>43477.0</v>
      </c>
      <c r="AN34" s="57"/>
      <c r="AO34" s="57"/>
      <c r="AP34" s="57"/>
      <c r="AQ34" s="57"/>
      <c r="AR34" s="57"/>
      <c r="AS34" s="57"/>
      <c r="AT34" s="57"/>
      <c r="AU34" s="57"/>
      <c r="AV34" s="57"/>
      <c r="AW34" s="45" t="str">
        <f t="shared" si="10"/>
        <v>7 Tahun 2 Bulan</v>
      </c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</row>
    <row r="35" ht="15.75" customHeight="1">
      <c r="A35" s="35">
        <v>29.0</v>
      </c>
      <c r="B35" s="57" t="s">
        <v>435</v>
      </c>
      <c r="C35" s="56" t="s">
        <v>41</v>
      </c>
      <c r="D35" s="57" t="s">
        <v>91</v>
      </c>
      <c r="E35" s="58" t="s">
        <v>436</v>
      </c>
      <c r="F35" s="59" t="s">
        <v>437</v>
      </c>
      <c r="G35" s="60" t="s">
        <v>438</v>
      </c>
      <c r="H35" s="61" t="s">
        <v>113</v>
      </c>
      <c r="I35" s="62" t="s">
        <v>114</v>
      </c>
      <c r="J35" s="87" t="s">
        <v>115</v>
      </c>
      <c r="K35" s="57" t="s">
        <v>44</v>
      </c>
      <c r="L35" s="57" t="s">
        <v>98</v>
      </c>
      <c r="M35" s="88" t="s">
        <v>439</v>
      </c>
      <c r="N35" s="88" t="s">
        <v>440</v>
      </c>
      <c r="O35" s="57" t="s">
        <v>101</v>
      </c>
      <c r="P35" s="65">
        <v>5.8810105336E10</v>
      </c>
      <c r="Q35" s="57" t="s">
        <v>87</v>
      </c>
      <c r="R35" s="55"/>
      <c r="S35" s="57" t="s">
        <v>49</v>
      </c>
      <c r="T35" s="66" t="s">
        <v>441</v>
      </c>
      <c r="U35" s="57" t="s">
        <v>203</v>
      </c>
      <c r="V35" s="57"/>
      <c r="W35" s="57" t="s">
        <v>442</v>
      </c>
      <c r="X35" s="57"/>
      <c r="Y35" s="57" t="s">
        <v>53</v>
      </c>
      <c r="Z35" s="57" t="s">
        <v>51</v>
      </c>
      <c r="AA35" s="57" t="s">
        <v>443</v>
      </c>
      <c r="AB35" s="57" t="s">
        <v>444</v>
      </c>
      <c r="AC35" s="57">
        <v>60278.0</v>
      </c>
      <c r="AD35" s="57"/>
      <c r="AE35" s="57"/>
      <c r="AF35" s="90" t="s">
        <v>139</v>
      </c>
      <c r="AG35" s="55"/>
      <c r="AH35" s="55" t="s">
        <v>125</v>
      </c>
      <c r="AI35" s="68">
        <v>1.907693046E10</v>
      </c>
      <c r="AJ35" s="57" t="s">
        <v>445</v>
      </c>
      <c r="AK35" s="57" t="s">
        <v>108</v>
      </c>
      <c r="AL35" s="57" t="str">
        <f t="shared" si="9"/>
        <v>7 Tahun 3 Bulan</v>
      </c>
      <c r="AM35" s="91">
        <v>43478.0</v>
      </c>
      <c r="AN35" s="57"/>
      <c r="AO35" s="57"/>
      <c r="AP35" s="57"/>
      <c r="AQ35" s="57"/>
      <c r="AR35" s="57"/>
      <c r="AS35" s="57"/>
      <c r="AT35" s="57"/>
      <c r="AU35" s="57"/>
      <c r="AV35" s="57"/>
      <c r="AW35" s="45" t="str">
        <f t="shared" si="10"/>
        <v>7 Tahun 2 Bulan</v>
      </c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</row>
    <row r="36" ht="15.75" hidden="1" customHeight="1">
      <c r="A36" s="70">
        <v>30.0</v>
      </c>
      <c r="B36" s="141" t="s">
        <v>446</v>
      </c>
      <c r="C36" s="111"/>
      <c r="D36" s="141" t="s">
        <v>91</v>
      </c>
      <c r="E36" s="142" t="s">
        <v>447</v>
      </c>
      <c r="F36" s="143" t="s">
        <v>448</v>
      </c>
      <c r="G36" s="144" t="s">
        <v>449</v>
      </c>
      <c r="H36" s="78" t="s">
        <v>113</v>
      </c>
      <c r="I36" s="78" t="s">
        <v>114</v>
      </c>
      <c r="J36" s="145"/>
      <c r="K36" s="141" t="s">
        <v>44</v>
      </c>
      <c r="L36" s="141" t="s">
        <v>98</v>
      </c>
      <c r="M36" s="146" t="s">
        <v>450</v>
      </c>
      <c r="N36" s="146" t="s">
        <v>451</v>
      </c>
      <c r="O36" s="141" t="s">
        <v>101</v>
      </c>
      <c r="P36" s="147"/>
      <c r="Q36" s="141" t="s">
        <v>48</v>
      </c>
      <c r="R36" s="148"/>
      <c r="S36" s="141" t="s">
        <v>49</v>
      </c>
      <c r="T36" s="149" t="s">
        <v>452</v>
      </c>
      <c r="U36" s="141" t="s">
        <v>420</v>
      </c>
      <c r="V36" s="141"/>
      <c r="W36" s="141" t="s">
        <v>453</v>
      </c>
      <c r="X36" s="141"/>
      <c r="Y36" s="141" t="s">
        <v>53</v>
      </c>
      <c r="Z36" s="141" t="s">
        <v>420</v>
      </c>
      <c r="AA36" s="141" t="s">
        <v>422</v>
      </c>
      <c r="AB36" s="141" t="s">
        <v>423</v>
      </c>
      <c r="AC36" s="141">
        <v>61174.0</v>
      </c>
      <c r="AD36" s="141"/>
      <c r="AE36" s="141"/>
      <c r="AF36" s="141" t="s">
        <v>56</v>
      </c>
      <c r="AG36" s="148"/>
      <c r="AH36" s="148" t="s">
        <v>125</v>
      </c>
      <c r="AI36" s="150">
        <v>1.9076930551E10</v>
      </c>
      <c r="AJ36" s="141" t="s">
        <v>454</v>
      </c>
      <c r="AK36" s="141" t="s">
        <v>108</v>
      </c>
      <c r="AL36" s="141"/>
      <c r="AM36" s="151">
        <v>43479.0</v>
      </c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1"/>
      <c r="CG36" s="141"/>
      <c r="CH36" s="141"/>
      <c r="CI36" s="141"/>
      <c r="CJ36" s="141"/>
      <c r="CK36" s="141"/>
      <c r="CL36" s="141"/>
    </row>
    <row r="37" ht="15.75" customHeight="1">
      <c r="A37" s="35">
        <v>31.0</v>
      </c>
      <c r="B37" s="57" t="s">
        <v>455</v>
      </c>
      <c r="C37" s="56" t="s">
        <v>41</v>
      </c>
      <c r="D37" s="57" t="s">
        <v>91</v>
      </c>
      <c r="E37" s="58" t="s">
        <v>456</v>
      </c>
      <c r="F37" s="59" t="s">
        <v>457</v>
      </c>
      <c r="G37" s="60" t="s">
        <v>458</v>
      </c>
      <c r="H37" s="61" t="s">
        <v>459</v>
      </c>
      <c r="I37" s="62" t="s">
        <v>309</v>
      </c>
      <c r="J37" s="87" t="s">
        <v>97</v>
      </c>
      <c r="K37" s="57" t="s">
        <v>44</v>
      </c>
      <c r="L37" s="57" t="s">
        <v>98</v>
      </c>
      <c r="M37" s="139" t="s">
        <v>395</v>
      </c>
      <c r="N37" s="88" t="s">
        <v>460</v>
      </c>
      <c r="O37" s="57" t="s">
        <v>101</v>
      </c>
      <c r="P37" s="65">
        <v>5.8810105609E10</v>
      </c>
      <c r="Q37" s="55" t="s">
        <v>461</v>
      </c>
      <c r="R37" s="55"/>
      <c r="S37" s="57" t="s">
        <v>49</v>
      </c>
      <c r="T37" s="66" t="s">
        <v>462</v>
      </c>
      <c r="U37" s="57" t="s">
        <v>51</v>
      </c>
      <c r="V37" s="57"/>
      <c r="W37" s="57" t="s">
        <v>398</v>
      </c>
      <c r="X37" s="57"/>
      <c r="Y37" s="57" t="s">
        <v>53</v>
      </c>
      <c r="Z37" s="57" t="s">
        <v>51</v>
      </c>
      <c r="AA37" s="57" t="s">
        <v>253</v>
      </c>
      <c r="AB37" s="57" t="s">
        <v>399</v>
      </c>
      <c r="AC37" s="57">
        <v>60176.0</v>
      </c>
      <c r="AD37" s="57"/>
      <c r="AE37" s="57"/>
      <c r="AF37" s="140" t="s">
        <v>56</v>
      </c>
      <c r="AG37" s="55"/>
      <c r="AH37" s="55" t="s">
        <v>125</v>
      </c>
      <c r="AI37" s="68">
        <v>2.0016994319E10</v>
      </c>
      <c r="AJ37" s="57" t="s">
        <v>463</v>
      </c>
      <c r="AK37" s="57" t="s">
        <v>108</v>
      </c>
      <c r="AL37" s="57" t="str">
        <f t="shared" ref="AL37:AL42" si="11">DATEDIF(AM37,NOW(),"y")&amp;" Tahun "&amp;DATEDIF(AM37,NOW(),"ym")&amp;" Bulan"</f>
        <v>7 Tahun 2 Bulan</v>
      </c>
      <c r="AM37" s="91">
        <v>43507.0</v>
      </c>
      <c r="AN37" s="57"/>
      <c r="AO37" s="57"/>
      <c r="AP37" s="57"/>
      <c r="AQ37" s="57"/>
      <c r="AR37" s="57"/>
      <c r="AS37" s="57"/>
      <c r="AT37" s="57"/>
      <c r="AU37" s="57"/>
      <c r="AV37" s="57"/>
      <c r="AW37" s="45" t="str">
        <f t="shared" ref="AW37:AW42" si="12">DATEDIF(AM37,$AW$2,"Y") &amp; " Tahun " &amp; DATEDIF(AM37,$AW$2,"YM") &amp; " Bulan"</f>
        <v>7 Tahun 1 Bulan</v>
      </c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</row>
    <row r="38" ht="15.75" customHeight="1">
      <c r="A38" s="35">
        <v>32.0</v>
      </c>
      <c r="B38" s="57" t="s">
        <v>464</v>
      </c>
      <c r="C38" s="56" t="s">
        <v>41</v>
      </c>
      <c r="D38" s="57" t="s">
        <v>91</v>
      </c>
      <c r="E38" s="58" t="s">
        <v>465</v>
      </c>
      <c r="F38" s="59" t="s">
        <v>466</v>
      </c>
      <c r="G38" s="117" t="s">
        <v>467</v>
      </c>
      <c r="H38" s="61" t="s">
        <v>113</v>
      </c>
      <c r="I38" s="62" t="s">
        <v>114</v>
      </c>
      <c r="J38" s="87" t="s">
        <v>115</v>
      </c>
      <c r="K38" s="57" t="s">
        <v>44</v>
      </c>
      <c r="L38" s="57" t="s">
        <v>98</v>
      </c>
      <c r="M38" s="88" t="s">
        <v>468</v>
      </c>
      <c r="N38" s="88" t="s">
        <v>469</v>
      </c>
      <c r="O38" s="57" t="s">
        <v>101</v>
      </c>
      <c r="P38" s="65">
        <v>5.8810105294E10</v>
      </c>
      <c r="Q38" s="57" t="s">
        <v>87</v>
      </c>
      <c r="R38" s="55"/>
      <c r="S38" s="57" t="s">
        <v>49</v>
      </c>
      <c r="T38" s="66" t="s">
        <v>470</v>
      </c>
      <c r="U38" s="57" t="s">
        <v>471</v>
      </c>
      <c r="V38" s="57"/>
      <c r="W38" s="57" t="s">
        <v>472</v>
      </c>
      <c r="X38" s="57"/>
      <c r="Y38" s="57" t="s">
        <v>53</v>
      </c>
      <c r="Z38" s="57" t="s">
        <v>420</v>
      </c>
      <c r="AA38" s="57" t="s">
        <v>422</v>
      </c>
      <c r="AB38" s="57" t="s">
        <v>473</v>
      </c>
      <c r="AC38" s="57">
        <v>61174.0</v>
      </c>
      <c r="AD38" s="57"/>
      <c r="AE38" s="57"/>
      <c r="AF38" s="90" t="s">
        <v>65</v>
      </c>
      <c r="AG38" s="55"/>
      <c r="AH38" s="55" t="s">
        <v>125</v>
      </c>
      <c r="AI38" s="68">
        <v>1.907693051E10</v>
      </c>
      <c r="AJ38" s="57" t="s">
        <v>474</v>
      </c>
      <c r="AK38" s="57" t="s">
        <v>108</v>
      </c>
      <c r="AL38" s="57" t="str">
        <f t="shared" si="11"/>
        <v>7 Tahun 1 Bulan</v>
      </c>
      <c r="AM38" s="91">
        <v>43528.0</v>
      </c>
      <c r="AN38" s="57"/>
      <c r="AO38" s="57"/>
      <c r="AP38" s="57"/>
      <c r="AQ38" s="57"/>
      <c r="AR38" s="57"/>
      <c r="AS38" s="57"/>
      <c r="AT38" s="57"/>
      <c r="AU38" s="57"/>
      <c r="AV38" s="57"/>
      <c r="AW38" s="45" t="str">
        <f t="shared" si="12"/>
        <v>7 Tahun 0 Bulan</v>
      </c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</row>
    <row r="39" ht="15.75" customHeight="1">
      <c r="A39" s="35">
        <v>33.0</v>
      </c>
      <c r="B39" s="57" t="s">
        <v>475</v>
      </c>
      <c r="C39" s="56" t="s">
        <v>41</v>
      </c>
      <c r="D39" s="57" t="s">
        <v>91</v>
      </c>
      <c r="E39" s="58" t="s">
        <v>476</v>
      </c>
      <c r="F39" s="59" t="s">
        <v>477</v>
      </c>
      <c r="G39" s="152" t="s">
        <v>478</v>
      </c>
      <c r="H39" s="61" t="s">
        <v>113</v>
      </c>
      <c r="I39" s="62" t="s">
        <v>114</v>
      </c>
      <c r="J39" s="87" t="s">
        <v>115</v>
      </c>
      <c r="K39" s="57" t="s">
        <v>44</v>
      </c>
      <c r="L39" s="57" t="s">
        <v>98</v>
      </c>
      <c r="M39" s="139" t="s">
        <v>479</v>
      </c>
      <c r="N39" s="139" t="s">
        <v>480</v>
      </c>
      <c r="O39" s="57" t="s">
        <v>101</v>
      </c>
      <c r="P39" s="65">
        <v>5.8810105328E10</v>
      </c>
      <c r="Q39" s="57" t="s">
        <v>48</v>
      </c>
      <c r="R39" s="55"/>
      <c r="S39" s="57" t="s">
        <v>49</v>
      </c>
      <c r="T39" s="66" t="s">
        <v>481</v>
      </c>
      <c r="U39" s="57" t="s">
        <v>203</v>
      </c>
      <c r="V39" s="57"/>
      <c r="W39" s="57" t="s">
        <v>482</v>
      </c>
      <c r="X39" s="57"/>
      <c r="Y39" s="57" t="s">
        <v>53</v>
      </c>
      <c r="Z39" s="57" t="s">
        <v>203</v>
      </c>
      <c r="AA39" s="57" t="s">
        <v>483</v>
      </c>
      <c r="AB39" s="57" t="s">
        <v>484</v>
      </c>
      <c r="AC39" s="57">
        <v>62283.0</v>
      </c>
      <c r="AD39" s="57"/>
      <c r="AE39" s="57"/>
      <c r="AF39" s="140" t="s">
        <v>139</v>
      </c>
      <c r="AG39" s="55"/>
      <c r="AH39" s="55" t="s">
        <v>125</v>
      </c>
      <c r="AI39" s="68">
        <v>1.9076930502E10</v>
      </c>
      <c r="AJ39" s="57" t="s">
        <v>485</v>
      </c>
      <c r="AK39" s="57" t="s">
        <v>108</v>
      </c>
      <c r="AL39" s="57" t="str">
        <f t="shared" si="11"/>
        <v>7 Tahun 1 Bulan</v>
      </c>
      <c r="AM39" s="91">
        <v>43528.0</v>
      </c>
      <c r="AN39" s="57"/>
      <c r="AO39" s="57"/>
      <c r="AP39" s="57"/>
      <c r="AQ39" s="57"/>
      <c r="AR39" s="57"/>
      <c r="AS39" s="57"/>
      <c r="AT39" s="57"/>
      <c r="AU39" s="57"/>
      <c r="AV39" s="57"/>
      <c r="AW39" s="45" t="str">
        <f t="shared" si="12"/>
        <v>7 Tahun 0 Bulan</v>
      </c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</row>
    <row r="40" ht="15.75" customHeight="1">
      <c r="A40" s="35">
        <v>34.0</v>
      </c>
      <c r="B40" s="57" t="s">
        <v>486</v>
      </c>
      <c r="C40" s="37" t="s">
        <v>41</v>
      </c>
      <c r="D40" s="45" t="s">
        <v>91</v>
      </c>
      <c r="E40" s="92" t="s">
        <v>487</v>
      </c>
      <c r="F40" s="93" t="s">
        <v>488</v>
      </c>
      <c r="G40" s="94" t="s">
        <v>489</v>
      </c>
      <c r="H40" s="95" t="s">
        <v>247</v>
      </c>
      <c r="I40" s="109" t="s">
        <v>248</v>
      </c>
      <c r="J40" s="96" t="s">
        <v>97</v>
      </c>
      <c r="K40" s="45" t="s">
        <v>44</v>
      </c>
      <c r="L40" s="45" t="s">
        <v>98</v>
      </c>
      <c r="M40" s="46" t="s">
        <v>490</v>
      </c>
      <c r="N40" s="46" t="s">
        <v>491</v>
      </c>
      <c r="O40" s="45" t="s">
        <v>101</v>
      </c>
      <c r="P40" s="47">
        <v>5.881010569E10</v>
      </c>
      <c r="Q40" s="125" t="s">
        <v>87</v>
      </c>
      <c r="R40" s="97"/>
      <c r="S40" s="45" t="s">
        <v>69</v>
      </c>
      <c r="T40" s="49" t="s">
        <v>492</v>
      </c>
      <c r="U40" s="45" t="s">
        <v>51</v>
      </c>
      <c r="W40" s="45" t="s">
        <v>493</v>
      </c>
      <c r="Y40" s="45" t="s">
        <v>53</v>
      </c>
      <c r="Z40" s="45" t="s">
        <v>51</v>
      </c>
      <c r="AA40" s="45" t="s">
        <v>494</v>
      </c>
      <c r="AB40" s="45" t="s">
        <v>495</v>
      </c>
      <c r="AC40" s="45">
        <v>60185.0</v>
      </c>
      <c r="AF40" s="98" t="s">
        <v>71</v>
      </c>
      <c r="AG40" s="97"/>
      <c r="AH40" s="99" t="s">
        <v>125</v>
      </c>
      <c r="AI40" s="52">
        <v>1.9076930478E10</v>
      </c>
      <c r="AJ40" s="45" t="s">
        <v>496</v>
      </c>
      <c r="AK40" s="45" t="s">
        <v>108</v>
      </c>
      <c r="AL40" s="45" t="str">
        <f t="shared" si="11"/>
        <v>6 Tahun 9 Bulan</v>
      </c>
      <c r="AM40" s="100">
        <v>43647.0</v>
      </c>
      <c r="AW40" s="45" t="str">
        <f t="shared" si="12"/>
        <v>6 Tahun 8 Bulan</v>
      </c>
    </row>
    <row r="41" ht="15.75" customHeight="1">
      <c r="A41" s="153">
        <v>35.0</v>
      </c>
      <c r="B41" s="2" t="s">
        <v>497</v>
      </c>
      <c r="C41" s="154" t="s">
        <v>498</v>
      </c>
      <c r="D41" s="45" t="s">
        <v>91</v>
      </c>
      <c r="E41" s="155" t="s">
        <v>499</v>
      </c>
      <c r="F41" s="93" t="s">
        <v>500</v>
      </c>
      <c r="G41" s="94" t="s">
        <v>501</v>
      </c>
      <c r="H41" s="95" t="s">
        <v>502</v>
      </c>
      <c r="I41" s="43" t="s">
        <v>96</v>
      </c>
      <c r="J41" s="156" t="s">
        <v>503</v>
      </c>
      <c r="K41" s="45" t="s">
        <v>44</v>
      </c>
      <c r="L41" s="157" t="s">
        <v>504</v>
      </c>
      <c r="M41" s="46" t="s">
        <v>505</v>
      </c>
      <c r="N41" s="46" t="s">
        <v>506</v>
      </c>
      <c r="O41" s="45" t="s">
        <v>101</v>
      </c>
      <c r="P41" s="47">
        <v>5.8810108108E10</v>
      </c>
      <c r="Q41" s="125" t="s">
        <v>48</v>
      </c>
      <c r="R41" s="97"/>
      <c r="S41" s="45" t="s">
        <v>69</v>
      </c>
      <c r="T41" s="45" t="s">
        <v>507</v>
      </c>
      <c r="U41" s="45" t="s">
        <v>51</v>
      </c>
      <c r="W41" s="45" t="s">
        <v>508</v>
      </c>
      <c r="Y41" s="45" t="s">
        <v>53</v>
      </c>
      <c r="Z41" s="45" t="s">
        <v>51</v>
      </c>
      <c r="AA41" s="45" t="s">
        <v>509</v>
      </c>
      <c r="AB41" s="45" t="s">
        <v>509</v>
      </c>
      <c r="AC41" s="45">
        <v>60211.0</v>
      </c>
      <c r="AF41" s="50" t="s">
        <v>510</v>
      </c>
      <c r="AG41" s="97"/>
      <c r="AH41" s="93" t="s">
        <v>511</v>
      </c>
      <c r="AI41" s="52">
        <v>2.2077149437E10</v>
      </c>
      <c r="AJ41" s="45" t="s">
        <v>512</v>
      </c>
      <c r="AK41" s="45" t="s">
        <v>108</v>
      </c>
      <c r="AL41" s="45" t="str">
        <f t="shared" si="11"/>
        <v>6 Tahun 9 Bulan</v>
      </c>
      <c r="AM41" s="100">
        <v>43648.0</v>
      </c>
      <c r="AW41" s="45" t="str">
        <f t="shared" si="12"/>
        <v>6 Tahun 8 Bulan</v>
      </c>
    </row>
    <row r="42" ht="15.75" customHeight="1">
      <c r="A42" s="35">
        <v>36.0</v>
      </c>
      <c r="B42" s="2" t="s">
        <v>513</v>
      </c>
      <c r="C42" s="154" t="s">
        <v>514</v>
      </c>
      <c r="D42" s="45" t="s">
        <v>91</v>
      </c>
      <c r="E42" s="155" t="s">
        <v>515</v>
      </c>
      <c r="F42" s="93" t="s">
        <v>516</v>
      </c>
      <c r="G42" s="134" t="s">
        <v>517</v>
      </c>
      <c r="H42" s="95" t="s">
        <v>518</v>
      </c>
      <c r="I42" s="43" t="s">
        <v>96</v>
      </c>
      <c r="J42" s="96" t="s">
        <v>186</v>
      </c>
      <c r="K42" s="45" t="s">
        <v>44</v>
      </c>
      <c r="L42" s="45" t="s">
        <v>98</v>
      </c>
      <c r="M42" s="123" t="s">
        <v>519</v>
      </c>
      <c r="N42" s="123" t="s">
        <v>520</v>
      </c>
      <c r="O42" s="45" t="s">
        <v>101</v>
      </c>
      <c r="P42" s="47">
        <v>5.8810108199E10</v>
      </c>
      <c r="Q42" s="45" t="s">
        <v>521</v>
      </c>
      <c r="R42" s="97"/>
      <c r="S42" s="45" t="s">
        <v>49</v>
      </c>
      <c r="T42" s="49" t="s">
        <v>522</v>
      </c>
      <c r="U42" s="45" t="s">
        <v>51</v>
      </c>
      <c r="W42" s="45" t="s">
        <v>523</v>
      </c>
      <c r="Y42" s="45" t="s">
        <v>53</v>
      </c>
      <c r="Z42" s="45" t="s">
        <v>51</v>
      </c>
      <c r="AA42" s="45" t="s">
        <v>524</v>
      </c>
      <c r="AB42" s="45" t="s">
        <v>524</v>
      </c>
      <c r="AC42" s="45">
        <v>60232.0</v>
      </c>
      <c r="AF42" s="135" t="s">
        <v>139</v>
      </c>
      <c r="AG42" s="97"/>
      <c r="AH42" s="51" t="s">
        <v>525</v>
      </c>
      <c r="AI42" s="52">
        <v>2.1010994453E10</v>
      </c>
      <c r="AJ42" s="93" t="s">
        <v>526</v>
      </c>
      <c r="AK42" s="45" t="s">
        <v>108</v>
      </c>
      <c r="AL42" s="45" t="str">
        <f t="shared" si="11"/>
        <v>6 Tahun 7 Bulan</v>
      </c>
      <c r="AM42" s="100">
        <v>43710.0</v>
      </c>
      <c r="AW42" s="45" t="str">
        <f t="shared" si="12"/>
        <v>6 Tahun 6 Bulan</v>
      </c>
    </row>
    <row r="43" ht="15.75" hidden="1" customHeight="1">
      <c r="A43" s="158">
        <v>37.0</v>
      </c>
      <c r="B43" s="159" t="s">
        <v>527</v>
      </c>
      <c r="C43" s="160"/>
      <c r="D43" s="159" t="s">
        <v>91</v>
      </c>
      <c r="E43" s="161"/>
      <c r="F43" s="162" t="s">
        <v>528</v>
      </c>
      <c r="G43" s="163" t="s">
        <v>529</v>
      </c>
      <c r="H43" s="161" t="s">
        <v>247</v>
      </c>
      <c r="I43" s="161"/>
      <c r="J43" s="164"/>
      <c r="K43" s="159" t="s">
        <v>44</v>
      </c>
      <c r="L43" s="159" t="s">
        <v>98</v>
      </c>
      <c r="M43" s="165" t="s">
        <v>530</v>
      </c>
      <c r="N43" s="166" t="s">
        <v>531</v>
      </c>
      <c r="O43" s="120" t="s">
        <v>101</v>
      </c>
      <c r="P43" s="167"/>
      <c r="Q43" s="168" t="s">
        <v>87</v>
      </c>
      <c r="R43" s="169"/>
      <c r="S43" s="159" t="s">
        <v>69</v>
      </c>
      <c r="T43" s="170" t="s">
        <v>532</v>
      </c>
      <c r="U43" s="159" t="s">
        <v>533</v>
      </c>
      <c r="V43" s="159"/>
      <c r="W43" s="159" t="s">
        <v>534</v>
      </c>
      <c r="X43" s="159"/>
      <c r="Y43" s="159" t="s">
        <v>53</v>
      </c>
      <c r="Z43" s="159" t="s">
        <v>51</v>
      </c>
      <c r="AA43" s="159" t="s">
        <v>535</v>
      </c>
      <c r="AB43" s="159" t="s">
        <v>536</v>
      </c>
      <c r="AC43" s="159">
        <v>60172.0</v>
      </c>
      <c r="AD43" s="159"/>
      <c r="AE43" s="159"/>
      <c r="AF43" s="159"/>
      <c r="AG43" s="169"/>
      <c r="AH43" s="159"/>
      <c r="AI43" s="171">
        <v>2.0016994285E10</v>
      </c>
      <c r="AJ43" s="159" t="s">
        <v>537</v>
      </c>
      <c r="AK43" s="159" t="s">
        <v>108</v>
      </c>
      <c r="AL43" s="159"/>
      <c r="AM43" s="172">
        <v>43728.0</v>
      </c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20"/>
      <c r="CG43" s="120"/>
      <c r="CH43" s="120"/>
      <c r="CI43" s="120"/>
      <c r="CJ43" s="120"/>
      <c r="CK43" s="120"/>
      <c r="CL43" s="120"/>
    </row>
    <row r="44" ht="15.75" customHeight="1">
      <c r="A44" s="35">
        <v>38.0</v>
      </c>
      <c r="B44" s="57" t="s">
        <v>538</v>
      </c>
      <c r="C44" s="37" t="s">
        <v>41</v>
      </c>
      <c r="D44" s="45" t="s">
        <v>91</v>
      </c>
      <c r="E44" s="92" t="s">
        <v>539</v>
      </c>
      <c r="F44" s="93" t="s">
        <v>540</v>
      </c>
      <c r="G44" s="94" t="s">
        <v>541</v>
      </c>
      <c r="H44" s="95" t="s">
        <v>542</v>
      </c>
      <c r="I44" s="62" t="s">
        <v>114</v>
      </c>
      <c r="J44" s="96" t="s">
        <v>115</v>
      </c>
      <c r="K44" s="45" t="s">
        <v>44</v>
      </c>
      <c r="L44" s="45" t="s">
        <v>98</v>
      </c>
      <c r="M44" s="46" t="s">
        <v>543</v>
      </c>
      <c r="N44" s="46" t="s">
        <v>544</v>
      </c>
      <c r="O44" s="45" t="s">
        <v>101</v>
      </c>
      <c r="P44" s="47">
        <v>5.8810105195E10</v>
      </c>
      <c r="Q44" s="125" t="s">
        <v>87</v>
      </c>
      <c r="R44" s="97"/>
      <c r="S44" s="45" t="s">
        <v>49</v>
      </c>
      <c r="T44" s="49" t="s">
        <v>545</v>
      </c>
      <c r="U44" s="45" t="s">
        <v>51</v>
      </c>
      <c r="W44" s="45" t="s">
        <v>546</v>
      </c>
      <c r="X44" s="45" t="s">
        <v>547</v>
      </c>
      <c r="Y44" s="45" t="s">
        <v>53</v>
      </c>
      <c r="Z44" s="45" t="s">
        <v>548</v>
      </c>
      <c r="AA44" s="45" t="s">
        <v>549</v>
      </c>
      <c r="AB44" s="45" t="s">
        <v>550</v>
      </c>
      <c r="AC44" s="45">
        <v>62195.0</v>
      </c>
      <c r="AF44" s="98" t="s">
        <v>65</v>
      </c>
      <c r="AG44" s="97"/>
      <c r="AH44" s="99" t="s">
        <v>125</v>
      </c>
      <c r="AI44" s="52">
        <v>2.002967314E10</v>
      </c>
      <c r="AJ44" s="45" t="s">
        <v>551</v>
      </c>
      <c r="AK44" s="45" t="s">
        <v>108</v>
      </c>
      <c r="AL44" s="45" t="str">
        <f t="shared" ref="AL44:AL47" si="13">DATEDIF(AM44,NOW(),"y")&amp;" Tahun "&amp;DATEDIF(AM44,NOW(),"ym")&amp;" Bulan"</f>
        <v>6 Tahun 6 Bulan</v>
      </c>
      <c r="AM44" s="100">
        <v>43753.0</v>
      </c>
      <c r="AW44" s="45" t="str">
        <f t="shared" ref="AW44:AW47" si="14">DATEDIF(AM44,$AW$2,"Y") &amp; " Tahun " &amp; DATEDIF(AM44,$AW$2,"YM") &amp; " Bulan"</f>
        <v>6 Tahun 5 Bulan</v>
      </c>
    </row>
    <row r="45" ht="15.75" customHeight="1">
      <c r="A45" s="35">
        <v>39.0</v>
      </c>
      <c r="B45" s="57" t="s">
        <v>552</v>
      </c>
      <c r="C45" s="37" t="s">
        <v>41</v>
      </c>
      <c r="D45" s="45" t="s">
        <v>91</v>
      </c>
      <c r="E45" s="92" t="s">
        <v>553</v>
      </c>
      <c r="F45" s="93" t="s">
        <v>554</v>
      </c>
      <c r="G45" s="94" t="s">
        <v>555</v>
      </c>
      <c r="H45" s="95" t="s">
        <v>556</v>
      </c>
      <c r="I45" s="62" t="s">
        <v>114</v>
      </c>
      <c r="J45" s="96" t="s">
        <v>172</v>
      </c>
      <c r="K45" s="45" t="s">
        <v>44</v>
      </c>
      <c r="L45" s="45" t="s">
        <v>98</v>
      </c>
      <c r="M45" s="46" t="s">
        <v>557</v>
      </c>
      <c r="N45" s="46" t="s">
        <v>558</v>
      </c>
      <c r="O45" s="45" t="s">
        <v>101</v>
      </c>
      <c r="P45" s="47">
        <v>5.8810105765E10</v>
      </c>
      <c r="Q45" s="125" t="s">
        <v>133</v>
      </c>
      <c r="R45" s="97"/>
      <c r="S45" s="45" t="s">
        <v>49</v>
      </c>
      <c r="T45" s="101" t="s">
        <v>559</v>
      </c>
      <c r="U45" s="45" t="s">
        <v>533</v>
      </c>
      <c r="W45" s="45" t="s">
        <v>534</v>
      </c>
      <c r="Y45" s="45" t="s">
        <v>53</v>
      </c>
      <c r="Z45" s="45" t="s">
        <v>51</v>
      </c>
      <c r="AA45" s="45" t="s">
        <v>535</v>
      </c>
      <c r="AB45" s="45" t="s">
        <v>536</v>
      </c>
      <c r="AC45" s="45">
        <v>60172.0</v>
      </c>
      <c r="AF45" s="98" t="s">
        <v>56</v>
      </c>
      <c r="AG45" s="97"/>
      <c r="AH45" s="99" t="s">
        <v>125</v>
      </c>
      <c r="AI45" s="52">
        <v>2.0039277619E10</v>
      </c>
      <c r="AJ45" s="45" t="s">
        <v>560</v>
      </c>
      <c r="AK45" s="45" t="s">
        <v>108</v>
      </c>
      <c r="AL45" s="45" t="str">
        <f t="shared" si="13"/>
        <v>6 Tahun 3 Bulan</v>
      </c>
      <c r="AM45" s="100">
        <v>43844.0</v>
      </c>
      <c r="AW45" s="45" t="str">
        <f t="shared" si="14"/>
        <v>6 Tahun 2 Bulan</v>
      </c>
    </row>
    <row r="46" ht="15.75" customHeight="1">
      <c r="A46" s="35">
        <v>40.0</v>
      </c>
      <c r="B46" s="57" t="s">
        <v>561</v>
      </c>
      <c r="C46" s="37" t="s">
        <v>41</v>
      </c>
      <c r="D46" s="45" t="s">
        <v>91</v>
      </c>
      <c r="E46" s="92" t="s">
        <v>562</v>
      </c>
      <c r="F46" s="93" t="s">
        <v>563</v>
      </c>
      <c r="G46" s="108" t="s">
        <v>564</v>
      </c>
      <c r="H46" s="92" t="s">
        <v>565</v>
      </c>
      <c r="I46" s="109" t="s">
        <v>96</v>
      </c>
      <c r="J46" s="96" t="s">
        <v>97</v>
      </c>
      <c r="K46" s="45" t="s">
        <v>44</v>
      </c>
      <c r="L46" s="45" t="s">
        <v>98</v>
      </c>
      <c r="M46" s="46" t="s">
        <v>566</v>
      </c>
      <c r="N46" s="46" t="s">
        <v>567</v>
      </c>
      <c r="O46" s="45" t="s">
        <v>101</v>
      </c>
      <c r="P46" s="47">
        <v>5.8810107878E10</v>
      </c>
      <c r="Q46" s="45" t="s">
        <v>521</v>
      </c>
      <c r="R46" s="97"/>
      <c r="S46" s="45" t="s">
        <v>69</v>
      </c>
      <c r="T46" s="49" t="s">
        <v>568</v>
      </c>
      <c r="U46" s="45" t="s">
        <v>163</v>
      </c>
      <c r="W46" s="45" t="s">
        <v>569</v>
      </c>
      <c r="Y46" s="45" t="s">
        <v>53</v>
      </c>
      <c r="Z46" s="45" t="s">
        <v>420</v>
      </c>
      <c r="AA46" s="45" t="s">
        <v>570</v>
      </c>
      <c r="AB46" s="45" t="s">
        <v>571</v>
      </c>
      <c r="AC46" s="45">
        <v>61177.0</v>
      </c>
      <c r="AF46" s="50" t="s">
        <v>71</v>
      </c>
      <c r="AG46" s="97"/>
      <c r="AH46" s="51" t="s">
        <v>572</v>
      </c>
      <c r="AI46" s="52">
        <v>1.907075984E10</v>
      </c>
      <c r="AJ46" s="45" t="s">
        <v>573</v>
      </c>
      <c r="AK46" s="45" t="s">
        <v>108</v>
      </c>
      <c r="AL46" s="45" t="str">
        <f t="shared" si="13"/>
        <v>6 Tahun 2 Bulan</v>
      </c>
      <c r="AM46" s="100">
        <v>43860.0</v>
      </c>
      <c r="AW46" s="45" t="str">
        <f t="shared" si="14"/>
        <v>6 Tahun 1 Bulan</v>
      </c>
    </row>
    <row r="47" ht="15.75" customHeight="1">
      <c r="A47" s="35">
        <v>41.0</v>
      </c>
      <c r="B47" s="67" t="s">
        <v>574</v>
      </c>
      <c r="C47" s="154" t="s">
        <v>498</v>
      </c>
      <c r="D47" s="45" t="s">
        <v>91</v>
      </c>
      <c r="E47" s="92" t="s">
        <v>575</v>
      </c>
      <c r="F47" s="93" t="s">
        <v>576</v>
      </c>
      <c r="G47" s="94" t="s">
        <v>577</v>
      </c>
      <c r="H47" s="173" t="s">
        <v>578</v>
      </c>
      <c r="I47" s="109" t="s">
        <v>309</v>
      </c>
      <c r="J47" s="156" t="s">
        <v>97</v>
      </c>
      <c r="K47" s="45" t="s">
        <v>44</v>
      </c>
      <c r="L47" s="45" t="s">
        <v>98</v>
      </c>
      <c r="M47" s="46" t="s">
        <v>579</v>
      </c>
      <c r="N47" s="46" t="s">
        <v>580</v>
      </c>
      <c r="O47" s="45" t="s">
        <v>101</v>
      </c>
      <c r="P47" s="47">
        <v>5.8810105237E10</v>
      </c>
      <c r="Q47" s="125" t="s">
        <v>133</v>
      </c>
      <c r="R47" s="97"/>
      <c r="S47" s="45" t="s">
        <v>69</v>
      </c>
      <c r="T47" s="49" t="s">
        <v>581</v>
      </c>
      <c r="U47" s="45" t="s">
        <v>420</v>
      </c>
      <c r="W47" s="45" t="s">
        <v>582</v>
      </c>
      <c r="Y47" s="45" t="s">
        <v>53</v>
      </c>
      <c r="Z47" s="45" t="s">
        <v>420</v>
      </c>
      <c r="AA47" s="45" t="s">
        <v>583</v>
      </c>
      <c r="AB47" s="45" t="s">
        <v>584</v>
      </c>
      <c r="AC47" s="45">
        <v>61153.0</v>
      </c>
      <c r="AF47" s="50" t="s">
        <v>71</v>
      </c>
      <c r="AG47" s="97"/>
      <c r="AH47" s="99" t="s">
        <v>125</v>
      </c>
      <c r="AI47" s="52">
        <v>2.101099442E10</v>
      </c>
      <c r="AJ47" s="174" t="s">
        <v>585</v>
      </c>
      <c r="AK47" s="45" t="s">
        <v>108</v>
      </c>
      <c r="AL47" s="45" t="str">
        <f t="shared" si="13"/>
        <v>6 Tahun 2 Bulan</v>
      </c>
      <c r="AM47" s="100">
        <v>43863.0</v>
      </c>
      <c r="AW47" s="45" t="str">
        <f t="shared" si="14"/>
        <v>6 Tahun 1 Bulan</v>
      </c>
    </row>
    <row r="48" ht="15.75" hidden="1" customHeight="1">
      <c r="A48" s="70">
        <v>42.0</v>
      </c>
      <c r="B48" s="73" t="s">
        <v>586</v>
      </c>
      <c r="C48" s="131" t="s">
        <v>41</v>
      </c>
      <c r="D48" s="73" t="s">
        <v>91</v>
      </c>
      <c r="E48" s="74" t="s">
        <v>587</v>
      </c>
      <c r="F48" s="75" t="s">
        <v>588</v>
      </c>
      <c r="G48" s="132" t="s">
        <v>589</v>
      </c>
      <c r="H48" s="74" t="s">
        <v>590</v>
      </c>
      <c r="I48" s="77" t="s">
        <v>591</v>
      </c>
      <c r="J48" s="112"/>
      <c r="K48" s="73" t="s">
        <v>44</v>
      </c>
      <c r="L48" s="73" t="s">
        <v>98</v>
      </c>
      <c r="M48" s="80" t="s">
        <v>592</v>
      </c>
      <c r="N48" s="80" t="s">
        <v>593</v>
      </c>
      <c r="O48" s="73" t="s">
        <v>101</v>
      </c>
      <c r="P48" s="175">
        <v>5.8810105286E10</v>
      </c>
      <c r="Q48" s="114" t="s">
        <v>133</v>
      </c>
      <c r="R48" s="82"/>
      <c r="S48" s="73" t="s">
        <v>49</v>
      </c>
      <c r="T48" s="83" t="s">
        <v>594</v>
      </c>
      <c r="U48" s="73" t="s">
        <v>51</v>
      </c>
      <c r="V48" s="73"/>
      <c r="W48" s="73" t="s">
        <v>595</v>
      </c>
      <c r="X48" s="73"/>
      <c r="Y48" s="73" t="s">
        <v>53</v>
      </c>
      <c r="Z48" s="73" t="s">
        <v>420</v>
      </c>
      <c r="AA48" s="73" t="s">
        <v>422</v>
      </c>
      <c r="AB48" s="73" t="s">
        <v>422</v>
      </c>
      <c r="AC48" s="73">
        <v>61174.0</v>
      </c>
      <c r="AD48" s="73"/>
      <c r="AE48" s="73"/>
      <c r="AF48" s="73" t="s">
        <v>596</v>
      </c>
      <c r="AG48" s="82"/>
      <c r="AH48" s="176" t="s">
        <v>597</v>
      </c>
      <c r="AI48" s="85">
        <v>2.0047612344E10</v>
      </c>
      <c r="AJ48" s="73" t="s">
        <v>598</v>
      </c>
      <c r="AK48" s="73" t="s">
        <v>108</v>
      </c>
      <c r="AL48" s="73"/>
      <c r="AM48" s="116">
        <v>43899.0</v>
      </c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</row>
    <row r="49" ht="15.75" customHeight="1">
      <c r="A49" s="35">
        <v>43.0</v>
      </c>
      <c r="B49" s="57" t="s">
        <v>599</v>
      </c>
      <c r="C49" s="37" t="s">
        <v>41</v>
      </c>
      <c r="D49" s="45" t="s">
        <v>91</v>
      </c>
      <c r="E49" s="92" t="s">
        <v>600</v>
      </c>
      <c r="F49" s="93" t="s">
        <v>601</v>
      </c>
      <c r="G49" s="94" t="s">
        <v>602</v>
      </c>
      <c r="H49" s="95" t="s">
        <v>247</v>
      </c>
      <c r="I49" s="109" t="s">
        <v>248</v>
      </c>
      <c r="J49" s="96" t="s">
        <v>97</v>
      </c>
      <c r="K49" s="45" t="s">
        <v>44</v>
      </c>
      <c r="L49" s="45" t="s">
        <v>98</v>
      </c>
      <c r="M49" s="46" t="s">
        <v>603</v>
      </c>
      <c r="N49" s="46" t="s">
        <v>604</v>
      </c>
      <c r="O49" s="45" t="s">
        <v>101</v>
      </c>
      <c r="P49" s="47">
        <v>5.8810105872E10</v>
      </c>
      <c r="Q49" s="125" t="s">
        <v>87</v>
      </c>
      <c r="R49" s="97"/>
      <c r="S49" s="45" t="s">
        <v>69</v>
      </c>
      <c r="T49" s="101" t="s">
        <v>605</v>
      </c>
      <c r="U49" s="45" t="s">
        <v>51</v>
      </c>
      <c r="W49" s="45" t="s">
        <v>606</v>
      </c>
      <c r="Y49" s="45" t="s">
        <v>53</v>
      </c>
      <c r="Z49" s="45" t="s">
        <v>51</v>
      </c>
      <c r="AA49" s="45" t="s">
        <v>535</v>
      </c>
      <c r="AB49" s="45" t="s">
        <v>607</v>
      </c>
      <c r="AC49" s="45">
        <v>60171.0</v>
      </c>
      <c r="AF49" s="50" t="s">
        <v>71</v>
      </c>
      <c r="AG49" s="97"/>
      <c r="AH49" s="99" t="s">
        <v>125</v>
      </c>
      <c r="AI49" s="52">
        <v>1.7044721136E10</v>
      </c>
      <c r="AJ49" s="45" t="s">
        <v>608</v>
      </c>
      <c r="AK49" s="45" t="s">
        <v>108</v>
      </c>
      <c r="AL49" s="45" t="str">
        <f t="shared" ref="AL49:AL53" si="15">DATEDIF(AM49,NOW(),"y")&amp;" Tahun "&amp;DATEDIF(AM49,NOW(),"ym")&amp;" Bulan"</f>
        <v>6 Tahun 0 Bulan</v>
      </c>
      <c r="AM49" s="100">
        <v>43922.0</v>
      </c>
      <c r="AW49" s="45" t="str">
        <f t="shared" ref="AW49:AW53" si="16">DATEDIF(AM49,$AW$2,"Y") &amp; " Tahun " &amp; DATEDIF(AM49,$AW$2,"YM") &amp; " Bulan"</f>
        <v>5 Tahun 11 Bulan</v>
      </c>
    </row>
    <row r="50" ht="15.75" customHeight="1">
      <c r="A50" s="35">
        <v>44.0</v>
      </c>
      <c r="B50" s="57" t="s">
        <v>609</v>
      </c>
      <c r="C50" s="37" t="s">
        <v>41</v>
      </c>
      <c r="D50" s="45" t="s">
        <v>91</v>
      </c>
      <c r="E50" s="92" t="s">
        <v>610</v>
      </c>
      <c r="F50" s="93" t="s">
        <v>611</v>
      </c>
      <c r="G50" s="94" t="s">
        <v>612</v>
      </c>
      <c r="H50" s="95" t="s">
        <v>613</v>
      </c>
      <c r="I50" s="109" t="s">
        <v>614</v>
      </c>
      <c r="J50" s="96" t="s">
        <v>97</v>
      </c>
      <c r="K50" s="45" t="s">
        <v>44</v>
      </c>
      <c r="L50" s="45" t="s">
        <v>98</v>
      </c>
      <c r="M50" s="123" t="s">
        <v>615</v>
      </c>
      <c r="N50" s="123" t="s">
        <v>616</v>
      </c>
      <c r="O50" s="45" t="s">
        <v>101</v>
      </c>
      <c r="P50" s="47">
        <v>5.8810105591E10</v>
      </c>
      <c r="Q50" s="45" t="s">
        <v>48</v>
      </c>
      <c r="R50" s="97"/>
      <c r="S50" s="45" t="s">
        <v>49</v>
      </c>
      <c r="T50" s="49" t="s">
        <v>617</v>
      </c>
      <c r="U50" s="45" t="s">
        <v>51</v>
      </c>
      <c r="W50" s="45" t="s">
        <v>618</v>
      </c>
      <c r="Y50" s="45" t="s">
        <v>53</v>
      </c>
      <c r="Z50" s="45" t="s">
        <v>51</v>
      </c>
      <c r="AA50" s="45" t="s">
        <v>619</v>
      </c>
      <c r="AB50" s="45" t="s">
        <v>620</v>
      </c>
      <c r="AC50" s="45">
        <v>60161.0</v>
      </c>
      <c r="AF50" s="98" t="s">
        <v>139</v>
      </c>
      <c r="AG50" s="97"/>
      <c r="AH50" s="40" t="s">
        <v>621</v>
      </c>
      <c r="AI50" s="52">
        <v>1.9031361496E10</v>
      </c>
      <c r="AJ50" s="45" t="s">
        <v>622</v>
      </c>
      <c r="AK50" s="45" t="s">
        <v>108</v>
      </c>
      <c r="AL50" s="45" t="str">
        <f t="shared" si="15"/>
        <v>5 Tahun 8 Bulan</v>
      </c>
      <c r="AM50" s="177">
        <v>44046.0</v>
      </c>
      <c r="AW50" s="45" t="str">
        <f t="shared" si="16"/>
        <v>5 Tahun 7 Bulan</v>
      </c>
    </row>
    <row r="51" ht="15.75" customHeight="1">
      <c r="A51" s="35">
        <v>45.0</v>
      </c>
      <c r="B51" s="57" t="s">
        <v>623</v>
      </c>
      <c r="C51" s="56" t="s">
        <v>41</v>
      </c>
      <c r="D51" s="57" t="s">
        <v>91</v>
      </c>
      <c r="E51" s="58" t="s">
        <v>624</v>
      </c>
      <c r="F51" s="59" t="s">
        <v>625</v>
      </c>
      <c r="G51" s="60" t="s">
        <v>626</v>
      </c>
      <c r="H51" s="61" t="s">
        <v>113</v>
      </c>
      <c r="I51" s="62" t="s">
        <v>614</v>
      </c>
      <c r="J51" s="87" t="s">
        <v>115</v>
      </c>
      <c r="K51" s="57" t="s">
        <v>44</v>
      </c>
      <c r="L51" s="57" t="s">
        <v>98</v>
      </c>
      <c r="M51" s="88" t="s">
        <v>627</v>
      </c>
      <c r="N51" s="88" t="s">
        <v>628</v>
      </c>
      <c r="O51" s="57" t="s">
        <v>101</v>
      </c>
      <c r="P51" s="65">
        <v>5.8810105781E10</v>
      </c>
      <c r="Q51" s="57" t="s">
        <v>87</v>
      </c>
      <c r="R51" s="55"/>
      <c r="S51" s="57" t="s">
        <v>49</v>
      </c>
      <c r="T51" s="66" t="s">
        <v>629</v>
      </c>
      <c r="U51" s="57" t="s">
        <v>630</v>
      </c>
      <c r="V51" s="57"/>
      <c r="W51" s="57" t="s">
        <v>631</v>
      </c>
      <c r="X51" s="57"/>
      <c r="Y51" s="57" t="s">
        <v>53</v>
      </c>
      <c r="Z51" s="57" t="s">
        <v>630</v>
      </c>
      <c r="AA51" s="57" t="s">
        <v>632</v>
      </c>
      <c r="AB51" s="57" t="s">
        <v>633</v>
      </c>
      <c r="AC51" s="57">
        <v>62363.0</v>
      </c>
      <c r="AD51" s="57"/>
      <c r="AE51" s="57"/>
      <c r="AF51" s="127" t="s">
        <v>56</v>
      </c>
      <c r="AG51" s="55"/>
      <c r="AH51" s="55" t="s">
        <v>125</v>
      </c>
      <c r="AI51" s="68">
        <v>1.600142682E10</v>
      </c>
      <c r="AJ51" s="57" t="s">
        <v>634</v>
      </c>
      <c r="AK51" s="57" t="s">
        <v>108</v>
      </c>
      <c r="AL51" s="57" t="str">
        <f t="shared" si="15"/>
        <v>5 Tahun 8 Bulan</v>
      </c>
      <c r="AM51" s="178">
        <v>44061.0</v>
      </c>
      <c r="AN51" s="57"/>
      <c r="AO51" s="57"/>
      <c r="AP51" s="57"/>
      <c r="AQ51" s="57"/>
      <c r="AR51" s="57"/>
      <c r="AS51" s="57"/>
      <c r="AT51" s="57"/>
      <c r="AU51" s="57"/>
      <c r="AV51" s="57"/>
      <c r="AW51" s="45" t="str">
        <f t="shared" si="16"/>
        <v>5 Tahun 7 Bulan</v>
      </c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</row>
    <row r="52" ht="15.0" customHeight="1">
      <c r="A52" s="35">
        <v>46.0</v>
      </c>
      <c r="B52" s="57" t="s">
        <v>635</v>
      </c>
      <c r="C52" s="154" t="s">
        <v>636</v>
      </c>
      <c r="D52" s="57" t="s">
        <v>91</v>
      </c>
      <c r="E52" s="67" t="s">
        <v>637</v>
      </c>
      <c r="F52" s="59" t="s">
        <v>638</v>
      </c>
      <c r="G52" s="179" t="s">
        <v>639</v>
      </c>
      <c r="H52" s="61" t="s">
        <v>640</v>
      </c>
      <c r="I52" s="62" t="s">
        <v>96</v>
      </c>
      <c r="J52" s="121" t="s">
        <v>97</v>
      </c>
      <c r="K52" s="57" t="s">
        <v>44</v>
      </c>
      <c r="L52" s="57" t="s">
        <v>641</v>
      </c>
      <c r="M52" s="64" t="s">
        <v>642</v>
      </c>
      <c r="N52" s="64" t="s">
        <v>643</v>
      </c>
      <c r="O52" s="57" t="s">
        <v>101</v>
      </c>
      <c r="P52" s="65">
        <v>5.8810108033E10</v>
      </c>
      <c r="Q52" s="55" t="s">
        <v>521</v>
      </c>
      <c r="R52" s="55"/>
      <c r="S52" s="57" t="s">
        <v>49</v>
      </c>
      <c r="T52" s="66" t="s">
        <v>644</v>
      </c>
      <c r="U52" s="57" t="s">
        <v>51</v>
      </c>
      <c r="V52" s="57"/>
      <c r="W52" s="57" t="s">
        <v>645</v>
      </c>
      <c r="X52" s="57"/>
      <c r="Y52" s="57" t="s">
        <v>53</v>
      </c>
      <c r="Z52" s="57" t="s">
        <v>51</v>
      </c>
      <c r="AA52" s="57" t="s">
        <v>646</v>
      </c>
      <c r="AB52" s="57" t="s">
        <v>647</v>
      </c>
      <c r="AC52" s="57">
        <v>60114.0</v>
      </c>
      <c r="AD52" s="57"/>
      <c r="AE52" s="57"/>
      <c r="AF52" s="90" t="s">
        <v>65</v>
      </c>
      <c r="AG52" s="55"/>
      <c r="AH52" s="59" t="s">
        <v>648</v>
      </c>
      <c r="AI52" s="68">
        <v>2.1025506409E10</v>
      </c>
      <c r="AJ52" s="57" t="s">
        <v>649</v>
      </c>
      <c r="AK52" s="57" t="s">
        <v>108</v>
      </c>
      <c r="AL52" s="57" t="str">
        <f t="shared" si="15"/>
        <v>6 Tahun 6 Bulan</v>
      </c>
      <c r="AM52" s="180" t="s">
        <v>650</v>
      </c>
      <c r="AN52" s="57"/>
      <c r="AO52" s="57"/>
      <c r="AP52" s="57"/>
      <c r="AQ52" s="57"/>
      <c r="AR52" s="57"/>
      <c r="AS52" s="57"/>
      <c r="AT52" s="57"/>
      <c r="AU52" s="57"/>
      <c r="AV52" s="57"/>
      <c r="AW52" s="45" t="str">
        <f t="shared" si="16"/>
        <v>6 Tahun 5 Bulan</v>
      </c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</row>
    <row r="53" ht="15.0" customHeight="1">
      <c r="A53" s="35">
        <v>47.0</v>
      </c>
      <c r="B53" s="57" t="s">
        <v>651</v>
      </c>
      <c r="C53" s="56" t="s">
        <v>41</v>
      </c>
      <c r="D53" s="57" t="s">
        <v>91</v>
      </c>
      <c r="E53" s="58" t="s">
        <v>652</v>
      </c>
      <c r="F53" s="59" t="s">
        <v>653</v>
      </c>
      <c r="G53" s="60" t="s">
        <v>654</v>
      </c>
      <c r="H53" s="61" t="s">
        <v>556</v>
      </c>
      <c r="I53" s="62" t="s">
        <v>614</v>
      </c>
      <c r="J53" s="87" t="s">
        <v>172</v>
      </c>
      <c r="K53" s="57" t="s">
        <v>44</v>
      </c>
      <c r="L53" s="57" t="s">
        <v>98</v>
      </c>
      <c r="M53" s="64" t="s">
        <v>655</v>
      </c>
      <c r="N53" s="64" t="s">
        <v>656</v>
      </c>
      <c r="O53" s="57" t="s">
        <v>101</v>
      </c>
      <c r="P53" s="65">
        <v>5.8810105807E10</v>
      </c>
      <c r="Q53" s="57" t="s">
        <v>133</v>
      </c>
      <c r="R53" s="55"/>
      <c r="S53" s="57" t="s">
        <v>49</v>
      </c>
      <c r="T53" s="66" t="s">
        <v>657</v>
      </c>
      <c r="U53" s="57" t="s">
        <v>658</v>
      </c>
      <c r="V53" s="57"/>
      <c r="W53" s="57" t="s">
        <v>659</v>
      </c>
      <c r="X53" s="57"/>
      <c r="Y53" s="57" t="s">
        <v>53</v>
      </c>
      <c r="Z53" s="57" t="s">
        <v>660</v>
      </c>
      <c r="AA53" s="57" t="s">
        <v>661</v>
      </c>
      <c r="AB53" s="57" t="s">
        <v>662</v>
      </c>
      <c r="AC53" s="57">
        <v>66281.0</v>
      </c>
      <c r="AD53" s="57"/>
      <c r="AE53" s="57"/>
      <c r="AF53" s="90" t="s">
        <v>139</v>
      </c>
      <c r="AG53" s="55"/>
      <c r="AH53" s="55" t="s">
        <v>125</v>
      </c>
      <c r="AI53" s="68">
        <v>2.2029165705E10</v>
      </c>
      <c r="AJ53" s="57" t="s">
        <v>663</v>
      </c>
      <c r="AK53" s="57" t="s">
        <v>108</v>
      </c>
      <c r="AL53" s="57" t="str">
        <f t="shared" si="15"/>
        <v>4 Tahun 6 Bulan</v>
      </c>
      <c r="AM53" s="91">
        <v>44467.0</v>
      </c>
      <c r="AN53" s="57"/>
      <c r="AO53" s="57"/>
      <c r="AP53" s="57"/>
      <c r="AQ53" s="57"/>
      <c r="AR53" s="57"/>
      <c r="AS53" s="57"/>
      <c r="AT53" s="57"/>
      <c r="AU53" s="57"/>
      <c r="AV53" s="57"/>
      <c r="AW53" s="45" t="str">
        <f t="shared" si="16"/>
        <v>4 Tahun 5 Bulan</v>
      </c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</row>
    <row r="54" ht="15.0" hidden="1" customHeight="1">
      <c r="A54" s="158">
        <v>48.0</v>
      </c>
      <c r="B54" s="159" t="s">
        <v>664</v>
      </c>
      <c r="C54" s="160"/>
      <c r="D54" s="159" t="s">
        <v>91</v>
      </c>
      <c r="E54" s="161" t="s">
        <v>665</v>
      </c>
      <c r="F54" s="162" t="s">
        <v>666</v>
      </c>
      <c r="G54" s="181" t="s">
        <v>667</v>
      </c>
      <c r="H54" s="161" t="s">
        <v>668</v>
      </c>
      <c r="I54" s="161"/>
      <c r="J54" s="164"/>
      <c r="K54" s="159" t="s">
        <v>44</v>
      </c>
      <c r="L54" s="159" t="s">
        <v>98</v>
      </c>
      <c r="M54" s="182" t="s">
        <v>669</v>
      </c>
      <c r="N54" s="183" t="s">
        <v>670</v>
      </c>
      <c r="O54" s="120" t="s">
        <v>101</v>
      </c>
      <c r="P54" s="167"/>
      <c r="Q54" s="184" t="s">
        <v>671</v>
      </c>
      <c r="R54" s="169"/>
      <c r="S54" s="159" t="s">
        <v>49</v>
      </c>
      <c r="T54" s="185" t="s">
        <v>672</v>
      </c>
      <c r="U54" s="159" t="s">
        <v>51</v>
      </c>
      <c r="V54" s="159"/>
      <c r="W54" s="159" t="s">
        <v>673</v>
      </c>
      <c r="X54" s="159"/>
      <c r="Y54" s="159" t="s">
        <v>53</v>
      </c>
      <c r="Z54" s="159" t="s">
        <v>51</v>
      </c>
      <c r="AA54" s="159" t="s">
        <v>494</v>
      </c>
      <c r="AB54" s="159" t="s">
        <v>495</v>
      </c>
      <c r="AC54" s="159">
        <v>60185.0</v>
      </c>
      <c r="AD54" s="159"/>
      <c r="AE54" s="159"/>
      <c r="AF54" s="159"/>
      <c r="AG54" s="169"/>
      <c r="AH54" s="186" t="s">
        <v>674</v>
      </c>
      <c r="AI54" s="171">
        <v>2.2039699925E10</v>
      </c>
      <c r="AJ54" s="159" t="s">
        <v>675</v>
      </c>
      <c r="AK54" s="159" t="s">
        <v>108</v>
      </c>
      <c r="AL54" s="159"/>
      <c r="AM54" s="172">
        <v>44579.0</v>
      </c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20"/>
      <c r="CG54" s="120"/>
      <c r="CH54" s="120"/>
      <c r="CI54" s="120"/>
      <c r="CJ54" s="120"/>
      <c r="CK54" s="120"/>
      <c r="CL54" s="120"/>
    </row>
    <row r="55" ht="15.0" customHeight="1">
      <c r="A55" s="35">
        <v>49.0</v>
      </c>
      <c r="B55" s="57" t="s">
        <v>676</v>
      </c>
      <c r="C55" s="154" t="s">
        <v>84</v>
      </c>
      <c r="D55" s="57" t="s">
        <v>91</v>
      </c>
      <c r="E55" s="58" t="s">
        <v>677</v>
      </c>
      <c r="F55" s="59" t="s">
        <v>678</v>
      </c>
      <c r="G55" s="187" t="s">
        <v>679</v>
      </c>
      <c r="H55" s="61" t="s">
        <v>680</v>
      </c>
      <c r="I55" s="62" t="s">
        <v>681</v>
      </c>
      <c r="J55" s="87" t="s">
        <v>97</v>
      </c>
      <c r="K55" s="57" t="s">
        <v>44</v>
      </c>
      <c r="L55" s="57" t="s">
        <v>98</v>
      </c>
      <c r="M55" s="139" t="s">
        <v>682</v>
      </c>
      <c r="N55" s="88" t="s">
        <v>683</v>
      </c>
      <c r="O55" s="57" t="s">
        <v>101</v>
      </c>
      <c r="P55" s="65">
        <v>5.8810108181E10</v>
      </c>
      <c r="Q55" s="57" t="s">
        <v>684</v>
      </c>
      <c r="R55" s="55"/>
      <c r="S55" s="57" t="s">
        <v>49</v>
      </c>
      <c r="T55" s="66" t="s">
        <v>685</v>
      </c>
      <c r="U55" s="57" t="s">
        <v>51</v>
      </c>
      <c r="V55" s="57"/>
      <c r="W55" s="57" t="s">
        <v>686</v>
      </c>
      <c r="X55" s="57"/>
      <c r="Y55" s="57" t="s">
        <v>53</v>
      </c>
      <c r="Z55" s="57" t="s">
        <v>51</v>
      </c>
      <c r="AA55" s="57" t="s">
        <v>687</v>
      </c>
      <c r="AB55" s="57" t="s">
        <v>688</v>
      </c>
      <c r="AC55" s="57">
        <v>60293.0</v>
      </c>
      <c r="AD55" s="57"/>
      <c r="AE55" s="57"/>
      <c r="AF55" s="90" t="s">
        <v>139</v>
      </c>
      <c r="AG55" s="55"/>
      <c r="AH55" s="188" t="s">
        <v>689</v>
      </c>
      <c r="AI55" s="68">
        <v>2.2049714383E10</v>
      </c>
      <c r="AJ55" s="57" t="s">
        <v>690</v>
      </c>
      <c r="AK55" s="57" t="s">
        <v>108</v>
      </c>
      <c r="AL55" s="57" t="str">
        <f t="shared" ref="AL55:AL63" si="17">DATEDIF(AM55,NOW(),"y")&amp;" Tahun "&amp;DATEDIF(AM55,NOW(),"ym")&amp;" Bulan"</f>
        <v>4 Tahun 2 Bulan</v>
      </c>
      <c r="AM55" s="91">
        <v>44599.0</v>
      </c>
      <c r="AN55" s="57"/>
      <c r="AO55" s="57"/>
      <c r="AP55" s="57"/>
      <c r="AQ55" s="57"/>
      <c r="AR55" s="57"/>
      <c r="AS55" s="57"/>
      <c r="AT55" s="57"/>
      <c r="AU55" s="57"/>
      <c r="AV55" s="57"/>
      <c r="AW55" s="45" t="str">
        <f t="shared" ref="AW55:AW63" si="18">DATEDIF(AM55,$AW$2,"Y") &amp; " Tahun " &amp; DATEDIF(AM55,$AW$2,"YM") &amp; " Bulan"</f>
        <v>4 Tahun 1 Bulan</v>
      </c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</row>
    <row r="56" ht="15.0" customHeight="1">
      <c r="A56" s="35">
        <v>50.0</v>
      </c>
      <c r="B56" s="48" t="s">
        <v>691</v>
      </c>
      <c r="C56" s="56" t="s">
        <v>41</v>
      </c>
      <c r="D56" s="57" t="s">
        <v>91</v>
      </c>
      <c r="E56" s="58" t="s">
        <v>692</v>
      </c>
      <c r="F56" s="59" t="s">
        <v>693</v>
      </c>
      <c r="G56" s="60" t="s">
        <v>694</v>
      </c>
      <c r="H56" s="61" t="s">
        <v>373</v>
      </c>
      <c r="I56" s="62" t="s">
        <v>614</v>
      </c>
      <c r="J56" s="87" t="s">
        <v>374</v>
      </c>
      <c r="K56" s="57" t="s">
        <v>44</v>
      </c>
      <c r="L56" s="57" t="s">
        <v>98</v>
      </c>
      <c r="M56" s="64" t="s">
        <v>695</v>
      </c>
      <c r="N56" s="64" t="s">
        <v>696</v>
      </c>
      <c r="O56" s="57" t="s">
        <v>101</v>
      </c>
      <c r="P56" s="65">
        <v>5.881010593E10</v>
      </c>
      <c r="Q56" s="55" t="s">
        <v>697</v>
      </c>
      <c r="R56" s="55"/>
      <c r="S56" s="57" t="s">
        <v>49</v>
      </c>
      <c r="T56" s="66" t="s">
        <v>698</v>
      </c>
      <c r="U56" s="57" t="s">
        <v>378</v>
      </c>
      <c r="V56" s="57"/>
      <c r="W56" s="57" t="s">
        <v>699</v>
      </c>
      <c r="X56" s="57"/>
      <c r="Y56" s="57" t="s">
        <v>53</v>
      </c>
      <c r="Z56" s="57" t="s">
        <v>378</v>
      </c>
      <c r="AA56" s="57" t="s">
        <v>380</v>
      </c>
      <c r="AB56" s="57" t="s">
        <v>381</v>
      </c>
      <c r="AC56" s="57">
        <v>67157.0</v>
      </c>
      <c r="AD56" s="57"/>
      <c r="AE56" s="57"/>
      <c r="AF56" s="127" t="s">
        <v>139</v>
      </c>
      <c r="AG56" s="55"/>
      <c r="AH56" s="55" t="s">
        <v>125</v>
      </c>
      <c r="AI56" s="68">
        <v>2.2077149445E10</v>
      </c>
      <c r="AJ56" s="57" t="s">
        <v>700</v>
      </c>
      <c r="AK56" s="57" t="s">
        <v>108</v>
      </c>
      <c r="AL56" s="57" t="str">
        <f t="shared" si="17"/>
        <v>4 Tahun 0 Bulan</v>
      </c>
      <c r="AM56" s="91">
        <v>44652.0</v>
      </c>
      <c r="AN56" s="57"/>
      <c r="AO56" s="57"/>
      <c r="AP56" s="57"/>
      <c r="AQ56" s="57"/>
      <c r="AR56" s="57"/>
      <c r="AS56" s="57"/>
      <c r="AT56" s="57"/>
      <c r="AU56" s="57"/>
      <c r="AV56" s="57"/>
      <c r="AW56" s="45" t="str">
        <f t="shared" si="18"/>
        <v>3 Tahun 11 Bulan</v>
      </c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</row>
    <row r="57" ht="15.0" customHeight="1">
      <c r="A57" s="35">
        <v>51.0</v>
      </c>
      <c r="B57" s="57" t="s">
        <v>701</v>
      </c>
      <c r="C57" s="56" t="s">
        <v>41</v>
      </c>
      <c r="D57" s="57" t="s">
        <v>91</v>
      </c>
      <c r="E57" s="58" t="s">
        <v>702</v>
      </c>
      <c r="F57" s="59" t="s">
        <v>703</v>
      </c>
      <c r="G57" s="60" t="s">
        <v>704</v>
      </c>
      <c r="H57" s="121" t="s">
        <v>705</v>
      </c>
      <c r="I57" s="62" t="s">
        <v>248</v>
      </c>
      <c r="J57" s="87" t="s">
        <v>97</v>
      </c>
      <c r="K57" s="57" t="s">
        <v>44</v>
      </c>
      <c r="L57" s="57" t="s">
        <v>98</v>
      </c>
      <c r="M57" s="88" t="s">
        <v>706</v>
      </c>
      <c r="N57" s="88" t="s">
        <v>707</v>
      </c>
      <c r="O57" s="57" t="s">
        <v>101</v>
      </c>
      <c r="P57" s="65">
        <v>5.8810105203E10</v>
      </c>
      <c r="Q57" s="57" t="s">
        <v>521</v>
      </c>
      <c r="R57" s="55"/>
      <c r="S57" s="57" t="s">
        <v>49</v>
      </c>
      <c r="T57" s="66" t="s">
        <v>708</v>
      </c>
      <c r="U57" s="57" t="s">
        <v>709</v>
      </c>
      <c r="V57" s="57"/>
      <c r="W57" s="57" t="s">
        <v>710</v>
      </c>
      <c r="X57" s="57" t="s">
        <v>711</v>
      </c>
      <c r="Y57" s="57" t="s">
        <v>712</v>
      </c>
      <c r="Z57" s="57" t="s">
        <v>709</v>
      </c>
      <c r="AA57" s="57" t="s">
        <v>713</v>
      </c>
      <c r="AB57" s="57" t="s">
        <v>714</v>
      </c>
      <c r="AC57" s="57">
        <v>44171.0</v>
      </c>
      <c r="AD57" s="57"/>
      <c r="AE57" s="57"/>
      <c r="AF57" s="126" t="s">
        <v>71</v>
      </c>
      <c r="AG57" s="55"/>
      <c r="AH57" s="189" t="s">
        <v>715</v>
      </c>
      <c r="AI57" s="68">
        <v>2.2103844274E10</v>
      </c>
      <c r="AJ57" s="57" t="s">
        <v>716</v>
      </c>
      <c r="AK57" s="57" t="s">
        <v>108</v>
      </c>
      <c r="AL57" s="57" t="str">
        <f t="shared" si="17"/>
        <v>3 Tahun 10 Bulan</v>
      </c>
      <c r="AM57" s="91">
        <v>44714.0</v>
      </c>
      <c r="AN57" s="57"/>
      <c r="AO57" s="57"/>
      <c r="AP57" s="57"/>
      <c r="AQ57" s="57"/>
      <c r="AR57" s="57"/>
      <c r="AS57" s="57"/>
      <c r="AT57" s="57"/>
      <c r="AU57" s="57"/>
      <c r="AV57" s="57"/>
      <c r="AW57" s="45" t="str">
        <f t="shared" si="18"/>
        <v>3 Tahun 9 Bulan</v>
      </c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</row>
    <row r="58" ht="15.0" customHeight="1">
      <c r="A58" s="35">
        <v>52.0</v>
      </c>
      <c r="B58" s="57" t="s">
        <v>717</v>
      </c>
      <c r="C58" s="56" t="s">
        <v>41</v>
      </c>
      <c r="D58" s="57" t="s">
        <v>91</v>
      </c>
      <c r="E58" s="58" t="s">
        <v>718</v>
      </c>
      <c r="F58" s="59" t="s">
        <v>719</v>
      </c>
      <c r="G58" s="60" t="s">
        <v>720</v>
      </c>
      <c r="H58" s="61" t="s">
        <v>721</v>
      </c>
      <c r="I58" s="62" t="s">
        <v>309</v>
      </c>
      <c r="J58" s="87" t="s">
        <v>97</v>
      </c>
      <c r="K58" s="57" t="s">
        <v>44</v>
      </c>
      <c r="L58" s="57" t="s">
        <v>98</v>
      </c>
      <c r="M58" s="64" t="s">
        <v>722</v>
      </c>
      <c r="N58" s="64" t="s">
        <v>723</v>
      </c>
      <c r="O58" s="57" t="s">
        <v>101</v>
      </c>
      <c r="P58" s="65">
        <v>5.8810105526E10</v>
      </c>
      <c r="Q58" s="57" t="s">
        <v>521</v>
      </c>
      <c r="R58" s="55"/>
      <c r="S58" s="57" t="s">
        <v>69</v>
      </c>
      <c r="T58" s="89" t="s">
        <v>724</v>
      </c>
      <c r="U58" s="57" t="s">
        <v>51</v>
      </c>
      <c r="V58" s="57"/>
      <c r="W58" s="57" t="s">
        <v>725</v>
      </c>
      <c r="X58" s="57"/>
      <c r="Y58" s="57" t="s">
        <v>53</v>
      </c>
      <c r="Z58" s="57" t="s">
        <v>51</v>
      </c>
      <c r="AA58" s="57" t="s">
        <v>177</v>
      </c>
      <c r="AB58" s="57" t="s">
        <v>726</v>
      </c>
      <c r="AC58" s="57">
        <v>60253.0</v>
      </c>
      <c r="AD58" s="57"/>
      <c r="AE58" s="57"/>
      <c r="AF58" s="126" t="s">
        <v>71</v>
      </c>
      <c r="AG58" s="55"/>
      <c r="AH58" s="55" t="s">
        <v>125</v>
      </c>
      <c r="AI58" s="68">
        <v>2.2122951688E10</v>
      </c>
      <c r="AJ58" s="57" t="s">
        <v>727</v>
      </c>
      <c r="AK58" s="57" t="s">
        <v>108</v>
      </c>
      <c r="AL58" s="57" t="str">
        <f t="shared" si="17"/>
        <v>3 Tahun 9 Bulan</v>
      </c>
      <c r="AM58" s="91">
        <v>44734.0</v>
      </c>
      <c r="AN58" s="57"/>
      <c r="AO58" s="57"/>
      <c r="AP58" s="57"/>
      <c r="AQ58" s="57"/>
      <c r="AR58" s="57"/>
      <c r="AS58" s="57"/>
      <c r="AT58" s="57"/>
      <c r="AU58" s="57"/>
      <c r="AV58" s="57"/>
      <c r="AW58" s="45" t="str">
        <f t="shared" si="18"/>
        <v>3 Tahun 8 Bulan</v>
      </c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</row>
    <row r="59" ht="15.75" hidden="1" customHeight="1">
      <c r="A59" s="70">
        <v>53.0</v>
      </c>
      <c r="B59" s="73" t="s">
        <v>728</v>
      </c>
      <c r="C59" s="131" t="s">
        <v>729</v>
      </c>
      <c r="D59" s="73" t="s">
        <v>91</v>
      </c>
      <c r="E59" s="74" t="s">
        <v>730</v>
      </c>
      <c r="F59" s="75" t="s">
        <v>731</v>
      </c>
      <c r="G59" s="132" t="s">
        <v>732</v>
      </c>
      <c r="H59" s="74" t="s">
        <v>733</v>
      </c>
      <c r="I59" s="77" t="s">
        <v>96</v>
      </c>
      <c r="J59" s="112" t="s">
        <v>97</v>
      </c>
      <c r="K59" s="73" t="s">
        <v>44</v>
      </c>
      <c r="L59" s="73" t="s">
        <v>504</v>
      </c>
      <c r="M59" s="80" t="s">
        <v>734</v>
      </c>
      <c r="N59" s="80" t="s">
        <v>735</v>
      </c>
      <c r="O59" s="73" t="s">
        <v>101</v>
      </c>
      <c r="P59" s="175">
        <v>5.8810105492E10</v>
      </c>
      <c r="Q59" s="114" t="s">
        <v>48</v>
      </c>
      <c r="R59" s="82"/>
      <c r="S59" s="73" t="s">
        <v>49</v>
      </c>
      <c r="T59" s="190" t="s">
        <v>736</v>
      </c>
      <c r="U59" s="73" t="s">
        <v>737</v>
      </c>
      <c r="V59" s="73"/>
      <c r="W59" s="73" t="s">
        <v>738</v>
      </c>
      <c r="X59" s="73"/>
      <c r="Y59" s="73" t="s">
        <v>53</v>
      </c>
      <c r="Z59" s="73" t="s">
        <v>51</v>
      </c>
      <c r="AA59" s="73" t="s">
        <v>739</v>
      </c>
      <c r="AB59" s="73" t="s">
        <v>104</v>
      </c>
      <c r="AC59" s="73">
        <v>60123.0</v>
      </c>
      <c r="AD59" s="73"/>
      <c r="AE59" s="73"/>
      <c r="AF59" s="73" t="s">
        <v>71</v>
      </c>
      <c r="AG59" s="82"/>
      <c r="AH59" s="191" t="s">
        <v>740</v>
      </c>
      <c r="AI59" s="85">
        <v>2.2122951704E10</v>
      </c>
      <c r="AJ59" s="73" t="s">
        <v>741</v>
      </c>
      <c r="AK59" s="73" t="s">
        <v>108</v>
      </c>
      <c r="AL59" s="73" t="str">
        <f t="shared" si="17"/>
        <v>3 Tahun 9 Bulan</v>
      </c>
      <c r="AM59" s="116">
        <v>44740.0</v>
      </c>
      <c r="AN59" s="73"/>
      <c r="AO59" s="73"/>
      <c r="AP59" s="73"/>
      <c r="AQ59" s="73"/>
      <c r="AR59" s="73"/>
      <c r="AS59" s="73"/>
      <c r="AT59" s="73"/>
      <c r="AU59" s="73"/>
      <c r="AV59" s="73"/>
      <c r="AW59" s="73" t="str">
        <f t="shared" si="18"/>
        <v>3 Tahun 8 Bulan</v>
      </c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</row>
    <row r="60" ht="15.0" customHeight="1">
      <c r="A60" s="35">
        <v>54.0</v>
      </c>
      <c r="B60" s="57" t="s">
        <v>742</v>
      </c>
      <c r="C60" s="154" t="s">
        <v>514</v>
      </c>
      <c r="D60" s="57" t="s">
        <v>91</v>
      </c>
      <c r="E60" s="67" t="s">
        <v>743</v>
      </c>
      <c r="F60" s="59" t="s">
        <v>744</v>
      </c>
      <c r="G60" s="192" t="s">
        <v>745</v>
      </c>
      <c r="H60" s="61" t="s">
        <v>746</v>
      </c>
      <c r="I60" s="62" t="s">
        <v>309</v>
      </c>
      <c r="J60" s="87" t="s">
        <v>97</v>
      </c>
      <c r="K60" s="57" t="s">
        <v>44</v>
      </c>
      <c r="L60" s="57" t="s">
        <v>98</v>
      </c>
      <c r="M60" s="88" t="s">
        <v>747</v>
      </c>
      <c r="N60" s="88" t="s">
        <v>748</v>
      </c>
      <c r="O60" s="57" t="s">
        <v>101</v>
      </c>
      <c r="P60" s="65">
        <v>5.8810105542E10</v>
      </c>
      <c r="Q60" s="57" t="s">
        <v>48</v>
      </c>
      <c r="R60" s="55"/>
      <c r="S60" s="57" t="s">
        <v>69</v>
      </c>
      <c r="T60" s="66" t="s">
        <v>749</v>
      </c>
      <c r="U60" s="57" t="s">
        <v>51</v>
      </c>
      <c r="V60" s="57"/>
      <c r="W60" s="57" t="s">
        <v>750</v>
      </c>
      <c r="X60" s="57"/>
      <c r="Y60" s="57" t="s">
        <v>53</v>
      </c>
      <c r="Z60" s="57" t="s">
        <v>51</v>
      </c>
      <c r="AA60" s="57" t="s">
        <v>54</v>
      </c>
      <c r="AB60" s="57" t="s">
        <v>751</v>
      </c>
      <c r="AC60" s="57">
        <v>60133.0</v>
      </c>
      <c r="AD60" s="57"/>
      <c r="AE60" s="57"/>
      <c r="AF60" s="126" t="s">
        <v>71</v>
      </c>
      <c r="AG60" s="55"/>
      <c r="AH60" s="189" t="s">
        <v>752</v>
      </c>
      <c r="AI60" s="68">
        <v>2.2122951696E10</v>
      </c>
      <c r="AJ60" s="57" t="s">
        <v>753</v>
      </c>
      <c r="AK60" s="57" t="s">
        <v>108</v>
      </c>
      <c r="AL60" s="57" t="str">
        <f t="shared" si="17"/>
        <v>3 Tahun 9 Bulan</v>
      </c>
      <c r="AM60" s="91">
        <v>44746.0</v>
      </c>
      <c r="AN60" s="57"/>
      <c r="AO60" s="57"/>
      <c r="AP60" s="57"/>
      <c r="AQ60" s="57"/>
      <c r="AR60" s="57"/>
      <c r="AS60" s="57"/>
      <c r="AT60" s="57"/>
      <c r="AU60" s="57"/>
      <c r="AV60" s="57"/>
      <c r="AW60" s="45" t="str">
        <f t="shared" si="18"/>
        <v>3 Tahun 8 Bulan</v>
      </c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</row>
    <row r="61" ht="15.0" customHeight="1">
      <c r="A61" s="35">
        <v>55.0</v>
      </c>
      <c r="B61" s="193" t="s">
        <v>754</v>
      </c>
      <c r="C61" s="154" t="s">
        <v>514</v>
      </c>
      <c r="D61" s="57" t="s">
        <v>91</v>
      </c>
      <c r="E61" s="61" t="s">
        <v>755</v>
      </c>
      <c r="F61" s="59" t="s">
        <v>756</v>
      </c>
      <c r="G61" s="192" t="s">
        <v>757</v>
      </c>
      <c r="H61" s="61" t="s">
        <v>113</v>
      </c>
      <c r="I61" s="62" t="s">
        <v>614</v>
      </c>
      <c r="J61" s="121" t="s">
        <v>115</v>
      </c>
      <c r="K61" s="57" t="s">
        <v>44</v>
      </c>
      <c r="L61" s="57" t="s">
        <v>98</v>
      </c>
      <c r="M61" s="59" t="s">
        <v>758</v>
      </c>
      <c r="N61" s="59" t="s">
        <v>759</v>
      </c>
      <c r="O61" s="57" t="s">
        <v>101</v>
      </c>
      <c r="P61" s="65">
        <v>5.8810105708E10</v>
      </c>
      <c r="Q61" s="57" t="s">
        <v>48</v>
      </c>
      <c r="R61" s="55"/>
      <c r="S61" s="57" t="s">
        <v>49</v>
      </c>
      <c r="T61" s="36" t="s">
        <v>760</v>
      </c>
      <c r="U61" s="57" t="s">
        <v>761</v>
      </c>
      <c r="V61" s="57"/>
      <c r="W61" s="57" t="s">
        <v>762</v>
      </c>
      <c r="X61" s="57" t="s">
        <v>763</v>
      </c>
      <c r="Y61" s="57" t="s">
        <v>53</v>
      </c>
      <c r="Z61" s="57" t="s">
        <v>51</v>
      </c>
      <c r="AA61" s="57" t="s">
        <v>494</v>
      </c>
      <c r="AB61" s="57" t="s">
        <v>764</v>
      </c>
      <c r="AC61" s="57">
        <v>60186.0</v>
      </c>
      <c r="AD61" s="57"/>
      <c r="AE61" s="57"/>
      <c r="AF61" s="127" t="s">
        <v>56</v>
      </c>
      <c r="AG61" s="55"/>
      <c r="AH61" s="55" t="s">
        <v>125</v>
      </c>
      <c r="AI61" s="68">
        <v>2.3083538597E10</v>
      </c>
      <c r="AJ61" s="36" t="s">
        <v>765</v>
      </c>
      <c r="AK61" s="57" t="s">
        <v>108</v>
      </c>
      <c r="AL61" s="57" t="str">
        <f t="shared" si="17"/>
        <v>3 Tahun 7 Bulan</v>
      </c>
      <c r="AM61" s="91">
        <v>44795.0</v>
      </c>
      <c r="AN61" s="57"/>
      <c r="AO61" s="57"/>
      <c r="AP61" s="57"/>
      <c r="AQ61" s="57"/>
      <c r="AR61" s="57"/>
      <c r="AS61" s="57"/>
      <c r="AT61" s="57"/>
      <c r="AU61" s="57"/>
      <c r="AV61" s="57"/>
      <c r="AW61" s="45" t="str">
        <f t="shared" si="18"/>
        <v>3 Tahun 6 Bulan</v>
      </c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</row>
    <row r="62" ht="15.75" customHeight="1">
      <c r="A62" s="35">
        <v>56.0</v>
      </c>
      <c r="B62" s="193" t="s">
        <v>766</v>
      </c>
      <c r="C62" s="154" t="s">
        <v>514</v>
      </c>
      <c r="D62" s="57" t="s">
        <v>91</v>
      </c>
      <c r="E62" s="61" t="s">
        <v>767</v>
      </c>
      <c r="F62" s="59" t="s">
        <v>768</v>
      </c>
      <c r="G62" s="192" t="s">
        <v>769</v>
      </c>
      <c r="H62" s="61" t="s">
        <v>113</v>
      </c>
      <c r="I62" s="62" t="s">
        <v>614</v>
      </c>
      <c r="J62" s="121" t="s">
        <v>115</v>
      </c>
      <c r="K62" s="57" t="s">
        <v>44</v>
      </c>
      <c r="L62" s="57" t="s">
        <v>98</v>
      </c>
      <c r="M62" s="59" t="s">
        <v>770</v>
      </c>
      <c r="N62" s="59" t="s">
        <v>771</v>
      </c>
      <c r="O62" s="57" t="s">
        <v>101</v>
      </c>
      <c r="P62" s="122"/>
      <c r="Q62" s="57" t="s">
        <v>48</v>
      </c>
      <c r="R62" s="55"/>
      <c r="S62" s="57" t="s">
        <v>49</v>
      </c>
      <c r="T62" s="194" t="s">
        <v>772</v>
      </c>
      <c r="U62" s="57" t="s">
        <v>432</v>
      </c>
      <c r="V62" s="57"/>
      <c r="W62" s="57" t="s">
        <v>773</v>
      </c>
      <c r="X62" s="57"/>
      <c r="Y62" s="57" t="s">
        <v>53</v>
      </c>
      <c r="Z62" s="57" t="s">
        <v>432</v>
      </c>
      <c r="AA62" s="57" t="s">
        <v>774</v>
      </c>
      <c r="AB62" s="57" t="s">
        <v>775</v>
      </c>
      <c r="AC62" s="57">
        <v>64461.0</v>
      </c>
      <c r="AD62" s="57"/>
      <c r="AE62" s="57"/>
      <c r="AF62" s="140" t="s">
        <v>139</v>
      </c>
      <c r="AG62" s="55"/>
      <c r="AH62" s="55" t="s">
        <v>125</v>
      </c>
      <c r="AI62" s="68">
        <v>2.3083538639E10</v>
      </c>
      <c r="AJ62" s="36" t="s">
        <v>776</v>
      </c>
      <c r="AK62" s="57" t="s">
        <v>108</v>
      </c>
      <c r="AL62" s="57" t="str">
        <f t="shared" si="17"/>
        <v>3 Tahun 7 Bulan</v>
      </c>
      <c r="AM62" s="91">
        <v>44806.0</v>
      </c>
      <c r="AN62" s="57"/>
      <c r="AO62" s="57"/>
      <c r="AP62" s="57"/>
      <c r="AQ62" s="57"/>
      <c r="AR62" s="57"/>
      <c r="AS62" s="57"/>
      <c r="AT62" s="57"/>
      <c r="AU62" s="57"/>
      <c r="AV62" s="57"/>
      <c r="AW62" s="45" t="str">
        <f t="shared" si="18"/>
        <v>3 Tahun 6 Bulan</v>
      </c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</row>
    <row r="63" ht="16.5" customHeight="1">
      <c r="A63" s="35">
        <v>57.0</v>
      </c>
      <c r="B63" s="193" t="s">
        <v>777</v>
      </c>
      <c r="C63" s="154" t="s">
        <v>514</v>
      </c>
      <c r="D63" s="57" t="s">
        <v>91</v>
      </c>
      <c r="E63" s="61" t="s">
        <v>778</v>
      </c>
      <c r="F63" s="59" t="s">
        <v>779</v>
      </c>
      <c r="G63" s="60" t="s">
        <v>780</v>
      </c>
      <c r="H63" s="61" t="s">
        <v>113</v>
      </c>
      <c r="I63" s="62" t="s">
        <v>614</v>
      </c>
      <c r="J63" s="67" t="s">
        <v>115</v>
      </c>
      <c r="K63" s="57" t="s">
        <v>44</v>
      </c>
      <c r="L63" s="57" t="s">
        <v>98</v>
      </c>
      <c r="M63" s="59" t="s">
        <v>781</v>
      </c>
      <c r="N63" s="59" t="s">
        <v>782</v>
      </c>
      <c r="O63" s="57" t="s">
        <v>101</v>
      </c>
      <c r="P63" s="65">
        <v>5.8810105674E10</v>
      </c>
      <c r="Q63" s="57" t="s">
        <v>48</v>
      </c>
      <c r="R63" s="57"/>
      <c r="S63" s="57" t="s">
        <v>49</v>
      </c>
      <c r="T63" s="36" t="s">
        <v>783</v>
      </c>
      <c r="U63" s="57" t="s">
        <v>51</v>
      </c>
      <c r="V63" s="57"/>
      <c r="W63" s="57" t="s">
        <v>784</v>
      </c>
      <c r="X63" s="57"/>
      <c r="Y63" s="57" t="s">
        <v>53</v>
      </c>
      <c r="Z63" s="57" t="s">
        <v>51</v>
      </c>
      <c r="AA63" s="57" t="s">
        <v>177</v>
      </c>
      <c r="AB63" s="57" t="s">
        <v>785</v>
      </c>
      <c r="AC63" s="57">
        <v>60256.0</v>
      </c>
      <c r="AD63" s="57"/>
      <c r="AE63" s="57"/>
      <c r="AF63" s="90" t="s">
        <v>71</v>
      </c>
      <c r="AG63" s="57"/>
      <c r="AH63" s="55" t="s">
        <v>125</v>
      </c>
      <c r="AI63" s="68">
        <v>2.3083538621E10</v>
      </c>
      <c r="AJ63" s="36" t="s">
        <v>786</v>
      </c>
      <c r="AK63" s="57" t="s">
        <v>108</v>
      </c>
      <c r="AL63" s="57" t="str">
        <f t="shared" si="17"/>
        <v>3 Tahun 7 Bulan</v>
      </c>
      <c r="AM63" s="91">
        <v>44816.0</v>
      </c>
      <c r="AN63" s="57"/>
      <c r="AO63" s="57"/>
      <c r="AP63" s="57"/>
      <c r="AQ63" s="57"/>
      <c r="AR63" s="57"/>
      <c r="AS63" s="57"/>
      <c r="AT63" s="57"/>
      <c r="AU63" s="57"/>
      <c r="AV63" s="57"/>
      <c r="AW63" s="45" t="str">
        <f t="shared" si="18"/>
        <v>3 Tahun 6 Bulan</v>
      </c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</row>
    <row r="64" ht="16.5" hidden="1" customHeight="1">
      <c r="A64" s="158">
        <v>58.0</v>
      </c>
      <c r="B64" s="195" t="s">
        <v>787</v>
      </c>
      <c r="C64" s="196"/>
      <c r="D64" s="73" t="s">
        <v>91</v>
      </c>
      <c r="E64" s="74" t="s">
        <v>788</v>
      </c>
      <c r="F64" s="75" t="s">
        <v>789</v>
      </c>
      <c r="G64" s="76" t="s">
        <v>790</v>
      </c>
      <c r="H64" s="77" t="s">
        <v>791</v>
      </c>
      <c r="I64" s="77" t="s">
        <v>309</v>
      </c>
      <c r="J64" s="114"/>
      <c r="K64" s="73" t="s">
        <v>44</v>
      </c>
      <c r="L64" s="73" t="s">
        <v>98</v>
      </c>
      <c r="M64" s="75" t="s">
        <v>792</v>
      </c>
      <c r="N64" s="75" t="s">
        <v>793</v>
      </c>
      <c r="O64" s="73" t="s">
        <v>101</v>
      </c>
      <c r="P64" s="81"/>
      <c r="Q64" s="114" t="s">
        <v>794</v>
      </c>
      <c r="R64" s="82"/>
      <c r="S64" s="73" t="s">
        <v>49</v>
      </c>
      <c r="T64" s="197" t="s">
        <v>795</v>
      </c>
      <c r="U64" s="73" t="s">
        <v>796</v>
      </c>
      <c r="V64" s="73"/>
      <c r="W64" s="73" t="s">
        <v>797</v>
      </c>
      <c r="X64" s="73"/>
      <c r="Y64" s="73" t="s">
        <v>798</v>
      </c>
      <c r="Z64" s="73" t="s">
        <v>799</v>
      </c>
      <c r="AA64" s="73" t="s">
        <v>800</v>
      </c>
      <c r="AB64" s="73" t="s">
        <v>801</v>
      </c>
      <c r="AC64" s="73">
        <v>92175.0</v>
      </c>
      <c r="AD64" s="73"/>
      <c r="AE64" s="73"/>
      <c r="AF64" s="115" t="s">
        <v>71</v>
      </c>
      <c r="AG64" s="73"/>
      <c r="AH64" s="84" t="s">
        <v>125</v>
      </c>
      <c r="AI64" s="85">
        <v>2.3083538589E10</v>
      </c>
      <c r="AJ64" s="113" t="s">
        <v>802</v>
      </c>
      <c r="AK64" s="73" t="s">
        <v>108</v>
      </c>
      <c r="AL64" s="73"/>
      <c r="AM64" s="116">
        <v>44825.0</v>
      </c>
      <c r="AN64" s="159" t="s">
        <v>803</v>
      </c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</row>
    <row r="65" ht="15.75" hidden="1" customHeight="1">
      <c r="A65" s="158">
        <v>59.0</v>
      </c>
      <c r="B65" s="198" t="s">
        <v>804</v>
      </c>
      <c r="C65" s="199"/>
      <c r="D65" s="159" t="s">
        <v>91</v>
      </c>
      <c r="E65" s="161" t="s">
        <v>805</v>
      </c>
      <c r="F65" s="162" t="s">
        <v>806</v>
      </c>
      <c r="G65" s="200" t="s">
        <v>807</v>
      </c>
      <c r="H65" s="161" t="s">
        <v>260</v>
      </c>
      <c r="I65" s="161"/>
      <c r="J65" s="159"/>
      <c r="K65" s="159" t="s">
        <v>44</v>
      </c>
      <c r="L65" s="159" t="s">
        <v>98</v>
      </c>
      <c r="M65" s="162" t="s">
        <v>808</v>
      </c>
      <c r="N65" s="201" t="s">
        <v>809</v>
      </c>
      <c r="O65" s="120" t="s">
        <v>101</v>
      </c>
      <c r="P65" s="167"/>
      <c r="Q65" s="168" t="s">
        <v>461</v>
      </c>
      <c r="R65" s="159"/>
      <c r="S65" s="159" t="s">
        <v>49</v>
      </c>
      <c r="T65" s="202" t="s">
        <v>810</v>
      </c>
      <c r="U65" s="159" t="s">
        <v>51</v>
      </c>
      <c r="V65" s="159"/>
      <c r="W65" s="159" t="s">
        <v>811</v>
      </c>
      <c r="X65" s="159"/>
      <c r="Y65" s="159" t="s">
        <v>53</v>
      </c>
      <c r="Z65" s="159" t="s">
        <v>51</v>
      </c>
      <c r="AA65" s="159" t="s">
        <v>619</v>
      </c>
      <c r="AB65" s="159" t="s">
        <v>619</v>
      </c>
      <c r="AC65" s="159">
        <v>60187.0</v>
      </c>
      <c r="AD65" s="159"/>
      <c r="AE65" s="159"/>
      <c r="AF65" s="159"/>
      <c r="AG65" s="159"/>
      <c r="AH65" s="159"/>
      <c r="AI65" s="171">
        <v>2.3107452759E10</v>
      </c>
      <c r="AJ65" s="203" t="s">
        <v>812</v>
      </c>
      <c r="AK65" s="159" t="s">
        <v>108</v>
      </c>
      <c r="AL65" s="159"/>
      <c r="AM65" s="172">
        <v>44832.0</v>
      </c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59"/>
      <c r="BR65" s="159"/>
      <c r="BS65" s="159"/>
      <c r="BT65" s="159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  <c r="CE65" s="159"/>
      <c r="CF65" s="120"/>
      <c r="CG65" s="120"/>
      <c r="CH65" s="120"/>
      <c r="CI65" s="120"/>
      <c r="CJ65" s="120"/>
      <c r="CK65" s="120"/>
      <c r="CL65" s="120"/>
    </row>
    <row r="66" ht="15.0" hidden="1" customHeight="1">
      <c r="A66" s="70">
        <v>60.0</v>
      </c>
      <c r="B66" s="204" t="s">
        <v>813</v>
      </c>
      <c r="C66" s="205" t="s">
        <v>514</v>
      </c>
      <c r="D66" s="141" t="s">
        <v>91</v>
      </c>
      <c r="E66" s="78" t="s">
        <v>814</v>
      </c>
      <c r="F66" s="143" t="s">
        <v>815</v>
      </c>
      <c r="G66" s="206" t="s">
        <v>816</v>
      </c>
      <c r="H66" s="78" t="s">
        <v>113</v>
      </c>
      <c r="I66" s="78" t="s">
        <v>614</v>
      </c>
      <c r="J66" s="141"/>
      <c r="K66" s="141" t="s">
        <v>44</v>
      </c>
      <c r="L66" s="141" t="s">
        <v>504</v>
      </c>
      <c r="M66" s="143" t="s">
        <v>817</v>
      </c>
      <c r="N66" s="143" t="s">
        <v>818</v>
      </c>
      <c r="O66" s="207" t="s">
        <v>819</v>
      </c>
      <c r="P66" s="208" t="s">
        <v>820</v>
      </c>
      <c r="Q66" s="141" t="s">
        <v>133</v>
      </c>
      <c r="R66" s="141"/>
      <c r="S66" s="141" t="s">
        <v>49</v>
      </c>
      <c r="T66" s="209" t="s">
        <v>821</v>
      </c>
      <c r="U66" s="141" t="s">
        <v>822</v>
      </c>
      <c r="V66" s="141"/>
      <c r="W66" s="141" t="s">
        <v>823</v>
      </c>
      <c r="X66" s="210" t="s">
        <v>824</v>
      </c>
      <c r="Y66" s="141" t="s">
        <v>825</v>
      </c>
      <c r="Z66" s="141" t="s">
        <v>826</v>
      </c>
      <c r="AA66" s="141" t="s">
        <v>827</v>
      </c>
      <c r="AB66" s="141" t="s">
        <v>828</v>
      </c>
      <c r="AC66" s="211">
        <v>86562.0</v>
      </c>
      <c r="AD66" s="141"/>
      <c r="AE66" s="141"/>
      <c r="AF66" s="209" t="s">
        <v>71</v>
      </c>
      <c r="AG66" s="141"/>
      <c r="AH66" s="148" t="s">
        <v>125</v>
      </c>
      <c r="AI66" s="150">
        <v>2.3083538605E10</v>
      </c>
      <c r="AJ66" s="146" t="s">
        <v>829</v>
      </c>
      <c r="AK66" s="141" t="s">
        <v>108</v>
      </c>
      <c r="AL66" s="141"/>
      <c r="AM66" s="151">
        <v>44852.0</v>
      </c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  <c r="CL66" s="141"/>
    </row>
    <row r="67" ht="15.75" hidden="1" customHeight="1">
      <c r="A67" s="158">
        <v>61.0</v>
      </c>
      <c r="B67" s="212" t="s">
        <v>830</v>
      </c>
      <c r="C67" s="199"/>
      <c r="D67" s="213" t="s">
        <v>91</v>
      </c>
      <c r="E67" s="214" t="s">
        <v>831</v>
      </c>
      <c r="F67" s="215" t="s">
        <v>832</v>
      </c>
      <c r="G67" s="216" t="s">
        <v>833</v>
      </c>
      <c r="H67" s="214" t="s">
        <v>113</v>
      </c>
      <c r="I67" s="217"/>
      <c r="J67" s="213"/>
      <c r="K67" s="213" t="s">
        <v>44</v>
      </c>
      <c r="L67" s="213" t="s">
        <v>98</v>
      </c>
      <c r="M67" s="215" t="s">
        <v>834</v>
      </c>
      <c r="N67" s="218" t="s">
        <v>835</v>
      </c>
      <c r="O67" s="148" t="s">
        <v>101</v>
      </c>
      <c r="P67" s="219"/>
      <c r="Q67" s="220" t="s">
        <v>87</v>
      </c>
      <c r="R67" s="213"/>
      <c r="S67" s="213" t="s">
        <v>49</v>
      </c>
      <c r="T67" s="221" t="s">
        <v>836</v>
      </c>
      <c r="U67" s="213" t="s">
        <v>630</v>
      </c>
      <c r="V67" s="213"/>
      <c r="W67" s="213" t="s">
        <v>837</v>
      </c>
      <c r="X67" s="213"/>
      <c r="Y67" s="213" t="s">
        <v>53</v>
      </c>
      <c r="Z67" s="213" t="s">
        <v>51</v>
      </c>
      <c r="AA67" s="213" t="s">
        <v>137</v>
      </c>
      <c r="AB67" s="213" t="s">
        <v>138</v>
      </c>
      <c r="AC67" s="213">
        <v>60198.0</v>
      </c>
      <c r="AD67" s="213"/>
      <c r="AE67" s="213"/>
      <c r="AF67" s="213"/>
      <c r="AG67" s="213"/>
      <c r="AH67" s="213"/>
      <c r="AI67" s="222">
        <v>2.3083538613E10</v>
      </c>
      <c r="AJ67" s="223" t="s">
        <v>838</v>
      </c>
      <c r="AK67" s="213" t="s">
        <v>108</v>
      </c>
      <c r="AL67" s="213"/>
      <c r="AM67" s="224">
        <v>44874.0</v>
      </c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  <c r="BC67" s="213"/>
      <c r="BD67" s="213"/>
      <c r="BE67" s="213"/>
      <c r="BF67" s="213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3"/>
      <c r="BR67" s="213"/>
      <c r="BS67" s="213"/>
      <c r="BT67" s="213"/>
      <c r="BU67" s="213"/>
      <c r="BV67" s="213"/>
      <c r="BW67" s="213"/>
      <c r="BX67" s="213"/>
      <c r="BY67" s="213"/>
      <c r="BZ67" s="213"/>
      <c r="CA67" s="213"/>
      <c r="CB67" s="213"/>
      <c r="CC67" s="213"/>
      <c r="CD67" s="213"/>
      <c r="CE67" s="213"/>
      <c r="CF67" s="148"/>
      <c r="CG67" s="148"/>
      <c r="CH67" s="148"/>
      <c r="CI67" s="148"/>
      <c r="CJ67" s="148"/>
      <c r="CK67" s="148"/>
      <c r="CL67" s="148"/>
    </row>
    <row r="68" ht="15.75" customHeight="1">
      <c r="A68" s="35">
        <v>62.0</v>
      </c>
      <c r="B68" s="57" t="s">
        <v>839</v>
      </c>
      <c r="C68" s="37" t="s">
        <v>41</v>
      </c>
      <c r="D68" s="45" t="s">
        <v>91</v>
      </c>
      <c r="E68" s="92" t="s">
        <v>840</v>
      </c>
      <c r="F68" s="93" t="s">
        <v>841</v>
      </c>
      <c r="G68" s="225" t="s">
        <v>842</v>
      </c>
      <c r="H68" s="45" t="s">
        <v>355</v>
      </c>
      <c r="I68" s="109" t="s">
        <v>614</v>
      </c>
      <c r="J68" s="96" t="s">
        <v>172</v>
      </c>
      <c r="K68" s="45" t="s">
        <v>44</v>
      </c>
      <c r="L68" s="45" t="s">
        <v>98</v>
      </c>
      <c r="M68" s="93" t="s">
        <v>843</v>
      </c>
      <c r="N68" s="93" t="s">
        <v>844</v>
      </c>
      <c r="O68" s="45" t="s">
        <v>101</v>
      </c>
      <c r="P68" s="47">
        <v>5.8810105682E10</v>
      </c>
      <c r="Q68" s="45" t="s">
        <v>48</v>
      </c>
      <c r="S68" s="45" t="s">
        <v>49</v>
      </c>
      <c r="T68" s="101" t="s">
        <v>845</v>
      </c>
      <c r="U68" s="45" t="s">
        <v>51</v>
      </c>
      <c r="W68" s="45" t="s">
        <v>846</v>
      </c>
      <c r="Y68" s="45" t="s">
        <v>53</v>
      </c>
      <c r="Z68" s="45" t="s">
        <v>51</v>
      </c>
      <c r="AA68" s="45" t="s">
        <v>847</v>
      </c>
      <c r="AB68" s="45" t="s">
        <v>847</v>
      </c>
      <c r="AC68" s="45">
        <v>60182.0</v>
      </c>
      <c r="AF68" s="50" t="s">
        <v>241</v>
      </c>
      <c r="AH68" s="99" t="s">
        <v>125</v>
      </c>
      <c r="AI68" s="52">
        <v>2.305127269E10</v>
      </c>
      <c r="AJ68" s="93" t="s">
        <v>848</v>
      </c>
      <c r="AK68" s="45" t="s">
        <v>108</v>
      </c>
      <c r="AL68" s="45" t="str">
        <f>DATEDIF(AM68,NOW(),"y")&amp;" Tahun "&amp;DATEDIF(AM68,NOW(),"ym")&amp;" Bulan"</f>
        <v>3 Tahun 4 Bulan</v>
      </c>
      <c r="AM68" s="100">
        <v>44887.0</v>
      </c>
      <c r="AW68" s="45" t="str">
        <f>DATEDIF(AM68,$AW$2,"Y") &amp; " Tahun " &amp; DATEDIF(AM68,$AW$2,"YM") &amp; " Bulan"</f>
        <v>3 Tahun 3 Bulan</v>
      </c>
    </row>
    <row r="69" ht="15.75" hidden="1" customHeight="1">
      <c r="A69" s="158">
        <v>63.0</v>
      </c>
      <c r="B69" s="159" t="s">
        <v>849</v>
      </c>
      <c r="C69" s="160"/>
      <c r="D69" s="159" t="s">
        <v>91</v>
      </c>
      <c r="E69" s="161" t="s">
        <v>850</v>
      </c>
      <c r="F69" s="162" t="s">
        <v>851</v>
      </c>
      <c r="G69" s="200" t="s">
        <v>852</v>
      </c>
      <c r="H69" s="161" t="s">
        <v>247</v>
      </c>
      <c r="I69" s="161"/>
      <c r="J69" s="164"/>
      <c r="K69" s="159" t="s">
        <v>44</v>
      </c>
      <c r="L69" s="159" t="s">
        <v>98</v>
      </c>
      <c r="M69" s="203" t="s">
        <v>853</v>
      </c>
      <c r="N69" s="226" t="s">
        <v>854</v>
      </c>
      <c r="O69" s="120" t="s">
        <v>101</v>
      </c>
      <c r="P69" s="167"/>
      <c r="Q69" s="184" t="s">
        <v>521</v>
      </c>
      <c r="R69" s="169"/>
      <c r="S69" s="159" t="s">
        <v>69</v>
      </c>
      <c r="T69" s="185" t="s">
        <v>855</v>
      </c>
      <c r="U69" s="159" t="s">
        <v>432</v>
      </c>
      <c r="V69" s="227"/>
      <c r="W69" s="159" t="s">
        <v>856</v>
      </c>
      <c r="X69" s="159" t="s">
        <v>857</v>
      </c>
      <c r="Y69" s="159" t="s">
        <v>53</v>
      </c>
      <c r="Z69" s="159" t="s">
        <v>432</v>
      </c>
      <c r="AA69" s="159" t="s">
        <v>858</v>
      </c>
      <c r="AB69" s="159" t="s">
        <v>859</v>
      </c>
      <c r="AC69" s="159">
        <v>61264.0</v>
      </c>
      <c r="AD69" s="159" t="s">
        <v>141</v>
      </c>
      <c r="AE69" s="159" t="s">
        <v>141</v>
      </c>
      <c r="AF69" s="159"/>
      <c r="AG69" s="169"/>
      <c r="AH69" s="159"/>
      <c r="AI69" s="171">
        <v>2.3008088751E10</v>
      </c>
      <c r="AJ69" s="159" t="s">
        <v>860</v>
      </c>
      <c r="AK69" s="159" t="s">
        <v>108</v>
      </c>
      <c r="AL69" s="159" t="s">
        <v>141</v>
      </c>
      <c r="AM69" s="172">
        <v>44923.0</v>
      </c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59"/>
      <c r="BF69" s="159"/>
      <c r="BG69" s="159"/>
      <c r="BH69" s="159"/>
      <c r="BI69" s="159"/>
      <c r="BJ69" s="159"/>
      <c r="BK69" s="159"/>
      <c r="BL69" s="159"/>
      <c r="BM69" s="159"/>
      <c r="BN69" s="159"/>
      <c r="BO69" s="159"/>
      <c r="BP69" s="159"/>
      <c r="BQ69" s="159"/>
      <c r="BR69" s="159"/>
      <c r="BS69" s="159"/>
      <c r="BT69" s="159"/>
      <c r="BU69" s="159"/>
      <c r="BV69" s="159"/>
      <c r="BW69" s="159"/>
      <c r="BX69" s="159"/>
      <c r="BY69" s="159"/>
      <c r="BZ69" s="159"/>
      <c r="CA69" s="159"/>
      <c r="CB69" s="159"/>
      <c r="CC69" s="159"/>
      <c r="CD69" s="159"/>
      <c r="CE69" s="159"/>
      <c r="CF69" s="120"/>
      <c r="CG69" s="120"/>
      <c r="CH69" s="120"/>
      <c r="CI69" s="120"/>
      <c r="CJ69" s="120"/>
      <c r="CK69" s="120"/>
      <c r="CL69" s="120"/>
    </row>
    <row r="70" ht="16.5" customHeight="1">
      <c r="A70" s="35">
        <v>64.0</v>
      </c>
      <c r="B70" s="97" t="s">
        <v>861</v>
      </c>
      <c r="C70" s="154" t="s">
        <v>498</v>
      </c>
      <c r="D70" s="45" t="s">
        <v>91</v>
      </c>
      <c r="E70" s="92" t="s">
        <v>862</v>
      </c>
      <c r="F70" s="93" t="s">
        <v>863</v>
      </c>
      <c r="G70" s="225" t="s">
        <v>864</v>
      </c>
      <c r="H70" s="155" t="s">
        <v>865</v>
      </c>
      <c r="I70" s="109" t="s">
        <v>614</v>
      </c>
      <c r="J70" s="156" t="s">
        <v>186</v>
      </c>
      <c r="K70" s="45" t="s">
        <v>44</v>
      </c>
      <c r="L70" s="45" t="s">
        <v>98</v>
      </c>
      <c r="M70" s="93" t="s">
        <v>866</v>
      </c>
      <c r="N70" s="93" t="s">
        <v>867</v>
      </c>
      <c r="O70" s="155" t="s">
        <v>868</v>
      </c>
      <c r="P70" s="47" t="s">
        <v>869</v>
      </c>
      <c r="Q70" s="45" t="s">
        <v>684</v>
      </c>
      <c r="R70" s="97"/>
      <c r="S70" s="45" t="s">
        <v>49</v>
      </c>
      <c r="T70" s="101" t="s">
        <v>397</v>
      </c>
      <c r="U70" s="45" t="s">
        <v>870</v>
      </c>
      <c r="W70" s="45" t="s">
        <v>871</v>
      </c>
      <c r="X70" s="45" t="s">
        <v>872</v>
      </c>
      <c r="Y70" s="45" t="s">
        <v>873</v>
      </c>
      <c r="Z70" s="45" t="s">
        <v>874</v>
      </c>
      <c r="AA70" s="45" t="s">
        <v>870</v>
      </c>
      <c r="AB70" s="45" t="s">
        <v>875</v>
      </c>
      <c r="AC70" s="45">
        <v>33211.0</v>
      </c>
      <c r="AF70" s="50" t="s">
        <v>71</v>
      </c>
      <c r="AG70" s="97"/>
      <c r="AH70" s="93" t="s">
        <v>876</v>
      </c>
      <c r="AI70" s="52">
        <v>2.3051272674E10</v>
      </c>
      <c r="AJ70" s="103" t="s">
        <v>877</v>
      </c>
      <c r="AK70" s="45" t="s">
        <v>108</v>
      </c>
      <c r="AL70" s="45" t="str">
        <f>DATEDIF(AM70,NOW(),"y")&amp;" Tahun "&amp;DATEDIF(AM70,NOW(),"ym")&amp;" Bulan"</f>
        <v>3 Tahun 3 Bulan</v>
      </c>
      <c r="AM70" s="100">
        <v>44928.0</v>
      </c>
      <c r="AW70" s="45" t="str">
        <f>DATEDIF(AM70,$AW$2,"Y") &amp; " Tahun " &amp; DATEDIF(AM70,$AW$2,"YM") &amp; " Bulan"</f>
        <v>3 Tahun 2 Bulan</v>
      </c>
    </row>
    <row r="71" ht="15.75" hidden="1" customHeight="1">
      <c r="A71" s="70">
        <v>65.0</v>
      </c>
      <c r="B71" s="115" t="s">
        <v>878</v>
      </c>
      <c r="C71" s="228"/>
      <c r="D71" s="73" t="s">
        <v>91</v>
      </c>
      <c r="E71" s="74" t="s">
        <v>879</v>
      </c>
      <c r="F71" s="75" t="s">
        <v>880</v>
      </c>
      <c r="G71" s="76" t="s">
        <v>881</v>
      </c>
      <c r="H71" s="130" t="s">
        <v>157</v>
      </c>
      <c r="I71" s="77" t="s">
        <v>614</v>
      </c>
      <c r="J71" s="114"/>
      <c r="K71" s="73" t="s">
        <v>44</v>
      </c>
      <c r="L71" s="73" t="s">
        <v>98</v>
      </c>
      <c r="M71" s="75" t="s">
        <v>882</v>
      </c>
      <c r="N71" s="75" t="s">
        <v>883</v>
      </c>
      <c r="O71" s="73" t="s">
        <v>101</v>
      </c>
      <c r="P71" s="81"/>
      <c r="Q71" s="73" t="s">
        <v>521</v>
      </c>
      <c r="R71" s="82"/>
      <c r="S71" s="73" t="s">
        <v>49</v>
      </c>
      <c r="T71" s="229" t="s">
        <v>884</v>
      </c>
      <c r="U71" s="73" t="s">
        <v>533</v>
      </c>
      <c r="V71" s="73"/>
      <c r="W71" s="73" t="s">
        <v>885</v>
      </c>
      <c r="X71" s="73" t="s">
        <v>886</v>
      </c>
      <c r="Y71" s="73" t="s">
        <v>53</v>
      </c>
      <c r="Z71" s="73" t="s">
        <v>533</v>
      </c>
      <c r="AA71" s="73" t="s">
        <v>887</v>
      </c>
      <c r="AB71" s="73" t="s">
        <v>888</v>
      </c>
      <c r="AC71" s="73">
        <v>64154.0</v>
      </c>
      <c r="AD71" s="73"/>
      <c r="AE71" s="73"/>
      <c r="AF71" s="115" t="s">
        <v>71</v>
      </c>
      <c r="AG71" s="82"/>
      <c r="AH71" s="75" t="s">
        <v>889</v>
      </c>
      <c r="AI71" s="85">
        <v>2.3076097551E10</v>
      </c>
      <c r="AJ71" s="73" t="s">
        <v>890</v>
      </c>
      <c r="AK71" s="73" t="s">
        <v>108</v>
      </c>
      <c r="AL71" s="73"/>
      <c r="AM71" s="116">
        <v>44944.0</v>
      </c>
      <c r="AN71" s="230" t="s">
        <v>891</v>
      </c>
      <c r="AO71" s="73" t="s">
        <v>892</v>
      </c>
      <c r="AP71" s="73"/>
      <c r="AQ71" s="73"/>
      <c r="AR71" s="73"/>
      <c r="AS71" s="231"/>
      <c r="AT71" s="231"/>
      <c r="AU71" s="231"/>
      <c r="AV71" s="231"/>
      <c r="AW71" s="231"/>
      <c r="AX71" s="231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</row>
    <row r="72" ht="15.75" customHeight="1">
      <c r="A72" s="35">
        <v>66.0</v>
      </c>
      <c r="B72" s="232" t="s">
        <v>893</v>
      </c>
      <c r="C72" s="154" t="s">
        <v>498</v>
      </c>
      <c r="D72" s="45" t="s">
        <v>91</v>
      </c>
      <c r="E72" s="92" t="s">
        <v>894</v>
      </c>
      <c r="F72" s="93" t="s">
        <v>895</v>
      </c>
      <c r="G72" s="233" t="s">
        <v>896</v>
      </c>
      <c r="H72" s="173" t="s">
        <v>897</v>
      </c>
      <c r="I72" s="234" t="s">
        <v>248</v>
      </c>
      <c r="J72" s="156" t="s">
        <v>97</v>
      </c>
      <c r="K72" s="45" t="s">
        <v>44</v>
      </c>
      <c r="L72" s="45" t="s">
        <v>98</v>
      </c>
      <c r="M72" s="93" t="s">
        <v>898</v>
      </c>
      <c r="N72" s="93" t="s">
        <v>899</v>
      </c>
      <c r="O72" s="45" t="s">
        <v>101</v>
      </c>
      <c r="P72" s="235"/>
      <c r="Q72" s="125" t="s">
        <v>48</v>
      </c>
      <c r="R72" s="97"/>
      <c r="S72" s="45" t="s">
        <v>69</v>
      </c>
      <c r="T72" s="236" t="s">
        <v>900</v>
      </c>
      <c r="U72" s="45" t="s">
        <v>51</v>
      </c>
      <c r="W72" s="45" t="s">
        <v>901</v>
      </c>
      <c r="Y72" s="45" t="s">
        <v>53</v>
      </c>
      <c r="Z72" s="45" t="s">
        <v>51</v>
      </c>
      <c r="AA72" s="45" t="s">
        <v>54</v>
      </c>
      <c r="AB72" s="45" t="s">
        <v>55</v>
      </c>
      <c r="AC72" s="45">
        <v>60134.0</v>
      </c>
      <c r="AF72" s="50" t="s">
        <v>71</v>
      </c>
      <c r="AG72" s="97"/>
      <c r="AH72" s="93" t="s">
        <v>902</v>
      </c>
      <c r="AI72" s="52">
        <v>2.3107678734E10</v>
      </c>
      <c r="AJ72" s="93" t="s">
        <v>903</v>
      </c>
      <c r="AK72" s="45" t="s">
        <v>108</v>
      </c>
      <c r="AL72" s="45" t="str">
        <f t="shared" ref="AL72:AL73" si="19">DATEDIF(AM72,NOW(),"y")&amp;" Tahun "&amp;DATEDIF(AM72,NOW(),"ym")&amp;" Bulan"</f>
        <v>3 Tahun 0 Bulan</v>
      </c>
      <c r="AM72" s="100">
        <v>45013.0</v>
      </c>
      <c r="AN72" s="155" t="s">
        <v>904</v>
      </c>
      <c r="AW72" s="45" t="str">
        <f t="shared" ref="AW72:AW73" si="20">DATEDIF(AM72,$AW$2,"Y") &amp; " Tahun " &amp; DATEDIF(AM72,$AW$2,"YM") &amp; " Bulan"</f>
        <v>2 Tahun 11 Bulan</v>
      </c>
    </row>
    <row r="73" ht="15.75" customHeight="1">
      <c r="A73" s="35">
        <v>67.0</v>
      </c>
      <c r="B73" s="193" t="s">
        <v>905</v>
      </c>
      <c r="C73" s="154" t="s">
        <v>498</v>
      </c>
      <c r="D73" s="45" t="s">
        <v>91</v>
      </c>
      <c r="E73" s="92" t="s">
        <v>906</v>
      </c>
      <c r="F73" s="93" t="s">
        <v>907</v>
      </c>
      <c r="G73" s="225" t="s">
        <v>908</v>
      </c>
      <c r="H73" s="173" t="s">
        <v>909</v>
      </c>
      <c r="I73" s="234" t="s">
        <v>309</v>
      </c>
      <c r="J73" s="156" t="s">
        <v>97</v>
      </c>
      <c r="K73" s="45" t="s">
        <v>44</v>
      </c>
      <c r="L73" s="45" t="s">
        <v>98</v>
      </c>
      <c r="M73" s="93" t="s">
        <v>910</v>
      </c>
      <c r="N73" s="93" t="s">
        <v>911</v>
      </c>
      <c r="O73" s="155" t="s">
        <v>868</v>
      </c>
      <c r="P73" s="47" t="s">
        <v>912</v>
      </c>
      <c r="Q73" s="125" t="s">
        <v>48</v>
      </c>
      <c r="R73" s="97"/>
      <c r="S73" s="45" t="s">
        <v>69</v>
      </c>
      <c r="T73" s="237" t="s">
        <v>913</v>
      </c>
      <c r="U73" s="45" t="s">
        <v>914</v>
      </c>
      <c r="W73" s="45" t="s">
        <v>915</v>
      </c>
      <c r="X73" s="45" t="s">
        <v>916</v>
      </c>
      <c r="Y73" s="45" t="s">
        <v>53</v>
      </c>
      <c r="Z73" s="45" t="s">
        <v>914</v>
      </c>
      <c r="AA73" s="45" t="s">
        <v>917</v>
      </c>
      <c r="AB73" s="45" t="s">
        <v>918</v>
      </c>
      <c r="AC73" s="45">
        <v>63253.0</v>
      </c>
      <c r="AF73" s="50" t="s">
        <v>71</v>
      </c>
      <c r="AG73" s="97"/>
      <c r="AH73" s="99" t="s">
        <v>125</v>
      </c>
      <c r="AI73" s="52">
        <v>2.3122644638E10</v>
      </c>
      <c r="AJ73" s="93" t="s">
        <v>919</v>
      </c>
      <c r="AK73" s="45" t="s">
        <v>108</v>
      </c>
      <c r="AL73" s="45" t="str">
        <f t="shared" si="19"/>
        <v>2 Tahun 11 Bulan</v>
      </c>
      <c r="AM73" s="100">
        <v>45044.0</v>
      </c>
      <c r="AN73" s="238" t="s">
        <v>920</v>
      </c>
      <c r="AO73" s="45" t="s">
        <v>921</v>
      </c>
      <c r="AP73" s="239">
        <v>45624.0</v>
      </c>
      <c r="AQ73" s="155" t="s">
        <v>904</v>
      </c>
      <c r="AW73" s="45" t="str">
        <f t="shared" si="20"/>
        <v>2 Tahun 10 Bulan</v>
      </c>
    </row>
    <row r="74" ht="15.75" hidden="1" customHeight="1">
      <c r="A74" s="70">
        <v>68.0</v>
      </c>
      <c r="B74" s="195" t="s">
        <v>922</v>
      </c>
      <c r="C74" s="196"/>
      <c r="D74" s="73" t="s">
        <v>923</v>
      </c>
      <c r="E74" s="77" t="s">
        <v>924</v>
      </c>
      <c r="F74" s="75" t="s">
        <v>925</v>
      </c>
      <c r="G74" s="76" t="s">
        <v>926</v>
      </c>
      <c r="H74" s="240" t="s">
        <v>927</v>
      </c>
      <c r="I74" s="77" t="s">
        <v>248</v>
      </c>
      <c r="J74" s="73"/>
      <c r="K74" s="73" t="s">
        <v>44</v>
      </c>
      <c r="L74" s="73" t="s">
        <v>98</v>
      </c>
      <c r="M74" s="75" t="s">
        <v>928</v>
      </c>
      <c r="N74" s="75" t="s">
        <v>929</v>
      </c>
      <c r="O74" s="73"/>
      <c r="P74" s="81"/>
      <c r="Q74" s="114" t="s">
        <v>133</v>
      </c>
      <c r="R74" s="73"/>
      <c r="S74" s="73" t="s">
        <v>69</v>
      </c>
      <c r="T74" s="113" t="s">
        <v>930</v>
      </c>
      <c r="U74" s="73" t="s">
        <v>51</v>
      </c>
      <c r="V74" s="73"/>
      <c r="W74" s="73" t="s">
        <v>931</v>
      </c>
      <c r="X74" s="73"/>
      <c r="Y74" s="73" t="s">
        <v>53</v>
      </c>
      <c r="Z74" s="73" t="s">
        <v>51</v>
      </c>
      <c r="AA74" s="73" t="s">
        <v>494</v>
      </c>
      <c r="AB74" s="73" t="s">
        <v>932</v>
      </c>
      <c r="AC74" s="73">
        <v>60185.0</v>
      </c>
      <c r="AD74" s="73"/>
      <c r="AE74" s="73"/>
      <c r="AF74" s="115" t="s">
        <v>71</v>
      </c>
      <c r="AG74" s="73"/>
      <c r="AH74" s="75" t="s">
        <v>933</v>
      </c>
      <c r="AI74" s="85">
        <v>2.3141485021E10</v>
      </c>
      <c r="AJ74" s="75" t="s">
        <v>934</v>
      </c>
      <c r="AK74" s="73" t="s">
        <v>108</v>
      </c>
      <c r="AL74" s="73"/>
      <c r="AM74" s="116">
        <v>45084.0</v>
      </c>
      <c r="AN74" s="241" t="s">
        <v>920</v>
      </c>
      <c r="AO74" s="73" t="s">
        <v>921</v>
      </c>
      <c r="AP74" s="242">
        <v>45624.0</v>
      </c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</row>
    <row r="75" ht="15.75" customHeight="1">
      <c r="A75" s="153">
        <v>69.0</v>
      </c>
      <c r="B75" s="2" t="s">
        <v>935</v>
      </c>
      <c r="C75" s="154" t="s">
        <v>636</v>
      </c>
      <c r="D75" s="45" t="s">
        <v>91</v>
      </c>
      <c r="E75" s="95" t="s">
        <v>936</v>
      </c>
      <c r="F75" s="93" t="s">
        <v>937</v>
      </c>
      <c r="G75" s="233" t="s">
        <v>938</v>
      </c>
      <c r="H75" s="95" t="s">
        <v>939</v>
      </c>
      <c r="I75" s="109" t="s">
        <v>248</v>
      </c>
      <c r="J75" s="155" t="s">
        <v>503</v>
      </c>
      <c r="K75" s="243" t="s">
        <v>44</v>
      </c>
      <c r="L75" s="157" t="s">
        <v>641</v>
      </c>
      <c r="M75" s="93" t="s">
        <v>940</v>
      </c>
      <c r="N75" s="93" t="s">
        <v>941</v>
      </c>
      <c r="P75" s="235"/>
      <c r="Q75" s="45" t="s">
        <v>286</v>
      </c>
      <c r="S75" s="45" t="s">
        <v>69</v>
      </c>
      <c r="T75" s="45" t="s">
        <v>942</v>
      </c>
      <c r="U75" s="45" t="s">
        <v>943</v>
      </c>
      <c r="W75" s="45" t="s">
        <v>944</v>
      </c>
      <c r="Y75" s="45" t="s">
        <v>798</v>
      </c>
      <c r="Z75" s="45" t="s">
        <v>64</v>
      </c>
      <c r="AA75" s="45" t="s">
        <v>945</v>
      </c>
      <c r="AB75" s="45" t="s">
        <v>946</v>
      </c>
      <c r="AC75" s="45">
        <v>90224.0</v>
      </c>
      <c r="AF75" s="50" t="s">
        <v>71</v>
      </c>
      <c r="AH75" s="93" t="s">
        <v>947</v>
      </c>
      <c r="AI75" s="52">
        <v>2.3158787111E10</v>
      </c>
      <c r="AJ75" s="93" t="s">
        <v>948</v>
      </c>
      <c r="AK75" s="45" t="s">
        <v>949</v>
      </c>
      <c r="AL75" s="45" t="str">
        <f>DATEDIF(AM75,NOW(),"y")&amp;" Tahun "&amp;DATEDIF(AM75,NOW(),"ym")&amp;" Bulan"</f>
        <v>2 Tahun 10 Bulan</v>
      </c>
      <c r="AM75" s="100">
        <v>45085.0</v>
      </c>
      <c r="AN75" s="155" t="s">
        <v>904</v>
      </c>
      <c r="AP75" s="244"/>
      <c r="AW75" s="45" t="str">
        <f>DATEDIF(AM75,$AW$2,"Y") &amp; " Tahun " &amp; DATEDIF(AM75,$AW$2,"YM") &amp; " Bulan"</f>
        <v>2 Tahun 9 Bulan</v>
      </c>
    </row>
    <row r="76" ht="15.75" hidden="1" customHeight="1">
      <c r="A76" s="70">
        <v>70.0</v>
      </c>
      <c r="B76" s="73" t="s">
        <v>950</v>
      </c>
      <c r="C76" s="131" t="s">
        <v>514</v>
      </c>
      <c r="D76" s="73" t="s">
        <v>91</v>
      </c>
      <c r="E76" s="77" t="s">
        <v>951</v>
      </c>
      <c r="F76" s="75" t="s">
        <v>952</v>
      </c>
      <c r="G76" s="76" t="s">
        <v>953</v>
      </c>
      <c r="H76" s="130" t="s">
        <v>954</v>
      </c>
      <c r="I76" s="130" t="s">
        <v>955</v>
      </c>
      <c r="J76" s="73"/>
      <c r="K76" s="73" t="s">
        <v>44</v>
      </c>
      <c r="L76" s="73" t="s">
        <v>98</v>
      </c>
      <c r="M76" s="75" t="s">
        <v>956</v>
      </c>
      <c r="N76" s="75" t="s">
        <v>957</v>
      </c>
      <c r="O76" s="73"/>
      <c r="P76" s="81"/>
      <c r="Q76" s="73" t="s">
        <v>521</v>
      </c>
      <c r="R76" s="73"/>
      <c r="S76" s="73" t="s">
        <v>69</v>
      </c>
      <c r="T76" s="73" t="s">
        <v>958</v>
      </c>
      <c r="U76" s="73" t="s">
        <v>122</v>
      </c>
      <c r="V76" s="73"/>
      <c r="W76" s="73" t="s">
        <v>959</v>
      </c>
      <c r="X76" s="73" t="s">
        <v>960</v>
      </c>
      <c r="Y76" s="73" t="s">
        <v>53</v>
      </c>
      <c r="Z76" s="73" t="s">
        <v>122</v>
      </c>
      <c r="AA76" s="73" t="s">
        <v>961</v>
      </c>
      <c r="AB76" s="73" t="s">
        <v>962</v>
      </c>
      <c r="AC76" s="73">
        <v>63361.0</v>
      </c>
      <c r="AD76" s="73"/>
      <c r="AE76" s="73"/>
      <c r="AF76" s="115" t="s">
        <v>71</v>
      </c>
      <c r="AG76" s="73"/>
      <c r="AH76" s="84" t="s">
        <v>125</v>
      </c>
      <c r="AI76" s="85">
        <v>2.3141485013E10</v>
      </c>
      <c r="AJ76" s="75" t="s">
        <v>963</v>
      </c>
      <c r="AK76" s="73" t="s">
        <v>108</v>
      </c>
      <c r="AL76" s="73"/>
      <c r="AM76" s="242">
        <v>45089.0</v>
      </c>
      <c r="AN76" s="245" t="s">
        <v>920</v>
      </c>
      <c r="AO76" s="130" t="s">
        <v>921</v>
      </c>
      <c r="AP76" s="242">
        <v>45624.0</v>
      </c>
      <c r="AQ76" s="73" t="s">
        <v>904</v>
      </c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</row>
    <row r="77" ht="15.75" customHeight="1">
      <c r="A77" s="153">
        <v>71.0</v>
      </c>
      <c r="B77" s="246" t="s">
        <v>964</v>
      </c>
      <c r="C77" s="154" t="s">
        <v>729</v>
      </c>
      <c r="D77" s="45" t="s">
        <v>91</v>
      </c>
      <c r="E77" s="95" t="s">
        <v>965</v>
      </c>
      <c r="F77" s="93" t="s">
        <v>966</v>
      </c>
      <c r="G77" s="247" t="s">
        <v>967</v>
      </c>
      <c r="H77" s="95" t="s">
        <v>968</v>
      </c>
      <c r="I77" s="109" t="s">
        <v>969</v>
      </c>
      <c r="J77" s="155" t="s">
        <v>503</v>
      </c>
      <c r="K77" s="45" t="s">
        <v>44</v>
      </c>
      <c r="L77" s="157" t="s">
        <v>504</v>
      </c>
      <c r="M77" s="93" t="s">
        <v>970</v>
      </c>
      <c r="N77" s="93" t="s">
        <v>971</v>
      </c>
      <c r="P77" s="235"/>
      <c r="Q77" s="125" t="s">
        <v>972</v>
      </c>
      <c r="S77" s="45" t="s">
        <v>49</v>
      </c>
      <c r="T77" s="38" t="s">
        <v>973</v>
      </c>
      <c r="U77" s="45" t="s">
        <v>974</v>
      </c>
      <c r="W77" s="155" t="s">
        <v>975</v>
      </c>
      <c r="Y77" s="45" t="s">
        <v>798</v>
      </c>
      <c r="Z77" s="45" t="s">
        <v>64</v>
      </c>
      <c r="AA77" s="45" t="s">
        <v>945</v>
      </c>
      <c r="AB77" s="45" t="s">
        <v>976</v>
      </c>
      <c r="AC77" s="45">
        <v>90224.0</v>
      </c>
      <c r="AF77" s="50" t="s">
        <v>241</v>
      </c>
      <c r="AH77" s="93" t="s">
        <v>977</v>
      </c>
      <c r="AI77" s="52">
        <v>2.3193547694E10</v>
      </c>
      <c r="AJ77" s="155" t="s">
        <v>978</v>
      </c>
      <c r="AL77" s="45" t="str">
        <f t="shared" ref="AL77:AL78" si="21">DATEDIF(AM77,NOW(),"y")&amp;" Tahun "&amp;DATEDIF(AM77,NOW(),"ym")&amp;" Bulan"</f>
        <v>2 Tahun 10 Bulan</v>
      </c>
      <c r="AM77" s="100">
        <v>45092.0</v>
      </c>
      <c r="AN77" s="155" t="s">
        <v>904</v>
      </c>
      <c r="AP77" s="244"/>
      <c r="AW77" s="45" t="str">
        <f t="shared" ref="AW77:AW78" si="22">DATEDIF(AM77,$AW$2,"Y") &amp; " Tahun " &amp; DATEDIF(AM77,$AW$2,"YM") &amp; " Bulan"</f>
        <v>2 Tahun 9 Bulan</v>
      </c>
    </row>
    <row r="78" ht="15.75" customHeight="1">
      <c r="A78" s="35">
        <v>72.0</v>
      </c>
      <c r="B78" s="248" t="s">
        <v>979</v>
      </c>
      <c r="C78" s="154" t="s">
        <v>498</v>
      </c>
      <c r="D78" s="45" t="s">
        <v>923</v>
      </c>
      <c r="E78" s="155" t="s">
        <v>980</v>
      </c>
      <c r="F78" s="93" t="s">
        <v>981</v>
      </c>
      <c r="G78" s="225" t="s">
        <v>982</v>
      </c>
      <c r="H78" s="95" t="s">
        <v>556</v>
      </c>
      <c r="I78" s="109" t="s">
        <v>614</v>
      </c>
      <c r="J78" s="249" t="s">
        <v>97</v>
      </c>
      <c r="K78" s="243" t="s">
        <v>44</v>
      </c>
      <c r="L78" s="243" t="s">
        <v>98</v>
      </c>
      <c r="M78" s="93" t="s">
        <v>983</v>
      </c>
      <c r="N78" s="93" t="s">
        <v>984</v>
      </c>
      <c r="O78" s="243"/>
      <c r="P78" s="250"/>
      <c r="Q78" s="243" t="s">
        <v>48</v>
      </c>
      <c r="R78" s="243"/>
      <c r="S78" s="243" t="s">
        <v>49</v>
      </c>
      <c r="T78" s="251" t="s">
        <v>985</v>
      </c>
      <c r="U78" s="243" t="s">
        <v>51</v>
      </c>
      <c r="V78" s="243"/>
      <c r="W78" s="243" t="s">
        <v>986</v>
      </c>
      <c r="X78" s="243"/>
      <c r="Y78" s="243" t="s">
        <v>53</v>
      </c>
      <c r="Z78" s="243" t="s">
        <v>51</v>
      </c>
      <c r="AA78" s="243" t="s">
        <v>987</v>
      </c>
      <c r="AB78" s="243" t="s">
        <v>988</v>
      </c>
      <c r="AC78" s="45">
        <v>60132.0</v>
      </c>
      <c r="AD78" s="243"/>
      <c r="AE78" s="243"/>
      <c r="AF78" s="50" t="s">
        <v>241</v>
      </c>
      <c r="AG78" s="243"/>
      <c r="AH78" s="99" t="s">
        <v>125</v>
      </c>
      <c r="AI78" s="52">
        <v>2.3168609313E10</v>
      </c>
      <c r="AJ78" s="40" t="s">
        <v>989</v>
      </c>
      <c r="AK78" s="45" t="s">
        <v>108</v>
      </c>
      <c r="AL78" s="45" t="str">
        <f t="shared" si="21"/>
        <v>2 Tahun 9 Bulan</v>
      </c>
      <c r="AM78" s="100">
        <v>45110.0</v>
      </c>
      <c r="AN78" s="45" t="s">
        <v>990</v>
      </c>
      <c r="AO78" s="45" t="s">
        <v>991</v>
      </c>
      <c r="AP78" s="252" t="s">
        <v>892</v>
      </c>
      <c r="AQ78" s="253">
        <v>45775.0</v>
      </c>
      <c r="AR78" s="252" t="s">
        <v>992</v>
      </c>
      <c r="AS78" s="252" t="s">
        <v>993</v>
      </c>
      <c r="AT78" s="254">
        <v>46140.0</v>
      </c>
      <c r="AU78" s="255">
        <v>46323.0</v>
      </c>
      <c r="AW78" s="45" t="str">
        <f t="shared" si="22"/>
        <v>2 Tahun 8 Bulan</v>
      </c>
    </row>
    <row r="79" ht="15.75" hidden="1" customHeight="1">
      <c r="A79" s="70">
        <v>73.0</v>
      </c>
      <c r="B79" s="73" t="s">
        <v>994</v>
      </c>
      <c r="C79" s="131" t="s">
        <v>41</v>
      </c>
      <c r="D79" s="73" t="s">
        <v>923</v>
      </c>
      <c r="E79" s="77" t="s">
        <v>995</v>
      </c>
      <c r="F79" s="75" t="s">
        <v>996</v>
      </c>
      <c r="G79" s="76" t="s">
        <v>997</v>
      </c>
      <c r="H79" s="130" t="s">
        <v>998</v>
      </c>
      <c r="I79" s="130" t="s">
        <v>309</v>
      </c>
      <c r="J79" s="73"/>
      <c r="K79" s="73" t="s">
        <v>999</v>
      </c>
      <c r="L79" s="73" t="s">
        <v>98</v>
      </c>
      <c r="M79" s="75" t="s">
        <v>1000</v>
      </c>
      <c r="N79" s="75" t="s">
        <v>1001</v>
      </c>
      <c r="O79" s="73"/>
      <c r="P79" s="81"/>
      <c r="Q79" s="73" t="s">
        <v>48</v>
      </c>
      <c r="R79" s="73"/>
      <c r="S79" s="73" t="s">
        <v>69</v>
      </c>
      <c r="T79" s="73" t="s">
        <v>1002</v>
      </c>
      <c r="U79" s="73" t="s">
        <v>135</v>
      </c>
      <c r="V79" s="73"/>
      <c r="W79" s="73" t="s">
        <v>1003</v>
      </c>
      <c r="X79" s="73" t="s">
        <v>1004</v>
      </c>
      <c r="Y79" s="73" t="s">
        <v>53</v>
      </c>
      <c r="Z79" s="73" t="s">
        <v>135</v>
      </c>
      <c r="AA79" s="73" t="s">
        <v>1005</v>
      </c>
      <c r="AB79" s="73" t="s">
        <v>1006</v>
      </c>
      <c r="AC79" s="73">
        <v>63152.0</v>
      </c>
      <c r="AD79" s="73"/>
      <c r="AE79" s="73"/>
      <c r="AF79" s="115" t="s">
        <v>71</v>
      </c>
      <c r="AG79" s="73"/>
      <c r="AH79" s="84" t="s">
        <v>125</v>
      </c>
      <c r="AI79" s="85">
        <v>2.3141481434E10</v>
      </c>
      <c r="AJ79" s="75" t="s">
        <v>1007</v>
      </c>
      <c r="AK79" s="73" t="s">
        <v>108</v>
      </c>
      <c r="AL79" s="73"/>
      <c r="AM79" s="73" t="s">
        <v>1008</v>
      </c>
      <c r="AN79" s="242">
        <v>45197.0</v>
      </c>
      <c r="AO79" s="256" t="s">
        <v>1009</v>
      </c>
      <c r="AP79" s="130" t="s">
        <v>1010</v>
      </c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</row>
    <row r="80" ht="15.75" customHeight="1">
      <c r="A80" s="153">
        <v>74.0</v>
      </c>
      <c r="B80" s="257" t="s">
        <v>1011</v>
      </c>
      <c r="C80" s="154" t="s">
        <v>636</v>
      </c>
      <c r="D80" s="45" t="s">
        <v>91</v>
      </c>
      <c r="E80" s="155" t="s">
        <v>1012</v>
      </c>
      <c r="F80" s="40" t="s">
        <v>1013</v>
      </c>
      <c r="G80" s="258" t="s">
        <v>1014</v>
      </c>
      <c r="H80" s="95" t="s">
        <v>1015</v>
      </c>
      <c r="I80" s="109" t="s">
        <v>248</v>
      </c>
      <c r="J80" s="155" t="s">
        <v>503</v>
      </c>
      <c r="K80" s="243" t="s">
        <v>44</v>
      </c>
      <c r="L80" s="45" t="s">
        <v>98</v>
      </c>
      <c r="M80" s="93" t="s">
        <v>1016</v>
      </c>
      <c r="N80" s="93" t="s">
        <v>1017</v>
      </c>
      <c r="P80" s="235"/>
      <c r="Q80" s="45" t="s">
        <v>521</v>
      </c>
      <c r="S80" s="45" t="s">
        <v>69</v>
      </c>
      <c r="T80" s="93" t="s">
        <v>1018</v>
      </c>
      <c r="U80" s="45" t="s">
        <v>1019</v>
      </c>
      <c r="W80" s="45" t="s">
        <v>1020</v>
      </c>
      <c r="Y80" s="45" t="s">
        <v>798</v>
      </c>
      <c r="Z80" s="45" t="s">
        <v>64</v>
      </c>
      <c r="AA80" s="45" t="s">
        <v>945</v>
      </c>
      <c r="AB80" s="45" t="s">
        <v>1021</v>
      </c>
      <c r="AC80" s="45">
        <v>90224.0</v>
      </c>
      <c r="AF80" s="50" t="s">
        <v>81</v>
      </c>
      <c r="AH80" s="93" t="s">
        <v>1022</v>
      </c>
      <c r="AI80" s="52">
        <v>2.3193553841E10</v>
      </c>
      <c r="AJ80" s="93" t="s">
        <v>1023</v>
      </c>
      <c r="AK80" s="45" t="s">
        <v>949</v>
      </c>
      <c r="AL80" s="45" t="str">
        <f t="shared" ref="AL80:AL82" si="23">DATEDIF(AM80,NOW(),"y")&amp;" Tahun "&amp;DATEDIF(AM80,NOW(),"ym")&amp;" Bulan"</f>
        <v>2 Tahun 8 Bulan</v>
      </c>
      <c r="AM80" s="100">
        <v>45131.0</v>
      </c>
      <c r="AN80" s="45" t="s">
        <v>1024</v>
      </c>
      <c r="AO80" s="244" t="s">
        <v>892</v>
      </c>
      <c r="AP80" s="155" t="s">
        <v>904</v>
      </c>
      <c r="AW80" s="45" t="str">
        <f t="shared" ref="AW80:AW82" si="24">DATEDIF(AM80,$AW$2,"Y") &amp; " Tahun " &amp; DATEDIF(AM80,$AW$2,"YM") &amp; " Bulan"</f>
        <v>2 Tahun 7 Bulan</v>
      </c>
    </row>
    <row r="81" ht="15.75" customHeight="1">
      <c r="A81" s="35">
        <v>75.0</v>
      </c>
      <c r="B81" s="57" t="s">
        <v>1025</v>
      </c>
      <c r="C81" s="37" t="s">
        <v>41</v>
      </c>
      <c r="D81" s="45" t="s">
        <v>91</v>
      </c>
      <c r="E81" s="95" t="s">
        <v>1026</v>
      </c>
      <c r="F81" s="40" t="s">
        <v>1027</v>
      </c>
      <c r="G81" s="258" t="s">
        <v>1028</v>
      </c>
      <c r="H81" s="173" t="s">
        <v>1029</v>
      </c>
      <c r="I81" s="234" t="s">
        <v>309</v>
      </c>
      <c r="J81" s="155" t="s">
        <v>97</v>
      </c>
      <c r="K81" s="243" t="s">
        <v>44</v>
      </c>
      <c r="L81" s="45" t="s">
        <v>98</v>
      </c>
      <c r="M81" s="93" t="s">
        <v>1030</v>
      </c>
      <c r="N81" s="93" t="s">
        <v>1031</v>
      </c>
      <c r="P81" s="235"/>
      <c r="Q81" s="45" t="s">
        <v>521</v>
      </c>
      <c r="S81" s="45" t="s">
        <v>69</v>
      </c>
      <c r="T81" s="93" t="s">
        <v>1032</v>
      </c>
      <c r="U81" s="45" t="s">
        <v>420</v>
      </c>
      <c r="W81" s="45" t="s">
        <v>1033</v>
      </c>
      <c r="Y81" s="45" t="s">
        <v>53</v>
      </c>
      <c r="Z81" s="45" t="s">
        <v>420</v>
      </c>
      <c r="AA81" s="45" t="s">
        <v>1034</v>
      </c>
      <c r="AB81" s="45" t="s">
        <v>1035</v>
      </c>
      <c r="AC81" s="45">
        <v>61173.0</v>
      </c>
      <c r="AF81" s="50" t="s">
        <v>71</v>
      </c>
      <c r="AH81" s="99" t="s">
        <v>125</v>
      </c>
      <c r="AI81" s="52">
        <v>2.3192786053E10</v>
      </c>
      <c r="AJ81" s="93" t="s">
        <v>1036</v>
      </c>
      <c r="AK81" s="45" t="s">
        <v>108</v>
      </c>
      <c r="AL81" s="45" t="str">
        <f t="shared" si="23"/>
        <v>2 Tahun 8 Bulan</v>
      </c>
      <c r="AM81" s="100">
        <v>45134.0</v>
      </c>
      <c r="AN81" s="45" t="s">
        <v>1024</v>
      </c>
      <c r="AO81" s="244" t="s">
        <v>892</v>
      </c>
      <c r="AP81" s="155" t="s">
        <v>904</v>
      </c>
      <c r="AW81" s="45" t="str">
        <f t="shared" si="24"/>
        <v>2 Tahun 7 Bulan</v>
      </c>
    </row>
    <row r="82" ht="15.75" customHeight="1">
      <c r="A82" s="35">
        <v>76.0</v>
      </c>
      <c r="B82" s="259" t="s">
        <v>1037</v>
      </c>
      <c r="C82" s="56" t="s">
        <v>41</v>
      </c>
      <c r="D82" s="67" t="s">
        <v>91</v>
      </c>
      <c r="E82" s="61" t="s">
        <v>1038</v>
      </c>
      <c r="F82" s="88" t="s">
        <v>1039</v>
      </c>
      <c r="G82" s="129" t="s">
        <v>1040</v>
      </c>
      <c r="H82" s="68" t="s">
        <v>113</v>
      </c>
      <c r="I82" s="62" t="s">
        <v>614</v>
      </c>
      <c r="J82" s="68" t="s">
        <v>115</v>
      </c>
      <c r="K82" s="248" t="s">
        <v>44</v>
      </c>
      <c r="L82" s="36" t="s">
        <v>98</v>
      </c>
      <c r="M82" s="88" t="s">
        <v>1041</v>
      </c>
      <c r="N82" s="88" t="s">
        <v>1042</v>
      </c>
      <c r="O82" s="67" t="s">
        <v>1043</v>
      </c>
      <c r="P82" s="260" t="s">
        <v>1044</v>
      </c>
      <c r="Q82" s="55" t="s">
        <v>461</v>
      </c>
      <c r="R82" s="36"/>
      <c r="S82" s="36" t="s">
        <v>49</v>
      </c>
      <c r="T82" s="180" t="s">
        <v>1045</v>
      </c>
      <c r="U82" s="36" t="s">
        <v>420</v>
      </c>
      <c r="V82" s="36"/>
      <c r="W82" s="36" t="s">
        <v>1046</v>
      </c>
      <c r="X82" s="36"/>
      <c r="Y82" s="57" t="s">
        <v>53</v>
      </c>
      <c r="Z82" s="57" t="s">
        <v>420</v>
      </c>
      <c r="AA82" s="36" t="s">
        <v>422</v>
      </c>
      <c r="AB82" s="36" t="s">
        <v>423</v>
      </c>
      <c r="AC82" s="261">
        <v>61174.0</v>
      </c>
      <c r="AD82" s="36"/>
      <c r="AE82" s="36"/>
      <c r="AF82" s="126" t="s">
        <v>71</v>
      </c>
      <c r="AG82" s="36"/>
      <c r="AH82" s="55" t="s">
        <v>125</v>
      </c>
      <c r="AI82" s="68">
        <v>2.4045200045E10</v>
      </c>
      <c r="AJ82" s="180" t="s">
        <v>1047</v>
      </c>
      <c r="AK82" s="67" t="s">
        <v>108</v>
      </c>
      <c r="AL82" s="57" t="str">
        <f t="shared" si="23"/>
        <v>2 Tahun 8 Bulan</v>
      </c>
      <c r="AM82" s="91">
        <v>45142.0</v>
      </c>
      <c r="AN82" s="57"/>
      <c r="AO82" s="36" t="s">
        <v>1048</v>
      </c>
      <c r="AP82" s="57" t="s">
        <v>1049</v>
      </c>
      <c r="AQ82" s="57" t="s">
        <v>921</v>
      </c>
      <c r="AR82" s="262">
        <v>45624.0</v>
      </c>
      <c r="AS82" s="263" t="s">
        <v>1050</v>
      </c>
      <c r="AT82" s="263" t="s">
        <v>1051</v>
      </c>
      <c r="AU82" s="264" t="s">
        <v>1052</v>
      </c>
      <c r="AV82" s="265" t="s">
        <v>904</v>
      </c>
      <c r="AW82" s="45" t="str">
        <f t="shared" si="24"/>
        <v>2 Tahun 7 Bulan</v>
      </c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</row>
    <row r="83" ht="15.75" hidden="1" customHeight="1">
      <c r="A83" s="158">
        <v>77.0</v>
      </c>
      <c r="B83" s="159" t="s">
        <v>1053</v>
      </c>
      <c r="C83" s="160"/>
      <c r="D83" s="159" t="s">
        <v>923</v>
      </c>
      <c r="E83" s="266" t="s">
        <v>1054</v>
      </c>
      <c r="F83" s="162" t="s">
        <v>1055</v>
      </c>
      <c r="G83" s="200" t="s">
        <v>1056</v>
      </c>
      <c r="H83" s="159" t="s">
        <v>1057</v>
      </c>
      <c r="I83" s="159"/>
      <c r="J83" s="159"/>
      <c r="K83" s="267" t="s">
        <v>44</v>
      </c>
      <c r="L83" s="159" t="s">
        <v>98</v>
      </c>
      <c r="M83" s="162" t="s">
        <v>1058</v>
      </c>
      <c r="N83" s="201" t="s">
        <v>1059</v>
      </c>
      <c r="O83" s="120"/>
      <c r="P83" s="167"/>
      <c r="Q83" s="184" t="s">
        <v>48</v>
      </c>
      <c r="R83" s="159"/>
      <c r="S83" s="159" t="s">
        <v>49</v>
      </c>
      <c r="T83" s="159" t="s">
        <v>1060</v>
      </c>
      <c r="U83" s="159" t="s">
        <v>1019</v>
      </c>
      <c r="V83" s="159"/>
      <c r="W83" s="159" t="s">
        <v>1061</v>
      </c>
      <c r="X83" s="159"/>
      <c r="Y83" s="159" t="s">
        <v>798</v>
      </c>
      <c r="Z83" s="159" t="s">
        <v>64</v>
      </c>
      <c r="AA83" s="159" t="s">
        <v>1062</v>
      </c>
      <c r="AB83" s="159" t="s">
        <v>1063</v>
      </c>
      <c r="AC83" s="159">
        <v>90283.0</v>
      </c>
      <c r="AD83" s="159"/>
      <c r="AE83" s="159"/>
      <c r="AF83" s="159"/>
      <c r="AG83" s="159"/>
      <c r="AH83" s="159"/>
      <c r="AI83" s="202"/>
      <c r="AJ83" s="159"/>
      <c r="AK83" s="159"/>
      <c r="AL83" s="159"/>
      <c r="AM83" s="159" t="s">
        <v>1064</v>
      </c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  <c r="BH83" s="159"/>
      <c r="BI83" s="159"/>
      <c r="BJ83" s="159"/>
      <c r="BK83" s="159"/>
      <c r="BL83" s="159"/>
      <c r="BM83" s="159"/>
      <c r="BN83" s="159"/>
      <c r="BO83" s="159"/>
      <c r="BP83" s="159"/>
      <c r="BQ83" s="159"/>
      <c r="BR83" s="159"/>
      <c r="BS83" s="159"/>
      <c r="BT83" s="159"/>
      <c r="BU83" s="159"/>
      <c r="BV83" s="159"/>
      <c r="BW83" s="159"/>
      <c r="BX83" s="159"/>
      <c r="BY83" s="159"/>
      <c r="BZ83" s="159"/>
      <c r="CA83" s="159"/>
      <c r="CB83" s="159"/>
      <c r="CC83" s="159"/>
      <c r="CD83" s="159"/>
      <c r="CE83" s="159"/>
      <c r="CF83" s="120"/>
      <c r="CG83" s="120"/>
      <c r="CH83" s="120"/>
      <c r="CI83" s="120"/>
      <c r="CJ83" s="120"/>
      <c r="CK83" s="120"/>
      <c r="CL83" s="120"/>
    </row>
    <row r="84" ht="15.75" customHeight="1">
      <c r="A84" s="35">
        <v>78.0</v>
      </c>
      <c r="B84" s="36" t="s">
        <v>1065</v>
      </c>
      <c r="C84" s="154" t="s">
        <v>514</v>
      </c>
      <c r="D84" s="155" t="s">
        <v>91</v>
      </c>
      <c r="E84" s="95" t="s">
        <v>1066</v>
      </c>
      <c r="F84" s="40" t="s">
        <v>1067</v>
      </c>
      <c r="G84" s="268" t="s">
        <v>1068</v>
      </c>
      <c r="H84" s="52" t="s">
        <v>1069</v>
      </c>
      <c r="I84" s="109" t="s">
        <v>614</v>
      </c>
      <c r="J84" s="52" t="s">
        <v>115</v>
      </c>
      <c r="K84" s="243" t="s">
        <v>44</v>
      </c>
      <c r="L84" s="45" t="s">
        <v>98</v>
      </c>
      <c r="M84" s="40" t="s">
        <v>1070</v>
      </c>
      <c r="N84" s="40" t="s">
        <v>1071</v>
      </c>
      <c r="O84" s="52" t="s">
        <v>1043</v>
      </c>
      <c r="P84" s="269" t="s">
        <v>1072</v>
      </c>
      <c r="Q84" s="125" t="s">
        <v>48</v>
      </c>
      <c r="R84" s="38"/>
      <c r="S84" s="38" t="s">
        <v>49</v>
      </c>
      <c r="T84" s="270" t="s">
        <v>1073</v>
      </c>
      <c r="U84" s="38" t="s">
        <v>51</v>
      </c>
      <c r="V84" s="38"/>
      <c r="W84" s="38" t="s">
        <v>1074</v>
      </c>
      <c r="X84" s="38"/>
      <c r="Y84" s="38" t="s">
        <v>53</v>
      </c>
      <c r="Z84" s="38" t="s">
        <v>51</v>
      </c>
      <c r="AA84" s="38" t="s">
        <v>619</v>
      </c>
      <c r="AB84" s="38" t="s">
        <v>620</v>
      </c>
      <c r="AC84" s="271">
        <v>60181.0</v>
      </c>
      <c r="AD84" s="38"/>
      <c r="AE84" s="38"/>
      <c r="AF84" s="135" t="s">
        <v>56</v>
      </c>
      <c r="AG84" s="38"/>
      <c r="AH84" s="40" t="s">
        <v>1075</v>
      </c>
      <c r="AI84" s="52">
        <v>2.4004250106E10</v>
      </c>
      <c r="AJ84" s="40" t="s">
        <v>1076</v>
      </c>
      <c r="AK84" s="45" t="s">
        <v>108</v>
      </c>
      <c r="AL84" s="45" t="str">
        <f t="shared" ref="AL84:AL87" si="25">DATEDIF(AM84,NOW(),"y")&amp;" Tahun "&amp;DATEDIF(AM84,NOW(),"ym")&amp;" Bulan"</f>
        <v>2 Tahun 7 Bulan</v>
      </c>
      <c r="AM84" s="100">
        <v>45161.0</v>
      </c>
      <c r="AN84" s="38"/>
      <c r="AO84" s="272" t="s">
        <v>1049</v>
      </c>
      <c r="AP84" s="273" t="s">
        <v>1077</v>
      </c>
      <c r="AQ84" s="273" t="s">
        <v>904</v>
      </c>
      <c r="AW84" s="45" t="str">
        <f t="shared" ref="AW84:AW85" si="26">DATEDIF(AM84,$AW$2,"Y") &amp; " Tahun " &amp; DATEDIF(AM84,$AW$2,"YM") &amp; " Bulan"</f>
        <v>2 Tahun 6 Bulan</v>
      </c>
    </row>
    <row r="85" ht="15.75" customHeight="1">
      <c r="A85" s="35">
        <v>79.0</v>
      </c>
      <c r="B85" s="57" t="s">
        <v>1078</v>
      </c>
      <c r="C85" s="37" t="s">
        <v>41</v>
      </c>
      <c r="D85" s="45" t="s">
        <v>91</v>
      </c>
      <c r="E85" s="95" t="s">
        <v>1079</v>
      </c>
      <c r="F85" s="93" t="s">
        <v>1080</v>
      </c>
      <c r="G85" s="225" t="s">
        <v>1081</v>
      </c>
      <c r="H85" s="155" t="s">
        <v>1082</v>
      </c>
      <c r="I85" s="252" t="s">
        <v>248</v>
      </c>
      <c r="J85" s="155" t="s">
        <v>97</v>
      </c>
      <c r="K85" s="243" t="s">
        <v>44</v>
      </c>
      <c r="L85" s="45" t="s">
        <v>98</v>
      </c>
      <c r="M85" s="93" t="s">
        <v>1083</v>
      </c>
      <c r="N85" s="93" t="s">
        <v>1084</v>
      </c>
      <c r="P85" s="235"/>
      <c r="Q85" s="45" t="s">
        <v>521</v>
      </c>
      <c r="S85" s="45" t="s">
        <v>69</v>
      </c>
      <c r="T85" s="45" t="s">
        <v>1085</v>
      </c>
      <c r="U85" s="38" t="s">
        <v>51</v>
      </c>
      <c r="W85" s="45" t="s">
        <v>1086</v>
      </c>
      <c r="Y85" s="38" t="s">
        <v>53</v>
      </c>
      <c r="Z85" s="38" t="s">
        <v>51</v>
      </c>
      <c r="AA85" s="45" t="s">
        <v>104</v>
      </c>
      <c r="AB85" s="45" t="s">
        <v>1087</v>
      </c>
      <c r="AC85" s="45">
        <v>60129.0</v>
      </c>
      <c r="AF85" s="135" t="s">
        <v>71</v>
      </c>
      <c r="AH85" s="93" t="s">
        <v>1088</v>
      </c>
      <c r="AI85" s="52">
        <v>2.4004264206E10</v>
      </c>
      <c r="AJ85" s="40" t="s">
        <v>1089</v>
      </c>
      <c r="AK85" s="45" t="s">
        <v>108</v>
      </c>
      <c r="AL85" s="45" t="str">
        <f t="shared" si="25"/>
        <v>2 Tahun 7 Bulan</v>
      </c>
      <c r="AM85" s="100">
        <v>45166.0</v>
      </c>
      <c r="AN85" s="155" t="s">
        <v>904</v>
      </c>
      <c r="AW85" s="45" t="str">
        <f t="shared" si="26"/>
        <v>2 Tahun 6 Bulan</v>
      </c>
    </row>
    <row r="86" ht="15.75" hidden="1" customHeight="1">
      <c r="A86" s="158">
        <v>80.0</v>
      </c>
      <c r="B86" s="202" t="s">
        <v>1090</v>
      </c>
      <c r="C86" s="274" t="s">
        <v>41</v>
      </c>
      <c r="D86" s="159" t="s">
        <v>91</v>
      </c>
      <c r="E86" s="161" t="s">
        <v>1091</v>
      </c>
      <c r="F86" s="162" t="s">
        <v>1092</v>
      </c>
      <c r="G86" s="200" t="s">
        <v>1093</v>
      </c>
      <c r="H86" s="159" t="s">
        <v>1094</v>
      </c>
      <c r="I86" s="159" t="s">
        <v>248</v>
      </c>
      <c r="J86" s="159" t="s">
        <v>97</v>
      </c>
      <c r="K86" s="159" t="s">
        <v>44</v>
      </c>
      <c r="L86" s="159" t="s">
        <v>98</v>
      </c>
      <c r="M86" s="162" t="s">
        <v>1095</v>
      </c>
      <c r="N86" s="226" t="s">
        <v>1096</v>
      </c>
      <c r="O86" s="120"/>
      <c r="P86" s="167"/>
      <c r="Q86" s="184" t="s">
        <v>521</v>
      </c>
      <c r="R86" s="159"/>
      <c r="S86" s="159" t="s">
        <v>69</v>
      </c>
      <c r="T86" s="159" t="s">
        <v>1097</v>
      </c>
      <c r="U86" s="202" t="s">
        <v>51</v>
      </c>
      <c r="V86" s="159"/>
      <c r="W86" s="202" t="s">
        <v>1098</v>
      </c>
      <c r="X86" s="159"/>
      <c r="Y86" s="202" t="s">
        <v>53</v>
      </c>
      <c r="Z86" s="202" t="s">
        <v>51</v>
      </c>
      <c r="AA86" s="202" t="s">
        <v>177</v>
      </c>
      <c r="AB86" s="202" t="s">
        <v>785</v>
      </c>
      <c r="AC86" s="275">
        <v>60256.0</v>
      </c>
      <c r="AD86" s="159"/>
      <c r="AE86" s="159"/>
      <c r="AF86" s="159" t="s">
        <v>71</v>
      </c>
      <c r="AG86" s="159"/>
      <c r="AH86" s="162" t="s">
        <v>1099</v>
      </c>
      <c r="AI86" s="202">
        <v>2.4004264196E10</v>
      </c>
      <c r="AJ86" s="162" t="s">
        <v>1100</v>
      </c>
      <c r="AK86" s="159" t="s">
        <v>108</v>
      </c>
      <c r="AL86" s="159" t="str">
        <f t="shared" si="25"/>
        <v>2 Tahun 7 Bulan</v>
      </c>
      <c r="AM86" s="159">
        <v>45168.0</v>
      </c>
      <c r="AN86" s="159"/>
      <c r="AO86" s="162" t="s">
        <v>1101</v>
      </c>
      <c r="AP86" s="159" t="s">
        <v>904</v>
      </c>
      <c r="AQ86" s="159" t="s">
        <v>1102</v>
      </c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159"/>
      <c r="BG86" s="159"/>
      <c r="BH86" s="159"/>
      <c r="BI86" s="159"/>
      <c r="BJ86" s="159"/>
      <c r="BK86" s="159"/>
      <c r="BL86" s="159"/>
      <c r="BM86" s="159"/>
      <c r="BN86" s="159"/>
      <c r="BO86" s="159"/>
      <c r="BP86" s="159"/>
      <c r="BQ86" s="159"/>
      <c r="BR86" s="159"/>
      <c r="BS86" s="159"/>
      <c r="BT86" s="159"/>
      <c r="BU86" s="159"/>
      <c r="BV86" s="159"/>
      <c r="BW86" s="159"/>
      <c r="BX86" s="159"/>
      <c r="BY86" s="159"/>
      <c r="BZ86" s="159"/>
      <c r="CA86" s="159"/>
      <c r="CB86" s="159"/>
      <c r="CC86" s="159"/>
      <c r="CD86" s="159"/>
      <c r="CE86" s="159"/>
      <c r="CF86" s="120"/>
      <c r="CG86" s="120"/>
      <c r="CH86" s="120"/>
      <c r="CI86" s="120"/>
      <c r="CJ86" s="120"/>
      <c r="CK86" s="120"/>
      <c r="CL86" s="120"/>
    </row>
    <row r="87" ht="15.75" customHeight="1">
      <c r="A87" s="35">
        <v>81.0</v>
      </c>
      <c r="B87" s="57" t="s">
        <v>1103</v>
      </c>
      <c r="C87" s="154" t="s">
        <v>729</v>
      </c>
      <c r="D87" s="45" t="s">
        <v>91</v>
      </c>
      <c r="E87" s="92" t="s">
        <v>1104</v>
      </c>
      <c r="F87" s="93" t="s">
        <v>1105</v>
      </c>
      <c r="G87" s="225" t="s">
        <v>1106</v>
      </c>
      <c r="H87" s="155" t="s">
        <v>1107</v>
      </c>
      <c r="I87" s="252" t="s">
        <v>729</v>
      </c>
      <c r="J87" s="155" t="s">
        <v>97</v>
      </c>
      <c r="K87" s="45" t="s">
        <v>44</v>
      </c>
      <c r="L87" s="45" t="s">
        <v>98</v>
      </c>
      <c r="M87" s="93" t="s">
        <v>1108</v>
      </c>
      <c r="N87" s="93" t="s">
        <v>1109</v>
      </c>
      <c r="P87" s="235"/>
      <c r="Q87" s="45" t="s">
        <v>48</v>
      </c>
      <c r="S87" s="45" t="s">
        <v>49</v>
      </c>
      <c r="T87" s="93" t="s">
        <v>1110</v>
      </c>
      <c r="U87" s="45" t="s">
        <v>51</v>
      </c>
      <c r="W87" s="45" t="s">
        <v>1111</v>
      </c>
      <c r="Y87" s="45" t="s">
        <v>53</v>
      </c>
      <c r="Z87" s="45" t="s">
        <v>51</v>
      </c>
      <c r="AA87" s="45" t="s">
        <v>177</v>
      </c>
      <c r="AB87" s="45" t="s">
        <v>726</v>
      </c>
      <c r="AC87" s="45">
        <v>60235.0</v>
      </c>
      <c r="AF87" s="135" t="s">
        <v>56</v>
      </c>
      <c r="AH87" s="276" t="s">
        <v>1112</v>
      </c>
      <c r="AI87" s="52">
        <v>2.4011312394E10</v>
      </c>
      <c r="AJ87" s="93" t="s">
        <v>1113</v>
      </c>
      <c r="AK87" s="45" t="s">
        <v>108</v>
      </c>
      <c r="AL87" s="45" t="str">
        <f t="shared" si="25"/>
        <v>2 Tahun 6 Bulan</v>
      </c>
      <c r="AM87" s="100">
        <v>45201.0</v>
      </c>
      <c r="AN87" s="45" t="s">
        <v>1114</v>
      </c>
      <c r="AO87" s="277" t="s">
        <v>1115</v>
      </c>
      <c r="AP87" s="155" t="s">
        <v>904</v>
      </c>
      <c r="AW87" s="45" t="str">
        <f>DATEDIF(AM87,$AW$2,"Y") &amp; " Tahun " &amp; DATEDIF(AM87,$AW$2,"YM") &amp; " Bulan"</f>
        <v>2 Tahun 5 Bulan</v>
      </c>
    </row>
    <row r="88" ht="15.75" hidden="1" customHeight="1">
      <c r="A88" s="158">
        <v>82.0</v>
      </c>
      <c r="B88" s="202" t="s">
        <v>1116</v>
      </c>
      <c r="C88" s="274"/>
      <c r="D88" s="159"/>
      <c r="E88" s="161"/>
      <c r="F88" s="162" t="s">
        <v>1117</v>
      </c>
      <c r="G88" s="200" t="s">
        <v>1118</v>
      </c>
      <c r="H88" s="159" t="s">
        <v>1119</v>
      </c>
      <c r="I88" s="159"/>
      <c r="J88" s="159"/>
      <c r="K88" s="159" t="s">
        <v>44</v>
      </c>
      <c r="L88" s="159" t="s">
        <v>98</v>
      </c>
      <c r="M88" s="162" t="s">
        <v>1120</v>
      </c>
      <c r="N88" s="226" t="s">
        <v>1121</v>
      </c>
      <c r="O88" s="120"/>
      <c r="P88" s="167"/>
      <c r="Q88" s="184" t="s">
        <v>48</v>
      </c>
      <c r="R88" s="159"/>
      <c r="S88" s="159" t="s">
        <v>49</v>
      </c>
      <c r="T88" s="159" t="s">
        <v>1122</v>
      </c>
      <c r="U88" s="202" t="s">
        <v>1123</v>
      </c>
      <c r="V88" s="159"/>
      <c r="W88" s="202" t="s">
        <v>1124</v>
      </c>
      <c r="X88" s="159"/>
      <c r="Y88" s="202" t="s">
        <v>53</v>
      </c>
      <c r="Z88" s="202" t="s">
        <v>1123</v>
      </c>
      <c r="AA88" s="202" t="s">
        <v>1125</v>
      </c>
      <c r="AB88" s="202" t="s">
        <v>1126</v>
      </c>
      <c r="AC88" s="275">
        <v>61482.0</v>
      </c>
      <c r="AD88" s="159"/>
      <c r="AE88" s="159"/>
      <c r="AF88" s="159"/>
      <c r="AG88" s="159"/>
      <c r="AH88" s="159"/>
      <c r="AI88" s="202"/>
      <c r="AJ88" s="159"/>
      <c r="AK88" s="159"/>
      <c r="AL88" s="159"/>
      <c r="AM88" s="159" t="s">
        <v>1127</v>
      </c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159"/>
      <c r="BG88" s="159"/>
      <c r="BH88" s="159"/>
      <c r="BI88" s="159"/>
      <c r="BJ88" s="159"/>
      <c r="BK88" s="159"/>
      <c r="BL88" s="159"/>
      <c r="BM88" s="159"/>
      <c r="BN88" s="159"/>
      <c r="BO88" s="159"/>
      <c r="BP88" s="159"/>
      <c r="BQ88" s="159"/>
      <c r="BR88" s="159"/>
      <c r="BS88" s="159"/>
      <c r="BT88" s="159"/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  <c r="CE88" s="159"/>
      <c r="CF88" s="120"/>
      <c r="CG88" s="120"/>
      <c r="CH88" s="120"/>
      <c r="CI88" s="120"/>
      <c r="CJ88" s="120"/>
      <c r="CK88" s="120"/>
      <c r="CL88" s="120"/>
    </row>
    <row r="89" ht="15.75" hidden="1" customHeight="1">
      <c r="A89" s="158">
        <v>83.0</v>
      </c>
      <c r="B89" s="202" t="s">
        <v>1128</v>
      </c>
      <c r="C89" s="274"/>
      <c r="D89" s="159" t="s">
        <v>923</v>
      </c>
      <c r="E89" s="161" t="s">
        <v>1129</v>
      </c>
      <c r="F89" s="162" t="s">
        <v>1130</v>
      </c>
      <c r="G89" s="200"/>
      <c r="H89" s="159" t="s">
        <v>1119</v>
      </c>
      <c r="I89" s="159"/>
      <c r="J89" s="159"/>
      <c r="K89" s="159" t="s">
        <v>44</v>
      </c>
      <c r="L89" s="159" t="s">
        <v>98</v>
      </c>
      <c r="M89" s="162" t="s">
        <v>1131</v>
      </c>
      <c r="N89" s="226" t="s">
        <v>1132</v>
      </c>
      <c r="O89" s="120"/>
      <c r="P89" s="167"/>
      <c r="Q89" s="184" t="s">
        <v>48</v>
      </c>
      <c r="R89" s="159"/>
      <c r="S89" s="159" t="s">
        <v>49</v>
      </c>
      <c r="T89" s="162" t="s">
        <v>1133</v>
      </c>
      <c r="U89" s="202" t="s">
        <v>51</v>
      </c>
      <c r="V89" s="159"/>
      <c r="W89" s="202" t="s">
        <v>1134</v>
      </c>
      <c r="X89" s="159"/>
      <c r="Y89" s="202" t="s">
        <v>53</v>
      </c>
      <c r="Z89" s="202" t="s">
        <v>51</v>
      </c>
      <c r="AA89" s="202" t="s">
        <v>1135</v>
      </c>
      <c r="AB89" s="202" t="s">
        <v>1136</v>
      </c>
      <c r="AC89" s="275">
        <v>60196.0</v>
      </c>
      <c r="AD89" s="159"/>
      <c r="AE89" s="159"/>
      <c r="AF89" s="202" t="s">
        <v>139</v>
      </c>
      <c r="AG89" s="159"/>
      <c r="AH89" s="278" t="s">
        <v>125</v>
      </c>
      <c r="AI89" s="202"/>
      <c r="AJ89" s="159"/>
      <c r="AK89" s="159"/>
      <c r="AL89" s="159"/>
      <c r="AM89" s="159" t="s">
        <v>1137</v>
      </c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159"/>
      <c r="BG89" s="159"/>
      <c r="BH89" s="159"/>
      <c r="BI89" s="159"/>
      <c r="BJ89" s="159"/>
      <c r="BK89" s="159"/>
      <c r="BL89" s="159"/>
      <c r="BM89" s="159"/>
      <c r="BN89" s="159"/>
      <c r="BO89" s="159"/>
      <c r="BP89" s="159"/>
      <c r="BQ89" s="159"/>
      <c r="BR89" s="159"/>
      <c r="BS89" s="159"/>
      <c r="BT89" s="159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  <c r="CE89" s="159"/>
      <c r="CF89" s="120"/>
      <c r="CG89" s="120"/>
      <c r="CH89" s="120"/>
      <c r="CI89" s="120"/>
      <c r="CJ89" s="120"/>
      <c r="CK89" s="120"/>
      <c r="CL89" s="120"/>
    </row>
    <row r="90" ht="15.75" customHeight="1">
      <c r="A90" s="35">
        <v>84.0</v>
      </c>
      <c r="B90" s="36" t="s">
        <v>1138</v>
      </c>
      <c r="C90" s="56" t="s">
        <v>1139</v>
      </c>
      <c r="D90" s="45" t="s">
        <v>91</v>
      </c>
      <c r="E90" s="95" t="s">
        <v>1140</v>
      </c>
      <c r="F90" s="93" t="s">
        <v>1141</v>
      </c>
      <c r="G90" s="225" t="s">
        <v>1142</v>
      </c>
      <c r="H90" s="52" t="s">
        <v>590</v>
      </c>
      <c r="I90" s="279" t="s">
        <v>591</v>
      </c>
      <c r="J90" s="155" t="s">
        <v>97</v>
      </c>
      <c r="K90" s="45" t="s">
        <v>44</v>
      </c>
      <c r="L90" s="45" t="s">
        <v>98</v>
      </c>
      <c r="M90" s="93" t="s">
        <v>1143</v>
      </c>
      <c r="N90" s="40" t="s">
        <v>1144</v>
      </c>
      <c r="P90" s="235"/>
      <c r="Q90" s="45" t="s">
        <v>48</v>
      </c>
      <c r="S90" s="45" t="s">
        <v>49</v>
      </c>
      <c r="T90" s="45" t="s">
        <v>1145</v>
      </c>
      <c r="U90" s="38" t="s">
        <v>533</v>
      </c>
      <c r="W90" s="38" t="s">
        <v>1146</v>
      </c>
      <c r="Y90" s="38" t="s">
        <v>53</v>
      </c>
      <c r="Z90" s="38" t="s">
        <v>51</v>
      </c>
      <c r="AA90" s="38" t="s">
        <v>290</v>
      </c>
      <c r="AB90" s="38" t="s">
        <v>1147</v>
      </c>
      <c r="AC90" s="271">
        <v>60165.0</v>
      </c>
      <c r="AF90" s="50" t="s">
        <v>71</v>
      </c>
      <c r="AH90" s="280" t="s">
        <v>125</v>
      </c>
      <c r="AI90" s="52">
        <v>2.4058033465E10</v>
      </c>
      <c r="AJ90" s="93" t="s">
        <v>1148</v>
      </c>
      <c r="AK90" s="45" t="s">
        <v>108</v>
      </c>
      <c r="AL90" s="45" t="str">
        <f t="shared" ref="AL90:AL92" si="27">DATEDIF(AM90,NOW(),"y")&amp;" Tahun "&amp;DATEDIF(AM90,NOW(),"ym")&amp;" Bulan"</f>
        <v>2 Tahun 5 Bulan</v>
      </c>
      <c r="AM90" s="100">
        <v>45224.0</v>
      </c>
      <c r="AN90" s="45" t="s">
        <v>990</v>
      </c>
      <c r="AO90" s="45" t="s">
        <v>991</v>
      </c>
      <c r="AP90" s="155" t="s">
        <v>904</v>
      </c>
      <c r="AW90" s="45" t="str">
        <f t="shared" ref="AW90:AW92" si="28">DATEDIF(AM90,$AW$2,"Y") &amp; " Tahun " &amp; DATEDIF(AM90,$AW$2,"YM") &amp; " Bulan"</f>
        <v>2 Tahun 4 Bulan</v>
      </c>
    </row>
    <row r="91" ht="15.75" hidden="1" customHeight="1">
      <c r="A91" s="158">
        <v>85.0</v>
      </c>
      <c r="B91" s="202" t="s">
        <v>1149</v>
      </c>
      <c r="C91" s="274" t="s">
        <v>636</v>
      </c>
      <c r="D91" s="159" t="s">
        <v>923</v>
      </c>
      <c r="E91" s="161" t="s">
        <v>1150</v>
      </c>
      <c r="F91" s="162" t="s">
        <v>1151</v>
      </c>
      <c r="G91" s="200" t="s">
        <v>1152</v>
      </c>
      <c r="H91" s="159" t="s">
        <v>1153</v>
      </c>
      <c r="I91" s="159" t="s">
        <v>248</v>
      </c>
      <c r="J91" s="159" t="s">
        <v>503</v>
      </c>
      <c r="K91" s="159" t="s">
        <v>44</v>
      </c>
      <c r="L91" s="159" t="s">
        <v>74</v>
      </c>
      <c r="M91" s="162" t="s">
        <v>1154</v>
      </c>
      <c r="N91" s="226" t="s">
        <v>1155</v>
      </c>
      <c r="O91" s="120"/>
      <c r="P91" s="167"/>
      <c r="Q91" s="184" t="s">
        <v>521</v>
      </c>
      <c r="R91" s="159"/>
      <c r="S91" s="159" t="s">
        <v>49</v>
      </c>
      <c r="T91" s="162" t="s">
        <v>1156</v>
      </c>
      <c r="U91" s="202" t="s">
        <v>51</v>
      </c>
      <c r="V91" s="159"/>
      <c r="W91" s="202" t="s">
        <v>1157</v>
      </c>
      <c r="X91" s="159"/>
      <c r="Y91" s="202" t="s">
        <v>798</v>
      </c>
      <c r="Z91" s="202" t="s">
        <v>64</v>
      </c>
      <c r="AA91" s="202" t="s">
        <v>64</v>
      </c>
      <c r="AB91" s="202" t="s">
        <v>1158</v>
      </c>
      <c r="AC91" s="275">
        <v>90141.0</v>
      </c>
      <c r="AD91" s="159"/>
      <c r="AE91" s="159"/>
      <c r="AF91" s="159" t="s">
        <v>71</v>
      </c>
      <c r="AG91" s="159"/>
      <c r="AH91" s="159" t="s">
        <v>125</v>
      </c>
      <c r="AI91" s="202">
        <v>2.4045194123E10</v>
      </c>
      <c r="AJ91" s="162" t="s">
        <v>1159</v>
      </c>
      <c r="AK91" s="159" t="s">
        <v>108</v>
      </c>
      <c r="AL91" s="159" t="str">
        <f t="shared" si="27"/>
        <v>2 Tahun 5 Bulan</v>
      </c>
      <c r="AM91" s="159">
        <v>45240.0</v>
      </c>
      <c r="AN91" s="159" t="s">
        <v>990</v>
      </c>
      <c r="AO91" s="159" t="s">
        <v>1160</v>
      </c>
      <c r="AP91" s="159" t="s">
        <v>1161</v>
      </c>
      <c r="AQ91" s="159" t="s">
        <v>1162</v>
      </c>
      <c r="AR91" s="159" t="s">
        <v>1163</v>
      </c>
      <c r="AS91" s="159"/>
      <c r="AT91" s="159"/>
      <c r="AU91" s="159"/>
      <c r="AV91" s="159"/>
      <c r="AW91" s="159" t="str">
        <f t="shared" si="28"/>
        <v>2 Tahun 4 Bulan</v>
      </c>
      <c r="AX91" s="159"/>
      <c r="AY91" s="159"/>
      <c r="AZ91" s="159"/>
      <c r="BA91" s="159"/>
      <c r="BB91" s="159"/>
      <c r="BC91" s="159"/>
      <c r="BD91" s="159"/>
      <c r="BE91" s="159"/>
      <c r="BF91" s="159"/>
      <c r="BG91" s="159"/>
      <c r="BH91" s="159"/>
      <c r="BI91" s="159"/>
      <c r="BJ91" s="15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159"/>
      <c r="BV91" s="159"/>
      <c r="BW91" s="159"/>
      <c r="BX91" s="159"/>
      <c r="BY91" s="159"/>
      <c r="BZ91" s="159"/>
      <c r="CA91" s="159"/>
      <c r="CB91" s="159"/>
      <c r="CC91" s="159"/>
      <c r="CD91" s="159"/>
      <c r="CE91" s="159"/>
      <c r="CF91" s="120"/>
      <c r="CG91" s="120"/>
      <c r="CH91" s="120"/>
      <c r="CI91" s="120"/>
      <c r="CJ91" s="120"/>
      <c r="CK91" s="120"/>
      <c r="CL91" s="120"/>
    </row>
    <row r="92" ht="15.75" customHeight="1">
      <c r="A92" s="35">
        <v>86.0</v>
      </c>
      <c r="B92" s="36" t="s">
        <v>1164</v>
      </c>
      <c r="C92" s="56" t="s">
        <v>1139</v>
      </c>
      <c r="D92" s="45" t="s">
        <v>91</v>
      </c>
      <c r="E92" s="95" t="s">
        <v>1165</v>
      </c>
      <c r="F92" s="93" t="s">
        <v>1166</v>
      </c>
      <c r="G92" s="225" t="s">
        <v>1167</v>
      </c>
      <c r="H92" s="173" t="s">
        <v>909</v>
      </c>
      <c r="I92" s="234" t="s">
        <v>309</v>
      </c>
      <c r="J92" s="155" t="s">
        <v>97</v>
      </c>
      <c r="K92" s="45" t="s">
        <v>44</v>
      </c>
      <c r="L92" s="45" t="s">
        <v>98</v>
      </c>
      <c r="M92" s="93" t="s">
        <v>1168</v>
      </c>
      <c r="N92" s="40" t="s">
        <v>1169</v>
      </c>
      <c r="P92" s="235"/>
      <c r="Q92" s="125" t="s">
        <v>521</v>
      </c>
      <c r="S92" s="45" t="s">
        <v>69</v>
      </c>
      <c r="T92" s="281" t="s">
        <v>1170</v>
      </c>
      <c r="U92" s="38" t="s">
        <v>51</v>
      </c>
      <c r="W92" s="38" t="s">
        <v>1171</v>
      </c>
      <c r="Y92" s="45" t="s">
        <v>53</v>
      </c>
      <c r="Z92" s="45" t="s">
        <v>51</v>
      </c>
      <c r="AA92" s="38" t="s">
        <v>104</v>
      </c>
      <c r="AB92" s="38" t="s">
        <v>105</v>
      </c>
      <c r="AC92" s="271">
        <v>60128.0</v>
      </c>
      <c r="AF92" s="135" t="s">
        <v>71</v>
      </c>
      <c r="AH92" s="93" t="s">
        <v>1172</v>
      </c>
      <c r="AI92" s="52">
        <v>2.4069769081E10</v>
      </c>
      <c r="AJ92" s="93" t="s">
        <v>1173</v>
      </c>
      <c r="AK92" s="45" t="s">
        <v>108</v>
      </c>
      <c r="AL92" s="45" t="str">
        <f t="shared" si="27"/>
        <v>2 Tahun 4 Bulan</v>
      </c>
      <c r="AM92" s="282" t="s">
        <v>1174</v>
      </c>
      <c r="AN92" s="45" t="s">
        <v>1048</v>
      </c>
      <c r="AO92" s="45" t="s">
        <v>921</v>
      </c>
      <c r="AP92" s="155" t="s">
        <v>904</v>
      </c>
      <c r="AW92" s="45" t="str">
        <f t="shared" si="28"/>
        <v>2 Tahun 3 Bulan</v>
      </c>
    </row>
    <row r="93" ht="15.75" hidden="1" customHeight="1">
      <c r="A93" s="70">
        <v>87.0</v>
      </c>
      <c r="B93" s="115" t="s">
        <v>1175</v>
      </c>
      <c r="C93" s="228"/>
      <c r="D93" s="73" t="s">
        <v>923</v>
      </c>
      <c r="E93" s="74" t="s">
        <v>1176</v>
      </c>
      <c r="F93" s="75" t="s">
        <v>1177</v>
      </c>
      <c r="G93" s="76"/>
      <c r="H93" s="115" t="s">
        <v>1178</v>
      </c>
      <c r="I93" s="115"/>
      <c r="J93" s="73"/>
      <c r="K93" s="73" t="s">
        <v>44</v>
      </c>
      <c r="L93" s="73" t="s">
        <v>98</v>
      </c>
      <c r="M93" s="75" t="s">
        <v>1179</v>
      </c>
      <c r="N93" s="113" t="s">
        <v>1180</v>
      </c>
      <c r="O93" s="73"/>
      <c r="P93" s="81"/>
      <c r="Q93" s="73" t="s">
        <v>87</v>
      </c>
      <c r="R93" s="73"/>
      <c r="S93" s="73" t="s">
        <v>49</v>
      </c>
      <c r="T93" s="75" t="s">
        <v>1181</v>
      </c>
      <c r="U93" s="115" t="s">
        <v>432</v>
      </c>
      <c r="V93" s="73"/>
      <c r="W93" s="115" t="s">
        <v>1182</v>
      </c>
      <c r="X93" s="73"/>
      <c r="Y93" s="115" t="s">
        <v>53</v>
      </c>
      <c r="Z93" s="115" t="s">
        <v>432</v>
      </c>
      <c r="AA93" s="115" t="s">
        <v>177</v>
      </c>
      <c r="AB93" s="115" t="s">
        <v>1183</v>
      </c>
      <c r="AC93" s="283">
        <v>64475.0</v>
      </c>
      <c r="AD93" s="73"/>
      <c r="AE93" s="73"/>
      <c r="AF93" s="115" t="s">
        <v>139</v>
      </c>
      <c r="AG93" s="73"/>
      <c r="AH93" s="284" t="s">
        <v>125</v>
      </c>
      <c r="AI93" s="115"/>
      <c r="AJ93" s="73"/>
      <c r="AK93" s="73"/>
      <c r="AL93" s="73"/>
      <c r="AM93" s="230" t="s">
        <v>1174</v>
      </c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</row>
    <row r="94" ht="15.75" hidden="1" customHeight="1">
      <c r="A94" s="158">
        <v>88.0</v>
      </c>
      <c r="B94" s="202" t="s">
        <v>1184</v>
      </c>
      <c r="C94" s="274"/>
      <c r="D94" s="159" t="s">
        <v>923</v>
      </c>
      <c r="E94" s="266" t="s">
        <v>1185</v>
      </c>
      <c r="F94" s="162" t="s">
        <v>1186</v>
      </c>
      <c r="G94" s="200" t="s">
        <v>1187</v>
      </c>
      <c r="H94" s="159" t="s">
        <v>1188</v>
      </c>
      <c r="I94" s="159"/>
      <c r="J94" s="159"/>
      <c r="K94" s="159" t="s">
        <v>44</v>
      </c>
      <c r="L94" s="159" t="s">
        <v>98</v>
      </c>
      <c r="M94" s="162" t="s">
        <v>1189</v>
      </c>
      <c r="N94" s="226" t="s">
        <v>1190</v>
      </c>
      <c r="O94" s="120"/>
      <c r="P94" s="167"/>
      <c r="Q94" s="184" t="s">
        <v>521</v>
      </c>
      <c r="R94" s="159"/>
      <c r="S94" s="159" t="s">
        <v>49</v>
      </c>
      <c r="T94" s="162" t="s">
        <v>1191</v>
      </c>
      <c r="U94" s="202" t="s">
        <v>51</v>
      </c>
      <c r="V94" s="159"/>
      <c r="W94" s="202" t="s">
        <v>1192</v>
      </c>
      <c r="X94" s="159"/>
      <c r="Y94" s="202" t="s">
        <v>53</v>
      </c>
      <c r="Z94" s="202" t="s">
        <v>51</v>
      </c>
      <c r="AA94" s="202" t="s">
        <v>104</v>
      </c>
      <c r="AB94" s="202" t="s">
        <v>1193</v>
      </c>
      <c r="AC94" s="275">
        <v>60126.0</v>
      </c>
      <c r="AD94" s="159"/>
      <c r="AE94" s="159"/>
      <c r="AF94" s="159"/>
      <c r="AG94" s="159"/>
      <c r="AH94" s="159"/>
      <c r="AI94" s="202"/>
      <c r="AJ94" s="159"/>
      <c r="AK94" s="159"/>
      <c r="AL94" s="159"/>
      <c r="AM94" s="162" t="s">
        <v>1194</v>
      </c>
      <c r="AN94" s="159" t="s">
        <v>1048</v>
      </c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  <c r="CE94" s="159"/>
      <c r="CF94" s="120"/>
      <c r="CG94" s="120"/>
      <c r="CH94" s="120"/>
      <c r="CI94" s="120"/>
      <c r="CJ94" s="120"/>
      <c r="CK94" s="120"/>
      <c r="CL94" s="120"/>
    </row>
    <row r="95" ht="15.75" customHeight="1">
      <c r="A95" s="35">
        <v>89.0</v>
      </c>
      <c r="B95" s="259" t="s">
        <v>1195</v>
      </c>
      <c r="C95" s="56" t="s">
        <v>1139</v>
      </c>
      <c r="D95" s="45" t="s">
        <v>923</v>
      </c>
      <c r="E95" s="95" t="s">
        <v>1196</v>
      </c>
      <c r="F95" s="93" t="s">
        <v>1197</v>
      </c>
      <c r="G95" s="225" t="s">
        <v>1198</v>
      </c>
      <c r="H95" s="95" t="s">
        <v>1199</v>
      </c>
      <c r="I95" s="279" t="s">
        <v>309</v>
      </c>
      <c r="J95" s="155" t="s">
        <v>115</v>
      </c>
      <c r="K95" s="45" t="s">
        <v>44</v>
      </c>
      <c r="L95" s="45" t="s">
        <v>98</v>
      </c>
      <c r="M95" s="93" t="s">
        <v>1200</v>
      </c>
      <c r="N95" s="40" t="s">
        <v>1201</v>
      </c>
      <c r="P95" s="235"/>
      <c r="Q95" s="45" t="s">
        <v>521</v>
      </c>
      <c r="S95" s="45" t="s">
        <v>49</v>
      </c>
      <c r="T95" s="93" t="s">
        <v>1202</v>
      </c>
      <c r="U95" s="38" t="s">
        <v>1203</v>
      </c>
      <c r="W95" s="38" t="s">
        <v>1204</v>
      </c>
      <c r="Y95" s="38" t="s">
        <v>53</v>
      </c>
      <c r="Z95" s="38" t="s">
        <v>51</v>
      </c>
      <c r="AA95" s="38" t="s">
        <v>253</v>
      </c>
      <c r="AB95" s="38" t="s">
        <v>399</v>
      </c>
      <c r="AC95" s="271">
        <v>60176.0</v>
      </c>
      <c r="AF95" s="50" t="s">
        <v>71</v>
      </c>
      <c r="AH95" s="93" t="s">
        <v>1205</v>
      </c>
      <c r="AI95" s="52">
        <v>2.4113992887E10</v>
      </c>
      <c r="AJ95" s="285" t="s">
        <v>1206</v>
      </c>
      <c r="AK95" s="45" t="s">
        <v>108</v>
      </c>
      <c r="AL95" s="45" t="str">
        <f>DATEDIF(AM95,NOW(),"y")&amp;" Tahun "&amp;DATEDIF(AM95,NOW(),"ym")&amp;" Bulan"</f>
        <v>2 Tahun 4 Bulan</v>
      </c>
      <c r="AM95" s="100">
        <v>45278.0</v>
      </c>
      <c r="AN95" s="45" t="s">
        <v>1207</v>
      </c>
      <c r="AO95" s="286" t="s">
        <v>1049</v>
      </c>
      <c r="AP95" s="286" t="s">
        <v>1101</v>
      </c>
      <c r="AQ95" s="253">
        <v>45775.0</v>
      </c>
      <c r="AR95" s="98" t="s">
        <v>1208</v>
      </c>
      <c r="AS95" s="252" t="s">
        <v>1209</v>
      </c>
      <c r="AT95" s="255">
        <v>46140.0</v>
      </c>
      <c r="AW95" s="45" t="str">
        <f>DATEDIF(AM95,$AW$2,"Y") &amp; " Tahun " &amp; DATEDIF(AM95,$AW$2,"YM") &amp; " Bulan"</f>
        <v>2 Tahun 3 Bulan</v>
      </c>
    </row>
    <row r="96" ht="15.75" hidden="1" customHeight="1">
      <c r="A96" s="287">
        <v>90.0</v>
      </c>
      <c r="B96" s="115" t="s">
        <v>1210</v>
      </c>
      <c r="C96" s="228"/>
      <c r="D96" s="73" t="s">
        <v>923</v>
      </c>
      <c r="E96" s="77" t="s">
        <v>1211</v>
      </c>
      <c r="F96" s="75" t="s">
        <v>1212</v>
      </c>
      <c r="G96" s="76" t="s">
        <v>1213</v>
      </c>
      <c r="H96" s="115" t="s">
        <v>1094</v>
      </c>
      <c r="I96" s="130" t="s">
        <v>248</v>
      </c>
      <c r="J96" s="73"/>
      <c r="K96" s="73" t="s">
        <v>44</v>
      </c>
      <c r="L96" s="73" t="s">
        <v>98</v>
      </c>
      <c r="M96" s="75" t="s">
        <v>1214</v>
      </c>
      <c r="N96" s="113" t="s">
        <v>1215</v>
      </c>
      <c r="O96" s="73"/>
      <c r="P96" s="81"/>
      <c r="Q96" s="73" t="s">
        <v>521</v>
      </c>
      <c r="R96" s="73"/>
      <c r="S96" s="73" t="s">
        <v>69</v>
      </c>
      <c r="T96" s="75" t="s">
        <v>1216</v>
      </c>
      <c r="U96" s="115" t="s">
        <v>51</v>
      </c>
      <c r="V96" s="73"/>
      <c r="W96" s="115" t="s">
        <v>1217</v>
      </c>
      <c r="X96" s="73"/>
      <c r="Y96" s="115" t="s">
        <v>53</v>
      </c>
      <c r="Z96" s="115" t="s">
        <v>51</v>
      </c>
      <c r="AA96" s="115" t="s">
        <v>54</v>
      </c>
      <c r="AB96" s="115" t="s">
        <v>54</v>
      </c>
      <c r="AC96" s="283">
        <v>60136.0</v>
      </c>
      <c r="AD96" s="73"/>
      <c r="AE96" s="73"/>
      <c r="AF96" s="115" t="s">
        <v>71</v>
      </c>
      <c r="AG96" s="73"/>
      <c r="AH96" s="284" t="s">
        <v>125</v>
      </c>
      <c r="AI96" s="85">
        <v>2.4084472257E10</v>
      </c>
      <c r="AJ96" s="75" t="s">
        <v>1218</v>
      </c>
      <c r="AK96" s="73" t="s">
        <v>108</v>
      </c>
      <c r="AL96" s="73"/>
      <c r="AM96" s="75" t="s">
        <v>1219</v>
      </c>
      <c r="AN96" s="73" t="s">
        <v>1207</v>
      </c>
      <c r="AO96" s="230" t="s">
        <v>1220</v>
      </c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</row>
    <row r="97" ht="15.75" customHeight="1">
      <c r="A97" s="288">
        <v>91.0</v>
      </c>
      <c r="B97" s="36" t="s">
        <v>1221</v>
      </c>
      <c r="C97" s="56" t="s">
        <v>1139</v>
      </c>
      <c r="D97" s="57" t="s">
        <v>91</v>
      </c>
      <c r="E97" s="61" t="s">
        <v>1222</v>
      </c>
      <c r="F97" s="88" t="s">
        <v>1223</v>
      </c>
      <c r="G97" s="57" t="s">
        <v>1224</v>
      </c>
      <c r="H97" s="68" t="s">
        <v>113</v>
      </c>
      <c r="I97" s="289" t="s">
        <v>114</v>
      </c>
      <c r="J97" s="67" t="s">
        <v>115</v>
      </c>
      <c r="K97" s="57" t="s">
        <v>44</v>
      </c>
      <c r="L97" s="57" t="s">
        <v>98</v>
      </c>
      <c r="M97" s="59" t="s">
        <v>1225</v>
      </c>
      <c r="N97" s="88" t="s">
        <v>1226</v>
      </c>
      <c r="O97" s="57"/>
      <c r="P97" s="122"/>
      <c r="Q97" s="57" t="s">
        <v>87</v>
      </c>
      <c r="R97" s="57"/>
      <c r="S97" s="57" t="s">
        <v>49</v>
      </c>
      <c r="T97" s="59" t="s">
        <v>1227</v>
      </c>
      <c r="U97" s="36" t="s">
        <v>135</v>
      </c>
      <c r="V97" s="57"/>
      <c r="W97" s="36" t="s">
        <v>1228</v>
      </c>
      <c r="X97" s="57"/>
      <c r="Y97" s="36" t="s">
        <v>53</v>
      </c>
      <c r="Z97" s="36" t="s">
        <v>135</v>
      </c>
      <c r="AA97" s="36" t="s">
        <v>1229</v>
      </c>
      <c r="AB97" s="36" t="s">
        <v>1230</v>
      </c>
      <c r="AC97" s="261">
        <v>63154.0</v>
      </c>
      <c r="AD97" s="57"/>
      <c r="AE97" s="57"/>
      <c r="AF97" s="127" t="s">
        <v>56</v>
      </c>
      <c r="AG97" s="57"/>
      <c r="AH97" s="55" t="s">
        <v>125</v>
      </c>
      <c r="AI97" s="68">
        <v>2.408447224E10</v>
      </c>
      <c r="AJ97" s="290" t="s">
        <v>1231</v>
      </c>
      <c r="AK97" s="57" t="s">
        <v>108</v>
      </c>
      <c r="AL97" s="57" t="str">
        <f>DATEDIF(AM97,NOW(),"y")&amp;" Tahun "&amp;DATEDIF(AM97,NOW(),"ym")&amp;" Bulan"</f>
        <v>2 Tahun 3 Bulan</v>
      </c>
      <c r="AM97" s="91">
        <v>45302.0</v>
      </c>
      <c r="AN97" s="57" t="s">
        <v>1207</v>
      </c>
      <c r="AO97" s="291" t="s">
        <v>1220</v>
      </c>
      <c r="AP97" s="292" t="s">
        <v>1232</v>
      </c>
      <c r="AQ97" s="67" t="s">
        <v>904</v>
      </c>
      <c r="AR97" s="57"/>
      <c r="AS97" s="57"/>
      <c r="AT97" s="57"/>
      <c r="AU97" s="57"/>
      <c r="AV97" s="57"/>
      <c r="AW97" s="45" t="str">
        <f>DATEDIF(AM97,$AW$2,"Y") &amp; " Tahun " &amp; DATEDIF(AM97,$AW$2,"YM") &amp; " Bulan"</f>
        <v>2 Tahun 2 Bulan</v>
      </c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</row>
    <row r="98" ht="15.75" hidden="1" customHeight="1">
      <c r="A98" s="293">
        <v>92.0</v>
      </c>
      <c r="B98" s="202" t="s">
        <v>1233</v>
      </c>
      <c r="C98" s="274"/>
      <c r="D98" s="159" t="s">
        <v>923</v>
      </c>
      <c r="E98" s="266" t="s">
        <v>1234</v>
      </c>
      <c r="F98" s="162" t="s">
        <v>1235</v>
      </c>
      <c r="G98" s="159" t="s">
        <v>1236</v>
      </c>
      <c r="H98" s="202" t="s">
        <v>1237</v>
      </c>
      <c r="I98" s="85" t="s">
        <v>614</v>
      </c>
      <c r="J98" s="159"/>
      <c r="K98" s="159" t="s">
        <v>44</v>
      </c>
      <c r="L98" s="159" t="s">
        <v>98</v>
      </c>
      <c r="M98" s="162" t="s">
        <v>1238</v>
      </c>
      <c r="N98" s="226" t="s">
        <v>1239</v>
      </c>
      <c r="O98" s="120"/>
      <c r="P98" s="167"/>
      <c r="Q98" s="184" t="s">
        <v>521</v>
      </c>
      <c r="R98" s="159"/>
      <c r="S98" s="159" t="s">
        <v>49</v>
      </c>
      <c r="T98" s="159" t="s">
        <v>1240</v>
      </c>
      <c r="U98" s="202" t="s">
        <v>64</v>
      </c>
      <c r="V98" s="159"/>
      <c r="W98" s="202" t="s">
        <v>1241</v>
      </c>
      <c r="X98" s="159"/>
      <c r="Y98" s="202" t="s">
        <v>798</v>
      </c>
      <c r="Z98" s="202" t="s">
        <v>64</v>
      </c>
      <c r="AA98" s="202" t="s">
        <v>1242</v>
      </c>
      <c r="AB98" s="202" t="s">
        <v>1243</v>
      </c>
      <c r="AC98" s="275">
        <v>90222.0</v>
      </c>
      <c r="AD98" s="159"/>
      <c r="AE98" s="159"/>
      <c r="AF98" s="202" t="s">
        <v>71</v>
      </c>
      <c r="AG98" s="159"/>
      <c r="AH98" s="162" t="s">
        <v>1244</v>
      </c>
      <c r="AI98" s="202"/>
      <c r="AJ98" s="159"/>
      <c r="AK98" s="159"/>
      <c r="AL98" s="159"/>
      <c r="AM98" s="159" t="s">
        <v>1245</v>
      </c>
      <c r="AN98" s="294" t="s">
        <v>891</v>
      </c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159"/>
      <c r="BG98" s="159"/>
      <c r="BH98" s="159"/>
      <c r="BI98" s="159"/>
      <c r="BJ98" s="159"/>
      <c r="BK98" s="159"/>
      <c r="BL98" s="159"/>
      <c r="BM98" s="159"/>
      <c r="BN98" s="159"/>
      <c r="BO98" s="159"/>
      <c r="BP98" s="159"/>
      <c r="BQ98" s="159"/>
      <c r="BR98" s="159"/>
      <c r="BS98" s="159"/>
      <c r="BT98" s="159"/>
      <c r="BU98" s="159"/>
      <c r="BV98" s="159"/>
      <c r="BW98" s="159"/>
      <c r="BX98" s="159"/>
      <c r="BY98" s="159"/>
      <c r="BZ98" s="159"/>
      <c r="CA98" s="159"/>
      <c r="CB98" s="159"/>
      <c r="CC98" s="159"/>
      <c r="CD98" s="159"/>
      <c r="CE98" s="159"/>
      <c r="CF98" s="120"/>
      <c r="CG98" s="120"/>
      <c r="CH98" s="120"/>
      <c r="CI98" s="120"/>
      <c r="CJ98" s="120"/>
      <c r="CK98" s="120"/>
      <c r="CL98" s="120"/>
    </row>
    <row r="99" ht="15.75" hidden="1" customHeight="1">
      <c r="A99" s="293">
        <v>93.0</v>
      </c>
      <c r="B99" s="202" t="s">
        <v>1246</v>
      </c>
      <c r="C99" s="274"/>
      <c r="D99" s="159" t="s">
        <v>923</v>
      </c>
      <c r="E99" s="266" t="s">
        <v>1247</v>
      </c>
      <c r="F99" s="162" t="s">
        <v>1248</v>
      </c>
      <c r="G99" s="159" t="s">
        <v>1249</v>
      </c>
      <c r="H99" s="202" t="s">
        <v>1188</v>
      </c>
      <c r="I99" s="171" t="s">
        <v>591</v>
      </c>
      <c r="J99" s="159"/>
      <c r="K99" s="159" t="s">
        <v>44</v>
      </c>
      <c r="L99" s="159" t="s">
        <v>98</v>
      </c>
      <c r="M99" s="162" t="s">
        <v>1250</v>
      </c>
      <c r="N99" s="226" t="s">
        <v>1251</v>
      </c>
      <c r="O99" s="120"/>
      <c r="P99" s="167"/>
      <c r="Q99" s="184" t="s">
        <v>521</v>
      </c>
      <c r="R99" s="159"/>
      <c r="S99" s="159" t="s">
        <v>49</v>
      </c>
      <c r="T99" s="162" t="s">
        <v>1252</v>
      </c>
      <c r="U99" s="202" t="s">
        <v>51</v>
      </c>
      <c r="V99" s="159"/>
      <c r="W99" s="202" t="s">
        <v>1253</v>
      </c>
      <c r="X99" s="159"/>
      <c r="Y99" s="202" t="s">
        <v>53</v>
      </c>
      <c r="Z99" s="202" t="s">
        <v>51</v>
      </c>
      <c r="AA99" s="202" t="s">
        <v>1254</v>
      </c>
      <c r="AB99" s="202" t="s">
        <v>348</v>
      </c>
      <c r="AC99" s="275">
        <v>60296.0</v>
      </c>
      <c r="AD99" s="159"/>
      <c r="AE99" s="159"/>
      <c r="AF99" s="202" t="s">
        <v>596</v>
      </c>
      <c r="AG99" s="159"/>
      <c r="AH99" s="162" t="s">
        <v>1255</v>
      </c>
      <c r="AI99" s="202"/>
      <c r="AJ99" s="159"/>
      <c r="AK99" s="159"/>
      <c r="AL99" s="159"/>
      <c r="AM99" s="159" t="s">
        <v>1256</v>
      </c>
      <c r="AN99" s="294" t="s">
        <v>891</v>
      </c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159"/>
      <c r="BG99" s="159"/>
      <c r="BH99" s="159"/>
      <c r="BI99" s="159"/>
      <c r="BJ99" s="159"/>
      <c r="BK99" s="159"/>
      <c r="BL99" s="159"/>
      <c r="BM99" s="159"/>
      <c r="BN99" s="159"/>
      <c r="BO99" s="159"/>
      <c r="BP99" s="159"/>
      <c r="BQ99" s="159"/>
      <c r="BR99" s="159"/>
      <c r="BS99" s="159"/>
      <c r="BT99" s="159"/>
      <c r="BU99" s="159"/>
      <c r="BV99" s="159"/>
      <c r="BW99" s="159"/>
      <c r="BX99" s="159"/>
      <c r="BY99" s="159"/>
      <c r="BZ99" s="159"/>
      <c r="CA99" s="159"/>
      <c r="CB99" s="159"/>
      <c r="CC99" s="159"/>
      <c r="CD99" s="159"/>
      <c r="CE99" s="159"/>
      <c r="CF99" s="120"/>
      <c r="CG99" s="120"/>
      <c r="CH99" s="120"/>
      <c r="CI99" s="120"/>
      <c r="CJ99" s="120"/>
      <c r="CK99" s="120"/>
      <c r="CL99" s="120"/>
    </row>
    <row r="100" ht="15.75" hidden="1" customHeight="1">
      <c r="A100" s="293">
        <v>94.0</v>
      </c>
      <c r="B100" s="115" t="s">
        <v>1257</v>
      </c>
      <c r="C100" s="228"/>
      <c r="D100" s="73" t="s">
        <v>923</v>
      </c>
      <c r="E100" s="77" t="s">
        <v>1258</v>
      </c>
      <c r="F100" s="75" t="s">
        <v>1259</v>
      </c>
      <c r="G100" s="76" t="s">
        <v>1260</v>
      </c>
      <c r="H100" s="85" t="s">
        <v>1261</v>
      </c>
      <c r="I100" s="85" t="s">
        <v>309</v>
      </c>
      <c r="J100" s="73"/>
      <c r="K100" s="73" t="s">
        <v>44</v>
      </c>
      <c r="L100" s="73" t="s">
        <v>98</v>
      </c>
      <c r="M100" s="75" t="s">
        <v>1262</v>
      </c>
      <c r="N100" s="113" t="s">
        <v>1263</v>
      </c>
      <c r="O100" s="73"/>
      <c r="P100" s="81"/>
      <c r="Q100" s="73" t="s">
        <v>521</v>
      </c>
      <c r="R100" s="73"/>
      <c r="S100" s="73" t="s">
        <v>69</v>
      </c>
      <c r="T100" s="73" t="s">
        <v>1264</v>
      </c>
      <c r="U100" s="115" t="s">
        <v>1265</v>
      </c>
      <c r="V100" s="73"/>
      <c r="W100" s="115" t="s">
        <v>1265</v>
      </c>
      <c r="X100" s="73"/>
      <c r="Y100" s="115" t="s">
        <v>798</v>
      </c>
      <c r="Z100" s="115" t="s">
        <v>1266</v>
      </c>
      <c r="AA100" s="115" t="s">
        <v>1267</v>
      </c>
      <c r="AB100" s="115" t="s">
        <v>1265</v>
      </c>
      <c r="AC100" s="283">
        <v>91752.0</v>
      </c>
      <c r="AD100" s="73"/>
      <c r="AE100" s="73"/>
      <c r="AF100" s="115" t="s">
        <v>71</v>
      </c>
      <c r="AG100" s="73"/>
      <c r="AH100" s="75" t="s">
        <v>1268</v>
      </c>
      <c r="AI100" s="85">
        <v>2.4099311672E10</v>
      </c>
      <c r="AJ100" s="75" t="s">
        <v>1269</v>
      </c>
      <c r="AK100" s="73" t="s">
        <v>108</v>
      </c>
      <c r="AL100" s="73"/>
      <c r="AM100" s="73" t="s">
        <v>1270</v>
      </c>
      <c r="AN100" s="230" t="s">
        <v>1049</v>
      </c>
      <c r="AO100" s="230" t="s">
        <v>1101</v>
      </c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</row>
    <row r="101" ht="15.75" hidden="1" customHeight="1">
      <c r="A101" s="287">
        <v>95.0</v>
      </c>
      <c r="B101" s="115" t="s">
        <v>1271</v>
      </c>
      <c r="C101" s="228"/>
      <c r="D101" s="73" t="s">
        <v>923</v>
      </c>
      <c r="E101" s="77" t="s">
        <v>1272</v>
      </c>
      <c r="F101" s="75" t="s">
        <v>1273</v>
      </c>
      <c r="G101" s="73" t="s">
        <v>1274</v>
      </c>
      <c r="H101" s="115" t="s">
        <v>1094</v>
      </c>
      <c r="I101" s="85" t="s">
        <v>248</v>
      </c>
      <c r="J101" s="73"/>
      <c r="K101" s="73" t="s">
        <v>44</v>
      </c>
      <c r="L101" s="73" t="s">
        <v>98</v>
      </c>
      <c r="M101" s="75" t="s">
        <v>1275</v>
      </c>
      <c r="N101" s="113" t="s">
        <v>1276</v>
      </c>
      <c r="O101" s="73"/>
      <c r="P101" s="81"/>
      <c r="Q101" s="73" t="s">
        <v>521</v>
      </c>
      <c r="R101" s="73"/>
      <c r="S101" s="73" t="s">
        <v>49</v>
      </c>
      <c r="T101" s="75" t="s">
        <v>1277</v>
      </c>
      <c r="U101" s="115" t="s">
        <v>163</v>
      </c>
      <c r="V101" s="73"/>
      <c r="W101" s="115" t="s">
        <v>1278</v>
      </c>
      <c r="X101" s="73"/>
      <c r="Y101" s="115" t="s">
        <v>53</v>
      </c>
      <c r="Z101" s="115" t="s">
        <v>163</v>
      </c>
      <c r="AA101" s="115" t="s">
        <v>1279</v>
      </c>
      <c r="AB101" s="115" t="s">
        <v>1280</v>
      </c>
      <c r="AC101" s="283">
        <v>61261.0</v>
      </c>
      <c r="AD101" s="73"/>
      <c r="AE101" s="73"/>
      <c r="AF101" s="115" t="s">
        <v>71</v>
      </c>
      <c r="AG101" s="73"/>
      <c r="AH101" s="75" t="s">
        <v>1281</v>
      </c>
      <c r="AI101" s="85">
        <v>2.409930994E10</v>
      </c>
      <c r="AJ101" s="75" t="s">
        <v>1282</v>
      </c>
      <c r="AK101" s="73" t="s">
        <v>108</v>
      </c>
      <c r="AL101" s="73"/>
      <c r="AM101" s="73" t="s">
        <v>1270</v>
      </c>
      <c r="AN101" s="230" t="s">
        <v>1049</v>
      </c>
      <c r="AO101" s="230" t="s">
        <v>1077</v>
      </c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</row>
    <row r="102" ht="15.75" hidden="1" customHeight="1">
      <c r="A102" s="287">
        <v>96.0</v>
      </c>
      <c r="B102" s="115" t="s">
        <v>1283</v>
      </c>
      <c r="C102" s="295" t="s">
        <v>1139</v>
      </c>
      <c r="D102" s="73" t="s">
        <v>923</v>
      </c>
      <c r="E102" s="77" t="s">
        <v>1284</v>
      </c>
      <c r="F102" s="75" t="s">
        <v>1285</v>
      </c>
      <c r="G102" s="76" t="s">
        <v>1286</v>
      </c>
      <c r="H102" s="115" t="s">
        <v>1188</v>
      </c>
      <c r="I102" s="85" t="s">
        <v>591</v>
      </c>
      <c r="J102" s="73"/>
      <c r="K102" s="73" t="s">
        <v>44</v>
      </c>
      <c r="L102" s="73" t="s">
        <v>98</v>
      </c>
      <c r="M102" s="75" t="s">
        <v>1287</v>
      </c>
      <c r="N102" s="113" t="s">
        <v>1288</v>
      </c>
      <c r="O102" s="73"/>
      <c r="P102" s="81"/>
      <c r="Q102" s="73" t="s">
        <v>521</v>
      </c>
      <c r="R102" s="73"/>
      <c r="S102" s="73" t="s">
        <v>49</v>
      </c>
      <c r="T102" s="75" t="s">
        <v>1289</v>
      </c>
      <c r="U102" s="115" t="s">
        <v>51</v>
      </c>
      <c r="V102" s="73"/>
      <c r="W102" s="115" t="s">
        <v>1290</v>
      </c>
      <c r="X102" s="73"/>
      <c r="Y102" s="115" t="s">
        <v>53</v>
      </c>
      <c r="Z102" s="115" t="s">
        <v>51</v>
      </c>
      <c r="AA102" s="115" t="s">
        <v>1291</v>
      </c>
      <c r="AB102" s="115" t="s">
        <v>1292</v>
      </c>
      <c r="AC102" s="283">
        <v>60218.0</v>
      </c>
      <c r="AD102" s="73"/>
      <c r="AE102" s="73"/>
      <c r="AF102" s="115" t="s">
        <v>71</v>
      </c>
      <c r="AG102" s="73"/>
      <c r="AH102" s="75" t="s">
        <v>1293</v>
      </c>
      <c r="AI102" s="85">
        <v>2.4099309957E10</v>
      </c>
      <c r="AJ102" s="75" t="s">
        <v>1294</v>
      </c>
      <c r="AK102" s="73" t="s">
        <v>108</v>
      </c>
      <c r="AL102" s="73"/>
      <c r="AM102" s="75" t="s">
        <v>1295</v>
      </c>
      <c r="AN102" s="230" t="s">
        <v>1049</v>
      </c>
      <c r="AO102" s="230" t="s">
        <v>1077</v>
      </c>
      <c r="AP102" s="130" t="s">
        <v>1296</v>
      </c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</row>
    <row r="103" ht="15.75" customHeight="1">
      <c r="A103" s="288">
        <v>97.0</v>
      </c>
      <c r="B103" s="48" t="s">
        <v>1297</v>
      </c>
      <c r="C103" s="154" t="s">
        <v>1298</v>
      </c>
      <c r="D103" s="45" t="s">
        <v>923</v>
      </c>
      <c r="E103" s="95" t="s">
        <v>1299</v>
      </c>
      <c r="F103" s="93" t="s">
        <v>1300</v>
      </c>
      <c r="G103" s="225" t="s">
        <v>1301</v>
      </c>
      <c r="H103" s="38" t="s">
        <v>1178</v>
      </c>
      <c r="I103" s="279" t="s">
        <v>729</v>
      </c>
      <c r="J103" s="155" t="s">
        <v>1119</v>
      </c>
      <c r="K103" s="45" t="s">
        <v>44</v>
      </c>
      <c r="L103" s="45" t="s">
        <v>98</v>
      </c>
      <c r="M103" s="93" t="s">
        <v>1302</v>
      </c>
      <c r="N103" s="40" t="s">
        <v>1303</v>
      </c>
      <c r="P103" s="235"/>
      <c r="Q103" s="45" t="s">
        <v>133</v>
      </c>
      <c r="S103" s="45" t="s">
        <v>49</v>
      </c>
      <c r="T103" s="45" t="s">
        <v>1304</v>
      </c>
      <c r="U103" s="38" t="s">
        <v>432</v>
      </c>
      <c r="W103" s="38" t="s">
        <v>1305</v>
      </c>
      <c r="Y103" s="38" t="s">
        <v>53</v>
      </c>
      <c r="Z103" s="38" t="s">
        <v>432</v>
      </c>
      <c r="AA103" s="38" t="s">
        <v>1306</v>
      </c>
      <c r="AB103" s="38" t="s">
        <v>1307</v>
      </c>
      <c r="AC103" s="271">
        <v>61171.0</v>
      </c>
      <c r="AF103" s="38" t="s">
        <v>510</v>
      </c>
      <c r="AH103" s="280" t="s">
        <v>125</v>
      </c>
      <c r="AI103" s="52">
        <v>2.517556561E10</v>
      </c>
      <c r="AJ103" s="296" t="s">
        <v>1308</v>
      </c>
      <c r="AL103" s="45" t="str">
        <f t="shared" ref="AL103:AL105" si="29">DATEDIF(AM103,NOW(),"y")&amp;" Tahun "&amp;DATEDIF(AM103,NOW(),"ym")&amp;" Bulan"</f>
        <v>2 Tahun 1 Bulan</v>
      </c>
      <c r="AM103" s="100">
        <v>45369.0</v>
      </c>
      <c r="AN103" s="297"/>
      <c r="AW103" s="45" t="str">
        <f t="shared" ref="AW103:AW105" si="30">DATEDIF(AM103,$AW$2,"Y") &amp; " Tahun " &amp; DATEDIF(AM103,$AW$2,"YM") &amp; " Bulan"</f>
        <v>2 Tahun 0 Bulan</v>
      </c>
    </row>
    <row r="104" ht="15.75" customHeight="1">
      <c r="A104" s="288">
        <v>98.0</v>
      </c>
      <c r="B104" s="48" t="s">
        <v>1309</v>
      </c>
      <c r="C104" s="154" t="s">
        <v>1310</v>
      </c>
      <c r="D104" s="45" t="s">
        <v>923</v>
      </c>
      <c r="E104" s="95" t="s">
        <v>894</v>
      </c>
      <c r="F104" s="93" t="s">
        <v>1311</v>
      </c>
      <c r="G104" s="233" t="s">
        <v>1312</v>
      </c>
      <c r="H104" s="38" t="s">
        <v>1178</v>
      </c>
      <c r="I104" s="279" t="s">
        <v>729</v>
      </c>
      <c r="J104" s="155" t="s">
        <v>1119</v>
      </c>
      <c r="K104" s="45" t="s">
        <v>44</v>
      </c>
      <c r="L104" s="45" t="s">
        <v>98</v>
      </c>
      <c r="M104" s="93" t="s">
        <v>1313</v>
      </c>
      <c r="N104" s="40" t="s">
        <v>1314</v>
      </c>
      <c r="P104" s="235"/>
      <c r="Q104" s="45" t="s">
        <v>87</v>
      </c>
      <c r="S104" s="45" t="s">
        <v>49</v>
      </c>
      <c r="T104" s="93" t="s">
        <v>1315</v>
      </c>
      <c r="U104" s="38" t="s">
        <v>238</v>
      </c>
      <c r="W104" s="38" t="s">
        <v>1316</v>
      </c>
      <c r="Y104" s="38" t="s">
        <v>53</v>
      </c>
      <c r="Z104" s="38" t="s">
        <v>238</v>
      </c>
      <c r="AA104" s="38" t="s">
        <v>1317</v>
      </c>
      <c r="AB104" s="38" t="s">
        <v>1318</v>
      </c>
      <c r="AC104" s="298" t="s">
        <v>1319</v>
      </c>
      <c r="AF104" s="38" t="s">
        <v>71</v>
      </c>
      <c r="AH104" s="280" t="s">
        <v>125</v>
      </c>
      <c r="AI104" s="52">
        <v>2.5175565602E10</v>
      </c>
      <c r="AJ104" s="296" t="s">
        <v>1320</v>
      </c>
      <c r="AL104" s="45" t="str">
        <f t="shared" si="29"/>
        <v>2 Tahun 0 Bulan</v>
      </c>
      <c r="AM104" s="100">
        <v>45376.0</v>
      </c>
      <c r="AN104" s="297"/>
      <c r="AW104" s="45" t="str">
        <f t="shared" si="30"/>
        <v>1 Tahun 11 Bulan</v>
      </c>
    </row>
    <row r="105" ht="15.75" customHeight="1">
      <c r="A105" s="299">
        <v>99.0</v>
      </c>
      <c r="B105" s="48" t="s">
        <v>1321</v>
      </c>
      <c r="C105" s="154" t="s">
        <v>636</v>
      </c>
      <c r="D105" s="45" t="s">
        <v>91</v>
      </c>
      <c r="E105" s="95" t="s">
        <v>1322</v>
      </c>
      <c r="F105" s="93" t="s">
        <v>1323</v>
      </c>
      <c r="G105" s="225" t="s">
        <v>1324</v>
      </c>
      <c r="H105" s="52" t="s">
        <v>1325</v>
      </c>
      <c r="I105" s="109" t="s">
        <v>1326</v>
      </c>
      <c r="J105" s="155" t="s">
        <v>503</v>
      </c>
      <c r="K105" s="45" t="s">
        <v>44</v>
      </c>
      <c r="L105" s="157" t="s">
        <v>74</v>
      </c>
      <c r="M105" s="93" t="s">
        <v>1327</v>
      </c>
      <c r="N105" s="40" t="s">
        <v>1328</v>
      </c>
      <c r="O105" s="155" t="s">
        <v>1043</v>
      </c>
      <c r="P105" s="300" t="s">
        <v>1329</v>
      </c>
      <c r="Q105" s="45" t="s">
        <v>48</v>
      </c>
      <c r="S105" s="45" t="s">
        <v>49</v>
      </c>
      <c r="T105" s="93" t="s">
        <v>1330</v>
      </c>
      <c r="U105" s="38" t="s">
        <v>1331</v>
      </c>
      <c r="W105" s="38" t="s">
        <v>1332</v>
      </c>
      <c r="Y105" s="38" t="s">
        <v>798</v>
      </c>
      <c r="Z105" s="38" t="s">
        <v>64</v>
      </c>
      <c r="AA105" s="38" t="s">
        <v>1333</v>
      </c>
      <c r="AB105" s="38" t="s">
        <v>1334</v>
      </c>
      <c r="AC105" s="271">
        <v>0.0</v>
      </c>
      <c r="AF105" s="135" t="s">
        <v>241</v>
      </c>
      <c r="AH105" s="93" t="s">
        <v>1335</v>
      </c>
      <c r="AI105" s="52">
        <v>8.005949667E9</v>
      </c>
      <c r="AJ105" s="301" t="s">
        <v>1336</v>
      </c>
      <c r="AK105" s="45" t="s">
        <v>949</v>
      </c>
      <c r="AL105" s="45" t="str">
        <f t="shared" si="29"/>
        <v>2 Tahun 0 Bulan</v>
      </c>
      <c r="AM105" s="302" t="s">
        <v>1337</v>
      </c>
      <c r="AN105" s="237" t="s">
        <v>904</v>
      </c>
      <c r="AW105" s="45" t="str">
        <f t="shared" si="30"/>
        <v>1 Tahun 11 Bulan</v>
      </c>
    </row>
    <row r="106" ht="15.75" hidden="1" customHeight="1">
      <c r="A106" s="287">
        <v>100.0</v>
      </c>
      <c r="B106" s="115" t="s">
        <v>1338</v>
      </c>
      <c r="C106" s="205" t="s">
        <v>729</v>
      </c>
      <c r="D106" s="73" t="s">
        <v>923</v>
      </c>
      <c r="E106" s="74"/>
      <c r="F106" s="120"/>
      <c r="G106" s="76"/>
      <c r="H106" s="115" t="s">
        <v>1339</v>
      </c>
      <c r="I106" s="115"/>
      <c r="J106" s="73"/>
      <c r="K106" s="73" t="s">
        <v>44</v>
      </c>
      <c r="L106" s="73" t="s">
        <v>98</v>
      </c>
      <c r="M106" s="75" t="s">
        <v>1340</v>
      </c>
      <c r="N106" s="113" t="s">
        <v>1341</v>
      </c>
      <c r="O106" s="73"/>
      <c r="P106" s="81"/>
      <c r="Q106" s="73" t="s">
        <v>87</v>
      </c>
      <c r="R106" s="73"/>
      <c r="S106" s="73" t="s">
        <v>49</v>
      </c>
      <c r="T106" s="75" t="s">
        <v>1342</v>
      </c>
      <c r="U106" s="115" t="s">
        <v>51</v>
      </c>
      <c r="V106" s="73"/>
      <c r="W106" s="115" t="s">
        <v>1343</v>
      </c>
      <c r="X106" s="73"/>
      <c r="Y106" s="115" t="s">
        <v>53</v>
      </c>
      <c r="Z106" s="115" t="s">
        <v>51</v>
      </c>
      <c r="AA106" s="115" t="s">
        <v>619</v>
      </c>
      <c r="AB106" s="115" t="s">
        <v>619</v>
      </c>
      <c r="AC106" s="283">
        <v>60188.0</v>
      </c>
      <c r="AD106" s="73"/>
      <c r="AE106" s="73"/>
      <c r="AF106" s="115" t="s">
        <v>71</v>
      </c>
      <c r="AG106" s="73"/>
      <c r="AH106" s="120"/>
      <c r="AI106" s="115"/>
      <c r="AJ106" s="73"/>
      <c r="AK106" s="73"/>
      <c r="AL106" s="73"/>
      <c r="AM106" s="75" t="s">
        <v>1344</v>
      </c>
      <c r="AN106" s="30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</row>
    <row r="107" ht="15.75" customHeight="1">
      <c r="A107" s="288">
        <v>101.0</v>
      </c>
      <c r="B107" s="36" t="s">
        <v>1345</v>
      </c>
      <c r="C107" s="56" t="s">
        <v>1139</v>
      </c>
      <c r="D107" s="45" t="s">
        <v>91</v>
      </c>
      <c r="E107" s="95" t="s">
        <v>1346</v>
      </c>
      <c r="F107" s="93" t="s">
        <v>1347</v>
      </c>
      <c r="G107" s="225" t="s">
        <v>1348</v>
      </c>
      <c r="H107" s="38" t="s">
        <v>1349</v>
      </c>
      <c r="I107" s="279" t="s">
        <v>96</v>
      </c>
      <c r="J107" s="155" t="s">
        <v>97</v>
      </c>
      <c r="K107" s="45" t="s">
        <v>44</v>
      </c>
      <c r="L107" s="45" t="s">
        <v>1350</v>
      </c>
      <c r="M107" s="93" t="s">
        <v>1351</v>
      </c>
      <c r="N107" s="40" t="s">
        <v>1352</v>
      </c>
      <c r="P107" s="235"/>
      <c r="Q107" s="45" t="s">
        <v>521</v>
      </c>
      <c r="S107" s="45" t="s">
        <v>49</v>
      </c>
      <c r="T107" s="93" t="s">
        <v>1353</v>
      </c>
      <c r="U107" s="38" t="s">
        <v>163</v>
      </c>
      <c r="W107" s="38" t="s">
        <v>1354</v>
      </c>
      <c r="Y107" s="38" t="s">
        <v>53</v>
      </c>
      <c r="Z107" s="38" t="s">
        <v>163</v>
      </c>
      <c r="AA107" s="38" t="s">
        <v>1355</v>
      </c>
      <c r="AB107" s="38" t="s">
        <v>1356</v>
      </c>
      <c r="AC107" s="271">
        <v>61271.0</v>
      </c>
      <c r="AF107" s="304" t="s">
        <v>241</v>
      </c>
      <c r="AH107" s="238" t="s">
        <v>1357</v>
      </c>
      <c r="AI107" s="52">
        <v>1.0012156864E10</v>
      </c>
      <c r="AJ107" s="301" t="s">
        <v>1358</v>
      </c>
      <c r="AK107" s="45" t="s">
        <v>108</v>
      </c>
      <c r="AL107" s="45" t="str">
        <f>DATEDIF(AM107,NOW(),"y")&amp;" Tahun "&amp;DATEDIF(AM107,NOW(),"ym")&amp;" Bulan"</f>
        <v>1 Tahun 11 Bulan</v>
      </c>
      <c r="AM107" s="302" t="s">
        <v>1359</v>
      </c>
      <c r="AN107" s="237" t="s">
        <v>904</v>
      </c>
      <c r="AW107" s="45" t="str">
        <f>DATEDIF(AM107,$AW$2,"Y") &amp; " Tahun " &amp; DATEDIF(AM107,$AW$2,"YM") &amp; " Bulan"</f>
        <v>1 Tahun 10 Bulan</v>
      </c>
    </row>
    <row r="108" ht="15.75" hidden="1" customHeight="1">
      <c r="A108" s="287">
        <v>102.0</v>
      </c>
      <c r="B108" s="115" t="s">
        <v>1360</v>
      </c>
      <c r="C108" s="228"/>
      <c r="D108" s="73" t="s">
        <v>923</v>
      </c>
      <c r="E108" s="130" t="s">
        <v>1361</v>
      </c>
      <c r="F108" s="75" t="s">
        <v>1362</v>
      </c>
      <c r="G108" s="76" t="s">
        <v>1363</v>
      </c>
      <c r="H108" s="130" t="s">
        <v>1094</v>
      </c>
      <c r="I108" s="130" t="s">
        <v>248</v>
      </c>
      <c r="J108" s="73"/>
      <c r="K108" s="73" t="s">
        <v>44</v>
      </c>
      <c r="L108" s="73" t="s">
        <v>98</v>
      </c>
      <c r="M108" s="75" t="s">
        <v>1364</v>
      </c>
      <c r="N108" s="113" t="s">
        <v>1365</v>
      </c>
      <c r="O108" s="73"/>
      <c r="P108" s="81"/>
      <c r="Q108" s="73" t="s">
        <v>521</v>
      </c>
      <c r="R108" s="73"/>
      <c r="S108" s="73" t="s">
        <v>69</v>
      </c>
      <c r="T108" s="75" t="s">
        <v>1366</v>
      </c>
      <c r="U108" s="115" t="s">
        <v>51</v>
      </c>
      <c r="V108" s="73"/>
      <c r="W108" s="115" t="s">
        <v>1367</v>
      </c>
      <c r="X108" s="73"/>
      <c r="Y108" s="115" t="s">
        <v>53</v>
      </c>
      <c r="Z108" s="115" t="s">
        <v>51</v>
      </c>
      <c r="AA108" s="115" t="s">
        <v>347</v>
      </c>
      <c r="AB108" s="115" t="s">
        <v>1368</v>
      </c>
      <c r="AC108" s="283">
        <v>60261.0</v>
      </c>
      <c r="AD108" s="73"/>
      <c r="AE108" s="73"/>
      <c r="AF108" s="305" t="s">
        <v>71</v>
      </c>
      <c r="AG108" s="73"/>
      <c r="AH108" s="284" t="s">
        <v>125</v>
      </c>
      <c r="AI108" s="115"/>
      <c r="AJ108" s="73"/>
      <c r="AK108" s="73" t="s">
        <v>108</v>
      </c>
      <c r="AL108" s="73"/>
      <c r="AM108" s="75" t="s">
        <v>1369</v>
      </c>
      <c r="AN108" s="73" t="s">
        <v>1207</v>
      </c>
      <c r="AO108" s="241" t="s">
        <v>1370</v>
      </c>
      <c r="AP108" s="256" t="s">
        <v>921</v>
      </c>
      <c r="AQ108" s="130" t="s">
        <v>1010</v>
      </c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</row>
    <row r="109" ht="15.75" hidden="1" customHeight="1">
      <c r="A109" s="70">
        <v>103.0</v>
      </c>
      <c r="B109" s="115" t="s">
        <v>1371</v>
      </c>
      <c r="C109" s="131" t="s">
        <v>41</v>
      </c>
      <c r="D109" s="73" t="s">
        <v>91</v>
      </c>
      <c r="E109" s="77" t="s">
        <v>1372</v>
      </c>
      <c r="F109" s="241" t="s">
        <v>1373</v>
      </c>
      <c r="G109" s="306" t="s">
        <v>1374</v>
      </c>
      <c r="H109" s="115" t="s">
        <v>1375</v>
      </c>
      <c r="I109" s="85" t="s">
        <v>309</v>
      </c>
      <c r="J109" s="73"/>
      <c r="K109" s="73" t="s">
        <v>44</v>
      </c>
      <c r="L109" s="73" t="s">
        <v>1376</v>
      </c>
      <c r="M109" s="256" t="s">
        <v>1377</v>
      </c>
      <c r="N109" s="75" t="s">
        <v>1378</v>
      </c>
      <c r="O109" s="130" t="s">
        <v>1043</v>
      </c>
      <c r="P109" s="307" t="s">
        <v>1379</v>
      </c>
      <c r="Q109" s="130" t="s">
        <v>521</v>
      </c>
      <c r="R109" s="73"/>
      <c r="S109" s="73" t="s">
        <v>69</v>
      </c>
      <c r="T109" s="75" t="s">
        <v>1380</v>
      </c>
      <c r="U109" s="115" t="s">
        <v>163</v>
      </c>
      <c r="V109" s="73"/>
      <c r="W109" s="115" t="s">
        <v>1381</v>
      </c>
      <c r="X109" s="73"/>
      <c r="Y109" s="115" t="s">
        <v>53</v>
      </c>
      <c r="Z109" s="115" t="s">
        <v>420</v>
      </c>
      <c r="AA109" s="115" t="s">
        <v>1382</v>
      </c>
      <c r="AB109" s="115" t="s">
        <v>1383</v>
      </c>
      <c r="AC109" s="308">
        <v>61151.0</v>
      </c>
      <c r="AD109" s="73"/>
      <c r="AE109" s="73"/>
      <c r="AF109" s="305" t="s">
        <v>71</v>
      </c>
      <c r="AG109" s="73"/>
      <c r="AH109" s="75" t="s">
        <v>1384</v>
      </c>
      <c r="AI109" s="85">
        <v>2.4099132607E10</v>
      </c>
      <c r="AJ109" s="256" t="s">
        <v>1385</v>
      </c>
      <c r="AK109" s="130" t="s">
        <v>108</v>
      </c>
      <c r="AL109" s="73"/>
      <c r="AM109" s="75" t="s">
        <v>1386</v>
      </c>
      <c r="AN109" s="309" t="s">
        <v>904</v>
      </c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</row>
    <row r="110" ht="15.75" hidden="1" customHeight="1">
      <c r="A110" s="287">
        <v>104.0</v>
      </c>
      <c r="B110" s="85" t="s">
        <v>1387</v>
      </c>
      <c r="C110" s="205" t="s">
        <v>729</v>
      </c>
      <c r="D110" s="73" t="s">
        <v>923</v>
      </c>
      <c r="E110" s="77" t="s">
        <v>1388</v>
      </c>
      <c r="F110" s="241" t="s">
        <v>1389</v>
      </c>
      <c r="G110" s="130" t="s">
        <v>1390</v>
      </c>
      <c r="H110" s="85" t="s">
        <v>1178</v>
      </c>
      <c r="I110" s="85" t="s">
        <v>729</v>
      </c>
      <c r="J110" s="73"/>
      <c r="K110" s="73" t="s">
        <v>44</v>
      </c>
      <c r="L110" s="73" t="s">
        <v>98</v>
      </c>
      <c r="M110" s="241" t="s">
        <v>1391</v>
      </c>
      <c r="N110" s="310" t="s">
        <v>1392</v>
      </c>
      <c r="O110" s="73"/>
      <c r="P110" s="81"/>
      <c r="Q110" s="130" t="s">
        <v>87</v>
      </c>
      <c r="R110" s="73"/>
      <c r="S110" s="130" t="s">
        <v>49</v>
      </c>
      <c r="T110" s="241" t="s">
        <v>1393</v>
      </c>
      <c r="U110" s="85" t="s">
        <v>51</v>
      </c>
      <c r="V110" s="73"/>
      <c r="W110" s="85" t="s">
        <v>1394</v>
      </c>
      <c r="X110" s="73"/>
      <c r="Y110" s="85" t="s">
        <v>53</v>
      </c>
      <c r="Z110" s="85" t="s">
        <v>51</v>
      </c>
      <c r="AA110" s="85" t="s">
        <v>54</v>
      </c>
      <c r="AB110" s="85" t="s">
        <v>1395</v>
      </c>
      <c r="AC110" s="308">
        <v>60135.0</v>
      </c>
      <c r="AD110" s="73"/>
      <c r="AE110" s="73"/>
      <c r="AF110" s="305" t="s">
        <v>1396</v>
      </c>
      <c r="AG110" s="73"/>
      <c r="AH110" s="284" t="s">
        <v>125</v>
      </c>
      <c r="AI110" s="85" t="s">
        <v>1010</v>
      </c>
      <c r="AJ110" s="130" t="s">
        <v>1010</v>
      </c>
      <c r="AK110" s="73"/>
      <c r="AL110" s="73"/>
      <c r="AM110" s="241" t="s">
        <v>1397</v>
      </c>
      <c r="AN110" s="30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</row>
    <row r="111" ht="15.75" customHeight="1">
      <c r="A111" s="288">
        <v>105.0</v>
      </c>
      <c r="B111" s="68" t="s">
        <v>1398</v>
      </c>
      <c r="C111" s="154" t="s">
        <v>498</v>
      </c>
      <c r="D111" s="155" t="s">
        <v>91</v>
      </c>
      <c r="E111" s="95" t="s">
        <v>1399</v>
      </c>
      <c r="F111" s="238" t="s">
        <v>1400</v>
      </c>
      <c r="G111" s="108" t="s">
        <v>1401</v>
      </c>
      <c r="H111" s="52" t="s">
        <v>556</v>
      </c>
      <c r="I111" s="279" t="s">
        <v>614</v>
      </c>
      <c r="J111" s="155" t="s">
        <v>115</v>
      </c>
      <c r="K111" s="45" t="s">
        <v>44</v>
      </c>
      <c r="L111" s="45" t="s">
        <v>98</v>
      </c>
      <c r="M111" s="238" t="s">
        <v>1402</v>
      </c>
      <c r="N111" s="311" t="s">
        <v>1403</v>
      </c>
      <c r="P111" s="235"/>
      <c r="Q111" s="155" t="s">
        <v>521</v>
      </c>
      <c r="S111" s="155" t="s">
        <v>49</v>
      </c>
      <c r="T111" s="238" t="s">
        <v>1404</v>
      </c>
      <c r="U111" s="52" t="s">
        <v>51</v>
      </c>
      <c r="W111" s="52" t="s">
        <v>1405</v>
      </c>
      <c r="Y111" s="52" t="s">
        <v>53</v>
      </c>
      <c r="Z111" s="52" t="s">
        <v>51</v>
      </c>
      <c r="AA111" s="52" t="s">
        <v>104</v>
      </c>
      <c r="AB111" s="52" t="s">
        <v>205</v>
      </c>
      <c r="AC111" s="312">
        <v>60127.0</v>
      </c>
      <c r="AF111" s="304" t="s">
        <v>71</v>
      </c>
      <c r="AH111" s="280" t="s">
        <v>125</v>
      </c>
      <c r="AI111" s="52">
        <v>2.2077149437E10</v>
      </c>
      <c r="AJ111" s="285" t="s">
        <v>1406</v>
      </c>
      <c r="AL111" s="45" t="str">
        <f>DATEDIF(AM111,NOW(),"y")&amp;" Tahun "&amp;DATEDIF(AM111,NOW(),"ym")&amp;" Bulan"</f>
        <v>1 Tahun 10 Bulan</v>
      </c>
      <c r="AM111" s="100">
        <v>45461.0</v>
      </c>
      <c r="AN111" s="313" t="s">
        <v>1407</v>
      </c>
      <c r="AO111" s="314" t="s">
        <v>1232</v>
      </c>
      <c r="AP111" s="255">
        <v>45928.0</v>
      </c>
      <c r="AQ111" s="155" t="s">
        <v>1408</v>
      </c>
      <c r="AW111" s="45" t="str">
        <f>DATEDIF(AM111,$AW$2,"Y") &amp; " Tahun " &amp; DATEDIF(AM111,$AW$2,"YM") &amp; " Bulan"</f>
        <v>1 Tahun 9 Bulan</v>
      </c>
    </row>
    <row r="112" ht="15.75" hidden="1" customHeight="1">
      <c r="A112" s="287">
        <v>106.0</v>
      </c>
      <c r="B112" s="85" t="s">
        <v>1409</v>
      </c>
      <c r="C112" s="228"/>
      <c r="D112" s="73" t="s">
        <v>923</v>
      </c>
      <c r="E112" s="315" t="s">
        <v>1410</v>
      </c>
      <c r="F112" s="241" t="s">
        <v>1411</v>
      </c>
      <c r="G112" s="316" t="s">
        <v>1412</v>
      </c>
      <c r="H112" s="85" t="s">
        <v>1261</v>
      </c>
      <c r="I112" s="85" t="s">
        <v>309</v>
      </c>
      <c r="J112" s="73"/>
      <c r="K112" s="73" t="s">
        <v>44</v>
      </c>
      <c r="L112" s="73" t="s">
        <v>98</v>
      </c>
      <c r="M112" s="241" t="s">
        <v>1413</v>
      </c>
      <c r="N112" s="310" t="s">
        <v>1414</v>
      </c>
      <c r="O112" s="73"/>
      <c r="P112" s="81"/>
      <c r="Q112" s="130" t="s">
        <v>521</v>
      </c>
      <c r="R112" s="73"/>
      <c r="S112" s="130" t="s">
        <v>69</v>
      </c>
      <c r="T112" s="241" t="s">
        <v>1415</v>
      </c>
      <c r="U112" s="85" t="s">
        <v>1019</v>
      </c>
      <c r="V112" s="73"/>
      <c r="W112" s="85" t="s">
        <v>1416</v>
      </c>
      <c r="X112" s="73"/>
      <c r="Y112" s="85" t="s">
        <v>53</v>
      </c>
      <c r="Z112" s="85" t="s">
        <v>799</v>
      </c>
      <c r="AA112" s="85" t="s">
        <v>1417</v>
      </c>
      <c r="AB112" s="85" t="s">
        <v>1418</v>
      </c>
      <c r="AC112" s="317" t="s">
        <v>1419</v>
      </c>
      <c r="AD112" s="73"/>
      <c r="AE112" s="73"/>
      <c r="AF112" s="305" t="s">
        <v>71</v>
      </c>
      <c r="AG112" s="73"/>
      <c r="AH112" s="318" t="s">
        <v>1420</v>
      </c>
      <c r="AI112" s="115"/>
      <c r="AJ112" s="73"/>
      <c r="AK112" s="73"/>
      <c r="AL112" s="73"/>
      <c r="AM112" s="241" t="s">
        <v>1421</v>
      </c>
      <c r="AN112" s="241" t="s">
        <v>1407</v>
      </c>
      <c r="AO112" s="130" t="s">
        <v>1422</v>
      </c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</row>
    <row r="113" ht="15.75" customHeight="1">
      <c r="A113" s="288">
        <v>107.0</v>
      </c>
      <c r="B113" s="319" t="s">
        <v>1423</v>
      </c>
      <c r="C113" s="154" t="s">
        <v>636</v>
      </c>
      <c r="D113" s="45" t="s">
        <v>923</v>
      </c>
      <c r="E113" s="155" t="s">
        <v>1424</v>
      </c>
      <c r="F113" s="238" t="s">
        <v>1425</v>
      </c>
      <c r="G113" s="320" t="s">
        <v>1426</v>
      </c>
      <c r="H113" s="52" t="s">
        <v>1427</v>
      </c>
      <c r="I113" s="52" t="s">
        <v>614</v>
      </c>
      <c r="J113" s="155" t="s">
        <v>503</v>
      </c>
      <c r="K113" s="155" t="s">
        <v>44</v>
      </c>
      <c r="L113" s="273" t="s">
        <v>74</v>
      </c>
      <c r="M113" s="238" t="s">
        <v>1428</v>
      </c>
      <c r="N113" s="311" t="s">
        <v>1429</v>
      </c>
      <c r="P113" s="235"/>
      <c r="Q113" s="155" t="s">
        <v>521</v>
      </c>
      <c r="S113" s="155" t="s">
        <v>49</v>
      </c>
      <c r="T113" s="238" t="s">
        <v>1430</v>
      </c>
      <c r="U113" s="52" t="s">
        <v>1431</v>
      </c>
      <c r="W113" s="52" t="s">
        <v>1432</v>
      </c>
      <c r="Y113" s="52" t="s">
        <v>1433</v>
      </c>
      <c r="Z113" s="52" t="s">
        <v>1434</v>
      </c>
      <c r="AA113" s="52" t="s">
        <v>1435</v>
      </c>
      <c r="AB113" s="52" t="s">
        <v>1436</v>
      </c>
      <c r="AC113" s="312">
        <v>20219.0</v>
      </c>
      <c r="AF113" s="321" t="s">
        <v>71</v>
      </c>
      <c r="AH113" s="280" t="s">
        <v>125</v>
      </c>
      <c r="AI113" s="322" t="s">
        <v>1010</v>
      </c>
      <c r="AJ113" s="322" t="s">
        <v>1010</v>
      </c>
      <c r="AL113" s="45" t="str">
        <f>DATEDIF(AM113,NOW(),"y")&amp;" Tahun "&amp;DATEDIF(AM113,NOW(),"ym")&amp;" Bulan"</f>
        <v>1 Tahun 9 Bulan</v>
      </c>
      <c r="AM113" s="100">
        <v>45482.0</v>
      </c>
      <c r="AN113" s="313" t="s">
        <v>1407</v>
      </c>
      <c r="AO113" s="155" t="s">
        <v>1437</v>
      </c>
      <c r="AW113" s="45" t="str">
        <f>DATEDIF(AM113,$AW$2,"Y") &amp; " Tahun " &amp; DATEDIF(AM113,$AW$2,"YM") &amp; " Bulan"</f>
        <v>1 Tahun 8 Bulan</v>
      </c>
    </row>
    <row r="114" ht="15.75" hidden="1" customHeight="1">
      <c r="A114" s="287">
        <v>108.0</v>
      </c>
      <c r="B114" s="85" t="s">
        <v>1438</v>
      </c>
      <c r="C114" s="228"/>
      <c r="D114" s="73" t="s">
        <v>923</v>
      </c>
      <c r="E114" s="130" t="s">
        <v>1439</v>
      </c>
      <c r="F114" s="241" t="s">
        <v>1440</v>
      </c>
      <c r="G114" s="316" t="s">
        <v>1441</v>
      </c>
      <c r="H114" s="85" t="s">
        <v>1094</v>
      </c>
      <c r="I114" s="85" t="s">
        <v>248</v>
      </c>
      <c r="J114" s="73"/>
      <c r="K114" s="130" t="s">
        <v>44</v>
      </c>
      <c r="L114" s="130" t="s">
        <v>98</v>
      </c>
      <c r="M114" s="241" t="s">
        <v>1442</v>
      </c>
      <c r="N114" s="310" t="s">
        <v>1443</v>
      </c>
      <c r="O114" s="73"/>
      <c r="P114" s="81"/>
      <c r="Q114" s="130" t="s">
        <v>521</v>
      </c>
      <c r="R114" s="73"/>
      <c r="S114" s="130" t="s">
        <v>69</v>
      </c>
      <c r="T114" s="241" t="s">
        <v>1444</v>
      </c>
      <c r="U114" s="85" t="s">
        <v>163</v>
      </c>
      <c r="V114" s="73"/>
      <c r="W114" s="85" t="s">
        <v>1445</v>
      </c>
      <c r="X114" s="73"/>
      <c r="Y114" s="85" t="s">
        <v>53</v>
      </c>
      <c r="Z114" s="85" t="s">
        <v>51</v>
      </c>
      <c r="AA114" s="85" t="s">
        <v>494</v>
      </c>
      <c r="AB114" s="85" t="s">
        <v>495</v>
      </c>
      <c r="AC114" s="308">
        <v>60185.0</v>
      </c>
      <c r="AD114" s="73"/>
      <c r="AE114" s="73"/>
      <c r="AF114" s="305" t="s">
        <v>71</v>
      </c>
      <c r="AG114" s="73"/>
      <c r="AH114" s="241" t="s">
        <v>1446</v>
      </c>
      <c r="AI114" s="115"/>
      <c r="AJ114" s="73"/>
      <c r="AK114" s="73"/>
      <c r="AL114" s="73"/>
      <c r="AM114" s="241" t="s">
        <v>1447</v>
      </c>
      <c r="AN114" s="309" t="s">
        <v>1448</v>
      </c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</row>
    <row r="115" ht="15.75" hidden="1" customHeight="1">
      <c r="A115" s="287">
        <v>109.0</v>
      </c>
      <c r="B115" s="85" t="s">
        <v>1449</v>
      </c>
      <c r="C115" s="228"/>
      <c r="D115" s="73" t="s">
        <v>923</v>
      </c>
      <c r="E115" s="256" t="s">
        <v>1450</v>
      </c>
      <c r="F115" s="241" t="s">
        <v>1451</v>
      </c>
      <c r="G115" s="316"/>
      <c r="H115" s="85" t="s">
        <v>113</v>
      </c>
      <c r="I115" s="85" t="s">
        <v>614</v>
      </c>
      <c r="J115" s="73"/>
      <c r="K115" s="130" t="s">
        <v>44</v>
      </c>
      <c r="L115" s="130" t="s">
        <v>98</v>
      </c>
      <c r="M115" s="241" t="s">
        <v>1452</v>
      </c>
      <c r="N115" s="310" t="s">
        <v>1453</v>
      </c>
      <c r="O115" s="73"/>
      <c r="P115" s="81"/>
      <c r="Q115" s="130" t="s">
        <v>48</v>
      </c>
      <c r="R115" s="73"/>
      <c r="S115" s="130" t="s">
        <v>49</v>
      </c>
      <c r="T115" s="241" t="s">
        <v>1454</v>
      </c>
      <c r="U115" s="85" t="s">
        <v>51</v>
      </c>
      <c r="V115" s="73"/>
      <c r="W115" s="85" t="s">
        <v>1455</v>
      </c>
      <c r="X115" s="73"/>
      <c r="Y115" s="85" t="s">
        <v>53</v>
      </c>
      <c r="Z115" s="85" t="s">
        <v>51</v>
      </c>
      <c r="AA115" s="85" t="s">
        <v>847</v>
      </c>
      <c r="AB115" s="85" t="s">
        <v>847</v>
      </c>
      <c r="AC115" s="308">
        <v>60182.0</v>
      </c>
      <c r="AD115" s="73"/>
      <c r="AE115" s="73"/>
      <c r="AF115" s="305" t="s">
        <v>510</v>
      </c>
      <c r="AG115" s="73"/>
      <c r="AH115" s="309"/>
      <c r="AI115" s="115"/>
      <c r="AJ115" s="73"/>
      <c r="AK115" s="73"/>
      <c r="AL115" s="73"/>
      <c r="AM115" s="241" t="s">
        <v>1456</v>
      </c>
      <c r="AN115" s="241" t="s">
        <v>1448</v>
      </c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</row>
    <row r="116" ht="15.75" customHeight="1">
      <c r="A116" s="288">
        <v>110.0</v>
      </c>
      <c r="B116" s="68" t="s">
        <v>1457</v>
      </c>
      <c r="C116" s="154" t="s">
        <v>514</v>
      </c>
      <c r="D116" s="67" t="s">
        <v>91</v>
      </c>
      <c r="E116" s="323" t="s">
        <v>1458</v>
      </c>
      <c r="F116" s="324" t="s">
        <v>1459</v>
      </c>
      <c r="G116" s="117" t="s">
        <v>1460</v>
      </c>
      <c r="H116" s="68" t="s">
        <v>113</v>
      </c>
      <c r="I116" s="68" t="s">
        <v>614</v>
      </c>
      <c r="J116" s="67" t="s">
        <v>115</v>
      </c>
      <c r="K116" s="67" t="s">
        <v>44</v>
      </c>
      <c r="L116" s="67" t="s">
        <v>98</v>
      </c>
      <c r="M116" s="324" t="s">
        <v>1461</v>
      </c>
      <c r="N116" s="180" t="s">
        <v>1462</v>
      </c>
      <c r="O116" s="57"/>
      <c r="P116" s="122"/>
      <c r="Q116" s="67" t="s">
        <v>133</v>
      </c>
      <c r="R116" s="57"/>
      <c r="S116" s="67" t="s">
        <v>49</v>
      </c>
      <c r="T116" s="324" t="s">
        <v>1463</v>
      </c>
      <c r="U116" s="36" t="s">
        <v>51</v>
      </c>
      <c r="V116" s="57"/>
      <c r="W116" s="68" t="s">
        <v>1464</v>
      </c>
      <c r="X116" s="57"/>
      <c r="Y116" s="68" t="s">
        <v>53</v>
      </c>
      <c r="Z116" s="68" t="s">
        <v>1123</v>
      </c>
      <c r="AA116" s="68" t="s">
        <v>1465</v>
      </c>
      <c r="AB116" s="68" t="s">
        <v>1466</v>
      </c>
      <c r="AC116" s="325">
        <v>61452.0</v>
      </c>
      <c r="AD116" s="57"/>
      <c r="AE116" s="57"/>
      <c r="AF116" s="127" t="s">
        <v>71</v>
      </c>
      <c r="AG116" s="57"/>
      <c r="AH116" s="55" t="s">
        <v>125</v>
      </c>
      <c r="AI116" s="68">
        <v>2.4215066218E10</v>
      </c>
      <c r="AJ116" s="264" t="s">
        <v>1467</v>
      </c>
      <c r="AK116" s="57"/>
      <c r="AL116" s="57" t="str">
        <f t="shared" ref="AL116:AL118" si="31">DATEDIF(AM116,NOW(),"y")&amp;" Tahun "&amp;DATEDIF(AM116,NOW(),"ym")&amp;" Bulan"</f>
        <v>1 Tahun 8 Bulan</v>
      </c>
      <c r="AM116" s="91">
        <v>45525.0</v>
      </c>
      <c r="AN116" s="326" t="s">
        <v>1468</v>
      </c>
      <c r="AO116" s="327">
        <v>45989.0</v>
      </c>
      <c r="AP116" s="67" t="s">
        <v>1408</v>
      </c>
      <c r="AQ116" s="57"/>
      <c r="AR116" s="57"/>
      <c r="AS116" s="57"/>
      <c r="AT116" s="57"/>
      <c r="AU116" s="57"/>
      <c r="AV116" s="57"/>
      <c r="AW116" s="45" t="str">
        <f t="shared" ref="AW116:AW118" si="32">DATEDIF(AM116,$AW$2,"Y") &amp; " Tahun " &amp; DATEDIF(AM116,$AW$2,"YM") &amp; " Bulan"</f>
        <v>1 Tahun 6 Bulan</v>
      </c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</row>
    <row r="117" ht="15.75" customHeight="1">
      <c r="A117" s="288">
        <v>111.0</v>
      </c>
      <c r="B117" s="319" t="s">
        <v>1469</v>
      </c>
      <c r="C117" s="154" t="s">
        <v>636</v>
      </c>
      <c r="D117" s="155" t="s">
        <v>91</v>
      </c>
      <c r="E117" s="155" t="s">
        <v>1470</v>
      </c>
      <c r="F117" s="238" t="s">
        <v>1471</v>
      </c>
      <c r="G117" s="320" t="s">
        <v>1472</v>
      </c>
      <c r="H117" s="52" t="s">
        <v>1473</v>
      </c>
      <c r="I117" s="52" t="s">
        <v>248</v>
      </c>
      <c r="J117" s="155" t="s">
        <v>503</v>
      </c>
      <c r="K117" s="155" t="s">
        <v>44</v>
      </c>
      <c r="L117" s="155" t="s">
        <v>98</v>
      </c>
      <c r="M117" s="238" t="s">
        <v>1474</v>
      </c>
      <c r="N117" s="328" t="s">
        <v>1475</v>
      </c>
      <c r="O117" s="155" t="s">
        <v>1043</v>
      </c>
      <c r="P117" s="300" t="s">
        <v>1476</v>
      </c>
      <c r="Q117" s="155" t="s">
        <v>521</v>
      </c>
      <c r="S117" s="155" t="s">
        <v>69</v>
      </c>
      <c r="T117" s="238" t="s">
        <v>1477</v>
      </c>
      <c r="U117" s="52" t="s">
        <v>1478</v>
      </c>
      <c r="W117" s="52" t="s">
        <v>1479</v>
      </c>
      <c r="Y117" s="52" t="s">
        <v>798</v>
      </c>
      <c r="Z117" s="52" t="s">
        <v>799</v>
      </c>
      <c r="AA117" s="52" t="s">
        <v>1480</v>
      </c>
      <c r="AB117" s="52" t="s">
        <v>1481</v>
      </c>
      <c r="AC117" s="312">
        <v>92172.0</v>
      </c>
      <c r="AF117" s="304" t="s">
        <v>71</v>
      </c>
      <c r="AH117" s="280" t="s">
        <v>125</v>
      </c>
      <c r="AI117" s="52">
        <v>2.421506578E10</v>
      </c>
      <c r="AJ117" s="285" t="s">
        <v>1482</v>
      </c>
      <c r="AL117" s="45" t="str">
        <f t="shared" si="31"/>
        <v>1 Tahun 7 Bulan</v>
      </c>
      <c r="AM117" s="302" t="s">
        <v>1483</v>
      </c>
      <c r="AN117" s="329">
        <v>45624.0</v>
      </c>
      <c r="AO117" s="330">
        <v>45989.0</v>
      </c>
      <c r="AP117" s="98" t="s">
        <v>1484</v>
      </c>
      <c r="AQ117" s="155" t="s">
        <v>1408</v>
      </c>
      <c r="AW117" s="45" t="str">
        <f t="shared" si="32"/>
        <v>1 Tahun 6 Bulan</v>
      </c>
    </row>
    <row r="118" ht="15.75" customHeight="1">
      <c r="A118" s="288">
        <v>112.0</v>
      </c>
      <c r="B118" s="319" t="s">
        <v>1485</v>
      </c>
      <c r="C118" s="154" t="s">
        <v>636</v>
      </c>
      <c r="D118" s="45" t="s">
        <v>923</v>
      </c>
      <c r="E118" s="155" t="s">
        <v>1486</v>
      </c>
      <c r="F118" s="238" t="s">
        <v>1487</v>
      </c>
      <c r="G118" s="108" t="s">
        <v>1488</v>
      </c>
      <c r="H118" s="52" t="s">
        <v>1489</v>
      </c>
      <c r="I118" s="52" t="s">
        <v>614</v>
      </c>
      <c r="J118" s="155" t="s">
        <v>503</v>
      </c>
      <c r="K118" s="155" t="s">
        <v>44</v>
      </c>
      <c r="L118" s="155" t="s">
        <v>98</v>
      </c>
      <c r="M118" s="238" t="s">
        <v>1490</v>
      </c>
      <c r="N118" s="311" t="s">
        <v>1491</v>
      </c>
      <c r="P118" s="235"/>
      <c r="Q118" s="155" t="s">
        <v>48</v>
      </c>
      <c r="S118" s="155" t="s">
        <v>49</v>
      </c>
      <c r="T118" s="238" t="s">
        <v>1492</v>
      </c>
      <c r="U118" s="52" t="s">
        <v>64</v>
      </c>
      <c r="W118" s="52" t="s">
        <v>1493</v>
      </c>
      <c r="Y118" s="52" t="s">
        <v>798</v>
      </c>
      <c r="Z118" s="52" t="s">
        <v>799</v>
      </c>
      <c r="AA118" s="52" t="s">
        <v>1494</v>
      </c>
      <c r="AB118" s="52" t="s">
        <v>1495</v>
      </c>
      <c r="AC118" s="331" t="s">
        <v>1496</v>
      </c>
      <c r="AF118" s="304" t="s">
        <v>71</v>
      </c>
      <c r="AH118" s="280" t="s">
        <v>125</v>
      </c>
      <c r="AI118" s="322" t="s">
        <v>1010</v>
      </c>
      <c r="AJ118" s="332" t="s">
        <v>1010</v>
      </c>
      <c r="AL118" s="45" t="str">
        <f t="shared" si="31"/>
        <v>1 Tahun 7 Bulan</v>
      </c>
      <c r="AM118" s="302" t="s">
        <v>1497</v>
      </c>
      <c r="AN118" s="333">
        <v>45624.0</v>
      </c>
      <c r="AO118" s="155" t="s">
        <v>1437</v>
      </c>
      <c r="AW118" s="45" t="str">
        <f t="shared" si="32"/>
        <v>1 Tahun 6 Bulan</v>
      </c>
    </row>
    <row r="119" ht="15.75" hidden="1" customHeight="1">
      <c r="A119" s="287">
        <v>113.0</v>
      </c>
      <c r="B119" s="85" t="s">
        <v>1498</v>
      </c>
      <c r="C119" s="205" t="s">
        <v>514</v>
      </c>
      <c r="D119" s="73" t="s">
        <v>923</v>
      </c>
      <c r="E119" s="315" t="s">
        <v>1499</v>
      </c>
      <c r="F119" s="241" t="s">
        <v>1500</v>
      </c>
      <c r="G119" s="334" t="s">
        <v>1501</v>
      </c>
      <c r="H119" s="85" t="s">
        <v>705</v>
      </c>
      <c r="I119" s="85" t="s">
        <v>248</v>
      </c>
      <c r="J119" s="73"/>
      <c r="K119" s="130" t="s">
        <v>44</v>
      </c>
      <c r="L119" s="130" t="s">
        <v>98</v>
      </c>
      <c r="M119" s="241" t="s">
        <v>1502</v>
      </c>
      <c r="N119" s="85" t="s">
        <v>1503</v>
      </c>
      <c r="O119" s="73"/>
      <c r="P119" s="81"/>
      <c r="Q119" s="130" t="s">
        <v>521</v>
      </c>
      <c r="R119" s="73"/>
      <c r="S119" s="130" t="s">
        <v>69</v>
      </c>
      <c r="T119" s="241" t="s">
        <v>1085</v>
      </c>
      <c r="U119" s="85" t="s">
        <v>51</v>
      </c>
      <c r="V119" s="73"/>
      <c r="W119" s="85" t="s">
        <v>1504</v>
      </c>
      <c r="X119" s="73"/>
      <c r="Y119" s="85" t="s">
        <v>53</v>
      </c>
      <c r="Z119" s="85" t="s">
        <v>51</v>
      </c>
      <c r="AA119" s="85" t="s">
        <v>1505</v>
      </c>
      <c r="AB119" s="85" t="s">
        <v>1506</v>
      </c>
      <c r="AC119" s="308">
        <v>60222.0</v>
      </c>
      <c r="AD119" s="73"/>
      <c r="AE119" s="73"/>
      <c r="AF119" s="305" t="s">
        <v>71</v>
      </c>
      <c r="AG119" s="73"/>
      <c r="AH119" s="241" t="s">
        <v>1507</v>
      </c>
      <c r="AI119" s="85">
        <v>2.5011542195E10</v>
      </c>
      <c r="AJ119" s="256" t="s">
        <v>1508</v>
      </c>
      <c r="AK119" s="73"/>
      <c r="AL119" s="73"/>
      <c r="AM119" s="241" t="s">
        <v>1509</v>
      </c>
      <c r="AN119" s="309" t="s">
        <v>1510</v>
      </c>
      <c r="AO119" s="130" t="s">
        <v>1511</v>
      </c>
      <c r="AP119" s="242">
        <v>45928.0</v>
      </c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</row>
    <row r="120" ht="15.75" customHeight="1">
      <c r="A120" s="288">
        <v>114.0</v>
      </c>
      <c r="B120" s="319" t="s">
        <v>1512</v>
      </c>
      <c r="C120" s="154" t="s">
        <v>1310</v>
      </c>
      <c r="D120" s="45" t="s">
        <v>923</v>
      </c>
      <c r="E120" s="109" t="s">
        <v>1388</v>
      </c>
      <c r="F120" s="238" t="s">
        <v>1513</v>
      </c>
      <c r="G120" s="108" t="s">
        <v>1514</v>
      </c>
      <c r="H120" s="52" t="s">
        <v>1178</v>
      </c>
      <c r="I120" s="279" t="s">
        <v>729</v>
      </c>
      <c r="J120" s="155" t="s">
        <v>1119</v>
      </c>
      <c r="K120" s="155" t="s">
        <v>44</v>
      </c>
      <c r="L120" s="155" t="s">
        <v>98</v>
      </c>
      <c r="M120" s="238" t="s">
        <v>1515</v>
      </c>
      <c r="N120" s="311" t="s">
        <v>1516</v>
      </c>
      <c r="P120" s="235"/>
      <c r="Q120" s="155" t="s">
        <v>48</v>
      </c>
      <c r="S120" s="155" t="s">
        <v>49</v>
      </c>
      <c r="T120" s="238" t="s">
        <v>1517</v>
      </c>
      <c r="U120" s="52" t="s">
        <v>51</v>
      </c>
      <c r="W120" s="52" t="s">
        <v>1087</v>
      </c>
      <c r="Y120" s="52" t="s">
        <v>53</v>
      </c>
      <c r="Z120" s="52" t="s">
        <v>51</v>
      </c>
      <c r="AA120" s="52" t="s">
        <v>104</v>
      </c>
      <c r="AB120" s="52" t="s">
        <v>1087</v>
      </c>
      <c r="AC120" s="312">
        <v>60129.0</v>
      </c>
      <c r="AF120" s="52" t="s">
        <v>71</v>
      </c>
      <c r="AH120" s="52">
        <v>6.82816319618E14</v>
      </c>
      <c r="AI120" s="52">
        <v>2.5175565578E10</v>
      </c>
      <c r="AJ120" s="296" t="s">
        <v>1518</v>
      </c>
      <c r="AL120" s="45" t="str">
        <f>DATEDIF(AM120,NOW(),"y")&amp;" Tahun "&amp;DATEDIF(AM120,NOW(),"ym")&amp;" Bulan"</f>
        <v>1 Tahun 6 Bulan</v>
      </c>
      <c r="AM120" s="100">
        <v>45579.0</v>
      </c>
      <c r="AN120" s="297"/>
      <c r="AW120" s="45" t="str">
        <f>DATEDIF(AM120,$AW$2,"Y") &amp; " Tahun " &amp; DATEDIF(AM120,$AW$2,"YM") &amp; " Bulan"</f>
        <v>1 Tahun 5 Bulan</v>
      </c>
    </row>
    <row r="121" ht="15.75" hidden="1" customHeight="1">
      <c r="A121" s="287">
        <v>115.0</v>
      </c>
      <c r="B121" s="85" t="s">
        <v>1519</v>
      </c>
      <c r="C121" s="228"/>
      <c r="D121" s="73" t="s">
        <v>923</v>
      </c>
      <c r="E121" s="77" t="s">
        <v>1520</v>
      </c>
      <c r="F121" s="241" t="s">
        <v>1521</v>
      </c>
      <c r="G121" s="316" t="s">
        <v>1522</v>
      </c>
      <c r="H121" s="85" t="s">
        <v>1094</v>
      </c>
      <c r="I121" s="85" t="s">
        <v>248</v>
      </c>
      <c r="J121" s="73"/>
      <c r="K121" s="130" t="s">
        <v>44</v>
      </c>
      <c r="L121" s="130" t="s">
        <v>98</v>
      </c>
      <c r="M121" s="241" t="s">
        <v>1523</v>
      </c>
      <c r="N121" s="310" t="s">
        <v>1524</v>
      </c>
      <c r="O121" s="73"/>
      <c r="P121" s="81"/>
      <c r="Q121" s="130" t="s">
        <v>48</v>
      </c>
      <c r="R121" s="73"/>
      <c r="S121" s="130" t="s">
        <v>69</v>
      </c>
      <c r="T121" s="335">
        <v>36622.0</v>
      </c>
      <c r="U121" s="85" t="s">
        <v>51</v>
      </c>
      <c r="V121" s="73"/>
      <c r="W121" s="85" t="s">
        <v>1525</v>
      </c>
      <c r="X121" s="73"/>
      <c r="Y121" s="85" t="s">
        <v>53</v>
      </c>
      <c r="Z121" s="85" t="s">
        <v>51</v>
      </c>
      <c r="AA121" s="85" t="s">
        <v>1505</v>
      </c>
      <c r="AB121" s="85" t="s">
        <v>1526</v>
      </c>
      <c r="AC121" s="308">
        <v>60223.0</v>
      </c>
      <c r="AD121" s="73"/>
      <c r="AE121" s="73"/>
      <c r="AF121" s="85" t="s">
        <v>71</v>
      </c>
      <c r="AG121" s="73"/>
      <c r="AH121" s="241" t="s">
        <v>1527</v>
      </c>
      <c r="AI121" s="115"/>
      <c r="AJ121" s="73"/>
      <c r="AK121" s="73"/>
      <c r="AL121" s="73"/>
      <c r="AM121" s="241" t="s">
        <v>1528</v>
      </c>
      <c r="AN121" s="309" t="s">
        <v>1510</v>
      </c>
      <c r="AO121" s="130" t="s">
        <v>1529</v>
      </c>
      <c r="AP121" s="130" t="s">
        <v>1530</v>
      </c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</row>
    <row r="122" ht="15.75" customHeight="1">
      <c r="A122" s="288">
        <v>116.0</v>
      </c>
      <c r="B122" s="68" t="s">
        <v>1531</v>
      </c>
      <c r="C122" s="56" t="s">
        <v>1139</v>
      </c>
      <c r="D122" s="155" t="s">
        <v>91</v>
      </c>
      <c r="E122" s="95" t="s">
        <v>1532</v>
      </c>
      <c r="F122" s="238" t="s">
        <v>1533</v>
      </c>
      <c r="G122" s="320" t="s">
        <v>1534</v>
      </c>
      <c r="H122" s="52" t="s">
        <v>1535</v>
      </c>
      <c r="I122" s="52" t="s">
        <v>309</v>
      </c>
      <c r="J122" s="155" t="s">
        <v>97</v>
      </c>
      <c r="K122" s="155" t="s">
        <v>44</v>
      </c>
      <c r="L122" s="155" t="s">
        <v>98</v>
      </c>
      <c r="M122" s="238" t="s">
        <v>1536</v>
      </c>
      <c r="N122" s="311" t="s">
        <v>1537</v>
      </c>
      <c r="P122" s="235"/>
      <c r="Q122" s="155" t="s">
        <v>521</v>
      </c>
      <c r="S122" s="155" t="s">
        <v>69</v>
      </c>
      <c r="T122" s="238" t="s">
        <v>1538</v>
      </c>
      <c r="U122" s="52" t="s">
        <v>51</v>
      </c>
      <c r="W122" s="52" t="s">
        <v>1539</v>
      </c>
      <c r="Y122" s="52" t="s">
        <v>53</v>
      </c>
      <c r="Z122" s="52" t="s">
        <v>51</v>
      </c>
      <c r="AA122" s="52" t="s">
        <v>1540</v>
      </c>
      <c r="AB122" s="52" t="s">
        <v>1541</v>
      </c>
      <c r="AC122" s="312">
        <v>60229.0</v>
      </c>
      <c r="AF122" s="135" t="s">
        <v>71</v>
      </c>
      <c r="AH122" s="52">
        <v>6.82816319618E14</v>
      </c>
      <c r="AI122" s="52">
        <v>2.5011568711E10</v>
      </c>
      <c r="AJ122" s="285" t="s">
        <v>1542</v>
      </c>
      <c r="AL122" s="45" t="str">
        <f>DATEDIF(AM122,NOW(),"y")&amp;" Tahun "&amp;DATEDIF(AM122,NOW(),"ym")&amp;" Bulan"</f>
        <v>1 Tahun 6 Bulan</v>
      </c>
      <c r="AM122" s="100">
        <v>45579.0</v>
      </c>
      <c r="AN122" s="237" t="s">
        <v>1510</v>
      </c>
      <c r="AO122" s="155" t="s">
        <v>904</v>
      </c>
      <c r="AW122" s="45" t="str">
        <f>DATEDIF(AM122,$AW$2,"Y") &amp; " Tahun " &amp; DATEDIF(AM122,$AW$2,"YM") &amp; " Bulan"</f>
        <v>1 Tahun 5 Bulan</v>
      </c>
    </row>
    <row r="123" ht="15.75" hidden="1" customHeight="1">
      <c r="A123" s="287">
        <v>117.0</v>
      </c>
      <c r="B123" s="85" t="s">
        <v>1543</v>
      </c>
      <c r="C123" s="228"/>
      <c r="D123" s="73" t="s">
        <v>923</v>
      </c>
      <c r="E123" s="130" t="s">
        <v>1544</v>
      </c>
      <c r="F123" s="241" t="s">
        <v>1545</v>
      </c>
      <c r="G123" s="334" t="s">
        <v>1546</v>
      </c>
      <c r="H123" s="85" t="s">
        <v>1547</v>
      </c>
      <c r="I123" s="85" t="s">
        <v>614</v>
      </c>
      <c r="J123" s="73"/>
      <c r="K123" s="130" t="s">
        <v>44</v>
      </c>
      <c r="L123" s="130" t="s">
        <v>98</v>
      </c>
      <c r="M123" s="241" t="s">
        <v>1548</v>
      </c>
      <c r="N123" s="310" t="s">
        <v>1549</v>
      </c>
      <c r="O123" s="73"/>
      <c r="P123" s="81"/>
      <c r="Q123" s="130" t="s">
        <v>48</v>
      </c>
      <c r="R123" s="73"/>
      <c r="S123" s="130" t="s">
        <v>49</v>
      </c>
      <c r="T123" s="241" t="s">
        <v>1550</v>
      </c>
      <c r="U123" s="85" t="s">
        <v>51</v>
      </c>
      <c r="V123" s="73"/>
      <c r="W123" s="85" t="s">
        <v>1551</v>
      </c>
      <c r="X123" s="73"/>
      <c r="Y123" s="85" t="s">
        <v>798</v>
      </c>
      <c r="Z123" s="85" t="s">
        <v>1552</v>
      </c>
      <c r="AA123" s="85" t="s">
        <v>1553</v>
      </c>
      <c r="AB123" s="85" t="s">
        <v>1554</v>
      </c>
      <c r="AC123" s="308">
        <v>92671.0</v>
      </c>
      <c r="AD123" s="73"/>
      <c r="AE123" s="73"/>
      <c r="AF123" s="85" t="s">
        <v>71</v>
      </c>
      <c r="AG123" s="73"/>
      <c r="AH123" s="241" t="s">
        <v>1555</v>
      </c>
      <c r="AI123" s="115"/>
      <c r="AJ123" s="73"/>
      <c r="AK123" s="73"/>
      <c r="AL123" s="73"/>
      <c r="AM123" s="309" t="s">
        <v>1448</v>
      </c>
      <c r="AN123" s="309" t="s">
        <v>1529</v>
      </c>
      <c r="AO123" s="130" t="s">
        <v>1422</v>
      </c>
      <c r="AP123" s="130" t="s">
        <v>1530</v>
      </c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</row>
    <row r="124" ht="15.0" hidden="1" customHeight="1">
      <c r="A124" s="287">
        <v>118.0</v>
      </c>
      <c r="B124" s="150" t="s">
        <v>1556</v>
      </c>
      <c r="C124" s="205" t="s">
        <v>84</v>
      </c>
      <c r="D124" s="141" t="s">
        <v>923</v>
      </c>
      <c r="E124" s="78" t="s">
        <v>1557</v>
      </c>
      <c r="F124" s="318" t="s">
        <v>1558</v>
      </c>
      <c r="G124" s="336" t="s">
        <v>1559</v>
      </c>
      <c r="H124" s="150" t="s">
        <v>1094</v>
      </c>
      <c r="I124" s="150" t="s">
        <v>248</v>
      </c>
      <c r="J124" s="207" t="s">
        <v>97</v>
      </c>
      <c r="K124" s="207" t="s">
        <v>44</v>
      </c>
      <c r="L124" s="207" t="s">
        <v>98</v>
      </c>
      <c r="M124" s="150" t="s">
        <v>1560</v>
      </c>
      <c r="N124" s="337" t="s">
        <v>1561</v>
      </c>
      <c r="O124" s="141"/>
      <c r="P124" s="147"/>
      <c r="Q124" s="207" t="s">
        <v>48</v>
      </c>
      <c r="R124" s="141"/>
      <c r="S124" s="207" t="s">
        <v>69</v>
      </c>
      <c r="T124" s="318" t="s">
        <v>1562</v>
      </c>
      <c r="U124" s="150" t="s">
        <v>238</v>
      </c>
      <c r="V124" s="141"/>
      <c r="W124" s="150" t="s">
        <v>1563</v>
      </c>
      <c r="X124" s="141"/>
      <c r="Y124" s="150" t="s">
        <v>53</v>
      </c>
      <c r="Z124" s="150" t="s">
        <v>51</v>
      </c>
      <c r="AA124" s="150" t="s">
        <v>1564</v>
      </c>
      <c r="AB124" s="150" t="s">
        <v>1565</v>
      </c>
      <c r="AC124" s="338">
        <v>60299.0</v>
      </c>
      <c r="AD124" s="141"/>
      <c r="AE124" s="141"/>
      <c r="AF124" s="127" t="s">
        <v>71</v>
      </c>
      <c r="AG124" s="141"/>
      <c r="AH124" s="150">
        <v>7.15548129615E14</v>
      </c>
      <c r="AI124" s="150">
        <v>2.5024378322E10</v>
      </c>
      <c r="AJ124" s="339" t="s">
        <v>1566</v>
      </c>
      <c r="AK124" s="141"/>
      <c r="AL124" s="141" t="str">
        <f t="shared" ref="AL124:AL127" si="33">DATEDIF(AM124,NOW(),"y")&amp;" Tahun "&amp;DATEDIF(AM124,NOW(),"ym")&amp;" Bulan"</f>
        <v>1 Tahun 5 Bulan</v>
      </c>
      <c r="AM124" s="151">
        <v>45594.0</v>
      </c>
      <c r="AN124" s="206" t="s">
        <v>1529</v>
      </c>
      <c r="AO124" s="207" t="s">
        <v>1567</v>
      </c>
      <c r="AP124" s="207" t="s">
        <v>1568</v>
      </c>
      <c r="AQ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41"/>
      <c r="BD124" s="141"/>
      <c r="BE124" s="141"/>
      <c r="BF124" s="141"/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  <c r="CL124" s="141"/>
    </row>
    <row r="125" ht="15.75" hidden="1" customHeight="1">
      <c r="A125" s="287">
        <v>119.0</v>
      </c>
      <c r="B125" s="150" t="s">
        <v>1569</v>
      </c>
      <c r="C125" s="205" t="s">
        <v>1310</v>
      </c>
      <c r="D125" s="73" t="s">
        <v>923</v>
      </c>
      <c r="E125" s="77" t="s">
        <v>1570</v>
      </c>
      <c r="F125" s="241" t="s">
        <v>1571</v>
      </c>
      <c r="G125" s="334" t="s">
        <v>1572</v>
      </c>
      <c r="H125" s="85" t="s">
        <v>1178</v>
      </c>
      <c r="I125" s="85" t="s">
        <v>729</v>
      </c>
      <c r="J125" s="130" t="s">
        <v>1119</v>
      </c>
      <c r="K125" s="130" t="s">
        <v>44</v>
      </c>
      <c r="L125" s="130" t="s">
        <v>98</v>
      </c>
      <c r="M125" s="241" t="s">
        <v>1573</v>
      </c>
      <c r="N125" s="310" t="s">
        <v>1574</v>
      </c>
      <c r="O125" s="73"/>
      <c r="P125" s="81"/>
      <c r="Q125" s="130" t="s">
        <v>48</v>
      </c>
      <c r="R125" s="73"/>
      <c r="S125" s="130" t="s">
        <v>49</v>
      </c>
      <c r="T125" s="309" t="s">
        <v>1575</v>
      </c>
      <c r="U125" s="85" t="s">
        <v>548</v>
      </c>
      <c r="V125" s="73"/>
      <c r="W125" s="85" t="s">
        <v>1576</v>
      </c>
      <c r="X125" s="73"/>
      <c r="Y125" s="85" t="s">
        <v>53</v>
      </c>
      <c r="Z125" s="85" t="s">
        <v>1577</v>
      </c>
      <c r="AA125" s="85" t="s">
        <v>1578</v>
      </c>
      <c r="AB125" s="85" t="s">
        <v>1579</v>
      </c>
      <c r="AC125" s="308">
        <v>63464.0</v>
      </c>
      <c r="AD125" s="73"/>
      <c r="AE125" s="73"/>
      <c r="AF125" s="85" t="s">
        <v>71</v>
      </c>
      <c r="AG125" s="73"/>
      <c r="AH125" s="284" t="s">
        <v>125</v>
      </c>
      <c r="AI125" s="85">
        <v>2.5175565636E10</v>
      </c>
      <c r="AJ125" s="256" t="s">
        <v>1580</v>
      </c>
      <c r="AK125" s="73"/>
      <c r="AL125" s="73" t="str">
        <f t="shared" si="33"/>
        <v>1 Tahun 5 Bulan</v>
      </c>
      <c r="AM125" s="241" t="s">
        <v>1581</v>
      </c>
      <c r="AN125" s="309"/>
      <c r="AO125" s="73"/>
      <c r="AP125" s="73"/>
      <c r="AQ125" s="73"/>
      <c r="AR125" s="73"/>
      <c r="AS125" s="73"/>
      <c r="AT125" s="73"/>
      <c r="AU125" s="73"/>
      <c r="AV125" s="73"/>
      <c r="AW125" s="73" t="str">
        <f t="shared" ref="AW125:AW127" si="34">DATEDIF(AM125,$AW$2,"Y") &amp; " Tahun " &amp; DATEDIF(AM125,$AW$2,"YM") &amp; " Bulan"</f>
        <v>1 Tahun 4 Bulan</v>
      </c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</row>
    <row r="126" ht="15.75" customHeight="1">
      <c r="A126" s="288">
        <v>120.0</v>
      </c>
      <c r="B126" s="340" t="s">
        <v>1582</v>
      </c>
      <c r="C126" s="154" t="s">
        <v>84</v>
      </c>
      <c r="D126" s="45" t="s">
        <v>923</v>
      </c>
      <c r="E126" s="95" t="s">
        <v>1583</v>
      </c>
      <c r="F126" s="238" t="s">
        <v>1584</v>
      </c>
      <c r="G126" s="108" t="s">
        <v>1585</v>
      </c>
      <c r="H126" s="52" t="s">
        <v>556</v>
      </c>
      <c r="I126" s="52" t="s">
        <v>614</v>
      </c>
      <c r="J126" s="155" t="s">
        <v>115</v>
      </c>
      <c r="K126" s="155" t="s">
        <v>44</v>
      </c>
      <c r="L126" s="155" t="s">
        <v>98</v>
      </c>
      <c r="M126" s="238" t="s">
        <v>1586</v>
      </c>
      <c r="N126" s="311" t="s">
        <v>1587</v>
      </c>
      <c r="P126" s="235"/>
      <c r="Q126" s="155" t="s">
        <v>48</v>
      </c>
      <c r="S126" s="155" t="s">
        <v>49</v>
      </c>
      <c r="T126" s="238" t="s">
        <v>1588</v>
      </c>
      <c r="U126" s="52" t="s">
        <v>51</v>
      </c>
      <c r="W126" s="52" t="s">
        <v>1589</v>
      </c>
      <c r="Y126" s="52" t="s">
        <v>53</v>
      </c>
      <c r="Z126" s="52" t="s">
        <v>51</v>
      </c>
      <c r="AA126" s="52" t="s">
        <v>104</v>
      </c>
      <c r="AB126" s="52" t="s">
        <v>205</v>
      </c>
      <c r="AC126" s="331" t="s">
        <v>1590</v>
      </c>
      <c r="AF126" s="135" t="s">
        <v>71</v>
      </c>
      <c r="AH126" s="280" t="s">
        <v>125</v>
      </c>
      <c r="AI126" s="52">
        <v>2.5031730945E10</v>
      </c>
      <c r="AJ126" s="285" t="s">
        <v>1591</v>
      </c>
      <c r="AL126" s="45" t="str">
        <f t="shared" si="33"/>
        <v>1 Tahun 5 Bulan</v>
      </c>
      <c r="AM126" s="238" t="s">
        <v>1592</v>
      </c>
      <c r="AN126" s="237" t="s">
        <v>1422</v>
      </c>
      <c r="AO126" s="263" t="s">
        <v>1051</v>
      </c>
      <c r="AP126" s="341">
        <v>45989.0</v>
      </c>
      <c r="AQ126" s="155" t="s">
        <v>904</v>
      </c>
      <c r="AW126" s="45" t="str">
        <f t="shared" si="34"/>
        <v>1 Tahun 4 Bulan</v>
      </c>
    </row>
    <row r="127" ht="15.75" hidden="1" customHeight="1">
      <c r="A127" s="287">
        <v>121.0</v>
      </c>
      <c r="B127" s="85" t="s">
        <v>1593</v>
      </c>
      <c r="C127" s="228" t="s">
        <v>636</v>
      </c>
      <c r="D127" s="73" t="s">
        <v>923</v>
      </c>
      <c r="E127" s="77" t="s">
        <v>1594</v>
      </c>
      <c r="F127" s="241" t="s">
        <v>1595</v>
      </c>
      <c r="G127" s="306" t="s">
        <v>1596</v>
      </c>
      <c r="H127" s="85" t="s">
        <v>1597</v>
      </c>
      <c r="I127" s="85" t="s">
        <v>309</v>
      </c>
      <c r="J127" s="73" t="s">
        <v>503</v>
      </c>
      <c r="K127" s="130" t="s">
        <v>44</v>
      </c>
      <c r="L127" s="130" t="s">
        <v>98</v>
      </c>
      <c r="M127" s="241" t="s">
        <v>1598</v>
      </c>
      <c r="N127" s="310" t="s">
        <v>1599</v>
      </c>
      <c r="O127" s="73" t="s">
        <v>1043</v>
      </c>
      <c r="P127" s="342" t="s">
        <v>1600</v>
      </c>
      <c r="Q127" s="130" t="s">
        <v>48</v>
      </c>
      <c r="R127" s="73"/>
      <c r="S127" s="130" t="s">
        <v>69</v>
      </c>
      <c r="T127" s="241" t="s">
        <v>1601</v>
      </c>
      <c r="U127" s="85" t="s">
        <v>1602</v>
      </c>
      <c r="V127" s="73"/>
      <c r="W127" s="85" t="s">
        <v>1603</v>
      </c>
      <c r="X127" s="73"/>
      <c r="Y127" s="85" t="s">
        <v>53</v>
      </c>
      <c r="Z127" s="130" t="s">
        <v>64</v>
      </c>
      <c r="AA127" s="85" t="s">
        <v>1604</v>
      </c>
      <c r="AB127" s="85" t="s">
        <v>1604</v>
      </c>
      <c r="AC127" s="308">
        <v>90245.0</v>
      </c>
      <c r="AD127" s="73"/>
      <c r="AE127" s="73"/>
      <c r="AF127" s="85" t="s">
        <v>71</v>
      </c>
      <c r="AG127" s="73"/>
      <c r="AH127" s="309" t="s">
        <v>125</v>
      </c>
      <c r="AI127" s="115">
        <v>2.5031727065E10</v>
      </c>
      <c r="AJ127" s="343" t="s">
        <v>1605</v>
      </c>
      <c r="AK127" s="73"/>
      <c r="AL127" s="73" t="str">
        <f t="shared" si="33"/>
        <v>1 Tahun 5 Bulan</v>
      </c>
      <c r="AM127" s="309">
        <v>45616.0</v>
      </c>
      <c r="AN127" s="309" t="s">
        <v>1422</v>
      </c>
      <c r="AO127" s="130" t="s">
        <v>1484</v>
      </c>
      <c r="AP127" s="130" t="s">
        <v>1606</v>
      </c>
      <c r="AQ127" s="73"/>
      <c r="AR127" s="73"/>
      <c r="AS127" s="73"/>
      <c r="AT127" s="73"/>
      <c r="AU127" s="73"/>
      <c r="AV127" s="73"/>
      <c r="AW127" s="73" t="str">
        <f t="shared" si="34"/>
        <v>1 Tahun 3 Bulan</v>
      </c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</row>
    <row r="128" ht="15.75" hidden="1" customHeight="1">
      <c r="A128" s="287">
        <v>122.0</v>
      </c>
      <c r="B128" s="85" t="s">
        <v>1607</v>
      </c>
      <c r="C128" s="228" t="s">
        <v>84</v>
      </c>
      <c r="D128" s="73" t="s">
        <v>923</v>
      </c>
      <c r="E128" s="77" t="s">
        <v>1608</v>
      </c>
      <c r="F128" s="241" t="s">
        <v>1609</v>
      </c>
      <c r="G128" s="306" t="s">
        <v>1610</v>
      </c>
      <c r="H128" s="85" t="s">
        <v>113</v>
      </c>
      <c r="I128" s="85" t="s">
        <v>614</v>
      </c>
      <c r="J128" s="73"/>
      <c r="K128" s="130" t="s">
        <v>44</v>
      </c>
      <c r="L128" s="130" t="s">
        <v>98</v>
      </c>
      <c r="M128" s="241" t="s">
        <v>1611</v>
      </c>
      <c r="N128" s="310" t="s">
        <v>1612</v>
      </c>
      <c r="O128" s="73"/>
      <c r="P128" s="81"/>
      <c r="Q128" s="130" t="s">
        <v>48</v>
      </c>
      <c r="R128" s="73"/>
      <c r="S128" s="130" t="s">
        <v>49</v>
      </c>
      <c r="T128" s="241" t="s">
        <v>1613</v>
      </c>
      <c r="U128" s="85" t="s">
        <v>135</v>
      </c>
      <c r="V128" s="73"/>
      <c r="W128" s="85" t="s">
        <v>1614</v>
      </c>
      <c r="X128" s="73"/>
      <c r="Y128" s="85" t="s">
        <v>53</v>
      </c>
      <c r="Z128" s="130" t="s">
        <v>135</v>
      </c>
      <c r="AA128" s="85" t="s">
        <v>150</v>
      </c>
      <c r="AB128" s="85" t="s">
        <v>151</v>
      </c>
      <c r="AC128" s="308">
        <v>63153.0</v>
      </c>
      <c r="AD128" s="73"/>
      <c r="AE128" s="73"/>
      <c r="AF128" s="85" t="s">
        <v>510</v>
      </c>
      <c r="AG128" s="73"/>
      <c r="AH128" s="309" t="s">
        <v>125</v>
      </c>
      <c r="AI128" s="115" t="s">
        <v>1010</v>
      </c>
      <c r="AJ128" s="73" t="s">
        <v>1010</v>
      </c>
      <c r="AK128" s="73"/>
      <c r="AL128" s="73"/>
      <c r="AM128" s="241" t="s">
        <v>1615</v>
      </c>
      <c r="AN128" s="309" t="s">
        <v>1422</v>
      </c>
      <c r="AO128" s="130" t="s">
        <v>1051</v>
      </c>
      <c r="AP128" s="130" t="s">
        <v>1616</v>
      </c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</row>
    <row r="129" ht="15.75" hidden="1" customHeight="1">
      <c r="A129" s="287">
        <v>123.0</v>
      </c>
      <c r="B129" s="85" t="s">
        <v>1617</v>
      </c>
      <c r="C129" s="228"/>
      <c r="D129" s="73" t="s">
        <v>923</v>
      </c>
      <c r="E129" s="77" t="s">
        <v>1618</v>
      </c>
      <c r="F129" s="241" t="s">
        <v>1619</v>
      </c>
      <c r="G129" s="306" t="s">
        <v>1620</v>
      </c>
      <c r="H129" s="85" t="s">
        <v>157</v>
      </c>
      <c r="I129" s="85" t="s">
        <v>114</v>
      </c>
      <c r="J129" s="73"/>
      <c r="K129" s="130" t="s">
        <v>44</v>
      </c>
      <c r="L129" s="130" t="s">
        <v>98</v>
      </c>
      <c r="M129" s="241" t="s">
        <v>1621</v>
      </c>
      <c r="N129" s="310" t="s">
        <v>1622</v>
      </c>
      <c r="O129" s="73"/>
      <c r="P129" s="81"/>
      <c r="Q129" s="130" t="s">
        <v>684</v>
      </c>
      <c r="R129" s="73"/>
      <c r="S129" s="130" t="s">
        <v>49</v>
      </c>
      <c r="T129" s="241" t="s">
        <v>1623</v>
      </c>
      <c r="U129" s="85" t="s">
        <v>914</v>
      </c>
      <c r="V129" s="73"/>
      <c r="W129" s="85" t="s">
        <v>1624</v>
      </c>
      <c r="X129" s="73"/>
      <c r="Y129" s="85" t="s">
        <v>53</v>
      </c>
      <c r="Z129" s="130" t="s">
        <v>914</v>
      </c>
      <c r="AA129" s="85" t="s">
        <v>1625</v>
      </c>
      <c r="AB129" s="85" t="s">
        <v>1626</v>
      </c>
      <c r="AC129" s="308">
        <v>63264.0</v>
      </c>
      <c r="AD129" s="73"/>
      <c r="AE129" s="73"/>
      <c r="AF129" s="85" t="s">
        <v>71</v>
      </c>
      <c r="AG129" s="73"/>
      <c r="AH129" s="241" t="s">
        <v>1627</v>
      </c>
      <c r="AI129" s="115"/>
      <c r="AJ129" s="73"/>
      <c r="AK129" s="73"/>
      <c r="AL129" s="73"/>
      <c r="AM129" s="309" t="s">
        <v>1628</v>
      </c>
      <c r="AN129" s="309" t="s">
        <v>1422</v>
      </c>
      <c r="AO129" s="130" t="s">
        <v>1616</v>
      </c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</row>
    <row r="130" ht="15.75" hidden="1" customHeight="1">
      <c r="A130" s="287">
        <v>124.0</v>
      </c>
      <c r="B130" s="85" t="s">
        <v>1629</v>
      </c>
      <c r="C130" s="228"/>
      <c r="D130" s="73" t="s">
        <v>923</v>
      </c>
      <c r="E130" s="74"/>
      <c r="F130" s="241" t="s">
        <v>1630</v>
      </c>
      <c r="G130" s="334" t="s">
        <v>1631</v>
      </c>
      <c r="H130" s="85" t="s">
        <v>260</v>
      </c>
      <c r="I130" s="85" t="s">
        <v>260</v>
      </c>
      <c r="J130" s="73"/>
      <c r="K130" s="130" t="s">
        <v>44</v>
      </c>
      <c r="L130" s="130" t="s">
        <v>98</v>
      </c>
      <c r="M130" s="241" t="s">
        <v>1632</v>
      </c>
      <c r="N130" s="310" t="s">
        <v>1633</v>
      </c>
      <c r="O130" s="73"/>
      <c r="P130" s="81"/>
      <c r="Q130" s="130" t="s">
        <v>48</v>
      </c>
      <c r="R130" s="73"/>
      <c r="S130" s="130" t="s">
        <v>49</v>
      </c>
      <c r="T130" s="241" t="s">
        <v>1634</v>
      </c>
      <c r="U130" s="85" t="s">
        <v>51</v>
      </c>
      <c r="V130" s="73"/>
      <c r="W130" s="85" t="s">
        <v>1635</v>
      </c>
      <c r="X130" s="73"/>
      <c r="Y130" s="85" t="s">
        <v>53</v>
      </c>
      <c r="Z130" s="85" t="s">
        <v>51</v>
      </c>
      <c r="AA130" s="85" t="s">
        <v>177</v>
      </c>
      <c r="AB130" s="85" t="s">
        <v>178</v>
      </c>
      <c r="AC130" s="308">
        <v>60254.0</v>
      </c>
      <c r="AD130" s="73"/>
      <c r="AE130" s="73"/>
      <c r="AF130" s="85" t="s">
        <v>1396</v>
      </c>
      <c r="AG130" s="73"/>
      <c r="AH130" s="284" t="s">
        <v>125</v>
      </c>
      <c r="AI130" s="115"/>
      <c r="AJ130" s="73"/>
      <c r="AK130" s="73"/>
      <c r="AL130" s="73"/>
      <c r="AM130" s="241" t="s">
        <v>1628</v>
      </c>
      <c r="AN130" s="309" t="s">
        <v>1422</v>
      </c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</row>
    <row r="131" ht="15.75" hidden="1" customHeight="1">
      <c r="A131" s="287">
        <v>125.0</v>
      </c>
      <c r="B131" s="85" t="s">
        <v>1636</v>
      </c>
      <c r="C131" s="228" t="s">
        <v>84</v>
      </c>
      <c r="D131" s="73" t="s">
        <v>923</v>
      </c>
      <c r="E131" s="74" t="s">
        <v>1637</v>
      </c>
      <c r="F131" s="241" t="s">
        <v>1638</v>
      </c>
      <c r="G131" s="334" t="s">
        <v>1639</v>
      </c>
      <c r="H131" s="85" t="s">
        <v>1094</v>
      </c>
      <c r="I131" s="85" t="s">
        <v>248</v>
      </c>
      <c r="J131" s="73"/>
      <c r="K131" s="130" t="s">
        <v>44</v>
      </c>
      <c r="L131" s="130" t="s">
        <v>74</v>
      </c>
      <c r="M131" s="309" t="s">
        <v>1640</v>
      </c>
      <c r="N131" s="310" t="s">
        <v>1641</v>
      </c>
      <c r="O131" s="73" t="s">
        <v>868</v>
      </c>
      <c r="P131" s="81">
        <v>4.680128567E9</v>
      </c>
      <c r="Q131" s="130" t="s">
        <v>684</v>
      </c>
      <c r="R131" s="73"/>
      <c r="S131" s="130" t="s">
        <v>49</v>
      </c>
      <c r="T131" s="241" t="s">
        <v>1642</v>
      </c>
      <c r="U131" s="85" t="s">
        <v>238</v>
      </c>
      <c r="V131" s="73"/>
      <c r="W131" s="85" t="s">
        <v>1643</v>
      </c>
      <c r="X131" s="73"/>
      <c r="Y131" s="85" t="s">
        <v>53</v>
      </c>
      <c r="Z131" s="85" t="s">
        <v>51</v>
      </c>
      <c r="AA131" s="85" t="s">
        <v>1644</v>
      </c>
      <c r="AB131" s="85" t="s">
        <v>1645</v>
      </c>
      <c r="AC131" s="308">
        <v>60215.0</v>
      </c>
      <c r="AD131" s="73"/>
      <c r="AE131" s="73"/>
      <c r="AF131" s="85" t="s">
        <v>65</v>
      </c>
      <c r="AG131" s="73"/>
      <c r="AH131" s="344" t="s">
        <v>1646</v>
      </c>
      <c r="AI131" s="115">
        <v>2.5045536155E10</v>
      </c>
      <c r="AJ131" s="343" t="s">
        <v>1647</v>
      </c>
      <c r="AK131" s="73"/>
      <c r="AL131" s="73" t="str">
        <f t="shared" ref="AL131:AL133" si="35">DATEDIF(AM131,NOW(),"y")&amp;" Tahun "&amp;DATEDIF(AM131,NOW(),"ym")&amp;" Bulan"</f>
        <v>1 Tahun 4 Bulan</v>
      </c>
      <c r="AM131" s="309">
        <v>45643.0</v>
      </c>
      <c r="AN131" s="309" t="s">
        <v>1232</v>
      </c>
      <c r="AO131" s="73" t="s">
        <v>1648</v>
      </c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</row>
    <row r="132" ht="15.75" customHeight="1">
      <c r="A132" s="288">
        <v>126.0</v>
      </c>
      <c r="B132" s="340" t="s">
        <v>1649</v>
      </c>
      <c r="C132" s="154" t="s">
        <v>84</v>
      </c>
      <c r="D132" s="155" t="s">
        <v>91</v>
      </c>
      <c r="E132" s="95" t="s">
        <v>1650</v>
      </c>
      <c r="F132" s="238" t="s">
        <v>1651</v>
      </c>
      <c r="G132" s="108" t="s">
        <v>1652</v>
      </c>
      <c r="H132" s="52" t="s">
        <v>1188</v>
      </c>
      <c r="I132" s="52" t="s">
        <v>591</v>
      </c>
      <c r="K132" s="155" t="s">
        <v>44</v>
      </c>
      <c r="L132" s="155" t="s">
        <v>98</v>
      </c>
      <c r="M132" s="238" t="s">
        <v>1653</v>
      </c>
      <c r="N132" s="311" t="s">
        <v>1654</v>
      </c>
      <c r="O132" s="155" t="s">
        <v>1043</v>
      </c>
      <c r="P132" s="300" t="s">
        <v>1655</v>
      </c>
      <c r="Q132" s="155" t="s">
        <v>521</v>
      </c>
      <c r="S132" s="155" t="s">
        <v>69</v>
      </c>
      <c r="T132" s="237" t="s">
        <v>1656</v>
      </c>
      <c r="U132" s="52" t="s">
        <v>51</v>
      </c>
      <c r="W132" s="52" t="s">
        <v>1657</v>
      </c>
      <c r="Y132" s="52" t="s">
        <v>53</v>
      </c>
      <c r="Z132" s="52" t="s">
        <v>51</v>
      </c>
      <c r="AA132" s="52" t="s">
        <v>1658</v>
      </c>
      <c r="AB132" s="52" t="s">
        <v>1659</v>
      </c>
      <c r="AC132" s="312">
        <v>60242.0</v>
      </c>
      <c r="AD132" s="155"/>
      <c r="AF132" s="135" t="s">
        <v>71</v>
      </c>
      <c r="AH132" s="238" t="s">
        <v>1660</v>
      </c>
      <c r="AI132" s="52">
        <v>2.5045536163E10</v>
      </c>
      <c r="AJ132" s="285" t="s">
        <v>1661</v>
      </c>
      <c r="AL132" s="45" t="str">
        <f t="shared" si="35"/>
        <v>1 Tahun 4 Bulan</v>
      </c>
      <c r="AM132" s="345">
        <v>45646.0</v>
      </c>
      <c r="AN132" s="346" t="s">
        <v>1232</v>
      </c>
      <c r="AO132" s="347">
        <v>45928.0</v>
      </c>
      <c r="AP132" s="98" t="s">
        <v>1662</v>
      </c>
      <c r="AQ132" s="155" t="s">
        <v>904</v>
      </c>
      <c r="AW132" s="45" t="str">
        <f t="shared" ref="AW132:AW133" si="36">DATEDIF(AM132,$AW$2,"Y") &amp; " Tahun " &amp; DATEDIF(AM132,$AW$2,"YM") &amp; " Bulan"</f>
        <v>1 Tahun 2 Bulan</v>
      </c>
    </row>
    <row r="133" ht="15.75" customHeight="1">
      <c r="A133" s="288">
        <v>127.0</v>
      </c>
      <c r="B133" s="68" t="s">
        <v>1663</v>
      </c>
      <c r="C133" s="154" t="s">
        <v>729</v>
      </c>
      <c r="D133" s="155" t="s">
        <v>91</v>
      </c>
      <c r="E133" s="95" t="s">
        <v>1664</v>
      </c>
      <c r="F133" s="238" t="s">
        <v>1665</v>
      </c>
      <c r="G133" s="320" t="s">
        <v>1666</v>
      </c>
      <c r="H133" s="52" t="s">
        <v>1667</v>
      </c>
      <c r="I133" s="52" t="s">
        <v>729</v>
      </c>
      <c r="K133" s="155" t="s">
        <v>44</v>
      </c>
      <c r="L133" s="155" t="s">
        <v>98</v>
      </c>
      <c r="M133" s="136" t="s">
        <v>1668</v>
      </c>
      <c r="N133" s="238" t="s">
        <v>1669</v>
      </c>
      <c r="O133" s="155" t="s">
        <v>868</v>
      </c>
      <c r="P133" s="47">
        <v>4.680143426E9</v>
      </c>
      <c r="Q133" s="155" t="s">
        <v>521</v>
      </c>
      <c r="S133" s="155" t="s">
        <v>69</v>
      </c>
      <c r="T133" s="238" t="s">
        <v>1670</v>
      </c>
      <c r="U133" s="52" t="s">
        <v>761</v>
      </c>
      <c r="W133" s="52" t="s">
        <v>1671</v>
      </c>
      <c r="Y133" s="52" t="s">
        <v>53</v>
      </c>
      <c r="Z133" s="52" t="s">
        <v>51</v>
      </c>
      <c r="AA133" s="52" t="s">
        <v>253</v>
      </c>
      <c r="AB133" s="52" t="s">
        <v>1672</v>
      </c>
      <c r="AC133" s="312">
        <v>60177.0</v>
      </c>
      <c r="AF133" s="135" t="s">
        <v>71</v>
      </c>
      <c r="AH133" s="238" t="s">
        <v>1673</v>
      </c>
      <c r="AI133" s="52">
        <v>2.5045536171E10</v>
      </c>
      <c r="AJ133" s="285" t="s">
        <v>1674</v>
      </c>
      <c r="AL133" s="45" t="str">
        <f t="shared" si="35"/>
        <v>1 Tahun 3 Bulan</v>
      </c>
      <c r="AM133" s="345">
        <v>45649.0</v>
      </c>
      <c r="AN133" s="346" t="s">
        <v>1232</v>
      </c>
      <c r="AO133" s="348" t="s">
        <v>1648</v>
      </c>
      <c r="AP133" s="155" t="s">
        <v>904</v>
      </c>
      <c r="AQ133" s="155" t="s">
        <v>1675</v>
      </c>
      <c r="AW133" s="45" t="str">
        <f t="shared" si="36"/>
        <v>1 Tahun 2 Bulan</v>
      </c>
    </row>
    <row r="134" ht="15.75" hidden="1" customHeight="1">
      <c r="A134" s="287">
        <v>128.0</v>
      </c>
      <c r="B134" s="85" t="s">
        <v>1676</v>
      </c>
      <c r="C134" s="228"/>
      <c r="D134" s="73" t="s">
        <v>923</v>
      </c>
      <c r="E134" s="315" t="s">
        <v>1677</v>
      </c>
      <c r="F134" s="241" t="s">
        <v>1678</v>
      </c>
      <c r="G134" s="316" t="s">
        <v>1679</v>
      </c>
      <c r="H134" s="85" t="s">
        <v>157</v>
      </c>
      <c r="I134" s="85" t="s">
        <v>614</v>
      </c>
      <c r="J134" s="73"/>
      <c r="K134" s="130" t="s">
        <v>44</v>
      </c>
      <c r="L134" s="130" t="s">
        <v>98</v>
      </c>
      <c r="M134" s="256" t="s">
        <v>1680</v>
      </c>
      <c r="N134" s="241" t="s">
        <v>1681</v>
      </c>
      <c r="O134" s="73"/>
      <c r="P134" s="81"/>
      <c r="Q134" s="130" t="s">
        <v>1682</v>
      </c>
      <c r="R134" s="73"/>
      <c r="S134" s="130" t="s">
        <v>49</v>
      </c>
      <c r="T134" s="241" t="s">
        <v>1683</v>
      </c>
      <c r="U134" s="85" t="s">
        <v>51</v>
      </c>
      <c r="V134" s="73"/>
      <c r="W134" s="85" t="s">
        <v>1684</v>
      </c>
      <c r="X134" s="73"/>
      <c r="Y134" s="85" t="s">
        <v>53</v>
      </c>
      <c r="Z134" s="85" t="s">
        <v>51</v>
      </c>
      <c r="AA134" s="85" t="s">
        <v>104</v>
      </c>
      <c r="AB134" s="85" t="s">
        <v>105</v>
      </c>
      <c r="AC134" s="317" t="s">
        <v>1685</v>
      </c>
      <c r="AD134" s="73"/>
      <c r="AE134" s="73"/>
      <c r="AF134" s="85" t="s">
        <v>71</v>
      </c>
      <c r="AG134" s="73"/>
      <c r="AH134" s="284" t="s">
        <v>125</v>
      </c>
      <c r="AI134" s="115"/>
      <c r="AJ134" s="73"/>
      <c r="AK134" s="73"/>
      <c r="AL134" s="73"/>
      <c r="AM134" s="241" t="s">
        <v>1686</v>
      </c>
      <c r="AN134" s="349">
        <v>45775.0</v>
      </c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</row>
    <row r="135" ht="15.75" customHeight="1">
      <c r="A135" s="288">
        <v>129.0</v>
      </c>
      <c r="B135" s="340" t="s">
        <v>1687</v>
      </c>
      <c r="C135" s="154" t="s">
        <v>84</v>
      </c>
      <c r="D135" s="155" t="s">
        <v>91</v>
      </c>
      <c r="E135" s="95" t="s">
        <v>1688</v>
      </c>
      <c r="F135" s="350" t="s">
        <v>1689</v>
      </c>
      <c r="G135" s="320" t="s">
        <v>1690</v>
      </c>
      <c r="H135" s="52" t="s">
        <v>721</v>
      </c>
      <c r="I135" s="52" t="s">
        <v>309</v>
      </c>
      <c r="K135" s="155" t="s">
        <v>44</v>
      </c>
      <c r="L135" s="155" t="s">
        <v>98</v>
      </c>
      <c r="M135" s="136" t="s">
        <v>1691</v>
      </c>
      <c r="N135" s="238" t="s">
        <v>1692</v>
      </c>
      <c r="O135" s="351" t="s">
        <v>868</v>
      </c>
      <c r="P135" s="47">
        <v>4.630137E9</v>
      </c>
      <c r="Q135" s="155" t="s">
        <v>521</v>
      </c>
      <c r="S135" s="155" t="s">
        <v>69</v>
      </c>
      <c r="T135" s="238" t="s">
        <v>1693</v>
      </c>
      <c r="U135" s="52" t="s">
        <v>51</v>
      </c>
      <c r="W135" s="52" t="s">
        <v>1694</v>
      </c>
      <c r="Y135" s="52" t="s">
        <v>53</v>
      </c>
      <c r="Z135" s="52" t="s">
        <v>51</v>
      </c>
      <c r="AA135" s="52" t="s">
        <v>509</v>
      </c>
      <c r="AB135" s="52" t="s">
        <v>1695</v>
      </c>
      <c r="AC135" s="312">
        <v>60214.0</v>
      </c>
      <c r="AF135" s="135" t="s">
        <v>71</v>
      </c>
      <c r="AH135" s="352">
        <v>6.34668842604E14</v>
      </c>
      <c r="AI135" s="52">
        <v>2.505651259E10</v>
      </c>
      <c r="AJ135" s="285" t="s">
        <v>1696</v>
      </c>
      <c r="AL135" s="45" t="str">
        <f>DATEDIF(AM135,NOW(),"y")&amp;" Tahun "&amp;DATEDIF(AM135,NOW(),"ym")&amp;" Bulan"</f>
        <v>1 Tahun 2 Bulan</v>
      </c>
      <c r="AM135" s="345">
        <v>45687.0</v>
      </c>
      <c r="AN135" s="353">
        <v>45775.0</v>
      </c>
      <c r="AO135" s="252" t="s">
        <v>1209</v>
      </c>
      <c r="AP135" s="155" t="s">
        <v>904</v>
      </c>
      <c r="AW135" s="45" t="str">
        <f>DATEDIF(AM135,$AW$2,"Y") &amp; " Tahun " &amp; DATEDIF(AM135,$AW$2,"YM") &amp; " Bulan"</f>
        <v>1 Tahun 1 Bulan</v>
      </c>
    </row>
    <row r="136" ht="15.75" hidden="1" customHeight="1">
      <c r="A136" s="287">
        <v>130.0</v>
      </c>
      <c r="B136" s="85" t="s">
        <v>1697</v>
      </c>
      <c r="C136" s="228"/>
      <c r="D136" s="73" t="s">
        <v>923</v>
      </c>
      <c r="E136" s="77" t="s">
        <v>1698</v>
      </c>
      <c r="F136" s="241" t="s">
        <v>1699</v>
      </c>
      <c r="G136" s="316" t="s">
        <v>1700</v>
      </c>
      <c r="H136" s="85" t="s">
        <v>705</v>
      </c>
      <c r="I136" s="85" t="s">
        <v>248</v>
      </c>
      <c r="J136" s="73"/>
      <c r="K136" s="130" t="s">
        <v>44</v>
      </c>
      <c r="L136" s="130" t="s">
        <v>98</v>
      </c>
      <c r="M136" s="256" t="s">
        <v>1701</v>
      </c>
      <c r="N136" s="241" t="s">
        <v>1702</v>
      </c>
      <c r="O136" s="73"/>
      <c r="P136" s="81"/>
      <c r="Q136" s="130" t="s">
        <v>521</v>
      </c>
      <c r="R136" s="73"/>
      <c r="S136" s="130" t="s">
        <v>69</v>
      </c>
      <c r="T136" s="241" t="s">
        <v>1703</v>
      </c>
      <c r="U136" s="85" t="s">
        <v>1704</v>
      </c>
      <c r="V136" s="73"/>
      <c r="W136" s="85" t="s">
        <v>1705</v>
      </c>
      <c r="X136" s="73"/>
      <c r="Y136" s="85" t="s">
        <v>53</v>
      </c>
      <c r="Z136" s="85" t="s">
        <v>51</v>
      </c>
      <c r="AA136" s="85" t="s">
        <v>422</v>
      </c>
      <c r="AB136" s="85" t="s">
        <v>1706</v>
      </c>
      <c r="AC136" s="308">
        <v>61174.0</v>
      </c>
      <c r="AD136" s="73"/>
      <c r="AE136" s="73"/>
      <c r="AF136" s="85" t="s">
        <v>71</v>
      </c>
      <c r="AG136" s="73"/>
      <c r="AH136" s="284" t="s">
        <v>125</v>
      </c>
      <c r="AI136" s="115"/>
      <c r="AJ136" s="73"/>
      <c r="AK136" s="73"/>
      <c r="AL136" s="73"/>
      <c r="AM136" s="241" t="s">
        <v>1707</v>
      </c>
      <c r="AN136" s="349">
        <v>45775.0</v>
      </c>
      <c r="AO136" s="130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</row>
    <row r="137" ht="15.75" customHeight="1">
      <c r="A137" s="288">
        <v>131.0</v>
      </c>
      <c r="B137" s="68" t="s">
        <v>1708</v>
      </c>
      <c r="C137" s="154" t="s">
        <v>498</v>
      </c>
      <c r="D137" s="45" t="s">
        <v>923</v>
      </c>
      <c r="E137" s="95" t="s">
        <v>1698</v>
      </c>
      <c r="F137" s="238" t="s">
        <v>1709</v>
      </c>
      <c r="G137" s="354" t="s">
        <v>1710</v>
      </c>
      <c r="H137" s="52" t="s">
        <v>355</v>
      </c>
      <c r="I137" s="52" t="s">
        <v>614</v>
      </c>
      <c r="K137" s="155" t="s">
        <v>44</v>
      </c>
      <c r="L137" s="155" t="s">
        <v>98</v>
      </c>
      <c r="M137" s="155" t="s">
        <v>1711</v>
      </c>
      <c r="N137" s="238" t="s">
        <v>1712</v>
      </c>
      <c r="O137" s="351" t="s">
        <v>868</v>
      </c>
      <c r="P137" s="355">
        <v>1.870570879E9</v>
      </c>
      <c r="Q137" s="155" t="s">
        <v>1682</v>
      </c>
      <c r="S137" s="155" t="s">
        <v>49</v>
      </c>
      <c r="T137" s="238" t="s">
        <v>1713</v>
      </c>
      <c r="U137" s="52" t="s">
        <v>51</v>
      </c>
      <c r="W137" s="52" t="s">
        <v>1714</v>
      </c>
      <c r="Y137" s="52" t="s">
        <v>53</v>
      </c>
      <c r="Z137" s="52" t="s">
        <v>51</v>
      </c>
      <c r="AA137" s="52" t="s">
        <v>177</v>
      </c>
      <c r="AB137" s="52" t="s">
        <v>177</v>
      </c>
      <c r="AC137" s="312">
        <v>60251.0</v>
      </c>
      <c r="AF137" s="135" t="s">
        <v>71</v>
      </c>
      <c r="AH137" s="280" t="s">
        <v>125</v>
      </c>
      <c r="AI137" s="52">
        <v>2.5056509836E10</v>
      </c>
      <c r="AJ137" s="285" t="s">
        <v>1715</v>
      </c>
      <c r="AL137" s="45" t="str">
        <f t="shared" ref="AL137:AL140" si="37">DATEDIF(AM137,NOW(),"y")&amp;" Tahun "&amp;DATEDIF(AM137,NOW(),"ym")&amp;" Bulan"</f>
        <v>1 Tahun 2 Bulan</v>
      </c>
      <c r="AM137" s="345">
        <v>45701.0</v>
      </c>
      <c r="AN137" s="353">
        <v>45775.0</v>
      </c>
      <c r="AO137" s="252" t="s">
        <v>1209</v>
      </c>
      <c r="AP137" s="254">
        <v>46140.0</v>
      </c>
      <c r="AQ137" s="255">
        <v>46323.0</v>
      </c>
      <c r="AW137" s="45" t="str">
        <f t="shared" ref="AW137:AW138" si="38">DATEDIF(AM137,$AW$2,"Y") &amp; " Tahun " &amp; DATEDIF(AM137,$AW$2,"YM") &amp; " Bulan"</f>
        <v>1 Tahun 1 Bulan</v>
      </c>
    </row>
    <row r="138" ht="15.75" customHeight="1">
      <c r="A138" s="288">
        <v>132.0</v>
      </c>
      <c r="B138" s="68" t="s">
        <v>1716</v>
      </c>
      <c r="C138" s="154" t="s">
        <v>498</v>
      </c>
      <c r="D138" s="155" t="s">
        <v>91</v>
      </c>
      <c r="E138" s="356" t="s">
        <v>1717</v>
      </c>
      <c r="F138" s="238" t="s">
        <v>1718</v>
      </c>
      <c r="G138" s="320" t="s">
        <v>1719</v>
      </c>
      <c r="H138" s="52" t="s">
        <v>556</v>
      </c>
      <c r="I138" s="52" t="s">
        <v>614</v>
      </c>
      <c r="K138" s="155" t="s">
        <v>44</v>
      </c>
      <c r="L138" s="155" t="s">
        <v>98</v>
      </c>
      <c r="M138" s="136" t="s">
        <v>1720</v>
      </c>
      <c r="N138" s="238" t="s">
        <v>1721</v>
      </c>
      <c r="O138" s="351" t="s">
        <v>868</v>
      </c>
      <c r="P138" s="355">
        <v>4.680227913E9</v>
      </c>
      <c r="Q138" s="155" t="s">
        <v>1682</v>
      </c>
      <c r="S138" s="155" t="s">
        <v>49</v>
      </c>
      <c r="T138" s="345">
        <v>35176.0</v>
      </c>
      <c r="U138" s="52" t="s">
        <v>51</v>
      </c>
      <c r="W138" s="52" t="s">
        <v>1722</v>
      </c>
      <c r="Y138" s="52" t="s">
        <v>53</v>
      </c>
      <c r="Z138" s="52" t="s">
        <v>51</v>
      </c>
      <c r="AA138" s="52" t="s">
        <v>290</v>
      </c>
      <c r="AB138" s="52" t="s">
        <v>1723</v>
      </c>
      <c r="AC138" s="331" t="s">
        <v>1724</v>
      </c>
      <c r="AF138" s="135" t="s">
        <v>139</v>
      </c>
      <c r="AH138" s="280" t="s">
        <v>125</v>
      </c>
      <c r="AI138" s="52">
        <v>2.5072198887E10</v>
      </c>
      <c r="AJ138" s="285" t="s">
        <v>1725</v>
      </c>
      <c r="AL138" s="45" t="str">
        <f t="shared" si="37"/>
        <v>1 Tahun 2 Bulan</v>
      </c>
      <c r="AM138" s="345">
        <v>45707.0</v>
      </c>
      <c r="AN138" s="357" t="s">
        <v>1051</v>
      </c>
      <c r="AO138" s="341">
        <v>45989.0</v>
      </c>
      <c r="AP138" s="155" t="s">
        <v>904</v>
      </c>
      <c r="AW138" s="45" t="str">
        <f t="shared" si="38"/>
        <v>1 Tahun 1 Bulan</v>
      </c>
    </row>
    <row r="139" ht="15.75" hidden="1" customHeight="1">
      <c r="A139" s="338">
        <v>133.0</v>
      </c>
      <c r="B139" s="207" t="s">
        <v>1726</v>
      </c>
      <c r="C139" s="205" t="s">
        <v>498</v>
      </c>
      <c r="D139" s="207" t="s">
        <v>923</v>
      </c>
      <c r="E139" s="78" t="s">
        <v>1727</v>
      </c>
      <c r="F139" s="337" t="s">
        <v>1728</v>
      </c>
      <c r="G139" s="358" t="s">
        <v>1729</v>
      </c>
      <c r="H139" s="150" t="s">
        <v>1188</v>
      </c>
      <c r="I139" s="150" t="s">
        <v>591</v>
      </c>
      <c r="J139" s="141"/>
      <c r="K139" s="207" t="s">
        <v>44</v>
      </c>
      <c r="L139" s="207" t="s">
        <v>98</v>
      </c>
      <c r="M139" s="318" t="s">
        <v>1730</v>
      </c>
      <c r="N139" s="337" t="s">
        <v>1731</v>
      </c>
      <c r="O139" s="207" t="s">
        <v>868</v>
      </c>
      <c r="P139" s="208">
        <v>1.880646466E9</v>
      </c>
      <c r="Q139" s="141" t="s">
        <v>1682</v>
      </c>
      <c r="R139" s="141"/>
      <c r="S139" s="207" t="s">
        <v>49</v>
      </c>
      <c r="T139" s="318" t="s">
        <v>1732</v>
      </c>
      <c r="U139" s="150" t="s">
        <v>51</v>
      </c>
      <c r="V139" s="141"/>
      <c r="W139" s="150" t="s">
        <v>1733</v>
      </c>
      <c r="X139" s="141"/>
      <c r="Y139" s="150" t="s">
        <v>53</v>
      </c>
      <c r="Z139" s="150" t="s">
        <v>51</v>
      </c>
      <c r="AA139" s="150" t="s">
        <v>104</v>
      </c>
      <c r="AB139" s="150" t="s">
        <v>1087</v>
      </c>
      <c r="AC139" s="338">
        <v>60129.0</v>
      </c>
      <c r="AD139" s="141"/>
      <c r="AE139" s="141"/>
      <c r="AF139" s="150" t="s">
        <v>71</v>
      </c>
      <c r="AG139" s="141"/>
      <c r="AH139" s="206">
        <v>9.00746017619E14</v>
      </c>
      <c r="AI139" s="150">
        <v>2.5072198895E10</v>
      </c>
      <c r="AJ139" s="337" t="s">
        <v>1734</v>
      </c>
      <c r="AK139" s="141"/>
      <c r="AL139" s="141" t="str">
        <f t="shared" si="37"/>
        <v>1 Tahun 1 Bulan</v>
      </c>
      <c r="AM139" s="359">
        <v>45719.0</v>
      </c>
      <c r="AN139" s="360" t="s">
        <v>1051</v>
      </c>
      <c r="AO139" s="141" t="s">
        <v>1616</v>
      </c>
      <c r="AP139" s="141">
        <v>45989.0</v>
      </c>
      <c r="AQ139" s="141" t="s">
        <v>1484</v>
      </c>
      <c r="AR139" s="141" t="s">
        <v>1735</v>
      </c>
      <c r="AS139" s="141"/>
      <c r="AT139" s="141"/>
      <c r="AU139" s="141"/>
      <c r="AV139" s="141"/>
      <c r="AW139" s="141"/>
      <c r="AX139" s="141"/>
      <c r="AY139" s="141"/>
      <c r="AZ139" s="141"/>
      <c r="BA139" s="141"/>
      <c r="BB139" s="141"/>
      <c r="BC139" s="141"/>
      <c r="BD139" s="141"/>
      <c r="BE139" s="141"/>
      <c r="BF139" s="141"/>
      <c r="BG139" s="141"/>
      <c r="BH139" s="141"/>
      <c r="BI139" s="141"/>
      <c r="BJ139" s="141"/>
      <c r="BK139" s="141"/>
      <c r="BL139" s="141"/>
      <c r="BM139" s="141"/>
      <c r="BN139" s="141"/>
      <c r="BO139" s="141"/>
      <c r="BP139" s="141"/>
      <c r="BQ139" s="141"/>
      <c r="BR139" s="141"/>
      <c r="BS139" s="141"/>
      <c r="BT139" s="141"/>
      <c r="BU139" s="141"/>
      <c r="BV139" s="141"/>
      <c r="BW139" s="141"/>
      <c r="BX139" s="141"/>
      <c r="BY139" s="141"/>
      <c r="BZ139" s="141"/>
      <c r="CA139" s="141"/>
      <c r="CB139" s="141"/>
      <c r="CC139" s="141"/>
      <c r="CD139" s="141"/>
      <c r="CE139" s="141"/>
      <c r="CF139" s="141"/>
      <c r="CG139" s="141"/>
      <c r="CH139" s="141"/>
      <c r="CI139" s="141"/>
      <c r="CJ139" s="141"/>
      <c r="CK139" s="141"/>
      <c r="CL139" s="141"/>
    </row>
    <row r="140" ht="15.75" customHeight="1">
      <c r="A140" s="288">
        <v>134.0</v>
      </c>
      <c r="B140" s="68" t="s">
        <v>1736</v>
      </c>
      <c r="C140" s="154" t="s">
        <v>498</v>
      </c>
      <c r="D140" s="45" t="s">
        <v>923</v>
      </c>
      <c r="E140" s="356" t="s">
        <v>1737</v>
      </c>
      <c r="F140" s="238" t="s">
        <v>1738</v>
      </c>
      <c r="G140" s="108" t="s">
        <v>1739</v>
      </c>
      <c r="H140" s="52" t="s">
        <v>578</v>
      </c>
      <c r="I140" s="52" t="s">
        <v>309</v>
      </c>
      <c r="K140" s="155" t="s">
        <v>44</v>
      </c>
      <c r="L140" s="155" t="s">
        <v>98</v>
      </c>
      <c r="M140" s="238" t="s">
        <v>1740</v>
      </c>
      <c r="N140" s="311" t="s">
        <v>1741</v>
      </c>
      <c r="O140" s="155" t="s">
        <v>1742</v>
      </c>
      <c r="P140" s="47">
        <v>1.420017017954E12</v>
      </c>
      <c r="Q140" s="155" t="s">
        <v>1682</v>
      </c>
      <c r="S140" s="155" t="s">
        <v>69</v>
      </c>
      <c r="T140" s="238" t="s">
        <v>1743</v>
      </c>
      <c r="U140" s="52" t="s">
        <v>161</v>
      </c>
      <c r="W140" s="52" t="s">
        <v>1744</v>
      </c>
      <c r="Y140" s="52" t="s">
        <v>53</v>
      </c>
      <c r="Z140" s="52" t="s">
        <v>51</v>
      </c>
      <c r="AA140" s="52" t="s">
        <v>494</v>
      </c>
      <c r="AB140" s="52" t="s">
        <v>495</v>
      </c>
      <c r="AC140" s="312">
        <v>61174.0</v>
      </c>
      <c r="AF140" s="135" t="s">
        <v>71</v>
      </c>
      <c r="AG140" s="155">
        <v>2.5072198903E10</v>
      </c>
      <c r="AH140" s="280" t="s">
        <v>125</v>
      </c>
      <c r="AI140" s="52">
        <v>2.5072198903E10</v>
      </c>
      <c r="AJ140" s="285" t="s">
        <v>1745</v>
      </c>
      <c r="AL140" s="45" t="str">
        <f t="shared" si="37"/>
        <v>1 Tahun 1 Bulan</v>
      </c>
      <c r="AM140" s="345">
        <v>45720.0</v>
      </c>
      <c r="AN140" s="357" t="s">
        <v>1051</v>
      </c>
      <c r="AO140" s="252" t="s">
        <v>1616</v>
      </c>
      <c r="AP140" s="347">
        <v>45989.0</v>
      </c>
      <c r="AQ140" s="255">
        <v>46170.0</v>
      </c>
      <c r="AW140" s="45" t="str">
        <f>DATEDIF(AM140,$AW$2,"Y") &amp; " Tahun " &amp; DATEDIF(AM140,$AW$2,"YM") &amp; " Bulan"</f>
        <v>1 Tahun 0 Bulan</v>
      </c>
    </row>
    <row r="141" ht="15.75" hidden="1" customHeight="1">
      <c r="A141" s="338">
        <v>135.0</v>
      </c>
      <c r="B141" s="130" t="s">
        <v>1746</v>
      </c>
      <c r="C141" s="205" t="s">
        <v>84</v>
      </c>
      <c r="D141" s="73" t="s">
        <v>923</v>
      </c>
      <c r="E141" s="77" t="s">
        <v>1747</v>
      </c>
      <c r="F141" s="241" t="s">
        <v>1748</v>
      </c>
      <c r="G141" s="334" t="s">
        <v>1749</v>
      </c>
      <c r="H141" s="85" t="s">
        <v>355</v>
      </c>
      <c r="I141" s="85" t="s">
        <v>614</v>
      </c>
      <c r="J141" s="73"/>
      <c r="K141" s="130" t="s">
        <v>44</v>
      </c>
      <c r="L141" s="130" t="s">
        <v>98</v>
      </c>
      <c r="M141" s="241" t="s">
        <v>1750</v>
      </c>
      <c r="N141" s="310" t="s">
        <v>1751</v>
      </c>
      <c r="O141" s="130" t="s">
        <v>1742</v>
      </c>
      <c r="P141" s="175">
        <v>1.400024673965E12</v>
      </c>
      <c r="Q141" s="130" t="s">
        <v>1682</v>
      </c>
      <c r="R141" s="73"/>
      <c r="S141" s="130" t="s">
        <v>49</v>
      </c>
      <c r="T141" s="241" t="s">
        <v>1752</v>
      </c>
      <c r="U141" s="85" t="s">
        <v>1753</v>
      </c>
      <c r="V141" s="73"/>
      <c r="W141" s="85" t="s">
        <v>1754</v>
      </c>
      <c r="X141" s="73"/>
      <c r="Y141" s="85" t="s">
        <v>53</v>
      </c>
      <c r="Z141" s="85" t="s">
        <v>1753</v>
      </c>
      <c r="AA141" s="85" t="s">
        <v>1755</v>
      </c>
      <c r="AB141" s="85" t="s">
        <v>1755</v>
      </c>
      <c r="AC141" s="308">
        <v>68352.0</v>
      </c>
      <c r="AD141" s="73"/>
      <c r="AE141" s="73"/>
      <c r="AF141" s="85" t="s">
        <v>71</v>
      </c>
      <c r="AG141" s="73"/>
      <c r="AH141" s="284" t="s">
        <v>125</v>
      </c>
      <c r="AI141" s="85">
        <v>2.5072190777E10</v>
      </c>
      <c r="AJ141" s="256" t="s">
        <v>1756</v>
      </c>
      <c r="AK141" s="73"/>
      <c r="AL141" s="73"/>
      <c r="AM141" s="309" t="s">
        <v>1757</v>
      </c>
      <c r="AN141" s="85" t="s">
        <v>1051</v>
      </c>
      <c r="AO141" s="130" t="s">
        <v>1616</v>
      </c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</row>
    <row r="142" ht="15.75" customHeight="1">
      <c r="A142" s="361">
        <v>136.0</v>
      </c>
      <c r="B142" s="257" t="s">
        <v>1758</v>
      </c>
      <c r="C142" s="154" t="s">
        <v>1298</v>
      </c>
      <c r="D142" s="45" t="s">
        <v>923</v>
      </c>
      <c r="E142" s="109" t="s">
        <v>1759</v>
      </c>
      <c r="F142" s="238" t="s">
        <v>1760</v>
      </c>
      <c r="G142" s="362" t="s">
        <v>1761</v>
      </c>
      <c r="H142" s="52" t="s">
        <v>1178</v>
      </c>
      <c r="I142" s="52" t="s">
        <v>729</v>
      </c>
      <c r="K142" s="155" t="s">
        <v>44</v>
      </c>
      <c r="L142" s="155" t="s">
        <v>98</v>
      </c>
      <c r="M142" s="238" t="s">
        <v>1762</v>
      </c>
      <c r="N142" s="311" t="s">
        <v>1763</v>
      </c>
      <c r="P142" s="235"/>
      <c r="Q142" s="155" t="s">
        <v>1682</v>
      </c>
      <c r="S142" s="155" t="s">
        <v>49</v>
      </c>
      <c r="T142" s="237" t="s">
        <v>1764</v>
      </c>
      <c r="U142" s="52" t="s">
        <v>432</v>
      </c>
      <c r="W142" s="52" t="s">
        <v>1765</v>
      </c>
      <c r="Y142" s="52" t="s">
        <v>53</v>
      </c>
      <c r="Z142" s="52" t="s">
        <v>432</v>
      </c>
      <c r="AA142" s="52" t="s">
        <v>1766</v>
      </c>
      <c r="AB142" s="52" t="s">
        <v>1767</v>
      </c>
      <c r="AC142" s="312">
        <v>64483.0</v>
      </c>
      <c r="AF142" s="52" t="s">
        <v>139</v>
      </c>
      <c r="AH142" s="280" t="s">
        <v>125</v>
      </c>
      <c r="AI142" s="52">
        <v>2.5175565586E10</v>
      </c>
      <c r="AJ142" s="285" t="s">
        <v>1768</v>
      </c>
      <c r="AL142" s="45" t="str">
        <f t="shared" ref="AL142:AL143" si="39">DATEDIF(AM142,NOW(),"y")&amp;" Tahun "&amp;DATEDIF(AM142,NOW(),"ym")&amp;" Bulan"</f>
        <v>1 Tahun 1 Bulan</v>
      </c>
      <c r="AM142" s="345">
        <v>45719.0</v>
      </c>
      <c r="AN142" s="297"/>
      <c r="AW142" s="45" t="str">
        <f t="shared" ref="AW142:AW143" si="40">DATEDIF(AM142,$AW$2,"Y") &amp; " Tahun " &amp; DATEDIF(AM142,$AW$2,"YM") &amp; " Bulan"</f>
        <v>1 Tahun 0 Bulan</v>
      </c>
    </row>
    <row r="143" ht="15.75" customHeight="1">
      <c r="A143" s="288">
        <v>137.0</v>
      </c>
      <c r="B143" s="48" t="s">
        <v>1338</v>
      </c>
      <c r="C143" s="154" t="s">
        <v>1298</v>
      </c>
      <c r="D143" s="45" t="s">
        <v>923</v>
      </c>
      <c r="E143" s="109" t="s">
        <v>1769</v>
      </c>
      <c r="F143" s="313" t="s">
        <v>1770</v>
      </c>
      <c r="G143" s="363" t="s">
        <v>1771</v>
      </c>
      <c r="H143" s="357" t="s">
        <v>1772</v>
      </c>
      <c r="I143" s="52" t="s">
        <v>729</v>
      </c>
      <c r="J143" s="277"/>
      <c r="K143" s="277" t="s">
        <v>44</v>
      </c>
      <c r="L143" s="277" t="s">
        <v>98</v>
      </c>
      <c r="M143" s="364" t="s">
        <v>1340</v>
      </c>
      <c r="N143" s="365" t="s">
        <v>1341</v>
      </c>
      <c r="O143" s="277"/>
      <c r="P143" s="366"/>
      <c r="Q143" s="277" t="s">
        <v>87</v>
      </c>
      <c r="R143" s="277"/>
      <c r="S143" s="277" t="s">
        <v>49</v>
      </c>
      <c r="T143" s="364" t="s">
        <v>1342</v>
      </c>
      <c r="U143" s="367" t="s">
        <v>51</v>
      </c>
      <c r="V143" s="277"/>
      <c r="W143" s="367" t="s">
        <v>1343</v>
      </c>
      <c r="X143" s="277"/>
      <c r="Y143" s="367" t="s">
        <v>53</v>
      </c>
      <c r="Z143" s="367" t="s">
        <v>51</v>
      </c>
      <c r="AA143" s="367" t="s">
        <v>619</v>
      </c>
      <c r="AB143" s="367" t="s">
        <v>619</v>
      </c>
      <c r="AC143" s="368">
        <v>60188.0</v>
      </c>
      <c r="AD143" s="277"/>
      <c r="AE143" s="277"/>
      <c r="AF143" s="367" t="s">
        <v>71</v>
      </c>
      <c r="AG143" s="277"/>
      <c r="AH143" s="280" t="s">
        <v>125</v>
      </c>
      <c r="AI143" s="52">
        <v>2.5175565669E10</v>
      </c>
      <c r="AJ143" s="285" t="s">
        <v>1773</v>
      </c>
      <c r="AK143" s="277"/>
      <c r="AL143" s="45" t="str">
        <f t="shared" si="39"/>
        <v>1 Tahun 1 Bulan</v>
      </c>
      <c r="AM143" s="345">
        <v>45734.0</v>
      </c>
      <c r="AN143" s="369"/>
      <c r="AO143" s="370" t="s">
        <v>351</v>
      </c>
      <c r="AQ143" s="277"/>
      <c r="AR143" s="277"/>
      <c r="AS143" s="277"/>
      <c r="AT143" s="277"/>
      <c r="AU143" s="277"/>
      <c r="AV143" s="277"/>
      <c r="AW143" s="45" t="str">
        <f t="shared" si="40"/>
        <v>1 Tahun 0 Bulan</v>
      </c>
      <c r="AX143" s="277"/>
      <c r="AY143" s="277"/>
      <c r="AZ143" s="277"/>
      <c r="BA143" s="277"/>
      <c r="BB143" s="277"/>
      <c r="BC143" s="277"/>
      <c r="BD143" s="277"/>
      <c r="BE143" s="277"/>
      <c r="BF143" s="277"/>
      <c r="BG143" s="277"/>
      <c r="BH143" s="277"/>
      <c r="BI143" s="277"/>
      <c r="BJ143" s="277"/>
      <c r="BK143" s="277"/>
      <c r="BL143" s="277"/>
      <c r="BM143" s="277"/>
      <c r="BN143" s="277"/>
      <c r="BO143" s="277"/>
      <c r="BP143" s="277"/>
      <c r="BQ143" s="277"/>
      <c r="BR143" s="277"/>
      <c r="BS143" s="277"/>
      <c r="BT143" s="277"/>
      <c r="BU143" s="277"/>
      <c r="BV143" s="277"/>
      <c r="BW143" s="277"/>
      <c r="BX143" s="277"/>
      <c r="BY143" s="277"/>
      <c r="BZ143" s="277"/>
      <c r="CA143" s="277"/>
      <c r="CB143" s="277"/>
      <c r="CC143" s="277"/>
      <c r="CD143" s="277"/>
      <c r="CE143" s="277"/>
      <c r="CF143" s="277"/>
      <c r="CG143" s="277"/>
      <c r="CH143" s="277"/>
      <c r="CI143" s="277"/>
      <c r="CJ143" s="277"/>
      <c r="CK143" s="277"/>
      <c r="CL143" s="277"/>
    </row>
    <row r="144" ht="15.75" hidden="1" customHeight="1">
      <c r="A144" s="287">
        <v>138.0</v>
      </c>
      <c r="B144" s="85" t="s">
        <v>1774</v>
      </c>
      <c r="C144" s="205" t="s">
        <v>636</v>
      </c>
      <c r="D144" s="73" t="s">
        <v>923</v>
      </c>
      <c r="E144" s="130" t="s">
        <v>1775</v>
      </c>
      <c r="F144" s="241" t="s">
        <v>1776</v>
      </c>
      <c r="G144" s="334" t="s">
        <v>1777</v>
      </c>
      <c r="H144" s="85" t="s">
        <v>1427</v>
      </c>
      <c r="I144" s="85" t="s">
        <v>614</v>
      </c>
      <c r="J144" s="73"/>
      <c r="K144" s="73" t="s">
        <v>44</v>
      </c>
      <c r="L144" s="73" t="s">
        <v>98</v>
      </c>
      <c r="M144" s="241" t="s">
        <v>1778</v>
      </c>
      <c r="N144" s="85" t="s">
        <v>1779</v>
      </c>
      <c r="O144" s="130" t="s">
        <v>819</v>
      </c>
      <c r="P144" s="175" t="s">
        <v>1780</v>
      </c>
      <c r="Q144" s="130" t="s">
        <v>684</v>
      </c>
      <c r="R144" s="73"/>
      <c r="S144" s="130" t="s">
        <v>49</v>
      </c>
      <c r="T144" s="241" t="s">
        <v>1781</v>
      </c>
      <c r="U144" s="85" t="s">
        <v>51</v>
      </c>
      <c r="V144" s="73"/>
      <c r="W144" s="85" t="s">
        <v>1782</v>
      </c>
      <c r="X144" s="73"/>
      <c r="Y144" s="85" t="s">
        <v>798</v>
      </c>
      <c r="Z144" s="85" t="s">
        <v>64</v>
      </c>
      <c r="AA144" s="85" t="s">
        <v>1783</v>
      </c>
      <c r="AB144" s="85" t="s">
        <v>1784</v>
      </c>
      <c r="AC144" s="308">
        <v>90243.0</v>
      </c>
      <c r="AD144" s="73"/>
      <c r="AE144" s="73"/>
      <c r="AF144" s="85" t="s">
        <v>71</v>
      </c>
      <c r="AG144" s="73"/>
      <c r="AH144" s="284" t="s">
        <v>125</v>
      </c>
      <c r="AI144" s="85" t="s">
        <v>1010</v>
      </c>
      <c r="AJ144" s="85" t="s">
        <v>1010</v>
      </c>
      <c r="AK144" s="73"/>
      <c r="AL144" s="73"/>
      <c r="AM144" s="241" t="s">
        <v>1785</v>
      </c>
      <c r="AN144" s="241" t="s">
        <v>1511</v>
      </c>
      <c r="AO144" s="130" t="s">
        <v>1786</v>
      </c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</row>
    <row r="145" ht="15.75" hidden="1" customHeight="1">
      <c r="A145" s="287">
        <v>139.0</v>
      </c>
      <c r="B145" s="150" t="s">
        <v>1787</v>
      </c>
      <c r="C145" s="205" t="s">
        <v>1310</v>
      </c>
      <c r="D145" s="207" t="s">
        <v>923</v>
      </c>
      <c r="E145" s="78" t="s">
        <v>1788</v>
      </c>
      <c r="F145" s="318" t="s">
        <v>1789</v>
      </c>
      <c r="G145" s="358" t="s">
        <v>1790</v>
      </c>
      <c r="H145" s="150" t="s">
        <v>1178</v>
      </c>
      <c r="I145" s="150" t="s">
        <v>729</v>
      </c>
      <c r="J145" s="141"/>
      <c r="K145" s="207" t="s">
        <v>44</v>
      </c>
      <c r="L145" s="207" t="s">
        <v>98</v>
      </c>
      <c r="M145" s="318" t="s">
        <v>1791</v>
      </c>
      <c r="N145" s="337" t="s">
        <v>1792</v>
      </c>
      <c r="O145" s="141"/>
      <c r="P145" s="147"/>
      <c r="Q145" s="207" t="s">
        <v>1682</v>
      </c>
      <c r="R145" s="141"/>
      <c r="S145" s="207" t="s">
        <v>49</v>
      </c>
      <c r="T145" s="318" t="s">
        <v>1793</v>
      </c>
      <c r="U145" s="150" t="s">
        <v>51</v>
      </c>
      <c r="V145" s="141"/>
      <c r="W145" s="150" t="s">
        <v>1794</v>
      </c>
      <c r="X145" s="141"/>
      <c r="Y145" s="150" t="s">
        <v>53</v>
      </c>
      <c r="Z145" s="150" t="s">
        <v>238</v>
      </c>
      <c r="AA145" s="150" t="s">
        <v>1795</v>
      </c>
      <c r="AB145" s="150" t="s">
        <v>1796</v>
      </c>
      <c r="AC145" s="338">
        <v>61381.0</v>
      </c>
      <c r="AD145" s="141"/>
      <c r="AE145" s="141"/>
      <c r="AF145" s="150" t="s">
        <v>139</v>
      </c>
      <c r="AG145" s="141"/>
      <c r="AH145" s="148" t="s">
        <v>125</v>
      </c>
      <c r="AI145" s="150">
        <v>2.5175565594E10</v>
      </c>
      <c r="AJ145" s="337" t="s">
        <v>1797</v>
      </c>
      <c r="AK145" s="141"/>
      <c r="AL145" s="141" t="str">
        <f>DATEDIF(AM145,NOW(),"y")&amp;" Tahun "&amp;DATEDIF(AM145,NOW(),"ym")&amp;" Bulan"</f>
        <v>1 Tahun 0 Bulan</v>
      </c>
      <c r="AM145" s="371" t="s">
        <v>1798</v>
      </c>
      <c r="AN145" s="206"/>
      <c r="AO145" s="141"/>
      <c r="AP145" s="141"/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41"/>
      <c r="BX145" s="141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</row>
    <row r="146" ht="15.75" hidden="1" customHeight="1">
      <c r="A146" s="338">
        <v>140.0</v>
      </c>
      <c r="B146" s="130" t="s">
        <v>1799</v>
      </c>
      <c r="C146" s="205" t="s">
        <v>1800</v>
      </c>
      <c r="D146" s="130" t="s">
        <v>923</v>
      </c>
      <c r="E146" s="77"/>
      <c r="F146" s="241" t="s">
        <v>1801</v>
      </c>
      <c r="G146" s="132" t="s">
        <v>1802</v>
      </c>
      <c r="H146" s="85" t="s">
        <v>260</v>
      </c>
      <c r="I146" s="85" t="s">
        <v>260</v>
      </c>
      <c r="J146" s="73"/>
      <c r="K146" s="130" t="s">
        <v>44</v>
      </c>
      <c r="L146" s="130" t="s">
        <v>98</v>
      </c>
      <c r="M146" s="241" t="s">
        <v>1803</v>
      </c>
      <c r="N146" s="310" t="s">
        <v>1804</v>
      </c>
      <c r="O146" s="73"/>
      <c r="P146" s="81"/>
      <c r="Q146" s="130" t="s">
        <v>1682</v>
      </c>
      <c r="R146" s="73"/>
      <c r="S146" s="130" t="s">
        <v>49</v>
      </c>
      <c r="T146" s="241" t="s">
        <v>1805</v>
      </c>
      <c r="U146" s="85" t="s">
        <v>51</v>
      </c>
      <c r="V146" s="73"/>
      <c r="W146" s="85" t="s">
        <v>1806</v>
      </c>
      <c r="X146" s="73"/>
      <c r="Y146" s="85" t="s">
        <v>53</v>
      </c>
      <c r="Z146" s="85" t="s">
        <v>51</v>
      </c>
      <c r="AA146" s="85" t="s">
        <v>104</v>
      </c>
      <c r="AB146" s="85" t="s">
        <v>205</v>
      </c>
      <c r="AC146" s="317" t="s">
        <v>1590</v>
      </c>
      <c r="AD146" s="73"/>
      <c r="AE146" s="73"/>
      <c r="AF146" s="85" t="s">
        <v>56</v>
      </c>
      <c r="AG146" s="73"/>
      <c r="AH146" s="284" t="s">
        <v>125</v>
      </c>
      <c r="AI146" s="85" t="s">
        <v>1010</v>
      </c>
      <c r="AJ146" s="85" t="s">
        <v>1010</v>
      </c>
      <c r="AK146" s="73"/>
      <c r="AL146" s="73"/>
      <c r="AM146" s="335">
        <v>45756.0</v>
      </c>
      <c r="AN146" s="30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</row>
    <row r="147" ht="15.75" customHeight="1">
      <c r="A147" s="361">
        <v>141.0</v>
      </c>
      <c r="B147" s="67" t="s">
        <v>1807</v>
      </c>
      <c r="C147" s="154" t="s">
        <v>514</v>
      </c>
      <c r="D147" s="155" t="s">
        <v>923</v>
      </c>
      <c r="E147" s="372" t="s">
        <v>1808</v>
      </c>
      <c r="F147" s="238" t="s">
        <v>1809</v>
      </c>
      <c r="G147" s="108" t="s">
        <v>1810</v>
      </c>
      <c r="H147" s="52" t="s">
        <v>556</v>
      </c>
      <c r="I147" s="52" t="s">
        <v>614</v>
      </c>
      <c r="K147" s="370" t="s">
        <v>44</v>
      </c>
      <c r="L147" s="370" t="s">
        <v>98</v>
      </c>
      <c r="M147" s="238" t="s">
        <v>1811</v>
      </c>
      <c r="N147" s="311" t="s">
        <v>1812</v>
      </c>
      <c r="O147" s="155" t="s">
        <v>868</v>
      </c>
      <c r="P147" s="47">
        <v>1.500908404E9</v>
      </c>
      <c r="Q147" s="370" t="s">
        <v>1682</v>
      </c>
      <c r="S147" s="370" t="s">
        <v>49</v>
      </c>
      <c r="T147" s="238" t="s">
        <v>1813</v>
      </c>
      <c r="U147" s="52" t="s">
        <v>1814</v>
      </c>
      <c r="W147" s="52" t="s">
        <v>1815</v>
      </c>
      <c r="Y147" s="357" t="s">
        <v>53</v>
      </c>
      <c r="Z147" s="52" t="s">
        <v>51</v>
      </c>
      <c r="AA147" s="52" t="s">
        <v>1540</v>
      </c>
      <c r="AB147" s="52" t="s">
        <v>1540</v>
      </c>
      <c r="AC147" s="312">
        <v>60228.0</v>
      </c>
      <c r="AF147" s="135" t="s">
        <v>56</v>
      </c>
      <c r="AH147" s="280" t="s">
        <v>125</v>
      </c>
      <c r="AI147" s="52">
        <v>2.5112911141E10</v>
      </c>
      <c r="AJ147" s="296" t="s">
        <v>1816</v>
      </c>
      <c r="AL147" s="45" t="str">
        <f t="shared" ref="AL147:AL159" si="41">DATEDIF(AM147,NOW(),"y")&amp;" Tahun "&amp;DATEDIF(AM147,NOW(),"ym")&amp;" Bulan"</f>
        <v>1 Tahun 0 Bulan</v>
      </c>
      <c r="AM147" s="313" t="s">
        <v>1817</v>
      </c>
      <c r="AN147" s="346" t="s">
        <v>1208</v>
      </c>
      <c r="AO147" s="252" t="s">
        <v>1567</v>
      </c>
      <c r="AP147" s="98" t="s">
        <v>1818</v>
      </c>
      <c r="AW147" s="45" t="str">
        <f t="shared" ref="AW147:AW150" si="42">DATEDIF(AM147,$AW$2,"Y") &amp; " Tahun " &amp; DATEDIF(AM147,$AW$2,"YM") &amp; " Bulan"</f>
        <v>0 Tahun 10 Bulan</v>
      </c>
    </row>
    <row r="148" ht="15.75" customHeight="1">
      <c r="A148" s="361">
        <v>142.0</v>
      </c>
      <c r="B148" s="67" t="s">
        <v>1819</v>
      </c>
      <c r="C148" s="154" t="s">
        <v>514</v>
      </c>
      <c r="D148" s="155" t="s">
        <v>923</v>
      </c>
      <c r="E148" s="372" t="s">
        <v>1820</v>
      </c>
      <c r="F148" s="52"/>
      <c r="G148" s="108" t="s">
        <v>1821</v>
      </c>
      <c r="H148" s="155" t="s">
        <v>282</v>
      </c>
      <c r="I148" s="52" t="s">
        <v>283</v>
      </c>
      <c r="K148" s="370" t="s">
        <v>44</v>
      </c>
      <c r="L148" s="370" t="s">
        <v>98</v>
      </c>
      <c r="M148" s="238" t="s">
        <v>1822</v>
      </c>
      <c r="N148" s="311" t="s">
        <v>1823</v>
      </c>
      <c r="O148" s="155" t="s">
        <v>868</v>
      </c>
      <c r="P148" s="47">
        <v>8.81974419E8</v>
      </c>
      <c r="Q148" s="155" t="s">
        <v>1682</v>
      </c>
      <c r="S148" s="155" t="s">
        <v>69</v>
      </c>
      <c r="T148" s="238" t="s">
        <v>1824</v>
      </c>
      <c r="U148" s="52" t="s">
        <v>1825</v>
      </c>
      <c r="W148" s="52" t="s">
        <v>1826</v>
      </c>
      <c r="Y148" s="357" t="s">
        <v>53</v>
      </c>
      <c r="Z148" s="52" t="s">
        <v>51</v>
      </c>
      <c r="AA148" s="52" t="s">
        <v>1506</v>
      </c>
      <c r="AB148" s="52" t="s">
        <v>1827</v>
      </c>
      <c r="AC148" s="312">
        <v>60222.0</v>
      </c>
      <c r="AF148" s="135" t="s">
        <v>71</v>
      </c>
      <c r="AH148" s="280" t="s">
        <v>125</v>
      </c>
      <c r="AI148" s="52">
        <v>2.5112911109E10</v>
      </c>
      <c r="AJ148" s="296" t="s">
        <v>1828</v>
      </c>
      <c r="AL148" s="45" t="str">
        <f t="shared" si="41"/>
        <v>1 Tahun 0 Bulan</v>
      </c>
      <c r="AM148" s="313" t="s">
        <v>1817</v>
      </c>
      <c r="AN148" s="346" t="s">
        <v>1208</v>
      </c>
      <c r="AO148" s="98" t="s">
        <v>1818</v>
      </c>
      <c r="AW148" s="45" t="str">
        <f t="shared" si="42"/>
        <v>0 Tahun 10 Bulan</v>
      </c>
    </row>
    <row r="149" ht="15.75" customHeight="1">
      <c r="A149" s="361">
        <v>143.0</v>
      </c>
      <c r="B149" s="67" t="s">
        <v>1829</v>
      </c>
      <c r="C149" s="154" t="s">
        <v>514</v>
      </c>
      <c r="D149" s="155" t="s">
        <v>923</v>
      </c>
      <c r="E149" s="372" t="s">
        <v>1830</v>
      </c>
      <c r="F149" s="238" t="s">
        <v>1831</v>
      </c>
      <c r="G149" s="320" t="s">
        <v>1832</v>
      </c>
      <c r="H149" s="52" t="s">
        <v>578</v>
      </c>
      <c r="I149" s="52" t="s">
        <v>309</v>
      </c>
      <c r="K149" s="370" t="s">
        <v>44</v>
      </c>
      <c r="L149" s="370" t="s">
        <v>98</v>
      </c>
      <c r="M149" s="238" t="s">
        <v>1833</v>
      </c>
      <c r="N149" s="311" t="s">
        <v>1834</v>
      </c>
      <c r="O149" s="155" t="s">
        <v>868</v>
      </c>
      <c r="P149" s="300" t="s">
        <v>1835</v>
      </c>
      <c r="Q149" s="155" t="s">
        <v>521</v>
      </c>
      <c r="S149" s="155" t="s">
        <v>49</v>
      </c>
      <c r="T149" s="238" t="s">
        <v>1836</v>
      </c>
      <c r="U149" s="52" t="s">
        <v>163</v>
      </c>
      <c r="W149" s="52" t="s">
        <v>1837</v>
      </c>
      <c r="Y149" s="52" t="s">
        <v>53</v>
      </c>
      <c r="Z149" s="52" t="s">
        <v>163</v>
      </c>
      <c r="AA149" s="52" t="s">
        <v>163</v>
      </c>
      <c r="AB149" s="52" t="s">
        <v>1838</v>
      </c>
      <c r="AC149" s="312">
        <v>61211.0</v>
      </c>
      <c r="AF149" s="135" t="s">
        <v>71</v>
      </c>
      <c r="AH149" s="238" t="s">
        <v>1839</v>
      </c>
      <c r="AI149" s="52">
        <v>2.5112911117E10</v>
      </c>
      <c r="AJ149" s="296" t="s">
        <v>1840</v>
      </c>
      <c r="AL149" s="45" t="str">
        <f t="shared" si="41"/>
        <v>0 Tahun 11 Bulan</v>
      </c>
      <c r="AM149" s="373">
        <v>45775.0</v>
      </c>
      <c r="AN149" s="346" t="s">
        <v>1208</v>
      </c>
      <c r="AO149" s="252" t="s">
        <v>1209</v>
      </c>
      <c r="AP149" s="252" t="s">
        <v>1567</v>
      </c>
      <c r="AQ149" s="255">
        <v>46140.0</v>
      </c>
      <c r="AW149" s="45" t="str">
        <f t="shared" si="42"/>
        <v>0 Tahun 10 Bulan</v>
      </c>
    </row>
    <row r="150" ht="15.75" customHeight="1">
      <c r="A150" s="361">
        <v>144.0</v>
      </c>
      <c r="B150" s="263" t="s">
        <v>1841</v>
      </c>
      <c r="C150" s="154" t="s">
        <v>84</v>
      </c>
      <c r="D150" s="155" t="s">
        <v>923</v>
      </c>
      <c r="E150" s="372" t="s">
        <v>1830</v>
      </c>
      <c r="F150" s="238" t="s">
        <v>1842</v>
      </c>
      <c r="G150" s="108" t="s">
        <v>1843</v>
      </c>
      <c r="H150" s="52" t="s">
        <v>705</v>
      </c>
      <c r="I150" s="52" t="s">
        <v>248</v>
      </c>
      <c r="K150" s="370" t="s">
        <v>44</v>
      </c>
      <c r="L150" s="370" t="s">
        <v>98</v>
      </c>
      <c r="M150" s="314" t="s">
        <v>1844</v>
      </c>
      <c r="N150" s="311" t="s">
        <v>1845</v>
      </c>
      <c r="O150" s="155" t="s">
        <v>819</v>
      </c>
      <c r="P150" s="47">
        <v>6.18001021174531E14</v>
      </c>
      <c r="Q150" s="155" t="s">
        <v>521</v>
      </c>
      <c r="S150" s="155" t="s">
        <v>69</v>
      </c>
      <c r="T150" s="237" t="s">
        <v>1846</v>
      </c>
      <c r="U150" s="52" t="s">
        <v>548</v>
      </c>
      <c r="W150" s="52" t="s">
        <v>1847</v>
      </c>
      <c r="Y150" s="52" t="s">
        <v>53</v>
      </c>
      <c r="Z150" s="52" t="s">
        <v>548</v>
      </c>
      <c r="AA150" s="52" t="s">
        <v>1848</v>
      </c>
      <c r="AB150" s="52" t="s">
        <v>1849</v>
      </c>
      <c r="AC150" s="312">
        <v>62165.0</v>
      </c>
      <c r="AF150" s="135" t="s">
        <v>71</v>
      </c>
      <c r="AH150" s="280" t="s">
        <v>125</v>
      </c>
      <c r="AI150" s="52">
        <v>2.5112912289E10</v>
      </c>
      <c r="AJ150" s="296" t="s">
        <v>1850</v>
      </c>
      <c r="AL150" s="45" t="str">
        <f t="shared" si="41"/>
        <v>0 Tahun 11 Bulan</v>
      </c>
      <c r="AM150" s="373">
        <v>45775.0</v>
      </c>
      <c r="AN150" s="346" t="s">
        <v>1208</v>
      </c>
      <c r="AO150" s="374" t="s">
        <v>1567</v>
      </c>
      <c r="AP150" s="155" t="s">
        <v>904</v>
      </c>
      <c r="AW150" s="45" t="str">
        <f t="shared" si="42"/>
        <v>0 Tahun 10 Bulan</v>
      </c>
    </row>
    <row r="151" ht="15.75" hidden="1" customHeight="1">
      <c r="A151" s="338">
        <v>145.0</v>
      </c>
      <c r="B151" s="207" t="s">
        <v>1851</v>
      </c>
      <c r="C151" s="205" t="s">
        <v>1310</v>
      </c>
      <c r="D151" s="207" t="s">
        <v>923</v>
      </c>
      <c r="E151" s="78" t="s">
        <v>1852</v>
      </c>
      <c r="F151" s="318" t="s">
        <v>1853</v>
      </c>
      <c r="G151" s="358" t="s">
        <v>1854</v>
      </c>
      <c r="H151" s="150" t="s">
        <v>1178</v>
      </c>
      <c r="I151" s="150" t="s">
        <v>729</v>
      </c>
      <c r="J151" s="141"/>
      <c r="K151" s="207" t="s">
        <v>44</v>
      </c>
      <c r="L151" s="207" t="s">
        <v>98</v>
      </c>
      <c r="M151" s="339" t="s">
        <v>1855</v>
      </c>
      <c r="N151" s="337" t="s">
        <v>1856</v>
      </c>
      <c r="O151" s="141"/>
      <c r="P151" s="147"/>
      <c r="Q151" s="207" t="s">
        <v>1682</v>
      </c>
      <c r="R151" s="141"/>
      <c r="S151" s="207" t="s">
        <v>49</v>
      </c>
      <c r="T151" s="375">
        <v>27859.0</v>
      </c>
      <c r="U151" s="150" t="s">
        <v>51</v>
      </c>
      <c r="V151" s="141"/>
      <c r="W151" s="150" t="s">
        <v>1857</v>
      </c>
      <c r="X151" s="141"/>
      <c r="Y151" s="150" t="s">
        <v>53</v>
      </c>
      <c r="Z151" s="150" t="s">
        <v>51</v>
      </c>
      <c r="AA151" s="150" t="s">
        <v>1505</v>
      </c>
      <c r="AB151" s="150" t="s">
        <v>1506</v>
      </c>
      <c r="AC151" s="338">
        <v>60222.0</v>
      </c>
      <c r="AD151" s="141"/>
      <c r="AE151" s="141"/>
      <c r="AF151" s="150" t="s">
        <v>241</v>
      </c>
      <c r="AG151" s="141"/>
      <c r="AH151" s="148" t="s">
        <v>125</v>
      </c>
      <c r="AI151" s="150">
        <v>2.5175565644E10</v>
      </c>
      <c r="AJ151" s="337" t="s">
        <v>1858</v>
      </c>
      <c r="AK151" s="141"/>
      <c r="AL151" s="141" t="str">
        <f t="shared" si="41"/>
        <v>0 Tahun 11 Bulan</v>
      </c>
      <c r="AM151" s="376">
        <v>45782.0</v>
      </c>
      <c r="AN151" s="206"/>
      <c r="AO151" s="141"/>
      <c r="AP151" s="141"/>
      <c r="AQ151" s="141"/>
      <c r="AR151" s="141"/>
      <c r="AS151" s="141"/>
      <c r="AT151" s="141"/>
      <c r="AU151" s="141"/>
      <c r="AV151" s="141"/>
      <c r="AW151" s="141"/>
      <c r="AX151" s="141"/>
      <c r="AY151" s="141"/>
      <c r="AZ151" s="141"/>
      <c r="BA151" s="141"/>
      <c r="BB151" s="141"/>
      <c r="BC151" s="141"/>
      <c r="BD151" s="141"/>
      <c r="BE151" s="141"/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41"/>
      <c r="BW151" s="141"/>
      <c r="BX151" s="141"/>
      <c r="BY151" s="141"/>
      <c r="BZ151" s="141"/>
      <c r="CA151" s="141"/>
      <c r="CB151" s="141"/>
      <c r="CC151" s="141"/>
      <c r="CD151" s="141"/>
      <c r="CE151" s="141"/>
      <c r="CF151" s="141"/>
      <c r="CG151" s="141"/>
      <c r="CH151" s="141"/>
      <c r="CI151" s="141"/>
      <c r="CJ151" s="141"/>
      <c r="CK151" s="141"/>
      <c r="CL151" s="141"/>
    </row>
    <row r="152" ht="15.75" customHeight="1">
      <c r="A152" s="361">
        <v>146.0</v>
      </c>
      <c r="B152" s="257" t="s">
        <v>1859</v>
      </c>
      <c r="C152" s="154" t="s">
        <v>514</v>
      </c>
      <c r="D152" s="155" t="s">
        <v>923</v>
      </c>
      <c r="E152" s="372" t="s">
        <v>1860</v>
      </c>
      <c r="F152" s="238" t="s">
        <v>1861</v>
      </c>
      <c r="G152" s="94" t="s">
        <v>1862</v>
      </c>
      <c r="H152" s="52" t="s">
        <v>556</v>
      </c>
      <c r="I152" s="52" t="s">
        <v>614</v>
      </c>
      <c r="K152" s="370" t="s">
        <v>44</v>
      </c>
      <c r="L152" s="370" t="s">
        <v>98</v>
      </c>
      <c r="M152" s="238" t="s">
        <v>1863</v>
      </c>
      <c r="N152" s="311" t="s">
        <v>1864</v>
      </c>
      <c r="O152" s="155" t="s">
        <v>1043</v>
      </c>
      <c r="P152" s="300" t="s">
        <v>1865</v>
      </c>
      <c r="Q152" s="155" t="s">
        <v>1682</v>
      </c>
      <c r="S152" s="155" t="s">
        <v>49</v>
      </c>
      <c r="T152" s="237" t="s">
        <v>1866</v>
      </c>
      <c r="U152" s="52" t="s">
        <v>1867</v>
      </c>
      <c r="W152" s="52" t="s">
        <v>1868</v>
      </c>
      <c r="Y152" s="52" t="s">
        <v>712</v>
      </c>
      <c r="Z152" s="52" t="s">
        <v>1867</v>
      </c>
      <c r="AA152" s="52" t="s">
        <v>1869</v>
      </c>
      <c r="AB152" s="52" t="s">
        <v>1870</v>
      </c>
      <c r="AC152" s="312">
        <v>41181.0</v>
      </c>
      <c r="AF152" s="135" t="s">
        <v>71</v>
      </c>
      <c r="AH152" s="280" t="s">
        <v>125</v>
      </c>
      <c r="AI152" s="52">
        <v>2.5112911125E10</v>
      </c>
      <c r="AJ152" s="296" t="s">
        <v>1871</v>
      </c>
      <c r="AL152" s="45" t="str">
        <f t="shared" si="41"/>
        <v>0 Tahun 11 Bulan</v>
      </c>
      <c r="AM152" s="345">
        <v>45790.0</v>
      </c>
      <c r="AN152" s="346" t="s">
        <v>1208</v>
      </c>
      <c r="AO152" s="252" t="s">
        <v>1209</v>
      </c>
      <c r="AP152" s="377">
        <v>46140.0</v>
      </c>
      <c r="AQ152" s="155" t="s">
        <v>1872</v>
      </c>
      <c r="AW152" s="45" t="str">
        <f t="shared" ref="AW152:AW159" si="43">DATEDIF(AM152,$AW$2,"Y") &amp; " Tahun " &amp; DATEDIF(AM152,$AW$2,"YM") &amp; " Bulan"</f>
        <v>0 Tahun 10 Bulan</v>
      </c>
    </row>
    <row r="153" ht="15.75" customHeight="1">
      <c r="A153" s="361">
        <v>147.0</v>
      </c>
      <c r="B153" s="67" t="s">
        <v>1873</v>
      </c>
      <c r="C153" s="154" t="s">
        <v>1139</v>
      </c>
      <c r="D153" s="155" t="s">
        <v>91</v>
      </c>
      <c r="E153" s="372" t="s">
        <v>1874</v>
      </c>
      <c r="F153" s="238" t="s">
        <v>1875</v>
      </c>
      <c r="G153" s="108" t="s">
        <v>1876</v>
      </c>
      <c r="H153" s="52" t="s">
        <v>705</v>
      </c>
      <c r="I153" s="52" t="s">
        <v>248</v>
      </c>
      <c r="K153" s="370" t="s">
        <v>44</v>
      </c>
      <c r="L153" s="370" t="s">
        <v>98</v>
      </c>
      <c r="M153" s="238" t="s">
        <v>1877</v>
      </c>
      <c r="N153" s="311" t="s">
        <v>1878</v>
      </c>
      <c r="O153" s="155" t="s">
        <v>868</v>
      </c>
      <c r="P153" s="47">
        <v>5.120517068E9</v>
      </c>
      <c r="Q153" s="155" t="s">
        <v>1682</v>
      </c>
      <c r="S153" s="155" t="s">
        <v>49</v>
      </c>
      <c r="T153" s="238" t="s">
        <v>1879</v>
      </c>
      <c r="U153" s="52" t="s">
        <v>51</v>
      </c>
      <c r="W153" s="52" t="s">
        <v>1880</v>
      </c>
      <c r="Y153" s="52" t="s">
        <v>53</v>
      </c>
      <c r="Z153" s="52" t="s">
        <v>51</v>
      </c>
      <c r="AA153" s="52" t="s">
        <v>1881</v>
      </c>
      <c r="AB153" s="52" t="s">
        <v>1882</v>
      </c>
      <c r="AC153" s="312">
        <v>60238.0</v>
      </c>
      <c r="AF153" s="135" t="s">
        <v>71</v>
      </c>
      <c r="AH153" s="280" t="s">
        <v>125</v>
      </c>
      <c r="AI153" s="52">
        <v>2.5112915191E10</v>
      </c>
      <c r="AJ153" s="296" t="s">
        <v>1883</v>
      </c>
      <c r="AL153" s="45" t="str">
        <f t="shared" si="41"/>
        <v>0 Tahun 11 Bulan</v>
      </c>
      <c r="AM153" s="345">
        <v>45790.0</v>
      </c>
      <c r="AN153" s="346" t="s">
        <v>1208</v>
      </c>
      <c r="AO153" s="374" t="s">
        <v>1567</v>
      </c>
      <c r="AP153" s="155" t="s">
        <v>904</v>
      </c>
      <c r="AW153" s="45" t="str">
        <f t="shared" si="43"/>
        <v>0 Tahun 10 Bulan</v>
      </c>
    </row>
    <row r="154" ht="15.75" customHeight="1">
      <c r="A154" s="361">
        <v>148.0</v>
      </c>
      <c r="B154" s="378" t="s">
        <v>1884</v>
      </c>
      <c r="C154" s="154" t="s">
        <v>514</v>
      </c>
      <c r="D154" s="155" t="s">
        <v>91</v>
      </c>
      <c r="E154" s="372" t="s">
        <v>1885</v>
      </c>
      <c r="F154" s="238" t="s">
        <v>1886</v>
      </c>
      <c r="G154" s="108" t="s">
        <v>1887</v>
      </c>
      <c r="H154" s="52" t="s">
        <v>954</v>
      </c>
      <c r="I154" s="52" t="s">
        <v>955</v>
      </c>
      <c r="K154" s="370" t="s">
        <v>44</v>
      </c>
      <c r="L154" s="370" t="s">
        <v>98</v>
      </c>
      <c r="M154" s="238" t="s">
        <v>1888</v>
      </c>
      <c r="N154" s="311" t="s">
        <v>1889</v>
      </c>
      <c r="O154" s="155" t="s">
        <v>1043</v>
      </c>
      <c r="P154" s="300" t="s">
        <v>1890</v>
      </c>
      <c r="Q154" s="155" t="s">
        <v>684</v>
      </c>
      <c r="S154" s="155" t="s">
        <v>69</v>
      </c>
      <c r="T154" s="237" t="s">
        <v>1891</v>
      </c>
      <c r="U154" s="52" t="s">
        <v>51</v>
      </c>
      <c r="W154" s="52" t="s">
        <v>1892</v>
      </c>
      <c r="Y154" s="52" t="s">
        <v>53</v>
      </c>
      <c r="Z154" s="52" t="s">
        <v>51</v>
      </c>
      <c r="AA154" s="52" t="s">
        <v>524</v>
      </c>
      <c r="AB154" s="52" t="s">
        <v>1893</v>
      </c>
      <c r="AC154" s="312">
        <v>60232.0</v>
      </c>
      <c r="AF154" s="135" t="s">
        <v>71</v>
      </c>
      <c r="AH154" s="280" t="s">
        <v>125</v>
      </c>
      <c r="AI154" s="52">
        <v>1.7072867918E10</v>
      </c>
      <c r="AJ154" s="296" t="s">
        <v>1894</v>
      </c>
      <c r="AL154" s="45" t="str">
        <f t="shared" si="41"/>
        <v>0 Tahun 11 Bulan</v>
      </c>
      <c r="AM154" s="345">
        <v>45790.0</v>
      </c>
      <c r="AN154" s="346" t="s">
        <v>1208</v>
      </c>
      <c r="AO154" s="98" t="s">
        <v>1818</v>
      </c>
      <c r="AP154" s="374" t="s">
        <v>1209</v>
      </c>
      <c r="AQ154" s="155" t="s">
        <v>904</v>
      </c>
      <c r="AW154" s="45" t="str">
        <f t="shared" si="43"/>
        <v>0 Tahun 10 Bulan</v>
      </c>
    </row>
    <row r="155" ht="15.75" customHeight="1">
      <c r="A155" s="361">
        <v>149.0</v>
      </c>
      <c r="B155" s="67" t="s">
        <v>1895</v>
      </c>
      <c r="C155" s="16" t="s">
        <v>514</v>
      </c>
      <c r="D155" s="155" t="s">
        <v>923</v>
      </c>
      <c r="E155" s="372" t="s">
        <v>1896</v>
      </c>
      <c r="F155" s="238" t="s">
        <v>1897</v>
      </c>
      <c r="G155" s="108" t="s">
        <v>1898</v>
      </c>
      <c r="H155" s="52" t="s">
        <v>705</v>
      </c>
      <c r="I155" s="52" t="s">
        <v>248</v>
      </c>
      <c r="K155" s="370" t="s">
        <v>44</v>
      </c>
      <c r="L155" s="370" t="s">
        <v>98</v>
      </c>
      <c r="M155" s="238" t="s">
        <v>1899</v>
      </c>
      <c r="N155" s="311" t="s">
        <v>1900</v>
      </c>
      <c r="O155" s="155" t="s">
        <v>868</v>
      </c>
      <c r="P155" s="47">
        <v>3.640093331E9</v>
      </c>
      <c r="Q155" s="155" t="s">
        <v>521</v>
      </c>
      <c r="S155" s="155" t="s">
        <v>69</v>
      </c>
      <c r="T155" s="238" t="s">
        <v>1901</v>
      </c>
      <c r="U155" s="52" t="s">
        <v>51</v>
      </c>
      <c r="W155" s="52" t="s">
        <v>1902</v>
      </c>
      <c r="Y155" s="52" t="s">
        <v>53</v>
      </c>
      <c r="Z155" s="52" t="s">
        <v>51</v>
      </c>
      <c r="AA155" s="52" t="s">
        <v>1658</v>
      </c>
      <c r="AB155" s="52" t="s">
        <v>1659</v>
      </c>
      <c r="AC155" s="312">
        <v>60242.0</v>
      </c>
      <c r="AF155" s="135" t="s">
        <v>71</v>
      </c>
      <c r="AH155" s="280" t="s">
        <v>125</v>
      </c>
      <c r="AI155" s="279">
        <v>2.5112911091E10</v>
      </c>
      <c r="AJ155" s="296" t="s">
        <v>1903</v>
      </c>
      <c r="AL155" s="45" t="str">
        <f t="shared" si="41"/>
        <v>0 Tahun 11 Bulan</v>
      </c>
      <c r="AM155" s="345">
        <v>45791.0</v>
      </c>
      <c r="AN155" s="346" t="s">
        <v>1208</v>
      </c>
      <c r="AO155" s="374" t="s">
        <v>1567</v>
      </c>
      <c r="AP155" s="155" t="s">
        <v>904</v>
      </c>
      <c r="AW155" s="45" t="str">
        <f t="shared" si="43"/>
        <v>0 Tahun 10 Bulan</v>
      </c>
    </row>
    <row r="156" ht="15.75" customHeight="1">
      <c r="A156" s="361">
        <v>150.0</v>
      </c>
      <c r="B156" s="257" t="s">
        <v>1904</v>
      </c>
      <c r="C156" s="154" t="s">
        <v>636</v>
      </c>
      <c r="D156" s="155" t="s">
        <v>923</v>
      </c>
      <c r="E156" s="109" t="s">
        <v>1905</v>
      </c>
      <c r="F156" s="238" t="s">
        <v>1906</v>
      </c>
      <c r="G156" s="108" t="s">
        <v>1907</v>
      </c>
      <c r="H156" s="52" t="s">
        <v>1908</v>
      </c>
      <c r="I156" s="52" t="s">
        <v>969</v>
      </c>
      <c r="K156" s="370" t="s">
        <v>44</v>
      </c>
      <c r="L156" s="370" t="s">
        <v>98</v>
      </c>
      <c r="M156" s="238" t="s">
        <v>1909</v>
      </c>
      <c r="N156" s="311" t="s">
        <v>1910</v>
      </c>
      <c r="O156" s="155" t="s">
        <v>1043</v>
      </c>
      <c r="P156" s="300" t="s">
        <v>1911</v>
      </c>
      <c r="Q156" s="155" t="s">
        <v>1682</v>
      </c>
      <c r="S156" s="155" t="s">
        <v>49</v>
      </c>
      <c r="T156" s="237" t="s">
        <v>1912</v>
      </c>
      <c r="U156" s="52" t="s">
        <v>1913</v>
      </c>
      <c r="W156" s="52" t="s">
        <v>1914</v>
      </c>
      <c r="Y156" s="52" t="s">
        <v>798</v>
      </c>
      <c r="Z156" s="52" t="s">
        <v>1915</v>
      </c>
      <c r="AA156" s="52" t="s">
        <v>1916</v>
      </c>
      <c r="AB156" s="52" t="s">
        <v>1917</v>
      </c>
      <c r="AC156" s="312">
        <v>92351.0</v>
      </c>
      <c r="AF156" s="135" t="s">
        <v>71</v>
      </c>
      <c r="AH156" s="324" t="s">
        <v>1918</v>
      </c>
      <c r="AI156" s="279">
        <v>2.5112915191E10</v>
      </c>
      <c r="AJ156" s="296" t="s">
        <v>1919</v>
      </c>
      <c r="AL156" s="45" t="str">
        <f t="shared" si="41"/>
        <v>0 Tahun 11 Bulan</v>
      </c>
      <c r="AM156" s="345">
        <v>45791.0</v>
      </c>
      <c r="AN156" s="346" t="s">
        <v>1208</v>
      </c>
      <c r="AO156" s="155" t="s">
        <v>1209</v>
      </c>
      <c r="AP156" s="98" t="s">
        <v>1920</v>
      </c>
      <c r="AW156" s="45" t="str">
        <f t="shared" si="43"/>
        <v>0 Tahun 10 Bulan</v>
      </c>
    </row>
    <row r="157" ht="15.75" customHeight="1">
      <c r="A157" s="361">
        <v>151.0</v>
      </c>
      <c r="B157" s="67" t="s">
        <v>1921</v>
      </c>
      <c r="C157" s="154" t="s">
        <v>514</v>
      </c>
      <c r="D157" s="155" t="s">
        <v>91</v>
      </c>
      <c r="E157" s="372" t="s">
        <v>1922</v>
      </c>
      <c r="F157" s="238" t="s">
        <v>1923</v>
      </c>
      <c r="G157" s="108" t="s">
        <v>1924</v>
      </c>
      <c r="H157" s="52" t="s">
        <v>1188</v>
      </c>
      <c r="I157" s="52" t="s">
        <v>591</v>
      </c>
      <c r="K157" s="155" t="s">
        <v>44</v>
      </c>
      <c r="L157" s="155" t="s">
        <v>1925</v>
      </c>
      <c r="M157" s="238" t="s">
        <v>1926</v>
      </c>
      <c r="N157" s="52" t="s">
        <v>1927</v>
      </c>
      <c r="O157" s="155" t="s">
        <v>868</v>
      </c>
      <c r="P157" s="47">
        <v>2.582550132E9</v>
      </c>
      <c r="Q157" s="155" t="s">
        <v>1682</v>
      </c>
      <c r="S157" s="155" t="s">
        <v>49</v>
      </c>
      <c r="T157" s="237" t="s">
        <v>1928</v>
      </c>
      <c r="U157" s="52" t="s">
        <v>51</v>
      </c>
      <c r="W157" s="52" t="s">
        <v>1929</v>
      </c>
      <c r="Y157" s="52" t="s">
        <v>53</v>
      </c>
      <c r="Z157" s="52" t="s">
        <v>51</v>
      </c>
      <c r="AA157" s="52" t="s">
        <v>177</v>
      </c>
      <c r="AB157" s="52" t="s">
        <v>785</v>
      </c>
      <c r="AC157" s="312">
        <v>60197.0</v>
      </c>
      <c r="AF157" s="135" t="s">
        <v>65</v>
      </c>
      <c r="AH157" s="280" t="s">
        <v>125</v>
      </c>
      <c r="AI157" s="279">
        <v>2.5112911133E10</v>
      </c>
      <c r="AJ157" s="296" t="s">
        <v>1919</v>
      </c>
      <c r="AL157" s="45" t="str">
        <f t="shared" si="41"/>
        <v>0 Tahun 11 Bulan</v>
      </c>
      <c r="AM157" s="345">
        <v>45792.0</v>
      </c>
      <c r="AN157" s="346" t="s">
        <v>1208</v>
      </c>
      <c r="AO157" s="374" t="s">
        <v>1209</v>
      </c>
      <c r="AP157" s="155" t="s">
        <v>904</v>
      </c>
      <c r="AW157" s="45" t="str">
        <f t="shared" si="43"/>
        <v>0 Tahun 10 Bulan</v>
      </c>
    </row>
    <row r="158" ht="15.75" customHeight="1">
      <c r="A158" s="361">
        <v>152.0</v>
      </c>
      <c r="B158" s="257" t="s">
        <v>1930</v>
      </c>
      <c r="C158" s="154" t="s">
        <v>1310</v>
      </c>
      <c r="D158" s="155" t="s">
        <v>923</v>
      </c>
      <c r="E158" s="109" t="s">
        <v>1931</v>
      </c>
      <c r="F158" s="313" t="s">
        <v>1932</v>
      </c>
      <c r="G158" s="379" t="s">
        <v>1933</v>
      </c>
      <c r="H158" s="52" t="s">
        <v>1178</v>
      </c>
      <c r="I158" s="357" t="s">
        <v>729</v>
      </c>
      <c r="J158" s="277"/>
      <c r="K158" s="155" t="s">
        <v>44</v>
      </c>
      <c r="L158" s="370" t="s">
        <v>98</v>
      </c>
      <c r="M158" s="346" t="s">
        <v>1934</v>
      </c>
      <c r="N158" s="357" t="s">
        <v>1935</v>
      </c>
      <c r="O158" s="370"/>
      <c r="P158" s="380"/>
      <c r="Q158" s="370" t="s">
        <v>133</v>
      </c>
      <c r="R158" s="277"/>
      <c r="S158" s="370" t="s">
        <v>49</v>
      </c>
      <c r="T158" s="346" t="s">
        <v>1936</v>
      </c>
      <c r="U158" s="357" t="s">
        <v>548</v>
      </c>
      <c r="V158" s="277"/>
      <c r="W158" s="357" t="s">
        <v>1937</v>
      </c>
      <c r="X158" s="277"/>
      <c r="Y158" s="52" t="s">
        <v>53</v>
      </c>
      <c r="Z158" s="357" t="s">
        <v>548</v>
      </c>
      <c r="AA158" s="357" t="s">
        <v>1938</v>
      </c>
      <c r="AB158" s="357" t="s">
        <v>1939</v>
      </c>
      <c r="AC158" s="381">
        <v>62167.0</v>
      </c>
      <c r="AD158" s="277"/>
      <c r="AE158" s="277"/>
      <c r="AF158" s="357" t="s">
        <v>56</v>
      </c>
      <c r="AG158" s="277"/>
      <c r="AH158" s="280" t="s">
        <v>125</v>
      </c>
      <c r="AI158" s="52">
        <v>2.5175565677E10</v>
      </c>
      <c r="AJ158" s="296" t="s">
        <v>1940</v>
      </c>
      <c r="AK158" s="277"/>
      <c r="AL158" s="45" t="str">
        <f t="shared" si="41"/>
        <v>0 Tahun 11 Bulan</v>
      </c>
      <c r="AM158" s="345">
        <v>45796.0</v>
      </c>
      <c r="AN158" s="346"/>
      <c r="AO158" s="277"/>
      <c r="AP158" s="277"/>
      <c r="AQ158" s="277"/>
      <c r="AR158" s="277"/>
      <c r="AS158" s="277"/>
      <c r="AT158" s="277"/>
      <c r="AU158" s="277"/>
      <c r="AV158" s="277"/>
      <c r="AW158" s="45" t="str">
        <f t="shared" si="43"/>
        <v>0 Tahun 10 Bulan</v>
      </c>
      <c r="AX158" s="277"/>
      <c r="AY158" s="277"/>
      <c r="AZ158" s="277"/>
      <c r="BA158" s="277"/>
      <c r="BB158" s="277"/>
      <c r="BC158" s="277"/>
      <c r="BD158" s="277"/>
      <c r="BE158" s="277"/>
      <c r="BF158" s="277"/>
      <c r="BG158" s="277"/>
      <c r="BH158" s="277"/>
      <c r="BI158" s="277"/>
      <c r="BJ158" s="277"/>
      <c r="BK158" s="277"/>
      <c r="BL158" s="277"/>
      <c r="BM158" s="277"/>
      <c r="BN158" s="277"/>
      <c r="BO158" s="277"/>
      <c r="BP158" s="277"/>
      <c r="BQ158" s="277"/>
      <c r="BR158" s="277"/>
      <c r="BS158" s="277"/>
      <c r="BT158" s="277"/>
      <c r="BU158" s="277"/>
      <c r="BV158" s="277"/>
      <c r="BW158" s="277"/>
      <c r="BX158" s="277"/>
      <c r="BY158" s="277"/>
      <c r="BZ158" s="277"/>
      <c r="CA158" s="277"/>
      <c r="CB158" s="277"/>
      <c r="CC158" s="277"/>
      <c r="CD158" s="277"/>
      <c r="CE158" s="277"/>
      <c r="CF158" s="277"/>
      <c r="CG158" s="277"/>
      <c r="CH158" s="277"/>
      <c r="CI158" s="277"/>
      <c r="CJ158" s="277"/>
      <c r="CK158" s="277"/>
      <c r="CL158" s="277"/>
    </row>
    <row r="159" ht="15.75" customHeight="1">
      <c r="A159" s="361">
        <v>153.0</v>
      </c>
      <c r="B159" s="67" t="s">
        <v>1941</v>
      </c>
      <c r="C159" s="154" t="s">
        <v>498</v>
      </c>
      <c r="D159" s="67" t="s">
        <v>923</v>
      </c>
      <c r="E159" s="382" t="s">
        <v>1942</v>
      </c>
      <c r="F159" s="326" t="s">
        <v>1943</v>
      </c>
      <c r="G159" s="383" t="s">
        <v>1944</v>
      </c>
      <c r="H159" s="68" t="s">
        <v>113</v>
      </c>
      <c r="I159" s="340" t="s">
        <v>614</v>
      </c>
      <c r="J159" s="384"/>
      <c r="K159" s="67" t="s">
        <v>44</v>
      </c>
      <c r="L159" s="263" t="s">
        <v>98</v>
      </c>
      <c r="M159" s="326" t="s">
        <v>1945</v>
      </c>
      <c r="N159" s="385" t="s">
        <v>1946</v>
      </c>
      <c r="O159" s="67" t="s">
        <v>868</v>
      </c>
      <c r="P159" s="386">
        <v>3.640173245E9</v>
      </c>
      <c r="Q159" s="263" t="s">
        <v>87</v>
      </c>
      <c r="R159" s="384"/>
      <c r="S159" s="263" t="s">
        <v>1947</v>
      </c>
      <c r="T159" s="387">
        <v>33123.0</v>
      </c>
      <c r="U159" s="340" t="s">
        <v>630</v>
      </c>
      <c r="V159" s="384"/>
      <c r="W159" s="340" t="s">
        <v>1948</v>
      </c>
      <c r="X159" s="384"/>
      <c r="Y159" s="68" t="s">
        <v>53</v>
      </c>
      <c r="Z159" s="340" t="s">
        <v>51</v>
      </c>
      <c r="AA159" s="340" t="s">
        <v>253</v>
      </c>
      <c r="AB159" s="340" t="s">
        <v>254</v>
      </c>
      <c r="AC159" s="361">
        <v>60178.0</v>
      </c>
      <c r="AD159" s="384"/>
      <c r="AE159" s="384"/>
      <c r="AF159" s="127" t="s">
        <v>139</v>
      </c>
      <c r="AG159" s="384"/>
      <c r="AH159" s="55" t="s">
        <v>125</v>
      </c>
      <c r="AI159" s="388" t="s">
        <v>1949</v>
      </c>
      <c r="AJ159" s="388" t="s">
        <v>1950</v>
      </c>
      <c r="AK159" s="384"/>
      <c r="AL159" s="45" t="str">
        <f t="shared" si="41"/>
        <v>0 Tahun 10 Bulan</v>
      </c>
      <c r="AM159" s="345">
        <v>45817.0</v>
      </c>
      <c r="AN159" s="389" t="s">
        <v>1616</v>
      </c>
      <c r="AO159" s="67" t="s">
        <v>1484</v>
      </c>
      <c r="AP159" s="90" t="s">
        <v>1951</v>
      </c>
      <c r="AQ159" s="384"/>
      <c r="AR159" s="384"/>
      <c r="AS159" s="384"/>
      <c r="AT159" s="384"/>
      <c r="AU159" s="384"/>
      <c r="AV159" s="384"/>
      <c r="AW159" s="45" t="str">
        <f t="shared" si="43"/>
        <v>0 Tahun 9 Bulan</v>
      </c>
      <c r="AX159" s="384"/>
      <c r="AY159" s="384"/>
      <c r="AZ159" s="384"/>
      <c r="BA159" s="384"/>
      <c r="BB159" s="384"/>
      <c r="BC159" s="384"/>
      <c r="BD159" s="384"/>
      <c r="BE159" s="384"/>
      <c r="BF159" s="384"/>
      <c r="BG159" s="384"/>
      <c r="BH159" s="384"/>
      <c r="BI159" s="384"/>
      <c r="BJ159" s="384"/>
      <c r="BK159" s="384"/>
      <c r="BL159" s="384"/>
      <c r="BM159" s="384"/>
      <c r="BN159" s="384"/>
      <c r="BO159" s="384"/>
      <c r="BP159" s="384"/>
      <c r="BQ159" s="384"/>
      <c r="BR159" s="384"/>
      <c r="BS159" s="384"/>
      <c r="BT159" s="384"/>
      <c r="BU159" s="384"/>
      <c r="BV159" s="384"/>
      <c r="BW159" s="384"/>
      <c r="BX159" s="384"/>
      <c r="BY159" s="384"/>
      <c r="BZ159" s="384"/>
      <c r="CA159" s="384"/>
      <c r="CB159" s="384"/>
      <c r="CC159" s="384"/>
      <c r="CD159" s="384"/>
      <c r="CE159" s="384"/>
      <c r="CF159" s="384"/>
      <c r="CG159" s="384"/>
      <c r="CH159" s="384"/>
      <c r="CI159" s="384"/>
      <c r="CJ159" s="384"/>
      <c r="CK159" s="384"/>
      <c r="CL159" s="384"/>
    </row>
    <row r="160" ht="15.75" hidden="1" customHeight="1">
      <c r="A160" s="338">
        <v>154.0</v>
      </c>
      <c r="B160" s="130" t="s">
        <v>1952</v>
      </c>
      <c r="C160" s="205" t="s">
        <v>1953</v>
      </c>
      <c r="D160" s="130" t="s">
        <v>923</v>
      </c>
      <c r="E160" s="77"/>
      <c r="F160" s="310" t="s">
        <v>1954</v>
      </c>
      <c r="G160" s="334" t="s">
        <v>1955</v>
      </c>
      <c r="H160" s="85" t="s">
        <v>260</v>
      </c>
      <c r="I160" s="85" t="s">
        <v>260</v>
      </c>
      <c r="J160" s="73"/>
      <c r="K160" s="130" t="s">
        <v>44</v>
      </c>
      <c r="L160" s="130" t="s">
        <v>98</v>
      </c>
      <c r="M160" s="309" t="s">
        <v>1956</v>
      </c>
      <c r="N160" s="310" t="s">
        <v>1957</v>
      </c>
      <c r="O160" s="73"/>
      <c r="P160" s="81"/>
      <c r="Q160" s="73"/>
      <c r="R160" s="73"/>
      <c r="S160" s="130" t="s">
        <v>1958</v>
      </c>
      <c r="T160" s="309" t="s">
        <v>1959</v>
      </c>
      <c r="U160" s="85" t="s">
        <v>51</v>
      </c>
      <c r="V160" s="73"/>
      <c r="W160" s="85" t="s">
        <v>1960</v>
      </c>
      <c r="X160" s="73"/>
      <c r="Y160" s="150" t="s">
        <v>53</v>
      </c>
      <c r="Z160" s="85" t="s">
        <v>51</v>
      </c>
      <c r="AA160" s="85" t="s">
        <v>335</v>
      </c>
      <c r="AB160" s="85" t="s">
        <v>336</v>
      </c>
      <c r="AC160" s="308">
        <v>60154.0</v>
      </c>
      <c r="AD160" s="73"/>
      <c r="AE160" s="73"/>
      <c r="AF160" s="85" t="s">
        <v>71</v>
      </c>
      <c r="AG160" s="73"/>
      <c r="AH160" s="309" t="s">
        <v>125</v>
      </c>
      <c r="AI160" s="85" t="s">
        <v>1010</v>
      </c>
      <c r="AJ160" s="85" t="s">
        <v>1010</v>
      </c>
      <c r="AK160" s="73"/>
      <c r="AL160" s="73"/>
      <c r="AM160" s="309" t="s">
        <v>1511</v>
      </c>
      <c r="AN160" s="30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</row>
    <row r="161" ht="15.75" customHeight="1">
      <c r="A161" s="361">
        <v>155.0</v>
      </c>
      <c r="B161" s="67" t="s">
        <v>1961</v>
      </c>
      <c r="C161" s="154" t="s">
        <v>1139</v>
      </c>
      <c r="D161" s="155" t="s">
        <v>91</v>
      </c>
      <c r="E161" s="95" t="s">
        <v>1962</v>
      </c>
      <c r="F161" s="238" t="s">
        <v>1963</v>
      </c>
      <c r="G161" s="108" t="s">
        <v>1964</v>
      </c>
      <c r="H161" s="52" t="s">
        <v>1188</v>
      </c>
      <c r="I161" s="52" t="s">
        <v>591</v>
      </c>
      <c r="K161" s="155" t="s">
        <v>44</v>
      </c>
      <c r="L161" s="155" t="s">
        <v>98</v>
      </c>
      <c r="M161" s="238" t="s">
        <v>1965</v>
      </c>
      <c r="N161" s="311" t="s">
        <v>1966</v>
      </c>
      <c r="O161" s="155" t="s">
        <v>1742</v>
      </c>
      <c r="P161" s="47">
        <v>9.000040790975E12</v>
      </c>
      <c r="Q161" s="155" t="s">
        <v>521</v>
      </c>
      <c r="S161" s="155" t="s">
        <v>1958</v>
      </c>
      <c r="T161" s="238" t="s">
        <v>1967</v>
      </c>
      <c r="U161" s="52" t="s">
        <v>161</v>
      </c>
      <c r="W161" s="52" t="s">
        <v>1968</v>
      </c>
      <c r="Y161" s="68" t="s">
        <v>53</v>
      </c>
      <c r="Z161" s="52" t="s">
        <v>51</v>
      </c>
      <c r="AA161" s="52" t="s">
        <v>1969</v>
      </c>
      <c r="AB161" s="52" t="s">
        <v>1970</v>
      </c>
      <c r="AC161" s="312">
        <v>60286.0</v>
      </c>
      <c r="AF161" s="135" t="s">
        <v>56</v>
      </c>
      <c r="AH161" s="52">
        <v>9.47597407603E14</v>
      </c>
      <c r="AI161" s="279">
        <v>2.5147442211E10</v>
      </c>
      <c r="AJ161" s="296" t="s">
        <v>1971</v>
      </c>
      <c r="AL161" s="45" t="str">
        <f t="shared" ref="AL161:AL164" si="44">DATEDIF(AM161,NOW(),"y")&amp;" Tahun "&amp;DATEDIF(AM161,NOW(),"ym")&amp;" Bulan"</f>
        <v>0 Tahun 9 Bulan</v>
      </c>
      <c r="AM161" s="345">
        <v>45840.0</v>
      </c>
      <c r="AN161" s="390" t="s">
        <v>1972</v>
      </c>
      <c r="AO161" s="155" t="s">
        <v>1408</v>
      </c>
      <c r="AW161" s="45" t="str">
        <f t="shared" ref="AW161:AW164" si="45">DATEDIF(AM161,$AW$2,"Y") &amp; " Tahun " &amp; DATEDIF(AM161,$AW$2,"YM") &amp; " Bulan"</f>
        <v>0 Tahun 8 Bulan</v>
      </c>
    </row>
    <row r="162" ht="15.75" customHeight="1">
      <c r="A162" s="361">
        <v>156.0</v>
      </c>
      <c r="B162" s="67" t="s">
        <v>1973</v>
      </c>
      <c r="C162" s="154" t="s">
        <v>498</v>
      </c>
      <c r="D162" s="155" t="s">
        <v>923</v>
      </c>
      <c r="E162" s="95" t="s">
        <v>1974</v>
      </c>
      <c r="F162" s="238" t="s">
        <v>1975</v>
      </c>
      <c r="G162" s="94" t="s">
        <v>1976</v>
      </c>
      <c r="H162" s="95" t="s">
        <v>556</v>
      </c>
      <c r="I162" s="109" t="s">
        <v>114</v>
      </c>
      <c r="K162" s="155" t="s">
        <v>44</v>
      </c>
      <c r="L162" s="155" t="s">
        <v>98</v>
      </c>
      <c r="M162" s="238" t="s">
        <v>1977</v>
      </c>
      <c r="N162" s="311" t="s">
        <v>1978</v>
      </c>
      <c r="O162" s="155" t="s">
        <v>1742</v>
      </c>
      <c r="P162" s="47">
        <v>1.400050110296E12</v>
      </c>
      <c r="Q162" s="155" t="s">
        <v>1682</v>
      </c>
      <c r="S162" s="155" t="s">
        <v>1958</v>
      </c>
      <c r="T162" s="52" t="s">
        <v>1979</v>
      </c>
      <c r="U162" s="52" t="s">
        <v>51</v>
      </c>
      <c r="W162" s="52" t="s">
        <v>1980</v>
      </c>
      <c r="Y162" s="52" t="s">
        <v>53</v>
      </c>
      <c r="Z162" s="52" t="s">
        <v>51</v>
      </c>
      <c r="AA162" s="52" t="s">
        <v>253</v>
      </c>
      <c r="AB162" s="52" t="s">
        <v>254</v>
      </c>
      <c r="AC162" s="312">
        <v>60178.0</v>
      </c>
      <c r="AF162" s="135" t="s">
        <v>139</v>
      </c>
      <c r="AH162" s="237" t="s">
        <v>125</v>
      </c>
      <c r="AI162" s="279">
        <v>2.5147456609E10</v>
      </c>
      <c r="AJ162" s="296" t="s">
        <v>1981</v>
      </c>
      <c r="AL162" s="45" t="str">
        <f t="shared" si="44"/>
        <v>0 Tahun 9 Bulan</v>
      </c>
      <c r="AM162" s="345">
        <v>45841.0</v>
      </c>
      <c r="AN162" s="391" t="s">
        <v>1972</v>
      </c>
      <c r="AO162" s="155" t="s">
        <v>1648</v>
      </c>
      <c r="AP162" s="255">
        <v>46293.0</v>
      </c>
      <c r="AW162" s="45" t="str">
        <f t="shared" si="45"/>
        <v>0 Tahun 8 Bulan</v>
      </c>
    </row>
    <row r="163" ht="15.75" customHeight="1">
      <c r="A163" s="361">
        <v>157.0</v>
      </c>
      <c r="B163" s="257" t="s">
        <v>1982</v>
      </c>
      <c r="C163" s="154" t="s">
        <v>636</v>
      </c>
      <c r="D163" s="67" t="s">
        <v>923</v>
      </c>
      <c r="E163" s="109" t="s">
        <v>1983</v>
      </c>
      <c r="F163" s="324" t="s">
        <v>1984</v>
      </c>
      <c r="G163" s="108" t="s">
        <v>1985</v>
      </c>
      <c r="H163" s="52" t="s">
        <v>1908</v>
      </c>
      <c r="I163" s="52" t="s">
        <v>969</v>
      </c>
      <c r="K163" s="155" t="s">
        <v>44</v>
      </c>
      <c r="L163" s="273" t="s">
        <v>74</v>
      </c>
      <c r="M163" s="136" t="s">
        <v>1986</v>
      </c>
      <c r="N163" s="155" t="s">
        <v>1987</v>
      </c>
      <c r="O163" s="155" t="s">
        <v>819</v>
      </c>
      <c r="P163" s="47"/>
      <c r="Q163" s="155" t="s">
        <v>521</v>
      </c>
      <c r="S163" s="155" t="s">
        <v>69</v>
      </c>
      <c r="T163" s="392">
        <v>37872.0</v>
      </c>
      <c r="U163" s="155" t="s">
        <v>1988</v>
      </c>
      <c r="W163" s="155" t="s">
        <v>1989</v>
      </c>
      <c r="Y163" s="155" t="s">
        <v>798</v>
      </c>
      <c r="Z163" s="155" t="s">
        <v>1990</v>
      </c>
      <c r="AA163" s="155" t="s">
        <v>1991</v>
      </c>
      <c r="AB163" s="155" t="s">
        <v>1992</v>
      </c>
      <c r="AC163" s="155">
        <v>91852.0</v>
      </c>
      <c r="AF163" s="135" t="s">
        <v>71</v>
      </c>
      <c r="AH163" s="237" t="s">
        <v>125</v>
      </c>
      <c r="AI163" s="279">
        <v>2.5147449331E10</v>
      </c>
      <c r="AJ163" s="296" t="s">
        <v>1993</v>
      </c>
      <c r="AL163" s="45" t="str">
        <f t="shared" si="44"/>
        <v>0 Tahun 9 Bulan</v>
      </c>
      <c r="AM163" s="345">
        <v>45845.0</v>
      </c>
      <c r="AN163" s="391" t="s">
        <v>1972</v>
      </c>
      <c r="AO163" s="252" t="s">
        <v>1662</v>
      </c>
      <c r="AP163" s="98" t="s">
        <v>1994</v>
      </c>
      <c r="AW163" s="45" t="str">
        <f t="shared" si="45"/>
        <v>0 Tahun 8 Bulan</v>
      </c>
    </row>
    <row r="164" ht="15.75" customHeight="1">
      <c r="A164" s="361">
        <v>158.0</v>
      </c>
      <c r="B164" s="257" t="s">
        <v>1995</v>
      </c>
      <c r="C164" s="154" t="s">
        <v>1298</v>
      </c>
      <c r="D164" s="67" t="s">
        <v>923</v>
      </c>
      <c r="E164" s="109" t="s">
        <v>1996</v>
      </c>
      <c r="F164" s="155"/>
      <c r="G164" s="192"/>
      <c r="H164" s="68" t="s">
        <v>1178</v>
      </c>
      <c r="I164" s="68" t="s">
        <v>729</v>
      </c>
      <c r="J164" s="57"/>
      <c r="K164" s="155" t="s">
        <v>44</v>
      </c>
      <c r="L164" s="155" t="s">
        <v>98</v>
      </c>
      <c r="M164" s="324" t="s">
        <v>1997</v>
      </c>
      <c r="N164" s="68" t="s">
        <v>1998</v>
      </c>
      <c r="O164" s="57"/>
      <c r="P164" s="122"/>
      <c r="Q164" s="393" t="s">
        <v>1682</v>
      </c>
      <c r="R164" s="57"/>
      <c r="S164" s="67" t="s">
        <v>1958</v>
      </c>
      <c r="T164" s="121" t="s">
        <v>1999</v>
      </c>
      <c r="U164" s="68" t="s">
        <v>761</v>
      </c>
      <c r="V164" s="57"/>
      <c r="W164" s="68" t="s">
        <v>2000</v>
      </c>
      <c r="X164" s="57"/>
      <c r="Y164" s="52" t="s">
        <v>53</v>
      </c>
      <c r="Z164" s="68" t="s">
        <v>761</v>
      </c>
      <c r="AA164" s="68" t="s">
        <v>2001</v>
      </c>
      <c r="AB164" s="68" t="s">
        <v>2001</v>
      </c>
      <c r="AC164" s="325">
        <v>67359.0</v>
      </c>
      <c r="AD164" s="57"/>
      <c r="AE164" s="57"/>
      <c r="AF164" s="52" t="s">
        <v>56</v>
      </c>
      <c r="AG164" s="57"/>
      <c r="AH164" s="237" t="s">
        <v>125</v>
      </c>
      <c r="AI164" s="52">
        <v>2.5175565685E10</v>
      </c>
      <c r="AJ164" s="296" t="s">
        <v>2002</v>
      </c>
      <c r="AK164" s="57"/>
      <c r="AL164" s="45" t="str">
        <f t="shared" si="44"/>
        <v>0 Tahun 9 Bulan</v>
      </c>
      <c r="AM164" s="345">
        <v>45850.0</v>
      </c>
      <c r="AN164" s="394"/>
      <c r="AO164" s="57"/>
      <c r="AP164" s="57"/>
      <c r="AQ164" s="57"/>
      <c r="AR164" s="57"/>
      <c r="AS164" s="57"/>
      <c r="AT164" s="57"/>
      <c r="AU164" s="57"/>
      <c r="AV164" s="57"/>
      <c r="AW164" s="45" t="str">
        <f t="shared" si="45"/>
        <v>0 Tahun 8 Bulan</v>
      </c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</row>
    <row r="165" ht="15.75" hidden="1" customHeight="1">
      <c r="A165" s="338">
        <v>159.0</v>
      </c>
      <c r="B165" s="207" t="s">
        <v>2003</v>
      </c>
      <c r="C165" s="205" t="s">
        <v>84</v>
      </c>
      <c r="D165" s="207" t="s">
        <v>923</v>
      </c>
      <c r="E165" s="78" t="s">
        <v>2004</v>
      </c>
      <c r="F165" s="318" t="s">
        <v>2005</v>
      </c>
      <c r="G165" s="358" t="s">
        <v>2006</v>
      </c>
      <c r="H165" s="150" t="s">
        <v>2007</v>
      </c>
      <c r="I165" s="150" t="s">
        <v>309</v>
      </c>
      <c r="J165" s="141"/>
      <c r="K165" s="130" t="s">
        <v>44</v>
      </c>
      <c r="L165" s="130" t="s">
        <v>98</v>
      </c>
      <c r="M165" s="318" t="s">
        <v>2008</v>
      </c>
      <c r="N165" s="337" t="s">
        <v>2009</v>
      </c>
      <c r="O165" s="207" t="s">
        <v>868</v>
      </c>
      <c r="P165" s="395" t="s">
        <v>2010</v>
      </c>
      <c r="Q165" s="130" t="s">
        <v>1682</v>
      </c>
      <c r="R165" s="141"/>
      <c r="S165" s="130" t="s">
        <v>1958</v>
      </c>
      <c r="T165" s="206" t="s">
        <v>2011</v>
      </c>
      <c r="U165" s="150" t="s">
        <v>51</v>
      </c>
      <c r="V165" s="141"/>
      <c r="W165" s="150" t="s">
        <v>2012</v>
      </c>
      <c r="X165" s="141"/>
      <c r="Y165" s="85" t="s">
        <v>53</v>
      </c>
      <c r="Z165" s="85" t="s">
        <v>51</v>
      </c>
      <c r="AA165" s="150" t="s">
        <v>1135</v>
      </c>
      <c r="AB165" s="150" t="s">
        <v>1136</v>
      </c>
      <c r="AC165" s="338">
        <v>60197.0</v>
      </c>
      <c r="AD165" s="141"/>
      <c r="AE165" s="141"/>
      <c r="AF165" s="150" t="s">
        <v>65</v>
      </c>
      <c r="AG165" s="141"/>
      <c r="AH165" s="318" t="s">
        <v>2013</v>
      </c>
      <c r="AI165" s="85" t="s">
        <v>1010</v>
      </c>
      <c r="AJ165" s="85" t="s">
        <v>1010</v>
      </c>
      <c r="AK165" s="141"/>
      <c r="AL165" s="141"/>
      <c r="AM165" s="206" t="s">
        <v>2014</v>
      </c>
      <c r="AN165" s="241" t="s">
        <v>1972</v>
      </c>
      <c r="AO165" s="141"/>
      <c r="AP165" s="141"/>
      <c r="AQ165" s="141"/>
      <c r="AR165" s="141"/>
      <c r="AS165" s="141"/>
      <c r="AT165" s="141"/>
      <c r="AU165" s="141"/>
      <c r="AV165" s="141"/>
      <c r="AW165" s="141"/>
      <c r="AX165" s="141"/>
      <c r="AY165" s="141"/>
      <c r="AZ165" s="141"/>
      <c r="BA165" s="141"/>
      <c r="BB165" s="141"/>
      <c r="BC165" s="141"/>
      <c r="BD165" s="141"/>
      <c r="BE165" s="141"/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41"/>
      <c r="BW165" s="141"/>
      <c r="BX165" s="141"/>
      <c r="BY165" s="141"/>
      <c r="BZ165" s="141"/>
      <c r="CA165" s="141"/>
      <c r="CB165" s="141"/>
      <c r="CC165" s="141"/>
      <c r="CD165" s="141"/>
      <c r="CE165" s="141"/>
      <c r="CF165" s="141"/>
      <c r="CG165" s="141"/>
      <c r="CH165" s="141"/>
      <c r="CI165" s="141"/>
      <c r="CJ165" s="141"/>
      <c r="CK165" s="141"/>
      <c r="CL165" s="141"/>
    </row>
    <row r="166" ht="15.75" customHeight="1">
      <c r="A166" s="288">
        <v>160.0</v>
      </c>
      <c r="B166" s="257" t="s">
        <v>2015</v>
      </c>
      <c r="C166" s="154" t="s">
        <v>1310</v>
      </c>
      <c r="D166" s="67" t="s">
        <v>923</v>
      </c>
      <c r="E166" s="109" t="s">
        <v>1974</v>
      </c>
      <c r="F166" s="136" t="s">
        <v>2016</v>
      </c>
      <c r="G166" s="192"/>
      <c r="H166" s="68" t="s">
        <v>1178</v>
      </c>
      <c r="I166" s="68" t="s">
        <v>729</v>
      </c>
      <c r="J166" s="57"/>
      <c r="K166" s="155" t="s">
        <v>44</v>
      </c>
      <c r="L166" s="155" t="s">
        <v>98</v>
      </c>
      <c r="M166" s="324" t="s">
        <v>2017</v>
      </c>
      <c r="N166" s="180" t="s">
        <v>2018</v>
      </c>
      <c r="O166" s="57"/>
      <c r="P166" s="122"/>
      <c r="Q166" s="67" t="s">
        <v>1682</v>
      </c>
      <c r="R166" s="57"/>
      <c r="S166" s="67" t="s">
        <v>1958</v>
      </c>
      <c r="T166" s="121" t="s">
        <v>2019</v>
      </c>
      <c r="U166" s="68" t="s">
        <v>238</v>
      </c>
      <c r="V166" s="57"/>
      <c r="W166" s="68" t="s">
        <v>2020</v>
      </c>
      <c r="X166" s="57"/>
      <c r="Y166" s="68" t="s">
        <v>53</v>
      </c>
      <c r="Z166" s="68" t="s">
        <v>420</v>
      </c>
      <c r="AA166" s="68" t="s">
        <v>422</v>
      </c>
      <c r="AB166" s="68" t="s">
        <v>423</v>
      </c>
      <c r="AC166" s="325">
        <v>61174.0</v>
      </c>
      <c r="AD166" s="57"/>
      <c r="AE166" s="57"/>
      <c r="AF166" s="52" t="s">
        <v>139</v>
      </c>
      <c r="AG166" s="57"/>
      <c r="AH166" s="237" t="s">
        <v>125</v>
      </c>
      <c r="AI166" s="52">
        <v>2.5175565628E10</v>
      </c>
      <c r="AJ166" s="296" t="s">
        <v>2021</v>
      </c>
      <c r="AK166" s="57"/>
      <c r="AL166" s="45" t="str">
        <f t="shared" ref="AL166:AL175" si="46">DATEDIF(AM166,NOW(),"y")&amp;" Tahun "&amp;DATEDIF(AM166,NOW(),"ym")&amp;" Bulan"</f>
        <v>0 Tahun 8 Bulan</v>
      </c>
      <c r="AM166" s="345">
        <v>45864.0</v>
      </c>
      <c r="AN166" s="394"/>
      <c r="AO166" s="57"/>
      <c r="AP166" s="57"/>
      <c r="AQ166" s="57"/>
      <c r="AR166" s="57"/>
      <c r="AS166" s="57"/>
      <c r="AT166" s="57"/>
      <c r="AU166" s="57"/>
      <c r="AV166" s="57"/>
      <c r="AW166" s="45" t="str">
        <f t="shared" ref="AW166:AW168" si="47">DATEDIF(AM166,$AW$2,"Y") &amp; " Tahun " &amp; DATEDIF(AM166,$AW$2,"YM") &amp; " Bulan"</f>
        <v>0 Tahun 7 Bulan</v>
      </c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</row>
    <row r="167">
      <c r="A167" s="288">
        <v>161.0</v>
      </c>
      <c r="B167" s="67" t="s">
        <v>2022</v>
      </c>
      <c r="C167" s="154" t="s">
        <v>514</v>
      </c>
      <c r="D167" s="67" t="s">
        <v>923</v>
      </c>
      <c r="E167" s="372" t="s">
        <v>2023</v>
      </c>
      <c r="F167" s="238" t="s">
        <v>2024</v>
      </c>
      <c r="G167" s="155" t="s">
        <v>2025</v>
      </c>
      <c r="H167" s="155" t="s">
        <v>113</v>
      </c>
      <c r="I167" s="109" t="s">
        <v>114</v>
      </c>
      <c r="K167" s="155" t="s">
        <v>44</v>
      </c>
      <c r="L167" s="155" t="s">
        <v>98</v>
      </c>
      <c r="M167" s="136" t="s">
        <v>2026</v>
      </c>
      <c r="N167" s="136" t="s">
        <v>2027</v>
      </c>
      <c r="O167" s="67" t="s">
        <v>868</v>
      </c>
      <c r="P167" s="47">
        <v>1.012104914E9</v>
      </c>
      <c r="Q167" s="155" t="s">
        <v>87</v>
      </c>
      <c r="S167" s="67" t="s">
        <v>1958</v>
      </c>
      <c r="T167" s="396">
        <v>37945.0</v>
      </c>
      <c r="U167" s="68" t="s">
        <v>51</v>
      </c>
      <c r="W167" s="155" t="s">
        <v>2028</v>
      </c>
      <c r="Y167" s="155" t="s">
        <v>53</v>
      </c>
      <c r="Z167" s="155" t="s">
        <v>51</v>
      </c>
      <c r="AA167" s="155" t="s">
        <v>54</v>
      </c>
      <c r="AB167" s="155" t="s">
        <v>751</v>
      </c>
      <c r="AC167" s="155">
        <v>60133.0</v>
      </c>
      <c r="AF167" s="135" t="s">
        <v>71</v>
      </c>
      <c r="AH167" s="237" t="s">
        <v>125</v>
      </c>
      <c r="AI167" s="52">
        <v>2.5175560298E10</v>
      </c>
      <c r="AJ167" s="296" t="s">
        <v>2029</v>
      </c>
      <c r="AL167" s="45" t="str">
        <f t="shared" si="46"/>
        <v>0 Tahun 8 Bulan</v>
      </c>
      <c r="AM167" s="345">
        <v>45871.0</v>
      </c>
      <c r="AN167" s="155" t="s">
        <v>1209</v>
      </c>
      <c r="AO167" s="254">
        <v>46140.0</v>
      </c>
      <c r="AP167" s="255">
        <v>46231.0</v>
      </c>
      <c r="AW167" s="45" t="str">
        <f t="shared" si="47"/>
        <v>0 Tahun 7 Bulan</v>
      </c>
    </row>
    <row r="168" ht="15.75" customHeight="1">
      <c r="A168" s="361">
        <v>162.0</v>
      </c>
      <c r="B168" s="67" t="s">
        <v>2030</v>
      </c>
      <c r="C168" s="56" t="s">
        <v>1953</v>
      </c>
      <c r="D168" s="67" t="s">
        <v>923</v>
      </c>
      <c r="E168" s="109"/>
      <c r="F168" s="180" t="s">
        <v>2031</v>
      </c>
      <c r="G168" s="397" t="s">
        <v>2032</v>
      </c>
      <c r="H168" s="52" t="s">
        <v>260</v>
      </c>
      <c r="I168" s="68" t="s">
        <v>260</v>
      </c>
      <c r="J168" s="398"/>
      <c r="K168" s="155" t="s">
        <v>44</v>
      </c>
      <c r="L168" s="155" t="s">
        <v>98</v>
      </c>
      <c r="M168" s="68" t="s">
        <v>2033</v>
      </c>
      <c r="N168" s="68" t="s">
        <v>2034</v>
      </c>
      <c r="O168" s="393"/>
      <c r="P168" s="65"/>
      <c r="Q168" s="393" t="s">
        <v>1682</v>
      </c>
      <c r="R168" s="398"/>
      <c r="S168" s="393" t="s">
        <v>69</v>
      </c>
      <c r="T168" s="68" t="s">
        <v>2035</v>
      </c>
      <c r="U168" s="68" t="s">
        <v>471</v>
      </c>
      <c r="V168" s="398"/>
      <c r="W168" s="68" t="s">
        <v>2036</v>
      </c>
      <c r="X168" s="398"/>
      <c r="Y168" s="155" t="s">
        <v>53</v>
      </c>
      <c r="Z168" s="155" t="s">
        <v>420</v>
      </c>
      <c r="AA168" s="68" t="s">
        <v>570</v>
      </c>
      <c r="AB168" s="68" t="s">
        <v>2037</v>
      </c>
      <c r="AC168" s="325">
        <v>61177.0</v>
      </c>
      <c r="AD168" s="398"/>
      <c r="AE168" s="398"/>
      <c r="AF168" s="52" t="s">
        <v>71</v>
      </c>
      <c r="AG168" s="398"/>
      <c r="AH168" s="237" t="s">
        <v>125</v>
      </c>
      <c r="AI168" s="322"/>
      <c r="AJ168" s="322"/>
      <c r="AK168" s="398"/>
      <c r="AL168" s="45" t="str">
        <f t="shared" si="46"/>
        <v>0 Tahun 8 Bulan</v>
      </c>
      <c r="AM168" s="345">
        <v>45875.0</v>
      </c>
      <c r="AN168" s="155" t="s">
        <v>1209</v>
      </c>
      <c r="AO168" s="398"/>
      <c r="AP168" s="398"/>
      <c r="AQ168" s="398"/>
      <c r="AR168" s="398"/>
      <c r="AS168" s="398"/>
      <c r="AT168" s="398"/>
      <c r="AU168" s="398"/>
      <c r="AV168" s="398"/>
      <c r="AW168" s="45" t="str">
        <f t="shared" si="47"/>
        <v>0 Tahun 7 Bulan</v>
      </c>
      <c r="AX168" s="398"/>
      <c r="AY168" s="398"/>
      <c r="AZ168" s="398"/>
      <c r="BA168" s="398"/>
      <c r="BB168" s="398"/>
      <c r="BC168" s="398"/>
      <c r="BD168" s="398"/>
      <c r="BE168" s="398"/>
      <c r="BF168" s="398"/>
      <c r="BG168" s="398"/>
      <c r="BH168" s="398"/>
      <c r="BI168" s="398"/>
      <c r="BJ168" s="398"/>
      <c r="BK168" s="398"/>
      <c r="BL168" s="398"/>
      <c r="BM168" s="398"/>
      <c r="BN168" s="398"/>
      <c r="BO168" s="398"/>
      <c r="BP168" s="398"/>
      <c r="BQ168" s="398"/>
      <c r="BR168" s="398"/>
      <c r="BS168" s="398"/>
      <c r="BT168" s="398"/>
      <c r="BU168" s="398"/>
      <c r="BV168" s="398"/>
      <c r="BW168" s="398"/>
      <c r="BX168" s="398"/>
      <c r="BY168" s="398"/>
      <c r="BZ168" s="398"/>
      <c r="CA168" s="398"/>
      <c r="CB168" s="398"/>
      <c r="CC168" s="398"/>
      <c r="CD168" s="398"/>
      <c r="CE168" s="398"/>
      <c r="CF168" s="398"/>
      <c r="CG168" s="398"/>
      <c r="CH168" s="398"/>
      <c r="CI168" s="398"/>
      <c r="CJ168" s="398"/>
      <c r="CK168" s="398"/>
      <c r="CL168" s="398"/>
    </row>
    <row r="169" ht="15.75" hidden="1" customHeight="1">
      <c r="A169" s="338">
        <v>163.0</v>
      </c>
      <c r="B169" s="207" t="s">
        <v>2038</v>
      </c>
      <c r="C169" s="205" t="s">
        <v>514</v>
      </c>
      <c r="D169" s="207" t="s">
        <v>923</v>
      </c>
      <c r="E169" s="399" t="s">
        <v>2039</v>
      </c>
      <c r="F169" s="337" t="s">
        <v>2040</v>
      </c>
      <c r="G169" s="358" t="s">
        <v>2041</v>
      </c>
      <c r="H169" s="150" t="s">
        <v>705</v>
      </c>
      <c r="I169" s="150" t="s">
        <v>248</v>
      </c>
      <c r="J169" s="141"/>
      <c r="K169" s="207" t="s">
        <v>44</v>
      </c>
      <c r="L169" s="207" t="s">
        <v>98</v>
      </c>
      <c r="M169" s="206" t="s">
        <v>2042</v>
      </c>
      <c r="N169" s="400" t="s">
        <v>2043</v>
      </c>
      <c r="O169" s="207" t="s">
        <v>868</v>
      </c>
      <c r="P169" s="395" t="s">
        <v>2044</v>
      </c>
      <c r="Q169" s="141" t="s">
        <v>1682</v>
      </c>
      <c r="R169" s="141"/>
      <c r="S169" s="207" t="s">
        <v>69</v>
      </c>
      <c r="T169" s="206" t="s">
        <v>2045</v>
      </c>
      <c r="U169" s="150" t="s">
        <v>51</v>
      </c>
      <c r="V169" s="141"/>
      <c r="W169" s="150" t="s">
        <v>2046</v>
      </c>
      <c r="X169" s="141"/>
      <c r="Y169" s="150" t="s">
        <v>53</v>
      </c>
      <c r="Z169" s="150" t="s">
        <v>51</v>
      </c>
      <c r="AA169" s="150" t="s">
        <v>54</v>
      </c>
      <c r="AB169" s="150" t="s">
        <v>2047</v>
      </c>
      <c r="AC169" s="338">
        <v>60134.0</v>
      </c>
      <c r="AD169" s="141"/>
      <c r="AE169" s="141"/>
      <c r="AF169" s="150" t="s">
        <v>71</v>
      </c>
      <c r="AG169" s="141"/>
      <c r="AH169" s="309" t="s">
        <v>2048</v>
      </c>
      <c r="AI169" s="85" t="s">
        <v>1010</v>
      </c>
      <c r="AJ169" s="85" t="s">
        <v>1010</v>
      </c>
      <c r="AK169" s="141"/>
      <c r="AL169" s="141" t="str">
        <f t="shared" si="46"/>
        <v>0 Tahun 8 Bulan</v>
      </c>
      <c r="AM169" s="359">
        <v>45876.0</v>
      </c>
      <c r="AN169" s="401" t="s">
        <v>1209</v>
      </c>
      <c r="AO169" s="141" t="s">
        <v>2049</v>
      </c>
      <c r="AP169" s="141"/>
      <c r="AQ169" s="141"/>
      <c r="AR169" s="141"/>
      <c r="AS169" s="141"/>
      <c r="AT169" s="141"/>
      <c r="AU169" s="141"/>
      <c r="AV169" s="141"/>
      <c r="AW169" s="141"/>
      <c r="AX169" s="141"/>
      <c r="AY169" s="141"/>
      <c r="AZ169" s="141"/>
      <c r="BA169" s="141"/>
      <c r="BB169" s="141"/>
      <c r="BC169" s="141"/>
      <c r="BD169" s="141"/>
      <c r="BE169" s="141"/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41"/>
      <c r="BU169" s="141"/>
      <c r="BV169" s="141"/>
      <c r="BW169" s="141"/>
      <c r="BX169" s="141"/>
      <c r="BY169" s="141"/>
      <c r="BZ169" s="141"/>
      <c r="CA169" s="141"/>
      <c r="CB169" s="141"/>
      <c r="CC169" s="141"/>
      <c r="CD169" s="141"/>
      <c r="CE169" s="141"/>
      <c r="CF169" s="141"/>
      <c r="CG169" s="141"/>
      <c r="CH169" s="141"/>
      <c r="CI169" s="141"/>
      <c r="CJ169" s="141"/>
      <c r="CK169" s="141"/>
      <c r="CL169" s="141"/>
    </row>
    <row r="170" ht="15.75" hidden="1" customHeight="1">
      <c r="A170" s="338">
        <v>164.0</v>
      </c>
      <c r="B170" s="207" t="s">
        <v>2050</v>
      </c>
      <c r="C170" s="205" t="s">
        <v>84</v>
      </c>
      <c r="D170" s="207" t="s">
        <v>923</v>
      </c>
      <c r="E170" s="78" t="s">
        <v>2051</v>
      </c>
      <c r="F170" s="337" t="s">
        <v>2052</v>
      </c>
      <c r="G170" s="358" t="s">
        <v>2053</v>
      </c>
      <c r="H170" s="150" t="s">
        <v>247</v>
      </c>
      <c r="I170" s="150" t="s">
        <v>248</v>
      </c>
      <c r="J170" s="141"/>
      <c r="K170" s="207" t="s">
        <v>44</v>
      </c>
      <c r="L170" s="207" t="s">
        <v>98</v>
      </c>
      <c r="M170" s="318" t="s">
        <v>2054</v>
      </c>
      <c r="N170" s="402" t="s">
        <v>2055</v>
      </c>
      <c r="O170" s="207" t="s">
        <v>868</v>
      </c>
      <c r="P170" s="208">
        <v>7.205217304E9</v>
      </c>
      <c r="Q170" s="141" t="s">
        <v>521</v>
      </c>
      <c r="R170" s="141"/>
      <c r="S170" s="207" t="s">
        <v>1958</v>
      </c>
      <c r="T170" s="206" t="s">
        <v>2056</v>
      </c>
      <c r="U170" s="150" t="s">
        <v>2057</v>
      </c>
      <c r="V170" s="141"/>
      <c r="W170" s="150" t="s">
        <v>2058</v>
      </c>
      <c r="X170" s="141"/>
      <c r="Y170" s="150" t="s">
        <v>53</v>
      </c>
      <c r="Z170" s="150" t="s">
        <v>2057</v>
      </c>
      <c r="AA170" s="150" t="s">
        <v>2059</v>
      </c>
      <c r="AB170" s="150" t="s">
        <v>2060</v>
      </c>
      <c r="AC170" s="338">
        <v>65179.0</v>
      </c>
      <c r="AD170" s="141"/>
      <c r="AE170" s="141"/>
      <c r="AF170" s="150" t="s">
        <v>71</v>
      </c>
      <c r="AG170" s="141"/>
      <c r="AH170" s="309" t="s">
        <v>125</v>
      </c>
      <c r="AI170" s="85" t="s">
        <v>2061</v>
      </c>
      <c r="AJ170" s="85" t="s">
        <v>2061</v>
      </c>
      <c r="AK170" s="141"/>
      <c r="AL170" s="141" t="str">
        <f t="shared" si="46"/>
        <v>0 Tahun 8 Bulan</v>
      </c>
      <c r="AM170" s="359">
        <v>45880.0</v>
      </c>
      <c r="AN170" s="401" t="s">
        <v>1209</v>
      </c>
      <c r="AO170" s="401">
        <v>46050.0</v>
      </c>
      <c r="AP170" s="141"/>
      <c r="AQ170" s="141"/>
      <c r="AR170" s="141"/>
      <c r="AS170" s="141"/>
      <c r="AT170" s="141"/>
      <c r="AU170" s="141"/>
      <c r="AV170" s="141"/>
      <c r="AW170" s="141"/>
      <c r="AX170" s="141"/>
      <c r="AY170" s="141"/>
      <c r="AZ170" s="141"/>
      <c r="BA170" s="141"/>
      <c r="BB170" s="141"/>
      <c r="BC170" s="141"/>
      <c r="BD170" s="141"/>
      <c r="BE170" s="141"/>
      <c r="BF170" s="141"/>
      <c r="BG170" s="141"/>
      <c r="BH170" s="141"/>
      <c r="BI170" s="141"/>
      <c r="BJ170" s="141"/>
      <c r="BK170" s="141"/>
      <c r="BL170" s="141"/>
      <c r="BM170" s="141"/>
      <c r="BN170" s="141"/>
      <c r="BO170" s="141"/>
      <c r="BP170" s="141"/>
      <c r="BQ170" s="141"/>
      <c r="BR170" s="141"/>
      <c r="BS170" s="141"/>
      <c r="BT170" s="141"/>
      <c r="BU170" s="141"/>
      <c r="BV170" s="141"/>
      <c r="BW170" s="141"/>
      <c r="BX170" s="141"/>
      <c r="BY170" s="141"/>
      <c r="BZ170" s="141"/>
      <c r="CA170" s="141"/>
      <c r="CB170" s="141"/>
      <c r="CC170" s="141"/>
      <c r="CD170" s="141"/>
      <c r="CE170" s="141"/>
      <c r="CF170" s="141"/>
      <c r="CG170" s="141"/>
      <c r="CH170" s="141"/>
      <c r="CI170" s="141"/>
      <c r="CJ170" s="141"/>
      <c r="CK170" s="141"/>
      <c r="CL170" s="141"/>
    </row>
    <row r="171" ht="15.75" customHeight="1">
      <c r="A171" s="361">
        <v>165.0</v>
      </c>
      <c r="B171" s="67" t="s">
        <v>2062</v>
      </c>
      <c r="C171" s="56" t="s">
        <v>1953</v>
      </c>
      <c r="D171" s="67" t="s">
        <v>923</v>
      </c>
      <c r="E171" s="382"/>
      <c r="F171" s="324" t="s">
        <v>2063</v>
      </c>
      <c r="G171" s="117" t="s">
        <v>2064</v>
      </c>
      <c r="H171" s="68" t="s">
        <v>260</v>
      </c>
      <c r="I171" s="68" t="s">
        <v>260</v>
      </c>
      <c r="J171" s="57"/>
      <c r="K171" s="67" t="s">
        <v>44</v>
      </c>
      <c r="L171" s="393" t="s">
        <v>98</v>
      </c>
      <c r="M171" s="324" t="s">
        <v>2065</v>
      </c>
      <c r="N171" s="180" t="s">
        <v>2066</v>
      </c>
      <c r="O171" s="57"/>
      <c r="P171" s="122"/>
      <c r="Q171" s="393" t="s">
        <v>1682</v>
      </c>
      <c r="R171" s="57"/>
      <c r="S171" s="67" t="s">
        <v>1958</v>
      </c>
      <c r="T171" s="121" t="s">
        <v>2067</v>
      </c>
      <c r="U171" s="68" t="s">
        <v>51</v>
      </c>
      <c r="V171" s="57"/>
      <c r="W171" s="68" t="s">
        <v>2068</v>
      </c>
      <c r="X171" s="57"/>
      <c r="Y171" s="68" t="s">
        <v>53</v>
      </c>
      <c r="Z171" s="68" t="s">
        <v>51</v>
      </c>
      <c r="AA171" s="68" t="s">
        <v>739</v>
      </c>
      <c r="AB171" s="68" t="s">
        <v>2069</v>
      </c>
      <c r="AC171" s="325">
        <v>60125.0</v>
      </c>
      <c r="AD171" s="57"/>
      <c r="AE171" s="57"/>
      <c r="AF171" s="340" t="s">
        <v>65</v>
      </c>
      <c r="AG171" s="57"/>
      <c r="AH171" s="237" t="s">
        <v>125</v>
      </c>
      <c r="AI171" s="403"/>
      <c r="AJ171" s="403"/>
      <c r="AK171" s="57"/>
      <c r="AL171" s="45" t="str">
        <f t="shared" si="46"/>
        <v>0 Tahun 8 Bulan</v>
      </c>
      <c r="AM171" s="345">
        <v>45887.0</v>
      </c>
      <c r="AN171" s="396">
        <v>45989.0</v>
      </c>
      <c r="AO171" s="57"/>
      <c r="AP171" s="57"/>
      <c r="AQ171" s="57"/>
      <c r="AR171" s="57"/>
      <c r="AS171" s="57"/>
      <c r="AT171" s="57"/>
      <c r="AU171" s="57"/>
      <c r="AV171" s="57"/>
      <c r="AW171" s="45" t="str">
        <f t="shared" ref="AW171:AW175" si="48">DATEDIF(AM171,$AW$2,"Y") &amp; " Tahun " &amp; DATEDIF(AM171,$AW$2,"YM") &amp; " Bulan"</f>
        <v>0 Tahun 7 Bulan</v>
      </c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</row>
    <row r="172" ht="15.75" customHeight="1">
      <c r="A172" s="361">
        <v>166.0</v>
      </c>
      <c r="B172" s="67" t="s">
        <v>2070</v>
      </c>
      <c r="C172" s="154" t="s">
        <v>84</v>
      </c>
      <c r="D172" s="67" t="s">
        <v>923</v>
      </c>
      <c r="E172" s="382" t="s">
        <v>2071</v>
      </c>
      <c r="F172" s="324" t="s">
        <v>2072</v>
      </c>
      <c r="G172" s="117" t="s">
        <v>2073</v>
      </c>
      <c r="H172" s="68" t="s">
        <v>355</v>
      </c>
      <c r="I172" s="68" t="s">
        <v>614</v>
      </c>
      <c r="J172" s="57"/>
      <c r="K172" s="67" t="s">
        <v>44</v>
      </c>
      <c r="L172" s="393" t="s">
        <v>98</v>
      </c>
      <c r="M172" s="180" t="s">
        <v>2074</v>
      </c>
      <c r="N172" s="180" t="s">
        <v>2075</v>
      </c>
      <c r="O172" s="67" t="s">
        <v>868</v>
      </c>
      <c r="P172" s="65">
        <v>1.870516084E9</v>
      </c>
      <c r="Q172" s="67" t="s">
        <v>1682</v>
      </c>
      <c r="R172" s="57"/>
      <c r="S172" s="67" t="s">
        <v>1958</v>
      </c>
      <c r="T172" s="324" t="s">
        <v>2076</v>
      </c>
      <c r="U172" s="68" t="s">
        <v>51</v>
      </c>
      <c r="V172" s="57"/>
      <c r="W172" s="68" t="s">
        <v>2077</v>
      </c>
      <c r="X172" s="57"/>
      <c r="Y172" s="68" t="s">
        <v>53</v>
      </c>
      <c r="Z172" s="68" t="s">
        <v>51</v>
      </c>
      <c r="AA172" s="68" t="s">
        <v>253</v>
      </c>
      <c r="AB172" s="68" t="s">
        <v>2078</v>
      </c>
      <c r="AC172" s="325">
        <v>60174.0</v>
      </c>
      <c r="AD172" s="57"/>
      <c r="AE172" s="57"/>
      <c r="AF172" s="127" t="s">
        <v>241</v>
      </c>
      <c r="AG172" s="57"/>
      <c r="AH172" s="237" t="s">
        <v>125</v>
      </c>
      <c r="AI172" s="279">
        <v>2.5193066856E10</v>
      </c>
      <c r="AJ172" s="296" t="s">
        <v>2079</v>
      </c>
      <c r="AK172" s="57"/>
      <c r="AL172" s="45" t="str">
        <f t="shared" si="46"/>
        <v>0 Tahun 8 Bulan</v>
      </c>
      <c r="AM172" s="345">
        <v>45888.0</v>
      </c>
      <c r="AN172" s="347">
        <v>45989.0</v>
      </c>
      <c r="AO172" s="67" t="s">
        <v>1484</v>
      </c>
      <c r="AP172" s="90" t="s">
        <v>2080</v>
      </c>
      <c r="AQ172" s="57"/>
      <c r="AR172" s="57"/>
      <c r="AS172" s="57"/>
      <c r="AT172" s="57"/>
      <c r="AU172" s="57"/>
      <c r="AV172" s="57"/>
      <c r="AW172" s="45" t="str">
        <f t="shared" si="48"/>
        <v>0 Tahun 7 Bulan</v>
      </c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</row>
    <row r="173" ht="15.75" customHeight="1">
      <c r="A173" s="361">
        <v>167.0</v>
      </c>
      <c r="B173" s="67" t="s">
        <v>2081</v>
      </c>
      <c r="C173" s="154" t="s">
        <v>498</v>
      </c>
      <c r="D173" s="67" t="s">
        <v>923</v>
      </c>
      <c r="E173" s="95" t="s">
        <v>2082</v>
      </c>
      <c r="F173" s="324" t="s">
        <v>2083</v>
      </c>
      <c r="G173" s="117" t="s">
        <v>2084</v>
      </c>
      <c r="H173" s="68" t="s">
        <v>578</v>
      </c>
      <c r="I173" s="68" t="s">
        <v>309</v>
      </c>
      <c r="J173" s="57"/>
      <c r="K173" s="67" t="s">
        <v>44</v>
      </c>
      <c r="L173" s="393" t="s">
        <v>98</v>
      </c>
      <c r="M173" s="180" t="s">
        <v>2085</v>
      </c>
      <c r="N173" s="180" t="s">
        <v>2086</v>
      </c>
      <c r="O173" s="67" t="s">
        <v>819</v>
      </c>
      <c r="P173" s="260" t="s">
        <v>2087</v>
      </c>
      <c r="Q173" s="67" t="s">
        <v>1682</v>
      </c>
      <c r="R173" s="57"/>
      <c r="S173" s="67" t="s">
        <v>69</v>
      </c>
      <c r="T173" s="324" t="s">
        <v>2088</v>
      </c>
      <c r="U173" s="68" t="s">
        <v>2089</v>
      </c>
      <c r="V173" s="57"/>
      <c r="W173" s="68" t="s">
        <v>2090</v>
      </c>
      <c r="X173" s="57"/>
      <c r="Y173" s="68" t="s">
        <v>53</v>
      </c>
      <c r="Z173" s="68" t="s">
        <v>2091</v>
      </c>
      <c r="AA173" s="68" t="s">
        <v>2092</v>
      </c>
      <c r="AB173" s="68" t="s">
        <v>2093</v>
      </c>
      <c r="AC173" s="325">
        <v>57698.0</v>
      </c>
      <c r="AD173" s="57"/>
      <c r="AE173" s="57"/>
      <c r="AF173" s="127" t="s">
        <v>71</v>
      </c>
      <c r="AG173" s="57"/>
      <c r="AH173" s="237" t="s">
        <v>125</v>
      </c>
      <c r="AI173" s="279">
        <v>2.5193058879E10</v>
      </c>
      <c r="AJ173" s="296" t="s">
        <v>2094</v>
      </c>
      <c r="AK173" s="57"/>
      <c r="AL173" s="45" t="str">
        <f t="shared" si="46"/>
        <v>0 Tahun 7 Bulan</v>
      </c>
      <c r="AM173" s="404">
        <v>45901.0</v>
      </c>
      <c r="AN173" s="347">
        <v>45989.0</v>
      </c>
      <c r="AO173" s="265" t="s">
        <v>1484</v>
      </c>
      <c r="AP173" s="90" t="s">
        <v>2080</v>
      </c>
      <c r="AQ173" s="57"/>
      <c r="AR173" s="57"/>
      <c r="AS173" s="57"/>
      <c r="AT173" s="57"/>
      <c r="AU173" s="57"/>
      <c r="AV173" s="57"/>
      <c r="AW173" s="45" t="str">
        <f t="shared" si="48"/>
        <v>0 Tahun 6 Bulan</v>
      </c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</row>
    <row r="174">
      <c r="A174" s="155">
        <v>168.0</v>
      </c>
      <c r="B174" s="405" t="s">
        <v>2095</v>
      </c>
      <c r="C174" s="155" t="s">
        <v>41</v>
      </c>
      <c r="D174" s="67" t="s">
        <v>923</v>
      </c>
      <c r="E174" s="95" t="s">
        <v>2096</v>
      </c>
      <c r="F174" s="136" t="s">
        <v>2097</v>
      </c>
      <c r="G174" s="155" t="s">
        <v>2098</v>
      </c>
      <c r="H174" s="155" t="s">
        <v>2099</v>
      </c>
      <c r="I174" s="155" t="s">
        <v>260</v>
      </c>
      <c r="K174" s="67" t="s">
        <v>44</v>
      </c>
      <c r="L174" s="393" t="s">
        <v>98</v>
      </c>
      <c r="M174" s="68" t="s">
        <v>2100</v>
      </c>
      <c r="N174" s="180" t="s">
        <v>2101</v>
      </c>
      <c r="O174" s="155" t="s">
        <v>1043</v>
      </c>
      <c r="P174" s="155">
        <v>5.8810127603E10</v>
      </c>
      <c r="S174" s="67" t="s">
        <v>1958</v>
      </c>
      <c r="T174" s="155" t="s">
        <v>2102</v>
      </c>
      <c r="U174" s="155" t="s">
        <v>51</v>
      </c>
      <c r="W174" s="155" t="s">
        <v>2103</v>
      </c>
      <c r="Y174" s="68" t="s">
        <v>53</v>
      </c>
      <c r="Z174" s="155" t="s">
        <v>51</v>
      </c>
      <c r="AA174" s="155" t="s">
        <v>54</v>
      </c>
      <c r="AB174" s="155" t="s">
        <v>55</v>
      </c>
      <c r="AC174" s="155">
        <v>60134.0</v>
      </c>
      <c r="AF174" s="98" t="s">
        <v>241</v>
      </c>
      <c r="AH174" s="237" t="s">
        <v>125</v>
      </c>
      <c r="AI174" s="279">
        <v>2.5127385091E10</v>
      </c>
      <c r="AJ174" s="296" t="s">
        <v>2104</v>
      </c>
      <c r="AL174" s="45" t="str">
        <f t="shared" si="46"/>
        <v>0 Tahun 7 Bulan</v>
      </c>
      <c r="AM174" s="404">
        <v>45901.0</v>
      </c>
      <c r="AN174" s="155" t="s">
        <v>904</v>
      </c>
      <c r="AW174" s="45" t="str">
        <f t="shared" si="48"/>
        <v>0 Tahun 6 Bulan</v>
      </c>
    </row>
    <row r="175" ht="15.75" customHeight="1">
      <c r="A175" s="361">
        <v>169.0</v>
      </c>
      <c r="B175" s="405" t="s">
        <v>2105</v>
      </c>
      <c r="C175" s="155" t="s">
        <v>41</v>
      </c>
      <c r="D175" s="67" t="s">
        <v>923</v>
      </c>
      <c r="E175" s="95" t="s">
        <v>2106</v>
      </c>
      <c r="F175" s="406" t="s">
        <v>2107</v>
      </c>
      <c r="G175" s="407" t="s">
        <v>2108</v>
      </c>
      <c r="H175" s="408" t="s">
        <v>260</v>
      </c>
      <c r="I175" s="408" t="s">
        <v>260</v>
      </c>
      <c r="J175" s="409"/>
      <c r="K175" s="67" t="s">
        <v>44</v>
      </c>
      <c r="L175" s="393" t="s">
        <v>98</v>
      </c>
      <c r="M175" s="180" t="s">
        <v>655</v>
      </c>
      <c r="N175" s="180" t="s">
        <v>2109</v>
      </c>
      <c r="O175" s="410" t="s">
        <v>1043</v>
      </c>
      <c r="P175" s="411" t="s">
        <v>2110</v>
      </c>
      <c r="Q175" s="409"/>
      <c r="R175" s="409"/>
      <c r="S175" s="67" t="s">
        <v>69</v>
      </c>
      <c r="T175" s="324" t="s">
        <v>2111</v>
      </c>
      <c r="U175" s="68" t="s">
        <v>51</v>
      </c>
      <c r="V175" s="409"/>
      <c r="W175" s="68" t="s">
        <v>2112</v>
      </c>
      <c r="X175" s="409"/>
      <c r="Y175" s="68" t="s">
        <v>53</v>
      </c>
      <c r="Z175" s="68" t="s">
        <v>533</v>
      </c>
      <c r="AA175" s="52" t="s">
        <v>2113</v>
      </c>
      <c r="AB175" s="68" t="s">
        <v>2114</v>
      </c>
      <c r="AC175" s="412">
        <v>64162.0</v>
      </c>
      <c r="AD175" s="409"/>
      <c r="AE175" s="409"/>
      <c r="AF175" s="127" t="s">
        <v>71</v>
      </c>
      <c r="AG175" s="409"/>
      <c r="AH175" s="237" t="s">
        <v>125</v>
      </c>
      <c r="AI175" s="279">
        <v>2.5127385083E10</v>
      </c>
      <c r="AJ175" s="296" t="s">
        <v>2115</v>
      </c>
      <c r="AK175" s="409"/>
      <c r="AL175" s="45" t="str">
        <f t="shared" si="46"/>
        <v>0 Tahun 7 Bulan</v>
      </c>
      <c r="AM175" s="404">
        <v>45901.0</v>
      </c>
      <c r="AN175" s="155" t="s">
        <v>904</v>
      </c>
      <c r="AO175" s="409"/>
      <c r="AP175" s="409"/>
      <c r="AQ175" s="409"/>
      <c r="AR175" s="409"/>
      <c r="AS175" s="409"/>
      <c r="AT175" s="409"/>
      <c r="AU175" s="409"/>
      <c r="AV175" s="409"/>
      <c r="AW175" s="45" t="str">
        <f t="shared" si="48"/>
        <v>0 Tahun 6 Bulan</v>
      </c>
      <c r="AX175" s="409"/>
      <c r="AY175" s="409"/>
      <c r="AZ175" s="409"/>
      <c r="BA175" s="409"/>
      <c r="BB175" s="409"/>
      <c r="BC175" s="409"/>
      <c r="BD175" s="409"/>
      <c r="BE175" s="409"/>
      <c r="BF175" s="409"/>
      <c r="BG175" s="409"/>
      <c r="BH175" s="409"/>
      <c r="BI175" s="409"/>
      <c r="BJ175" s="409"/>
      <c r="BK175" s="409"/>
      <c r="BL175" s="409"/>
      <c r="BM175" s="409"/>
      <c r="BN175" s="409"/>
      <c r="BO175" s="409"/>
      <c r="BP175" s="409"/>
      <c r="BQ175" s="409"/>
      <c r="BR175" s="409"/>
      <c r="BS175" s="409"/>
      <c r="BT175" s="409"/>
      <c r="BU175" s="409"/>
      <c r="BV175" s="409"/>
      <c r="BW175" s="409"/>
      <c r="BX175" s="409"/>
      <c r="BY175" s="409"/>
      <c r="BZ175" s="409"/>
      <c r="CA175" s="409"/>
      <c r="CB175" s="409"/>
      <c r="CC175" s="409"/>
      <c r="CD175" s="409"/>
      <c r="CE175" s="409"/>
      <c r="CF175" s="409"/>
      <c r="CG175" s="409"/>
      <c r="CH175" s="409"/>
      <c r="CI175" s="409"/>
      <c r="CJ175" s="409"/>
      <c r="CK175" s="409"/>
      <c r="CL175" s="409"/>
    </row>
    <row r="176" ht="15.75" hidden="1" customHeight="1">
      <c r="A176" s="338" t="s">
        <v>2116</v>
      </c>
      <c r="B176" s="207" t="s">
        <v>2117</v>
      </c>
      <c r="C176" s="205" t="s">
        <v>84</v>
      </c>
      <c r="D176" s="207" t="s">
        <v>923</v>
      </c>
      <c r="E176" s="78" t="s">
        <v>2082</v>
      </c>
      <c r="F176" s="150">
        <v>8.2333006255E10</v>
      </c>
      <c r="G176" s="358" t="s">
        <v>2118</v>
      </c>
      <c r="H176" s="150" t="s">
        <v>113</v>
      </c>
      <c r="I176" s="150" t="s">
        <v>614</v>
      </c>
      <c r="J176" s="141"/>
      <c r="K176" s="207" t="s">
        <v>44</v>
      </c>
      <c r="L176" s="207" t="s">
        <v>98</v>
      </c>
      <c r="M176" s="206" t="s">
        <v>2119</v>
      </c>
      <c r="N176" s="402" t="s">
        <v>2120</v>
      </c>
      <c r="O176" s="207" t="s">
        <v>868</v>
      </c>
      <c r="P176" s="208">
        <v>4.680565886E9</v>
      </c>
      <c r="Q176" s="141"/>
      <c r="R176" s="141"/>
      <c r="S176" s="207" t="s">
        <v>1958</v>
      </c>
      <c r="T176" s="206" t="s">
        <v>2121</v>
      </c>
      <c r="U176" s="150" t="s">
        <v>51</v>
      </c>
      <c r="V176" s="141"/>
      <c r="W176" s="150" t="s">
        <v>2122</v>
      </c>
      <c r="X176" s="141"/>
      <c r="Y176" s="150" t="s">
        <v>53</v>
      </c>
      <c r="Z176" s="150" t="s">
        <v>51</v>
      </c>
      <c r="AA176" s="150" t="s">
        <v>253</v>
      </c>
      <c r="AB176" s="150" t="s">
        <v>254</v>
      </c>
      <c r="AC176" s="338">
        <v>60178.0</v>
      </c>
      <c r="AD176" s="141"/>
      <c r="AE176" s="141"/>
      <c r="AF176" s="150" t="s">
        <v>139</v>
      </c>
      <c r="AG176" s="141"/>
      <c r="AH176" s="309" t="s">
        <v>125</v>
      </c>
      <c r="AI176" s="85" t="s">
        <v>1010</v>
      </c>
      <c r="AJ176" s="85" t="s">
        <v>1010</v>
      </c>
      <c r="AK176" s="141"/>
      <c r="AL176" s="141"/>
      <c r="AM176" s="359">
        <v>45911.0</v>
      </c>
      <c r="AN176" s="401">
        <v>45989.0</v>
      </c>
      <c r="AO176" s="141"/>
      <c r="AP176" s="141"/>
      <c r="AQ176" s="141"/>
      <c r="AR176" s="141"/>
      <c r="AS176" s="141"/>
      <c r="AT176" s="141"/>
      <c r="AU176" s="141"/>
      <c r="AV176" s="141"/>
      <c r="AW176" s="141"/>
      <c r="AX176" s="141"/>
      <c r="AY176" s="141"/>
      <c r="AZ176" s="141"/>
      <c r="BA176" s="141"/>
      <c r="BB176" s="141"/>
      <c r="BC176" s="141"/>
      <c r="BD176" s="141"/>
      <c r="BE176" s="141"/>
      <c r="BF176" s="141"/>
      <c r="BG176" s="141"/>
      <c r="BH176" s="141"/>
      <c r="BI176" s="141"/>
      <c r="BJ176" s="141"/>
      <c r="BK176" s="141"/>
      <c r="BL176" s="141"/>
      <c r="BM176" s="141"/>
      <c r="BN176" s="141"/>
      <c r="BO176" s="141"/>
      <c r="BP176" s="141"/>
      <c r="BQ176" s="141"/>
      <c r="BR176" s="141"/>
      <c r="BS176" s="141"/>
      <c r="BT176" s="141"/>
      <c r="BU176" s="141"/>
      <c r="BV176" s="141"/>
      <c r="BW176" s="141"/>
      <c r="BX176" s="141"/>
      <c r="BY176" s="141"/>
      <c r="BZ176" s="141"/>
      <c r="CA176" s="141"/>
      <c r="CB176" s="141"/>
      <c r="CC176" s="141"/>
      <c r="CD176" s="141"/>
      <c r="CE176" s="141"/>
      <c r="CF176" s="141"/>
      <c r="CG176" s="141"/>
      <c r="CH176" s="141"/>
      <c r="CI176" s="141"/>
      <c r="CJ176" s="141"/>
      <c r="CK176" s="141"/>
      <c r="CL176" s="141"/>
    </row>
    <row r="177" ht="15.75" hidden="1" customHeight="1">
      <c r="A177" s="338">
        <v>171.0</v>
      </c>
      <c r="B177" s="207" t="s">
        <v>2123</v>
      </c>
      <c r="C177" s="205" t="s">
        <v>84</v>
      </c>
      <c r="D177" s="207" t="s">
        <v>923</v>
      </c>
      <c r="E177" s="78" t="s">
        <v>2124</v>
      </c>
      <c r="F177" s="337" t="s">
        <v>2125</v>
      </c>
      <c r="G177" s="358" t="s">
        <v>2126</v>
      </c>
      <c r="H177" s="150" t="s">
        <v>954</v>
      </c>
      <c r="I177" s="150" t="s">
        <v>955</v>
      </c>
      <c r="J177" s="141"/>
      <c r="K177" s="207" t="s">
        <v>44</v>
      </c>
      <c r="L177" s="207" t="s">
        <v>98</v>
      </c>
      <c r="M177" s="150" t="s">
        <v>2127</v>
      </c>
      <c r="N177" s="150" t="s">
        <v>2128</v>
      </c>
      <c r="O177" s="207" t="s">
        <v>1742</v>
      </c>
      <c r="P177" s="208">
        <v>1.420024022807E12</v>
      </c>
      <c r="Q177" s="207" t="s">
        <v>521</v>
      </c>
      <c r="R177" s="141"/>
      <c r="S177" s="207" t="s">
        <v>1958</v>
      </c>
      <c r="T177" s="206" t="s">
        <v>2129</v>
      </c>
      <c r="U177" s="150" t="s">
        <v>548</v>
      </c>
      <c r="V177" s="141"/>
      <c r="W177" s="150" t="s">
        <v>2130</v>
      </c>
      <c r="X177" s="141"/>
      <c r="Y177" s="150" t="s">
        <v>53</v>
      </c>
      <c r="Z177" s="150" t="s">
        <v>238</v>
      </c>
      <c r="AA177" s="150" t="s">
        <v>2131</v>
      </c>
      <c r="AB177" s="150" t="s">
        <v>2132</v>
      </c>
      <c r="AC177" s="338">
        <v>61352.0</v>
      </c>
      <c r="AD177" s="141"/>
      <c r="AE177" s="141"/>
      <c r="AF177" s="150" t="s">
        <v>65</v>
      </c>
      <c r="AG177" s="141"/>
      <c r="AH177" s="206" t="s">
        <v>2133</v>
      </c>
      <c r="AI177" s="150">
        <v>2.6016016425E10</v>
      </c>
      <c r="AJ177" s="337" t="s">
        <v>2134</v>
      </c>
      <c r="AK177" s="141"/>
      <c r="AL177" s="73" t="str">
        <f t="shared" ref="AL177:AL187" si="49">DATEDIF(AM177,NOW(),"y")&amp;" Tahun "&amp;DATEDIF(AM177,NOW(),"ym")&amp;" Bulan"</f>
        <v>0 Tahun 7 Bulan</v>
      </c>
      <c r="AM177" s="359">
        <v>45915.0</v>
      </c>
      <c r="AN177" s="206" t="s">
        <v>1662</v>
      </c>
      <c r="AO177" s="207" t="s">
        <v>1648</v>
      </c>
      <c r="AP177" s="207" t="s">
        <v>2135</v>
      </c>
      <c r="AQ177" s="141"/>
      <c r="AR177" s="141"/>
      <c r="AS177" s="141"/>
      <c r="AT177" s="141"/>
      <c r="AU177" s="141"/>
      <c r="AV177" s="141"/>
      <c r="AW177" s="73" t="str">
        <f t="shared" ref="AW177:AW178" si="50">DATEDIF(AM177,$AW$2,"Y") &amp; " Tahun " &amp; DATEDIF(AM177,$AW$2,"YM") &amp; " Bulan"</f>
        <v>0 Tahun 6 Bulan</v>
      </c>
      <c r="AX177" s="141"/>
      <c r="AY177" s="141"/>
      <c r="AZ177" s="141"/>
      <c r="BA177" s="141"/>
      <c r="BB177" s="141"/>
      <c r="BC177" s="141"/>
      <c r="BD177" s="141"/>
      <c r="BE177" s="141"/>
      <c r="BF177" s="141"/>
      <c r="BG177" s="141"/>
      <c r="BH177" s="141"/>
      <c r="BI177" s="141"/>
      <c r="BJ177" s="141"/>
      <c r="BK177" s="141"/>
      <c r="BL177" s="141"/>
      <c r="BM177" s="141"/>
      <c r="BN177" s="141"/>
      <c r="BO177" s="141"/>
      <c r="BP177" s="141"/>
      <c r="BQ177" s="141"/>
      <c r="BR177" s="141"/>
      <c r="BS177" s="141"/>
      <c r="BT177" s="141"/>
      <c r="BU177" s="141"/>
      <c r="BV177" s="141"/>
      <c r="BW177" s="141"/>
      <c r="BX177" s="141"/>
      <c r="BY177" s="141"/>
      <c r="BZ177" s="141"/>
      <c r="CA177" s="141"/>
      <c r="CB177" s="141"/>
      <c r="CC177" s="141"/>
      <c r="CD177" s="141"/>
      <c r="CE177" s="141"/>
      <c r="CF177" s="141"/>
      <c r="CG177" s="141"/>
      <c r="CH177" s="141"/>
      <c r="CI177" s="141"/>
      <c r="CJ177" s="141"/>
      <c r="CK177" s="141"/>
      <c r="CL177" s="141"/>
    </row>
    <row r="178" ht="15.75" customHeight="1">
      <c r="A178" s="361">
        <v>172.0</v>
      </c>
      <c r="B178" s="257" t="s">
        <v>2136</v>
      </c>
      <c r="C178" s="154" t="s">
        <v>514</v>
      </c>
      <c r="D178" s="67" t="s">
        <v>923</v>
      </c>
      <c r="E178" s="382" t="s">
        <v>2137</v>
      </c>
      <c r="F178" s="67" t="s">
        <v>2138</v>
      </c>
      <c r="G178" s="117" t="s">
        <v>2139</v>
      </c>
      <c r="H178" s="68" t="s">
        <v>578</v>
      </c>
      <c r="I178" s="68" t="s">
        <v>309</v>
      </c>
      <c r="J178" s="57"/>
      <c r="K178" s="67" t="s">
        <v>44</v>
      </c>
      <c r="L178" s="67" t="s">
        <v>98</v>
      </c>
      <c r="M178" s="68" t="s">
        <v>2140</v>
      </c>
      <c r="N178" s="68" t="s">
        <v>2141</v>
      </c>
      <c r="O178" s="67" t="s">
        <v>1043</v>
      </c>
      <c r="P178" s="260" t="s">
        <v>2142</v>
      </c>
      <c r="Q178" s="67" t="s">
        <v>2143</v>
      </c>
      <c r="R178" s="57"/>
      <c r="S178" s="67" t="s">
        <v>69</v>
      </c>
      <c r="T178" s="413">
        <v>36791.0</v>
      </c>
      <c r="U178" s="68" t="s">
        <v>2144</v>
      </c>
      <c r="V178" s="57"/>
      <c r="W178" s="68" t="s">
        <v>2145</v>
      </c>
      <c r="X178" s="57"/>
      <c r="Y178" s="68" t="s">
        <v>2144</v>
      </c>
      <c r="Z178" s="68" t="s">
        <v>2146</v>
      </c>
      <c r="AA178" s="68" t="s">
        <v>2147</v>
      </c>
      <c r="AB178" s="68" t="s">
        <v>2148</v>
      </c>
      <c r="AC178" s="325">
        <v>14110.0</v>
      </c>
      <c r="AD178" s="57"/>
      <c r="AE178" s="57"/>
      <c r="AF178" s="127" t="s">
        <v>71</v>
      </c>
      <c r="AG178" s="57"/>
      <c r="AH178" s="237">
        <v>9.18159237045E14</v>
      </c>
      <c r="AI178" s="68">
        <v>2.601601574E10</v>
      </c>
      <c r="AJ178" s="180" t="s">
        <v>2149</v>
      </c>
      <c r="AK178" s="57"/>
      <c r="AL178" s="45" t="str">
        <f t="shared" si="49"/>
        <v>0 Tahun 6 Bulan</v>
      </c>
      <c r="AM178" s="414">
        <v>45925.0</v>
      </c>
      <c r="AN178" s="415" t="s">
        <v>1662</v>
      </c>
      <c r="AO178" s="67" t="s">
        <v>1648</v>
      </c>
      <c r="AP178" s="90" t="s">
        <v>1994</v>
      </c>
      <c r="AQ178" s="57"/>
      <c r="AR178" s="57"/>
      <c r="AS178" s="57"/>
      <c r="AT178" s="57"/>
      <c r="AU178" s="57"/>
      <c r="AV178" s="57"/>
      <c r="AW178" s="45" t="str">
        <f t="shared" si="50"/>
        <v>0 Tahun 5 Bulan</v>
      </c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</row>
    <row r="179" ht="15.75" hidden="1" customHeight="1">
      <c r="A179" s="338">
        <v>173.0</v>
      </c>
      <c r="B179" s="207" t="s">
        <v>2150</v>
      </c>
      <c r="C179" s="205" t="s">
        <v>84</v>
      </c>
      <c r="D179" s="207" t="s">
        <v>923</v>
      </c>
      <c r="E179" s="78" t="s">
        <v>2151</v>
      </c>
      <c r="F179" s="337" t="s">
        <v>2152</v>
      </c>
      <c r="G179" s="358" t="s">
        <v>2153</v>
      </c>
      <c r="H179" s="150" t="s">
        <v>113</v>
      </c>
      <c r="I179" s="150" t="s">
        <v>614</v>
      </c>
      <c r="J179" s="141"/>
      <c r="K179" s="207" t="s">
        <v>44</v>
      </c>
      <c r="L179" s="207" t="s">
        <v>98</v>
      </c>
      <c r="M179" s="318" t="s">
        <v>2154</v>
      </c>
      <c r="N179" s="402" t="s">
        <v>2155</v>
      </c>
      <c r="O179" s="207" t="s">
        <v>819</v>
      </c>
      <c r="P179" s="395" t="s">
        <v>2156</v>
      </c>
      <c r="Q179" s="141" t="s">
        <v>2143</v>
      </c>
      <c r="R179" s="141"/>
      <c r="S179" s="207" t="s">
        <v>1958</v>
      </c>
      <c r="T179" s="206">
        <v>37740.0</v>
      </c>
      <c r="U179" s="150" t="s">
        <v>2157</v>
      </c>
      <c r="V179" s="141"/>
      <c r="W179" s="150" t="s">
        <v>2158</v>
      </c>
      <c r="X179" s="141"/>
      <c r="Y179" s="150" t="s">
        <v>2159</v>
      </c>
      <c r="Z179" s="150" t="s">
        <v>2157</v>
      </c>
      <c r="AA179" s="150" t="s">
        <v>2160</v>
      </c>
      <c r="AB179" s="150" t="s">
        <v>2161</v>
      </c>
      <c r="AC179" s="338">
        <v>58382.0</v>
      </c>
      <c r="AD179" s="141"/>
      <c r="AE179" s="141"/>
      <c r="AF179" s="150" t="s">
        <v>65</v>
      </c>
      <c r="AG179" s="141"/>
      <c r="AH179" s="309" t="s">
        <v>125</v>
      </c>
      <c r="AI179" s="85" t="s">
        <v>1010</v>
      </c>
      <c r="AJ179" s="85" t="s">
        <v>1010</v>
      </c>
      <c r="AK179" s="141"/>
      <c r="AL179" s="141" t="str">
        <f t="shared" si="49"/>
        <v>0 Tahun 6 Bulan</v>
      </c>
      <c r="AM179" s="359">
        <v>45925.0</v>
      </c>
      <c r="AN179" s="401" t="s">
        <v>1662</v>
      </c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41"/>
      <c r="BF179" s="141"/>
      <c r="BG179" s="141"/>
      <c r="BH179" s="141"/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</row>
    <row r="180" ht="15.75" customHeight="1">
      <c r="A180" s="361">
        <v>174.0</v>
      </c>
      <c r="B180" s="257" t="s">
        <v>2162</v>
      </c>
      <c r="C180" s="154" t="s">
        <v>1310</v>
      </c>
      <c r="D180" s="67" t="s">
        <v>923</v>
      </c>
      <c r="E180" s="382" t="s">
        <v>2082</v>
      </c>
      <c r="F180" s="324" t="s">
        <v>2163</v>
      </c>
      <c r="G180" s="117" t="s">
        <v>2164</v>
      </c>
      <c r="H180" s="68" t="s">
        <v>1178</v>
      </c>
      <c r="I180" s="68" t="s">
        <v>729</v>
      </c>
      <c r="J180" s="57"/>
      <c r="K180" s="67" t="s">
        <v>44</v>
      </c>
      <c r="L180" s="67" t="s">
        <v>98</v>
      </c>
      <c r="M180" s="180" t="s">
        <v>2165</v>
      </c>
      <c r="N180" s="68" t="s">
        <v>2166</v>
      </c>
      <c r="O180" s="57"/>
      <c r="P180" s="122"/>
      <c r="Q180" s="67" t="s">
        <v>2143</v>
      </c>
      <c r="R180" s="57"/>
      <c r="S180" s="67" t="s">
        <v>1958</v>
      </c>
      <c r="T180" s="68" t="s">
        <v>2167</v>
      </c>
      <c r="U180" s="68" t="s">
        <v>238</v>
      </c>
      <c r="V180" s="57"/>
      <c r="W180" s="68" t="s">
        <v>2168</v>
      </c>
      <c r="X180" s="57"/>
      <c r="Y180" s="68" t="s">
        <v>53</v>
      </c>
      <c r="Z180" s="68" t="s">
        <v>238</v>
      </c>
      <c r="AA180" s="68" t="s">
        <v>2169</v>
      </c>
      <c r="AB180" s="68" t="s">
        <v>2170</v>
      </c>
      <c r="AC180" s="325">
        <v>61361.0</v>
      </c>
      <c r="AD180" s="57"/>
      <c r="AE180" s="57"/>
      <c r="AF180" s="68" t="s">
        <v>71</v>
      </c>
      <c r="AG180" s="57"/>
      <c r="AH180" s="121" t="s">
        <v>2133</v>
      </c>
      <c r="AI180" s="52">
        <v>2.5175565651E10</v>
      </c>
      <c r="AJ180" s="311" t="s">
        <v>2171</v>
      </c>
      <c r="AK180" s="57"/>
      <c r="AL180" s="45" t="str">
        <f t="shared" si="49"/>
        <v>0 Tahun 6 Bulan</v>
      </c>
      <c r="AM180" s="414">
        <v>45929.0</v>
      </c>
      <c r="AN180" s="121"/>
      <c r="AO180" s="57"/>
      <c r="AP180" s="57"/>
      <c r="AQ180" s="57"/>
      <c r="AR180" s="57"/>
      <c r="AS180" s="57"/>
      <c r="AT180" s="57"/>
      <c r="AU180" s="57"/>
      <c r="AV180" s="57"/>
      <c r="AW180" s="45" t="str">
        <f t="shared" ref="AW180:AW182" si="51">DATEDIF(AM180,$AW$2,"Y") &amp; " Tahun " &amp; DATEDIF(AM180,$AW$2,"YM") &amp; " Bulan"</f>
        <v>0 Tahun 5 Bulan</v>
      </c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</row>
    <row r="181" ht="15.75" customHeight="1">
      <c r="A181" s="361">
        <v>175.0</v>
      </c>
      <c r="B181" s="263" t="s">
        <v>2172</v>
      </c>
      <c r="C181" s="154" t="s">
        <v>84</v>
      </c>
      <c r="D181" s="67" t="s">
        <v>923</v>
      </c>
      <c r="E181" s="382" t="s">
        <v>2173</v>
      </c>
      <c r="F181" s="324" t="s">
        <v>2174</v>
      </c>
      <c r="G181" s="117" t="s">
        <v>2175</v>
      </c>
      <c r="H181" s="68" t="s">
        <v>355</v>
      </c>
      <c r="I181" s="68" t="s">
        <v>614</v>
      </c>
      <c r="J181" s="57"/>
      <c r="K181" s="67" t="s">
        <v>44</v>
      </c>
      <c r="L181" s="67" t="s">
        <v>98</v>
      </c>
      <c r="M181" s="180" t="s">
        <v>2176</v>
      </c>
      <c r="N181" s="180" t="s">
        <v>2177</v>
      </c>
      <c r="O181" s="67" t="s">
        <v>868</v>
      </c>
      <c r="P181" s="65">
        <v>5.130119613E9</v>
      </c>
      <c r="Q181" s="67" t="s">
        <v>1682</v>
      </c>
      <c r="R181" s="57"/>
      <c r="S181" s="67" t="s">
        <v>1958</v>
      </c>
      <c r="T181" s="413">
        <v>35317.0</v>
      </c>
      <c r="U181" s="68" t="s">
        <v>51</v>
      </c>
      <c r="V181" s="57"/>
      <c r="W181" s="68" t="s">
        <v>2178</v>
      </c>
      <c r="X181" s="57"/>
      <c r="Y181" s="68" t="s">
        <v>53</v>
      </c>
      <c r="Z181" s="68" t="s">
        <v>51</v>
      </c>
      <c r="AA181" s="68" t="s">
        <v>2179</v>
      </c>
      <c r="AB181" s="68" t="s">
        <v>2180</v>
      </c>
      <c r="AC181" s="325">
        <v>60142.0</v>
      </c>
      <c r="AD181" s="57"/>
      <c r="AE181" s="57"/>
      <c r="AF181" s="127" t="s">
        <v>56</v>
      </c>
      <c r="AG181" s="57"/>
      <c r="AH181" s="121" t="s">
        <v>2133</v>
      </c>
      <c r="AI181" s="68">
        <v>2.6016016417E10</v>
      </c>
      <c r="AJ181" s="180" t="s">
        <v>2181</v>
      </c>
      <c r="AK181" s="57"/>
      <c r="AL181" s="45" t="str">
        <f t="shared" si="49"/>
        <v>0 Tahun 6 Bulan</v>
      </c>
      <c r="AM181" s="414">
        <v>45937.0</v>
      </c>
      <c r="AN181" s="415" t="s">
        <v>1662</v>
      </c>
      <c r="AO181" s="90" t="s">
        <v>1511</v>
      </c>
      <c r="AP181" s="57"/>
      <c r="AQ181" s="57"/>
      <c r="AR181" s="57"/>
      <c r="AS181" s="57"/>
      <c r="AT181" s="57"/>
      <c r="AU181" s="57"/>
      <c r="AV181" s="57"/>
      <c r="AW181" s="45" t="str">
        <f t="shared" si="51"/>
        <v>0 Tahun 5 Bulan</v>
      </c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</row>
    <row r="182" ht="15.75" customHeight="1">
      <c r="A182" s="361">
        <v>176.0</v>
      </c>
      <c r="B182" s="265" t="s">
        <v>2182</v>
      </c>
      <c r="C182" s="154" t="s">
        <v>2183</v>
      </c>
      <c r="D182" s="67" t="s">
        <v>2184</v>
      </c>
      <c r="E182" s="382"/>
      <c r="F182" s="324" t="s">
        <v>2185</v>
      </c>
      <c r="G182" s="117" t="s">
        <v>2186</v>
      </c>
      <c r="H182" s="68" t="s">
        <v>2187</v>
      </c>
      <c r="I182" s="68" t="s">
        <v>955</v>
      </c>
      <c r="J182" s="57"/>
      <c r="K182" s="67" t="s">
        <v>44</v>
      </c>
      <c r="L182" s="416" t="s">
        <v>1376</v>
      </c>
      <c r="M182" s="68"/>
      <c r="N182" s="180" t="s">
        <v>2188</v>
      </c>
      <c r="O182" s="67" t="s">
        <v>868</v>
      </c>
      <c r="P182" s="65">
        <v>6.720571534E9</v>
      </c>
      <c r="Q182" s="67" t="s">
        <v>1682</v>
      </c>
      <c r="R182" s="57"/>
      <c r="S182" s="67" t="s">
        <v>1958</v>
      </c>
      <c r="T182" s="413">
        <v>37376.0</v>
      </c>
      <c r="U182" s="68" t="s">
        <v>51</v>
      </c>
      <c r="V182" s="57"/>
      <c r="W182" s="68" t="s">
        <v>2189</v>
      </c>
      <c r="X182" s="57"/>
      <c r="Y182" s="68" t="s">
        <v>53</v>
      </c>
      <c r="Z182" s="68" t="s">
        <v>51</v>
      </c>
      <c r="AA182" s="68" t="s">
        <v>1505</v>
      </c>
      <c r="AB182" s="68" t="s">
        <v>1506</v>
      </c>
      <c r="AC182" s="325">
        <v>60222.0</v>
      </c>
      <c r="AD182" s="57"/>
      <c r="AE182" s="57"/>
      <c r="AF182" s="127" t="s">
        <v>71</v>
      </c>
      <c r="AG182" s="57"/>
      <c r="AH182" s="121" t="s">
        <v>2190</v>
      </c>
      <c r="AI182" s="403" t="s">
        <v>1010</v>
      </c>
      <c r="AJ182" s="403" t="s">
        <v>1010</v>
      </c>
      <c r="AK182" s="57"/>
      <c r="AL182" s="45" t="str">
        <f t="shared" si="49"/>
        <v>0 Tahun 5 Bulan</v>
      </c>
      <c r="AM182" s="414">
        <v>45957.0</v>
      </c>
      <c r="AN182" s="327">
        <v>46140.0</v>
      </c>
      <c r="AO182" s="57"/>
      <c r="AP182" s="57"/>
      <c r="AQ182" s="57"/>
      <c r="AR182" s="57"/>
      <c r="AS182" s="57"/>
      <c r="AT182" s="57"/>
      <c r="AU182" s="57"/>
      <c r="AV182" s="57"/>
      <c r="AW182" s="45" t="str">
        <f t="shared" si="51"/>
        <v>0 Tahun 4 Bulan</v>
      </c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</row>
    <row r="183" ht="15.75" hidden="1" customHeight="1">
      <c r="A183" s="338">
        <v>177.0</v>
      </c>
      <c r="B183" s="207" t="s">
        <v>2191</v>
      </c>
      <c r="C183" s="205" t="s">
        <v>498</v>
      </c>
      <c r="D183" s="207" t="s">
        <v>923</v>
      </c>
      <c r="E183" s="78" t="s">
        <v>2192</v>
      </c>
      <c r="F183" s="337" t="s">
        <v>2193</v>
      </c>
      <c r="G183" s="358" t="s">
        <v>2194</v>
      </c>
      <c r="H183" s="150" t="s">
        <v>113</v>
      </c>
      <c r="I183" s="150" t="s">
        <v>614</v>
      </c>
      <c r="J183" s="141"/>
      <c r="K183" s="207" t="s">
        <v>44</v>
      </c>
      <c r="L183" s="207" t="s">
        <v>98</v>
      </c>
      <c r="M183" s="318" t="s">
        <v>2195</v>
      </c>
      <c r="N183" s="400" t="s">
        <v>2196</v>
      </c>
      <c r="O183" s="207" t="s">
        <v>1043</v>
      </c>
      <c r="P183" s="395" t="s">
        <v>2197</v>
      </c>
      <c r="Q183" s="141" t="s">
        <v>87</v>
      </c>
      <c r="R183" s="141"/>
      <c r="S183" s="207" t="s">
        <v>1958</v>
      </c>
      <c r="T183" s="206" t="s">
        <v>2198</v>
      </c>
      <c r="U183" s="150" t="s">
        <v>203</v>
      </c>
      <c r="V183" s="141"/>
      <c r="W183" s="150" t="s">
        <v>2199</v>
      </c>
      <c r="X183" s="141"/>
      <c r="Y183" s="150" t="s">
        <v>53</v>
      </c>
      <c r="Z183" s="150" t="s">
        <v>420</v>
      </c>
      <c r="AA183" s="150" t="s">
        <v>422</v>
      </c>
      <c r="AB183" s="150" t="s">
        <v>473</v>
      </c>
      <c r="AC183" s="338">
        <v>61174.0</v>
      </c>
      <c r="AD183" s="141"/>
      <c r="AE183" s="141"/>
      <c r="AF183" s="150" t="s">
        <v>56</v>
      </c>
      <c r="AG183" s="141"/>
      <c r="AH183" s="309" t="s">
        <v>2133</v>
      </c>
      <c r="AI183" s="85" t="s">
        <v>1010</v>
      </c>
      <c r="AJ183" s="85" t="s">
        <v>1010</v>
      </c>
      <c r="AK183" s="141"/>
      <c r="AL183" s="141" t="str">
        <f t="shared" si="49"/>
        <v>0 Tahun 5 Bulan</v>
      </c>
      <c r="AM183" s="359">
        <v>45966.0</v>
      </c>
      <c r="AN183" s="401" t="s">
        <v>1567</v>
      </c>
      <c r="AO183" s="141" t="s">
        <v>2200</v>
      </c>
      <c r="AP183" s="141"/>
      <c r="AQ183" s="141"/>
      <c r="AR183" s="141"/>
      <c r="AS183" s="141"/>
      <c r="AT183" s="141"/>
      <c r="AU183" s="141"/>
      <c r="AV183" s="141"/>
      <c r="AW183" s="141"/>
      <c r="AX183" s="141"/>
      <c r="AY183" s="141"/>
      <c r="AZ183" s="141"/>
      <c r="BA183" s="141"/>
      <c r="BB183" s="141"/>
      <c r="BC183" s="141"/>
      <c r="BD183" s="141"/>
      <c r="BE183" s="141"/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41"/>
      <c r="CA183" s="141"/>
      <c r="CB183" s="141"/>
      <c r="CC183" s="141"/>
      <c r="CD183" s="141"/>
      <c r="CE183" s="141"/>
      <c r="CF183" s="141"/>
      <c r="CG183" s="141"/>
      <c r="CH183" s="141"/>
      <c r="CI183" s="141"/>
      <c r="CJ183" s="141"/>
      <c r="CK183" s="141"/>
      <c r="CL183" s="141"/>
    </row>
    <row r="184" ht="15.75" hidden="1" customHeight="1">
      <c r="A184" s="338">
        <v>178.0</v>
      </c>
      <c r="B184" s="207" t="s">
        <v>2201</v>
      </c>
      <c r="C184" s="205" t="s">
        <v>84</v>
      </c>
      <c r="D184" s="207" t="s">
        <v>923</v>
      </c>
      <c r="E184" s="78" t="s">
        <v>2202</v>
      </c>
      <c r="F184" s="337" t="s">
        <v>2203</v>
      </c>
      <c r="G184" s="358" t="s">
        <v>2204</v>
      </c>
      <c r="H184" s="150" t="s">
        <v>2205</v>
      </c>
      <c r="I184" s="150" t="s">
        <v>248</v>
      </c>
      <c r="J184" s="141"/>
      <c r="K184" s="207" t="s">
        <v>44</v>
      </c>
      <c r="L184" s="207" t="s">
        <v>74</v>
      </c>
      <c r="M184" s="318" t="s">
        <v>2206</v>
      </c>
      <c r="N184" s="400" t="s">
        <v>2207</v>
      </c>
      <c r="O184" s="207" t="s">
        <v>868</v>
      </c>
      <c r="P184" s="208">
        <v>5.105112448E9</v>
      </c>
      <c r="Q184" s="141" t="s">
        <v>521</v>
      </c>
      <c r="R184" s="141"/>
      <c r="S184" s="207" t="s">
        <v>69</v>
      </c>
      <c r="T184" s="206" t="s">
        <v>2208</v>
      </c>
      <c r="U184" s="150" t="s">
        <v>135</v>
      </c>
      <c r="V184" s="141"/>
      <c r="W184" s="150" t="s">
        <v>2209</v>
      </c>
      <c r="X184" s="141"/>
      <c r="Y184" s="150" t="s">
        <v>53</v>
      </c>
      <c r="Z184" s="150" t="s">
        <v>135</v>
      </c>
      <c r="AA184" s="150" t="s">
        <v>227</v>
      </c>
      <c r="AB184" s="150" t="s">
        <v>2210</v>
      </c>
      <c r="AC184" s="338">
        <v>63155.0</v>
      </c>
      <c r="AD184" s="141"/>
      <c r="AE184" s="141"/>
      <c r="AF184" s="150" t="s">
        <v>71</v>
      </c>
      <c r="AG184" s="141"/>
      <c r="AH184" s="309" t="s">
        <v>2133</v>
      </c>
      <c r="AI184" s="85" t="s">
        <v>1010</v>
      </c>
      <c r="AJ184" s="85" t="s">
        <v>1010</v>
      </c>
      <c r="AK184" s="141"/>
      <c r="AL184" s="141" t="str">
        <f t="shared" si="49"/>
        <v>0 Tahun 5 Bulan</v>
      </c>
      <c r="AM184" s="359">
        <v>45965.0</v>
      </c>
      <c r="AN184" s="401" t="s">
        <v>1567</v>
      </c>
      <c r="AO184" s="141" t="s">
        <v>2211</v>
      </c>
      <c r="AP184" s="141"/>
      <c r="AQ184" s="141"/>
      <c r="AR184" s="141"/>
      <c r="AS184" s="141"/>
      <c r="AT184" s="141"/>
      <c r="AU184" s="141"/>
      <c r="AV184" s="141"/>
      <c r="AW184" s="141"/>
      <c r="AX184" s="141"/>
      <c r="AY184" s="141"/>
      <c r="AZ184" s="141"/>
      <c r="BA184" s="141"/>
      <c r="BB184" s="141"/>
      <c r="BC184" s="141"/>
      <c r="BD184" s="141"/>
      <c r="BE184" s="141"/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41"/>
      <c r="CA184" s="141"/>
      <c r="CB184" s="141"/>
      <c r="CC184" s="141"/>
      <c r="CD184" s="141"/>
      <c r="CE184" s="141"/>
      <c r="CF184" s="141"/>
      <c r="CG184" s="141"/>
      <c r="CH184" s="141"/>
      <c r="CI184" s="141"/>
      <c r="CJ184" s="141"/>
      <c r="CK184" s="141"/>
      <c r="CL184" s="141"/>
    </row>
    <row r="185" ht="15.75" customHeight="1">
      <c r="A185" s="361">
        <v>179.0</v>
      </c>
      <c r="B185" s="263" t="s">
        <v>2212</v>
      </c>
      <c r="C185" s="154" t="s">
        <v>84</v>
      </c>
      <c r="D185" s="67" t="s">
        <v>923</v>
      </c>
      <c r="E185" s="382" t="s">
        <v>2213</v>
      </c>
      <c r="F185" s="324" t="s">
        <v>2214</v>
      </c>
      <c r="G185" s="117" t="s">
        <v>2215</v>
      </c>
      <c r="H185" s="68" t="s">
        <v>2216</v>
      </c>
      <c r="I185" s="68" t="s">
        <v>248</v>
      </c>
      <c r="J185" s="57"/>
      <c r="K185" s="67" t="s">
        <v>44</v>
      </c>
      <c r="L185" s="416" t="s">
        <v>74</v>
      </c>
      <c r="M185" s="324" t="s">
        <v>2217</v>
      </c>
      <c r="N185" s="180" t="s">
        <v>2218</v>
      </c>
      <c r="O185" s="67" t="s">
        <v>868</v>
      </c>
      <c r="P185" s="65">
        <v>1.030693619E9</v>
      </c>
      <c r="Q185" s="67" t="s">
        <v>2219</v>
      </c>
      <c r="R185" s="57"/>
      <c r="S185" s="67" t="s">
        <v>69</v>
      </c>
      <c r="T185" s="68" t="s">
        <v>2220</v>
      </c>
      <c r="U185" s="68" t="s">
        <v>51</v>
      </c>
      <c r="V185" s="57"/>
      <c r="W185" s="68" t="s">
        <v>2221</v>
      </c>
      <c r="X185" s="57"/>
      <c r="Y185" s="68" t="s">
        <v>53</v>
      </c>
      <c r="Z185" s="68" t="s">
        <v>51</v>
      </c>
      <c r="AA185" s="68" t="s">
        <v>177</v>
      </c>
      <c r="AB185" s="68" t="s">
        <v>785</v>
      </c>
      <c r="AC185" s="325">
        <v>60256.0</v>
      </c>
      <c r="AD185" s="57"/>
      <c r="AE185" s="57"/>
      <c r="AF185" s="127" t="s">
        <v>71</v>
      </c>
      <c r="AG185" s="57"/>
      <c r="AH185" s="121" t="s">
        <v>2133</v>
      </c>
      <c r="AI185" s="68">
        <v>2.6028919657E10</v>
      </c>
      <c r="AJ185" s="292" t="s">
        <v>2222</v>
      </c>
      <c r="AK185" s="57"/>
      <c r="AL185" s="45" t="str">
        <f t="shared" si="49"/>
        <v>0 Tahun 5 Bulan</v>
      </c>
      <c r="AM185" s="414">
        <v>45966.0</v>
      </c>
      <c r="AN185" s="415" t="s">
        <v>1567</v>
      </c>
      <c r="AO185" s="90" t="s">
        <v>1818</v>
      </c>
      <c r="AP185" s="57"/>
      <c r="AQ185" s="57"/>
      <c r="AR185" s="57"/>
      <c r="AS185" s="57"/>
      <c r="AT185" s="57"/>
      <c r="AU185" s="57"/>
      <c r="AV185" s="57"/>
      <c r="AW185" s="45" t="str">
        <f t="shared" ref="AW185:AW187" si="52">DATEDIF(AM185,$AW$2,"Y") &amp; " Tahun " &amp; DATEDIF(AM185,$AW$2,"YM") &amp; " Bulan"</f>
        <v>0 Tahun 4 Bulan</v>
      </c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</row>
    <row r="186" ht="15.75" customHeight="1">
      <c r="A186" s="361">
        <v>180.0</v>
      </c>
      <c r="B186" s="265" t="s">
        <v>2223</v>
      </c>
      <c r="C186" s="154" t="s">
        <v>729</v>
      </c>
      <c r="D186" s="67" t="s">
        <v>923</v>
      </c>
      <c r="E186" s="382" t="s">
        <v>2192</v>
      </c>
      <c r="F186" s="121" t="s">
        <v>2224</v>
      </c>
      <c r="G186" s="117" t="s">
        <v>2225</v>
      </c>
      <c r="H186" s="68" t="s">
        <v>705</v>
      </c>
      <c r="I186" s="68" t="s">
        <v>248</v>
      </c>
      <c r="J186" s="57"/>
      <c r="K186" s="67" t="s">
        <v>44</v>
      </c>
      <c r="L186" s="67" t="s">
        <v>98</v>
      </c>
      <c r="M186" s="121" t="s">
        <v>2226</v>
      </c>
      <c r="N186" s="68" t="s">
        <v>2227</v>
      </c>
      <c r="O186" s="67" t="s">
        <v>819</v>
      </c>
      <c r="P186" s="65" t="s">
        <v>2228</v>
      </c>
      <c r="Q186" s="67" t="s">
        <v>521</v>
      </c>
      <c r="R186" s="57"/>
      <c r="S186" s="67" t="s">
        <v>69</v>
      </c>
      <c r="T186" s="121" t="s">
        <v>2229</v>
      </c>
      <c r="U186" s="68" t="s">
        <v>51</v>
      </c>
      <c r="V186" s="57"/>
      <c r="W186" s="68" t="s">
        <v>2230</v>
      </c>
      <c r="X186" s="57"/>
      <c r="Y186" s="68" t="s">
        <v>53</v>
      </c>
      <c r="Z186" s="68" t="s">
        <v>51</v>
      </c>
      <c r="AA186" s="68" t="s">
        <v>1291</v>
      </c>
      <c r="AB186" s="68" t="s">
        <v>2231</v>
      </c>
      <c r="AC186" s="325">
        <v>60216.0</v>
      </c>
      <c r="AD186" s="57"/>
      <c r="AE186" s="57"/>
      <c r="AF186" s="127" t="s">
        <v>71</v>
      </c>
      <c r="AG186" s="57"/>
      <c r="AH186" s="121" t="s">
        <v>2133</v>
      </c>
      <c r="AI186" s="68">
        <v>2.6028978349E10</v>
      </c>
      <c r="AJ186" s="292" t="s">
        <v>2232</v>
      </c>
      <c r="AK186" s="57"/>
      <c r="AL186" s="45" t="str">
        <f t="shared" si="49"/>
        <v>0 Tahun 5 Bulan</v>
      </c>
      <c r="AM186" s="414">
        <v>45971.0</v>
      </c>
      <c r="AN186" s="415" t="s">
        <v>1567</v>
      </c>
      <c r="AO186" s="417">
        <v>46140.0</v>
      </c>
      <c r="AP186" s="418">
        <v>46231.0</v>
      </c>
      <c r="AQ186" s="57"/>
      <c r="AR186" s="57"/>
      <c r="AS186" s="57"/>
      <c r="AT186" s="57"/>
      <c r="AU186" s="57"/>
      <c r="AV186" s="57"/>
      <c r="AW186" s="45" t="str">
        <f t="shared" si="52"/>
        <v>0 Tahun 4 Bulan</v>
      </c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</row>
    <row r="187" ht="15.75" hidden="1" customHeight="1">
      <c r="A187" s="338">
        <v>181.0</v>
      </c>
      <c r="B187" s="207" t="s">
        <v>2233</v>
      </c>
      <c r="C187" s="205" t="s">
        <v>636</v>
      </c>
      <c r="D187" s="207" t="s">
        <v>923</v>
      </c>
      <c r="E187" s="78" t="s">
        <v>2234</v>
      </c>
      <c r="F187" s="206" t="s">
        <v>2235</v>
      </c>
      <c r="G187" s="358" t="s">
        <v>2236</v>
      </c>
      <c r="H187" s="150" t="s">
        <v>939</v>
      </c>
      <c r="I187" s="150" t="s">
        <v>248</v>
      </c>
      <c r="J187" s="141"/>
      <c r="K187" s="207" t="s">
        <v>44</v>
      </c>
      <c r="L187" s="207" t="s">
        <v>74</v>
      </c>
      <c r="M187" s="337" t="s">
        <v>2237</v>
      </c>
      <c r="N187" s="150" t="s">
        <v>2238</v>
      </c>
      <c r="O187" s="207" t="s">
        <v>1043</v>
      </c>
      <c r="P187" s="395" t="s">
        <v>2239</v>
      </c>
      <c r="Q187" s="207" t="s">
        <v>521</v>
      </c>
      <c r="R187" s="141"/>
      <c r="S187" s="207" t="s">
        <v>69</v>
      </c>
      <c r="T187" s="206" t="s">
        <v>2240</v>
      </c>
      <c r="U187" s="150" t="s">
        <v>64</v>
      </c>
      <c r="V187" s="141"/>
      <c r="W187" s="150" t="s">
        <v>2241</v>
      </c>
      <c r="X187" s="141"/>
      <c r="Y187" s="150" t="s">
        <v>798</v>
      </c>
      <c r="Z187" s="150" t="s">
        <v>2242</v>
      </c>
      <c r="AA187" s="150" t="s">
        <v>2243</v>
      </c>
      <c r="AB187" s="150" t="s">
        <v>2244</v>
      </c>
      <c r="AC187" s="338">
        <v>91913.0</v>
      </c>
      <c r="AD187" s="141"/>
      <c r="AE187" s="141"/>
      <c r="AF187" s="150" t="s">
        <v>71</v>
      </c>
      <c r="AG187" s="141"/>
      <c r="AH187" s="206" t="s">
        <v>2133</v>
      </c>
      <c r="AI187" s="207" t="s">
        <v>1010</v>
      </c>
      <c r="AJ187" s="207" t="s">
        <v>2245</v>
      </c>
      <c r="AK187" s="141"/>
      <c r="AL187" s="141" t="str">
        <f t="shared" si="49"/>
        <v>0 Tahun 5 Bulan</v>
      </c>
      <c r="AM187" s="359">
        <v>45971.0</v>
      </c>
      <c r="AN187" s="206" t="s">
        <v>1567</v>
      </c>
      <c r="AO187" s="207" t="s">
        <v>2246</v>
      </c>
      <c r="AP187" s="207" t="s">
        <v>2135</v>
      </c>
      <c r="AQ187" s="141"/>
      <c r="AR187" s="141"/>
      <c r="AS187" s="141"/>
      <c r="AT187" s="141"/>
      <c r="AU187" s="141"/>
      <c r="AV187" s="141"/>
      <c r="AW187" s="141" t="str">
        <f t="shared" si="52"/>
        <v>0 Tahun 4 Bulan</v>
      </c>
      <c r="AX187" s="141"/>
      <c r="AY187" s="141"/>
      <c r="AZ187" s="141"/>
      <c r="BA187" s="141"/>
      <c r="BB187" s="141"/>
      <c r="BC187" s="141"/>
      <c r="BD187" s="141"/>
      <c r="BE187" s="141"/>
      <c r="BF187" s="141"/>
      <c r="BG187" s="141"/>
      <c r="BH187" s="141"/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  <c r="CL187" s="141"/>
    </row>
    <row r="188" ht="15.75" hidden="1" customHeight="1">
      <c r="A188" s="338">
        <v>182.0</v>
      </c>
      <c r="B188" s="207" t="s">
        <v>2247</v>
      </c>
      <c r="C188" s="205" t="s">
        <v>514</v>
      </c>
      <c r="D188" s="207" t="s">
        <v>923</v>
      </c>
      <c r="E188" s="78" t="s">
        <v>2248</v>
      </c>
      <c r="F188" s="150">
        <v>8.2232670155E10</v>
      </c>
      <c r="G188" s="358" t="s">
        <v>2249</v>
      </c>
      <c r="H188" s="150" t="s">
        <v>113</v>
      </c>
      <c r="I188" s="150" t="s">
        <v>614</v>
      </c>
      <c r="J188" s="141"/>
      <c r="K188" s="207" t="s">
        <v>44</v>
      </c>
      <c r="L188" s="207" t="s">
        <v>98</v>
      </c>
      <c r="M188" s="206"/>
      <c r="N188" s="402"/>
      <c r="O188" s="207"/>
      <c r="P188" s="208"/>
      <c r="Q188" s="141"/>
      <c r="R188" s="141"/>
      <c r="S188" s="207"/>
      <c r="T188" s="206"/>
      <c r="U188" s="150"/>
      <c r="V188" s="141"/>
      <c r="W188" s="150"/>
      <c r="X188" s="141"/>
      <c r="Y188" s="150"/>
      <c r="Z188" s="150"/>
      <c r="AA188" s="150"/>
      <c r="AB188" s="150"/>
      <c r="AC188" s="338"/>
      <c r="AD188" s="141"/>
      <c r="AE188" s="141"/>
      <c r="AF188" s="150"/>
      <c r="AG188" s="141"/>
      <c r="AH188" s="309"/>
      <c r="AI188" s="85"/>
      <c r="AJ188" s="85"/>
      <c r="AK188" s="141"/>
      <c r="AL188" s="141"/>
      <c r="AM188" s="359"/>
      <c r="AN188" s="401"/>
      <c r="AO188" s="141"/>
      <c r="AP188" s="141"/>
      <c r="AQ188" s="141"/>
      <c r="AR188" s="141"/>
      <c r="AS188" s="141"/>
      <c r="AT188" s="141"/>
      <c r="AU188" s="141"/>
      <c r="AV188" s="141"/>
      <c r="AW188" s="141"/>
      <c r="AX188" s="141"/>
      <c r="AY188" s="141"/>
      <c r="AZ188" s="141"/>
      <c r="BA188" s="141"/>
      <c r="BB188" s="141"/>
      <c r="BC188" s="141"/>
      <c r="BD188" s="141"/>
      <c r="BE188" s="141"/>
      <c r="BF188" s="141"/>
      <c r="BG188" s="141"/>
      <c r="BH188" s="141"/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41"/>
      <c r="CA188" s="141"/>
      <c r="CB188" s="141"/>
      <c r="CC188" s="141"/>
      <c r="CD188" s="141"/>
      <c r="CE188" s="141"/>
      <c r="CF188" s="141"/>
      <c r="CG188" s="141"/>
      <c r="CH188" s="141"/>
      <c r="CI188" s="141"/>
      <c r="CJ188" s="141"/>
      <c r="CK188" s="141"/>
      <c r="CL188" s="141"/>
    </row>
    <row r="189" ht="15.75" hidden="1" customHeight="1">
      <c r="A189" s="338">
        <v>183.0</v>
      </c>
      <c r="B189" s="207" t="s">
        <v>2250</v>
      </c>
      <c r="C189" s="205" t="s">
        <v>636</v>
      </c>
      <c r="D189" s="207" t="s">
        <v>923</v>
      </c>
      <c r="E189" s="78" t="s">
        <v>2251</v>
      </c>
      <c r="F189" s="337" t="s">
        <v>2252</v>
      </c>
      <c r="G189" s="358" t="s">
        <v>2253</v>
      </c>
      <c r="H189" s="150" t="s">
        <v>322</v>
      </c>
      <c r="I189" s="150" t="s">
        <v>248</v>
      </c>
      <c r="J189" s="141"/>
      <c r="K189" s="207" t="s">
        <v>44</v>
      </c>
      <c r="L189" s="207" t="s">
        <v>98</v>
      </c>
      <c r="M189" s="318" t="s">
        <v>2254</v>
      </c>
      <c r="N189" s="400" t="s">
        <v>2255</v>
      </c>
      <c r="O189" s="207" t="s">
        <v>1043</v>
      </c>
      <c r="P189" s="395" t="s">
        <v>2256</v>
      </c>
      <c r="Q189" s="141" t="s">
        <v>521</v>
      </c>
      <c r="R189" s="141"/>
      <c r="S189" s="207" t="s">
        <v>1958</v>
      </c>
      <c r="T189" s="206" t="s">
        <v>2257</v>
      </c>
      <c r="U189" s="150" t="s">
        <v>1478</v>
      </c>
      <c r="V189" s="141"/>
      <c r="W189" s="150" t="s">
        <v>2258</v>
      </c>
      <c r="X189" s="141"/>
      <c r="Y189" s="150" t="s">
        <v>798</v>
      </c>
      <c r="Z189" s="150" t="s">
        <v>799</v>
      </c>
      <c r="AA189" s="150" t="s">
        <v>1417</v>
      </c>
      <c r="AB189" s="150" t="s">
        <v>1418</v>
      </c>
      <c r="AC189" s="338">
        <v>92113.0</v>
      </c>
      <c r="AD189" s="141"/>
      <c r="AE189" s="141"/>
      <c r="AF189" s="150" t="s">
        <v>71</v>
      </c>
      <c r="AG189" s="141"/>
      <c r="AH189" s="309" t="s">
        <v>2133</v>
      </c>
      <c r="AI189" s="85"/>
      <c r="AJ189" s="85"/>
      <c r="AK189" s="141"/>
      <c r="AL189" s="141" t="str">
        <f t="shared" ref="AL189:AL231" si="53">DATEDIF(AM189,NOW(),"y")&amp;" Tahun "&amp;DATEDIF(AM189,NOW(),"ym")&amp;" Bulan"</f>
        <v>0 Tahun 5 Bulan</v>
      </c>
      <c r="AM189" s="359">
        <v>45978.0</v>
      </c>
      <c r="AN189" s="401" t="s">
        <v>1484</v>
      </c>
      <c r="AO189" s="141" t="s">
        <v>1735</v>
      </c>
      <c r="AP189" s="141"/>
      <c r="AQ189" s="141"/>
      <c r="AR189" s="141"/>
      <c r="AS189" s="141"/>
      <c r="AT189" s="141"/>
      <c r="AU189" s="141"/>
      <c r="AV189" s="141"/>
      <c r="AW189" s="141"/>
      <c r="AX189" s="141"/>
      <c r="AY189" s="141"/>
      <c r="AZ189" s="141"/>
      <c r="BA189" s="141"/>
      <c r="BB189" s="141"/>
      <c r="BC189" s="141"/>
      <c r="BD189" s="141"/>
      <c r="BE189" s="141"/>
      <c r="BF189" s="141"/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  <c r="CL189" s="141"/>
    </row>
    <row r="190" ht="15.75" hidden="1" customHeight="1">
      <c r="A190" s="338">
        <v>184.0</v>
      </c>
      <c r="B190" s="207" t="s">
        <v>2259</v>
      </c>
      <c r="C190" s="205" t="s">
        <v>2183</v>
      </c>
      <c r="D190" s="207" t="s">
        <v>2184</v>
      </c>
      <c r="E190" s="78"/>
      <c r="F190" s="337" t="s">
        <v>2260</v>
      </c>
      <c r="G190" s="358" t="s">
        <v>2261</v>
      </c>
      <c r="H190" s="150" t="s">
        <v>2187</v>
      </c>
      <c r="I190" s="150" t="s">
        <v>248</v>
      </c>
      <c r="J190" s="141"/>
      <c r="K190" s="207" t="s">
        <v>44</v>
      </c>
      <c r="L190" s="207" t="s">
        <v>98</v>
      </c>
      <c r="M190" s="318" t="s">
        <v>2262</v>
      </c>
      <c r="N190" s="400" t="s">
        <v>2263</v>
      </c>
      <c r="O190" s="207" t="s">
        <v>2264</v>
      </c>
      <c r="P190" s="395" t="s">
        <v>2265</v>
      </c>
      <c r="Q190" s="141" t="s">
        <v>521</v>
      </c>
      <c r="R190" s="141"/>
      <c r="S190" s="207" t="s">
        <v>69</v>
      </c>
      <c r="T190" s="206" t="s">
        <v>2266</v>
      </c>
      <c r="U190" s="150" t="s">
        <v>432</v>
      </c>
      <c r="V190" s="141"/>
      <c r="W190" s="150" t="s">
        <v>2267</v>
      </c>
      <c r="X190" s="141"/>
      <c r="Y190" s="150" t="s">
        <v>53</v>
      </c>
      <c r="Z190" s="150" t="s">
        <v>432</v>
      </c>
      <c r="AA190" s="150" t="s">
        <v>2268</v>
      </c>
      <c r="AB190" s="150" t="s">
        <v>2269</v>
      </c>
      <c r="AC190" s="338">
        <v>64481.0</v>
      </c>
      <c r="AD190" s="141"/>
      <c r="AE190" s="141"/>
      <c r="AF190" s="150" t="s">
        <v>71</v>
      </c>
      <c r="AG190" s="141"/>
      <c r="AH190" s="309" t="s">
        <v>2133</v>
      </c>
      <c r="AI190" s="85"/>
      <c r="AJ190" s="85"/>
      <c r="AK190" s="141"/>
      <c r="AL190" s="141" t="str">
        <f t="shared" si="53"/>
        <v>0 Tahun 5 Bulan</v>
      </c>
      <c r="AM190" s="359">
        <v>45978.0</v>
      </c>
      <c r="AN190" s="401" t="s">
        <v>1484</v>
      </c>
      <c r="AO190" s="141" t="s">
        <v>2270</v>
      </c>
      <c r="AP190" s="141"/>
      <c r="AQ190" s="141"/>
      <c r="AR190" s="141"/>
      <c r="AS190" s="141"/>
      <c r="AT190" s="141"/>
      <c r="AU190" s="141"/>
      <c r="AV190" s="141"/>
      <c r="AW190" s="141" t="str">
        <f t="shared" ref="AW190:AW191" si="54">DATEDIF(AM190,$AW$2,"Y") &amp; " Tahun " &amp; DATEDIF(AM190,$AW$2,"YM") &amp; " Bulan"</f>
        <v>0 Tahun 4 Bulan</v>
      </c>
      <c r="AX190" s="141"/>
      <c r="AY190" s="141"/>
      <c r="AZ190" s="141"/>
      <c r="BA190" s="141"/>
      <c r="BB190" s="141"/>
      <c r="BC190" s="141"/>
      <c r="BD190" s="141"/>
      <c r="BE190" s="141"/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41"/>
      <c r="CA190" s="141"/>
      <c r="CB190" s="141"/>
      <c r="CC190" s="141"/>
      <c r="CD190" s="141"/>
      <c r="CE190" s="141"/>
      <c r="CF190" s="141"/>
      <c r="CG190" s="141"/>
      <c r="CH190" s="141"/>
      <c r="CI190" s="141"/>
      <c r="CJ190" s="141"/>
      <c r="CK190" s="141"/>
      <c r="CL190" s="141"/>
    </row>
    <row r="191" ht="15.75" hidden="1" customHeight="1">
      <c r="A191" s="338">
        <v>185.0</v>
      </c>
      <c r="B191" s="207" t="s">
        <v>2271</v>
      </c>
      <c r="C191" s="205" t="s">
        <v>2183</v>
      </c>
      <c r="D191" s="207" t="s">
        <v>2184</v>
      </c>
      <c r="E191" s="78"/>
      <c r="F191" s="337" t="s">
        <v>2272</v>
      </c>
      <c r="G191" s="358" t="s">
        <v>2273</v>
      </c>
      <c r="H191" s="150" t="s">
        <v>2187</v>
      </c>
      <c r="I191" s="150" t="s">
        <v>248</v>
      </c>
      <c r="J191" s="141"/>
      <c r="K191" s="207" t="s">
        <v>44</v>
      </c>
      <c r="L191" s="207" t="s">
        <v>98</v>
      </c>
      <c r="M191" s="318" t="s">
        <v>2274</v>
      </c>
      <c r="N191" s="400" t="s">
        <v>2275</v>
      </c>
      <c r="O191" s="207" t="s">
        <v>2276</v>
      </c>
      <c r="P191" s="395" t="s">
        <v>2277</v>
      </c>
      <c r="Q191" s="141" t="s">
        <v>521</v>
      </c>
      <c r="R191" s="141"/>
      <c r="S191" s="207" t="s">
        <v>1958</v>
      </c>
      <c r="T191" s="206" t="s">
        <v>2278</v>
      </c>
      <c r="U191" s="150" t="s">
        <v>420</v>
      </c>
      <c r="V191" s="141"/>
      <c r="W191" s="150" t="s">
        <v>2279</v>
      </c>
      <c r="X191" s="141"/>
      <c r="Y191" s="150" t="s">
        <v>53</v>
      </c>
      <c r="Z191" s="150" t="s">
        <v>420</v>
      </c>
      <c r="AA191" s="150" t="s">
        <v>570</v>
      </c>
      <c r="AB191" s="150" t="s">
        <v>570</v>
      </c>
      <c r="AC191" s="338">
        <v>61177.0</v>
      </c>
      <c r="AD191" s="141"/>
      <c r="AE191" s="141"/>
      <c r="AF191" s="150" t="s">
        <v>71</v>
      </c>
      <c r="AG191" s="141"/>
      <c r="AH191" s="309" t="s">
        <v>2133</v>
      </c>
      <c r="AI191" s="85"/>
      <c r="AJ191" s="85"/>
      <c r="AK191" s="141"/>
      <c r="AL191" s="141" t="str">
        <f t="shared" si="53"/>
        <v>0 Tahun 5 Bulan</v>
      </c>
      <c r="AM191" s="359">
        <v>45978.0</v>
      </c>
      <c r="AN191" s="401" t="s">
        <v>1484</v>
      </c>
      <c r="AO191" s="141" t="s">
        <v>1648</v>
      </c>
      <c r="AP191" s="141" t="s">
        <v>2135</v>
      </c>
      <c r="AQ191" s="141"/>
      <c r="AR191" s="141"/>
      <c r="AS191" s="141"/>
      <c r="AT191" s="141"/>
      <c r="AU191" s="141"/>
      <c r="AV191" s="141"/>
      <c r="AW191" s="141" t="str">
        <f t="shared" si="54"/>
        <v>0 Tahun 4 Bulan</v>
      </c>
      <c r="AX191" s="141"/>
      <c r="AY191" s="141"/>
      <c r="AZ191" s="141"/>
      <c r="BA191" s="141"/>
      <c r="BB191" s="141"/>
      <c r="BC191" s="141"/>
      <c r="BD191" s="141"/>
      <c r="BE191" s="141"/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1"/>
    </row>
    <row r="192" ht="15.75" hidden="1" customHeight="1">
      <c r="A192" s="338">
        <v>186.0</v>
      </c>
      <c r="B192" s="207" t="s">
        <v>2280</v>
      </c>
      <c r="C192" s="205" t="s">
        <v>514</v>
      </c>
      <c r="D192" s="207" t="s">
        <v>923</v>
      </c>
      <c r="E192" s="78" t="s">
        <v>2281</v>
      </c>
      <c r="F192" s="318" t="s">
        <v>2282</v>
      </c>
      <c r="G192" s="358" t="s">
        <v>2283</v>
      </c>
      <c r="H192" s="150" t="s">
        <v>113</v>
      </c>
      <c r="I192" s="150" t="s">
        <v>614</v>
      </c>
      <c r="J192" s="141"/>
      <c r="K192" s="207" t="s">
        <v>44</v>
      </c>
      <c r="L192" s="207" t="s">
        <v>98</v>
      </c>
      <c r="M192" s="337" t="s">
        <v>2284</v>
      </c>
      <c r="N192" s="337" t="s">
        <v>2285</v>
      </c>
      <c r="O192" s="207" t="s">
        <v>1043</v>
      </c>
      <c r="P192" s="395" t="s">
        <v>2286</v>
      </c>
      <c r="Q192" s="207" t="s">
        <v>2143</v>
      </c>
      <c r="R192" s="141"/>
      <c r="S192" s="207" t="s">
        <v>1958</v>
      </c>
      <c r="T192" s="206" t="s">
        <v>2287</v>
      </c>
      <c r="U192" s="150" t="s">
        <v>420</v>
      </c>
      <c r="V192" s="141"/>
      <c r="W192" s="150" t="s">
        <v>2288</v>
      </c>
      <c r="X192" s="141"/>
      <c r="Y192" s="150" t="s">
        <v>53</v>
      </c>
      <c r="Z192" s="150" t="s">
        <v>420</v>
      </c>
      <c r="AA192" s="150" t="s">
        <v>570</v>
      </c>
      <c r="AB192" s="150" t="s">
        <v>2289</v>
      </c>
      <c r="AC192" s="338">
        <v>61177.0</v>
      </c>
      <c r="AD192" s="141"/>
      <c r="AE192" s="141"/>
      <c r="AF192" s="150" t="s">
        <v>71</v>
      </c>
      <c r="AG192" s="141"/>
      <c r="AH192" s="206" t="s">
        <v>2290</v>
      </c>
      <c r="AI192" s="150"/>
      <c r="AJ192" s="207"/>
      <c r="AK192" s="141"/>
      <c r="AL192" s="73" t="str">
        <f t="shared" si="53"/>
        <v>0 Tahun 5 Bulan</v>
      </c>
      <c r="AM192" s="359">
        <v>45981.0</v>
      </c>
      <c r="AN192" s="207" t="s">
        <v>1484</v>
      </c>
      <c r="AO192" s="141"/>
      <c r="AP192" s="141"/>
      <c r="AQ192" s="141"/>
      <c r="AR192" s="141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  <c r="CB192" s="141"/>
      <c r="CC192" s="141"/>
      <c r="CD192" s="141"/>
      <c r="CE192" s="141"/>
      <c r="CF192" s="141"/>
      <c r="CG192" s="141"/>
      <c r="CH192" s="141"/>
      <c r="CI192" s="141"/>
      <c r="CJ192" s="141"/>
      <c r="CK192" s="141"/>
      <c r="CL192" s="141"/>
    </row>
    <row r="193" ht="15.75" customHeight="1">
      <c r="A193" s="419">
        <v>187.0</v>
      </c>
      <c r="B193" s="67" t="s">
        <v>2291</v>
      </c>
      <c r="C193" s="154" t="s">
        <v>84</v>
      </c>
      <c r="D193" s="67" t="s">
        <v>923</v>
      </c>
      <c r="E193" s="382" t="s">
        <v>2292</v>
      </c>
      <c r="F193" s="324" t="s">
        <v>2293</v>
      </c>
      <c r="G193" s="117" t="s">
        <v>2294</v>
      </c>
      <c r="H193" s="68" t="s">
        <v>113</v>
      </c>
      <c r="I193" s="68" t="s">
        <v>614</v>
      </c>
      <c r="J193" s="57"/>
      <c r="K193" s="67" t="s">
        <v>44</v>
      </c>
      <c r="L193" s="67" t="s">
        <v>98</v>
      </c>
      <c r="M193" s="180" t="s">
        <v>2295</v>
      </c>
      <c r="N193" s="180" t="s">
        <v>2296</v>
      </c>
      <c r="O193" s="420" t="s">
        <v>1043</v>
      </c>
      <c r="P193" s="421" t="s">
        <v>2297</v>
      </c>
      <c r="Q193" s="67" t="s">
        <v>2143</v>
      </c>
      <c r="R193" s="57"/>
      <c r="S193" s="67" t="s">
        <v>1958</v>
      </c>
      <c r="T193" s="121" t="s">
        <v>2298</v>
      </c>
      <c r="U193" s="68" t="s">
        <v>1123</v>
      </c>
      <c r="V193" s="57"/>
      <c r="W193" s="68" t="s">
        <v>2299</v>
      </c>
      <c r="X193" s="57"/>
      <c r="Y193" s="68" t="s">
        <v>53</v>
      </c>
      <c r="Z193" s="68" t="s">
        <v>1123</v>
      </c>
      <c r="AA193" s="68" t="s">
        <v>1123</v>
      </c>
      <c r="AB193" s="68" t="s">
        <v>2300</v>
      </c>
      <c r="AC193" s="325">
        <v>61414.0</v>
      </c>
      <c r="AD193" s="57"/>
      <c r="AE193" s="57"/>
      <c r="AF193" s="127" t="s">
        <v>139</v>
      </c>
      <c r="AG193" s="57"/>
      <c r="AH193" s="121" t="s">
        <v>2133</v>
      </c>
      <c r="AI193" s="68">
        <v>2.6042384821E10</v>
      </c>
      <c r="AJ193" s="292" t="s">
        <v>2301</v>
      </c>
      <c r="AK193" s="57"/>
      <c r="AL193" s="45" t="str">
        <f t="shared" si="53"/>
        <v>0 Tahun 4 Bulan</v>
      </c>
      <c r="AM193" s="414">
        <v>45983.0</v>
      </c>
      <c r="AN193" s="67" t="s">
        <v>1484</v>
      </c>
      <c r="AO193" s="90" t="s">
        <v>2080</v>
      </c>
      <c r="AP193" s="57"/>
      <c r="AQ193" s="57"/>
      <c r="AR193" s="57"/>
      <c r="AS193" s="57"/>
      <c r="AT193" s="57"/>
      <c r="AU193" s="57"/>
      <c r="AV193" s="57"/>
      <c r="AW193" s="45" t="str">
        <f t="shared" ref="AW193:AW199" si="55">DATEDIF(AM193,$AW$2,"Y") &amp; " Tahun " &amp; DATEDIF(AM193,$AW$2,"YM") &amp; " Bulan"</f>
        <v>0 Tahun 3 Bulan</v>
      </c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</row>
    <row r="194" ht="15.75" customHeight="1">
      <c r="A194" s="419">
        <v>188.0</v>
      </c>
      <c r="B194" s="67" t="s">
        <v>2302</v>
      </c>
      <c r="C194" s="154" t="s">
        <v>84</v>
      </c>
      <c r="D194" s="67" t="s">
        <v>923</v>
      </c>
      <c r="E194" s="382" t="s">
        <v>2303</v>
      </c>
      <c r="F194" s="324" t="s">
        <v>2304</v>
      </c>
      <c r="G194" s="117" t="s">
        <v>2305</v>
      </c>
      <c r="H194" s="68" t="s">
        <v>157</v>
      </c>
      <c r="I194" s="68" t="s">
        <v>614</v>
      </c>
      <c r="J194" s="57"/>
      <c r="K194" s="67" t="s">
        <v>44</v>
      </c>
      <c r="L194" s="67" t="s">
        <v>98</v>
      </c>
      <c r="M194" s="121" t="s">
        <v>2306</v>
      </c>
      <c r="N194" s="180" t="s">
        <v>2307</v>
      </c>
      <c r="O194" s="67" t="s">
        <v>868</v>
      </c>
      <c r="P194" s="260" t="s">
        <v>2308</v>
      </c>
      <c r="Q194" s="67" t="s">
        <v>2309</v>
      </c>
      <c r="R194" s="57"/>
      <c r="S194" s="67" t="s">
        <v>1958</v>
      </c>
      <c r="T194" s="404">
        <v>36043.0</v>
      </c>
      <c r="U194" s="68" t="s">
        <v>51</v>
      </c>
      <c r="V194" s="57"/>
      <c r="W194" s="68" t="s">
        <v>2310</v>
      </c>
      <c r="X194" s="57"/>
      <c r="Y194" s="68" t="s">
        <v>53</v>
      </c>
      <c r="Z194" s="68" t="s">
        <v>51</v>
      </c>
      <c r="AA194" s="68" t="s">
        <v>535</v>
      </c>
      <c r="AB194" s="68" t="s">
        <v>607</v>
      </c>
      <c r="AC194" s="325">
        <v>60171.0</v>
      </c>
      <c r="AD194" s="57"/>
      <c r="AE194" s="57"/>
      <c r="AF194" s="127" t="s">
        <v>71</v>
      </c>
      <c r="AG194" s="57"/>
      <c r="AH194" s="121" t="s">
        <v>2133</v>
      </c>
      <c r="AI194" s="68">
        <v>2.6042384839E10</v>
      </c>
      <c r="AJ194" s="292" t="s">
        <v>2311</v>
      </c>
      <c r="AK194" s="57"/>
      <c r="AL194" s="45" t="str">
        <f t="shared" si="53"/>
        <v>0 Tahun 4 Bulan</v>
      </c>
      <c r="AM194" s="414">
        <v>45985.0</v>
      </c>
      <c r="AN194" s="265" t="s">
        <v>1484</v>
      </c>
      <c r="AO194" s="90" t="s">
        <v>1951</v>
      </c>
      <c r="AP194" s="57"/>
      <c r="AQ194" s="57"/>
      <c r="AR194" s="57"/>
      <c r="AS194" s="57"/>
      <c r="AT194" s="57"/>
      <c r="AU194" s="57"/>
      <c r="AV194" s="57"/>
      <c r="AW194" s="45" t="str">
        <f t="shared" si="55"/>
        <v>0 Tahun 3 Bulan</v>
      </c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</row>
    <row r="195" ht="15.75" customHeight="1">
      <c r="A195" s="419">
        <v>189.0</v>
      </c>
      <c r="B195" s="67" t="s">
        <v>2312</v>
      </c>
      <c r="C195" s="154" t="s">
        <v>514</v>
      </c>
      <c r="D195" s="67" t="s">
        <v>923</v>
      </c>
      <c r="E195" s="382" t="s">
        <v>2313</v>
      </c>
      <c r="F195" s="324" t="s">
        <v>2314</v>
      </c>
      <c r="G195" s="117" t="s">
        <v>2315</v>
      </c>
      <c r="H195" s="68" t="s">
        <v>113</v>
      </c>
      <c r="I195" s="68" t="s">
        <v>614</v>
      </c>
      <c r="J195" s="57"/>
      <c r="K195" s="67" t="s">
        <v>44</v>
      </c>
      <c r="L195" s="67" t="s">
        <v>98</v>
      </c>
      <c r="M195" s="324" t="s">
        <v>450</v>
      </c>
      <c r="N195" s="180" t="s">
        <v>2316</v>
      </c>
      <c r="O195" s="67" t="s">
        <v>1043</v>
      </c>
      <c r="P195" s="260" t="s">
        <v>2317</v>
      </c>
      <c r="Q195" s="67" t="s">
        <v>2318</v>
      </c>
      <c r="R195" s="57"/>
      <c r="S195" s="67" t="s">
        <v>49</v>
      </c>
      <c r="T195" s="121" t="s">
        <v>2319</v>
      </c>
      <c r="U195" s="68" t="s">
        <v>420</v>
      </c>
      <c r="V195" s="57"/>
      <c r="W195" s="67" t="s">
        <v>2320</v>
      </c>
      <c r="X195" s="57"/>
      <c r="Y195" s="67" t="s">
        <v>53</v>
      </c>
      <c r="Z195" s="67" t="s">
        <v>420</v>
      </c>
      <c r="AA195" s="67" t="s">
        <v>422</v>
      </c>
      <c r="AB195" s="67" t="s">
        <v>423</v>
      </c>
      <c r="AC195" s="67">
        <v>61174.0</v>
      </c>
      <c r="AD195" s="57"/>
      <c r="AE195" s="57"/>
      <c r="AF195" s="90" t="s">
        <v>71</v>
      </c>
      <c r="AG195" s="57"/>
      <c r="AH195" s="121" t="s">
        <v>2133</v>
      </c>
      <c r="AI195" s="68">
        <v>2.6019227433E10</v>
      </c>
      <c r="AJ195" s="292" t="s">
        <v>2321</v>
      </c>
      <c r="AK195" s="57"/>
      <c r="AL195" s="57" t="str">
        <f t="shared" si="53"/>
        <v>0 Tahun 4 Bulan</v>
      </c>
      <c r="AM195" s="414">
        <v>45986.0</v>
      </c>
      <c r="AN195" s="67" t="s">
        <v>1484</v>
      </c>
      <c r="AO195" s="90" t="s">
        <v>2080</v>
      </c>
      <c r="AP195" s="57"/>
      <c r="AQ195" s="57"/>
      <c r="AR195" s="57"/>
      <c r="AS195" s="57"/>
      <c r="AT195" s="57"/>
      <c r="AU195" s="57"/>
      <c r="AV195" s="57"/>
      <c r="AW195" s="45" t="str">
        <f t="shared" si="55"/>
        <v>0 Tahun 3 Bulan</v>
      </c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</row>
    <row r="196" ht="15.75" hidden="1" customHeight="1">
      <c r="A196" s="338">
        <v>190.0</v>
      </c>
      <c r="B196" s="207" t="s">
        <v>2322</v>
      </c>
      <c r="C196" s="205" t="s">
        <v>514</v>
      </c>
      <c r="D196" s="207" t="s">
        <v>923</v>
      </c>
      <c r="E196" s="78" t="s">
        <v>2323</v>
      </c>
      <c r="F196" s="337" t="s">
        <v>2324</v>
      </c>
      <c r="G196" s="358" t="s">
        <v>2325</v>
      </c>
      <c r="H196" s="150" t="s">
        <v>2205</v>
      </c>
      <c r="I196" s="150" t="s">
        <v>248</v>
      </c>
      <c r="J196" s="141"/>
      <c r="K196" s="207" t="s">
        <v>2326</v>
      </c>
      <c r="L196" s="207" t="s">
        <v>98</v>
      </c>
      <c r="M196" s="318" t="s">
        <v>2327</v>
      </c>
      <c r="N196" s="400" t="s">
        <v>2328</v>
      </c>
      <c r="O196" s="207" t="s">
        <v>1043</v>
      </c>
      <c r="P196" s="395" t="s">
        <v>2329</v>
      </c>
      <c r="Q196" s="141" t="s">
        <v>521</v>
      </c>
      <c r="R196" s="141"/>
      <c r="S196" s="207" t="s">
        <v>69</v>
      </c>
      <c r="T196" s="206" t="s">
        <v>2330</v>
      </c>
      <c r="U196" s="150" t="s">
        <v>203</v>
      </c>
      <c r="V196" s="141"/>
      <c r="W196" s="150" t="s">
        <v>2331</v>
      </c>
      <c r="X196" s="141"/>
      <c r="Y196" s="150" t="s">
        <v>53</v>
      </c>
      <c r="Z196" s="150" t="s">
        <v>203</v>
      </c>
      <c r="AA196" s="150" t="s">
        <v>2332</v>
      </c>
      <c r="AB196" s="150" t="s">
        <v>2333</v>
      </c>
      <c r="AC196" s="338">
        <v>62260.0</v>
      </c>
      <c r="AD196" s="141"/>
      <c r="AE196" s="141"/>
      <c r="AF196" s="150" t="s">
        <v>71</v>
      </c>
      <c r="AG196" s="141"/>
      <c r="AH196" s="309" t="s">
        <v>2133</v>
      </c>
      <c r="AI196" s="85" t="s">
        <v>1010</v>
      </c>
      <c r="AJ196" s="85" t="s">
        <v>2334</v>
      </c>
      <c r="AK196" s="141"/>
      <c r="AL196" s="141" t="str">
        <f t="shared" si="53"/>
        <v>0 Tahun 4 Bulan</v>
      </c>
      <c r="AM196" s="359">
        <v>45986.0</v>
      </c>
      <c r="AN196" s="401" t="s">
        <v>1484</v>
      </c>
      <c r="AO196" s="141" t="s">
        <v>1951</v>
      </c>
      <c r="AP196" s="141" t="s">
        <v>2135</v>
      </c>
      <c r="AQ196" s="141"/>
      <c r="AR196" s="141"/>
      <c r="AS196" s="141"/>
      <c r="AT196" s="141"/>
      <c r="AU196" s="141"/>
      <c r="AV196" s="141"/>
      <c r="AW196" s="141" t="str">
        <f t="shared" si="55"/>
        <v>0 Tahun 3 Bulan</v>
      </c>
      <c r="AX196" s="141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  <c r="CL196" s="141"/>
    </row>
    <row r="197" ht="15.75" hidden="1" customHeight="1">
      <c r="A197" s="338">
        <v>191.0</v>
      </c>
      <c r="B197" s="207" t="s">
        <v>2335</v>
      </c>
      <c r="C197" s="205" t="s">
        <v>729</v>
      </c>
      <c r="D197" s="207" t="s">
        <v>923</v>
      </c>
      <c r="E197" s="78" t="s">
        <v>2336</v>
      </c>
      <c r="F197" s="318" t="s">
        <v>2337</v>
      </c>
      <c r="G197" s="358" t="s">
        <v>2338</v>
      </c>
      <c r="H197" s="150" t="s">
        <v>2339</v>
      </c>
      <c r="I197" s="150" t="s">
        <v>729</v>
      </c>
      <c r="J197" s="141"/>
      <c r="K197" s="207" t="s">
        <v>2326</v>
      </c>
      <c r="L197" s="207" t="s">
        <v>98</v>
      </c>
      <c r="M197" s="337" t="s">
        <v>2340</v>
      </c>
      <c r="N197" s="337" t="s">
        <v>2341</v>
      </c>
      <c r="O197" s="207" t="s">
        <v>868</v>
      </c>
      <c r="P197" s="395" t="s">
        <v>2342</v>
      </c>
      <c r="Q197" s="207" t="s">
        <v>521</v>
      </c>
      <c r="R197" s="141"/>
      <c r="S197" s="207" t="s">
        <v>69</v>
      </c>
      <c r="T197" s="206" t="s">
        <v>2343</v>
      </c>
      <c r="U197" s="150" t="s">
        <v>51</v>
      </c>
      <c r="V197" s="141"/>
      <c r="W197" s="150" t="s">
        <v>2344</v>
      </c>
      <c r="X197" s="141"/>
      <c r="Y197" s="150" t="s">
        <v>53</v>
      </c>
      <c r="Z197" s="150" t="s">
        <v>51</v>
      </c>
      <c r="AA197" s="150" t="s">
        <v>347</v>
      </c>
      <c r="AB197" s="150" t="s">
        <v>347</v>
      </c>
      <c r="AC197" s="338">
        <v>60262.0</v>
      </c>
      <c r="AD197" s="141"/>
      <c r="AE197" s="141"/>
      <c r="AF197" s="150" t="s">
        <v>71</v>
      </c>
      <c r="AG197" s="141"/>
      <c r="AH197" s="206" t="s">
        <v>2133</v>
      </c>
      <c r="AI197" s="150"/>
      <c r="AJ197" s="207"/>
      <c r="AK197" s="141"/>
      <c r="AL197" s="73" t="str">
        <f t="shared" si="53"/>
        <v>0 Tahun 4 Bulan</v>
      </c>
      <c r="AM197" s="359">
        <v>45992.0</v>
      </c>
      <c r="AN197" s="207" t="s">
        <v>1484</v>
      </c>
      <c r="AO197" s="141" t="s">
        <v>2345</v>
      </c>
      <c r="AP197" s="141"/>
      <c r="AQ197" s="141"/>
      <c r="AR197" s="141"/>
      <c r="AS197" s="141"/>
      <c r="AT197" s="141"/>
      <c r="AU197" s="141"/>
      <c r="AV197" s="141"/>
      <c r="AW197" s="141" t="str">
        <f t="shared" si="55"/>
        <v>0 Tahun 3 Bulan</v>
      </c>
      <c r="AX197" s="141"/>
      <c r="AY197" s="141"/>
      <c r="AZ197" s="141"/>
      <c r="BA197" s="141"/>
      <c r="BB197" s="141"/>
      <c r="BC197" s="141"/>
      <c r="BD197" s="141"/>
      <c r="BE197" s="141"/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1"/>
    </row>
    <row r="198" ht="15.75" customHeight="1">
      <c r="A198" s="419">
        <v>192.0</v>
      </c>
      <c r="B198" s="422" t="s">
        <v>2346</v>
      </c>
      <c r="C198" s="154" t="s">
        <v>84</v>
      </c>
      <c r="D198" s="67" t="s">
        <v>923</v>
      </c>
      <c r="E198" s="382" t="s">
        <v>2347</v>
      </c>
      <c r="F198" s="59" t="s">
        <v>832</v>
      </c>
      <c r="G198" s="117" t="s">
        <v>2348</v>
      </c>
      <c r="H198" s="68" t="s">
        <v>113</v>
      </c>
      <c r="I198" s="68" t="s">
        <v>614</v>
      </c>
      <c r="J198" s="422"/>
      <c r="K198" s="422" t="s">
        <v>44</v>
      </c>
      <c r="L198" s="422" t="s">
        <v>98</v>
      </c>
      <c r="M198" s="59" t="s">
        <v>834</v>
      </c>
      <c r="N198" s="88" t="s">
        <v>835</v>
      </c>
      <c r="O198" s="67" t="s">
        <v>868</v>
      </c>
      <c r="P198" s="65">
        <v>6.170637257E9</v>
      </c>
      <c r="Q198" s="422" t="s">
        <v>87</v>
      </c>
      <c r="R198" s="422"/>
      <c r="S198" s="422" t="s">
        <v>49</v>
      </c>
      <c r="T198" s="55" t="s">
        <v>836</v>
      </c>
      <c r="U198" s="36" t="s">
        <v>630</v>
      </c>
      <c r="V198" s="422"/>
      <c r="W198" s="422" t="s">
        <v>837</v>
      </c>
      <c r="X198" s="422"/>
      <c r="Y198" s="422" t="s">
        <v>53</v>
      </c>
      <c r="Z198" s="422" t="s">
        <v>51</v>
      </c>
      <c r="AA198" s="422" t="s">
        <v>137</v>
      </c>
      <c r="AB198" s="422" t="s">
        <v>138</v>
      </c>
      <c r="AC198" s="422">
        <v>60198.0</v>
      </c>
      <c r="AD198" s="422"/>
      <c r="AE198" s="422"/>
      <c r="AF198" s="90" t="s">
        <v>139</v>
      </c>
      <c r="AG198" s="422"/>
      <c r="AH198" s="121" t="s">
        <v>2133</v>
      </c>
      <c r="AI198" s="68">
        <v>2.6042384813E10</v>
      </c>
      <c r="AJ198" s="292" t="s">
        <v>838</v>
      </c>
      <c r="AK198" s="57"/>
      <c r="AL198" s="57" t="str">
        <f t="shared" si="53"/>
        <v>0 Tahun 4 Bulan</v>
      </c>
      <c r="AM198" s="423">
        <v>45993.0</v>
      </c>
      <c r="AN198" s="67" t="s">
        <v>1484</v>
      </c>
      <c r="AO198" s="90" t="s">
        <v>1951</v>
      </c>
      <c r="AP198" s="422"/>
      <c r="AQ198" s="422"/>
      <c r="AR198" s="422"/>
      <c r="AS198" s="422"/>
      <c r="AT198" s="422"/>
      <c r="AU198" s="422"/>
      <c r="AV198" s="422"/>
      <c r="AW198" s="45" t="str">
        <f t="shared" si="55"/>
        <v>0 Tahun 3 Bulan</v>
      </c>
      <c r="AX198" s="422"/>
      <c r="AY198" s="422"/>
      <c r="AZ198" s="422"/>
      <c r="BA198" s="422"/>
      <c r="BB198" s="422"/>
      <c r="BC198" s="422"/>
      <c r="BD198" s="422"/>
      <c r="BE198" s="422"/>
      <c r="BF198" s="422"/>
      <c r="BG198" s="422"/>
      <c r="BH198" s="422"/>
      <c r="BI198" s="422"/>
      <c r="BJ198" s="422"/>
      <c r="BK198" s="422"/>
      <c r="BL198" s="422"/>
      <c r="BM198" s="422"/>
      <c r="BN198" s="422"/>
      <c r="BO198" s="422"/>
      <c r="BP198" s="422"/>
      <c r="BQ198" s="422"/>
      <c r="BR198" s="422"/>
      <c r="BS198" s="422"/>
      <c r="BT198" s="422"/>
      <c r="BU198" s="422"/>
      <c r="BV198" s="422"/>
      <c r="BW198" s="422"/>
      <c r="BX198" s="422"/>
      <c r="BY198" s="422"/>
      <c r="BZ198" s="422"/>
      <c r="CA198" s="422"/>
      <c r="CB198" s="422"/>
      <c r="CC198" s="422"/>
      <c r="CD198" s="422"/>
      <c r="CE198" s="422"/>
      <c r="CF198" s="422"/>
      <c r="CG198" s="422"/>
      <c r="CH198" s="422"/>
      <c r="CI198" s="422"/>
      <c r="CJ198" s="422"/>
      <c r="CK198" s="422"/>
      <c r="CL198" s="422"/>
    </row>
    <row r="199" ht="15.75" hidden="1" customHeight="1">
      <c r="A199" s="338">
        <v>193.0</v>
      </c>
      <c r="B199" s="207" t="s">
        <v>2349</v>
      </c>
      <c r="C199" s="205" t="s">
        <v>41</v>
      </c>
      <c r="D199" s="207" t="s">
        <v>923</v>
      </c>
      <c r="E199" s="78" t="s">
        <v>2350</v>
      </c>
      <c r="F199" s="337" t="s">
        <v>2351</v>
      </c>
      <c r="G199" s="358" t="s">
        <v>2352</v>
      </c>
      <c r="H199" s="150" t="s">
        <v>2353</v>
      </c>
      <c r="I199" s="150" t="s">
        <v>248</v>
      </c>
      <c r="J199" s="141"/>
      <c r="K199" s="207" t="s">
        <v>44</v>
      </c>
      <c r="L199" s="207" t="s">
        <v>98</v>
      </c>
      <c r="M199" s="206" t="s">
        <v>2354</v>
      </c>
      <c r="N199" s="400" t="s">
        <v>2355</v>
      </c>
      <c r="O199" s="207" t="s">
        <v>1043</v>
      </c>
      <c r="P199" s="395" t="s">
        <v>2356</v>
      </c>
      <c r="Q199" s="141" t="s">
        <v>521</v>
      </c>
      <c r="R199" s="141"/>
      <c r="S199" s="207" t="s">
        <v>69</v>
      </c>
      <c r="T199" s="206" t="s">
        <v>2357</v>
      </c>
      <c r="U199" s="150" t="s">
        <v>51</v>
      </c>
      <c r="V199" s="141"/>
      <c r="W199" s="150" t="s">
        <v>2358</v>
      </c>
      <c r="X199" s="141"/>
      <c r="Y199" s="150" t="s">
        <v>53</v>
      </c>
      <c r="Z199" s="150" t="s">
        <v>51</v>
      </c>
      <c r="AA199" s="150" t="s">
        <v>987</v>
      </c>
      <c r="AB199" s="150" t="s">
        <v>2359</v>
      </c>
      <c r="AC199" s="338">
        <v>60143.0</v>
      </c>
      <c r="AD199" s="141"/>
      <c r="AE199" s="141"/>
      <c r="AF199" s="150" t="s">
        <v>71</v>
      </c>
      <c r="AG199" s="141"/>
      <c r="AH199" s="309" t="s">
        <v>2133</v>
      </c>
      <c r="AI199" s="85" t="s">
        <v>1010</v>
      </c>
      <c r="AJ199" s="85" t="s">
        <v>1010</v>
      </c>
      <c r="AK199" s="141"/>
      <c r="AL199" s="141" t="str">
        <f t="shared" si="53"/>
        <v>0 Tahun 3 Bulan</v>
      </c>
      <c r="AM199" s="359">
        <v>46013.0</v>
      </c>
      <c r="AN199" s="401" t="s">
        <v>1648</v>
      </c>
      <c r="AO199" s="141" t="s">
        <v>2360</v>
      </c>
      <c r="AP199" s="141"/>
      <c r="AQ199" s="141"/>
      <c r="AR199" s="141"/>
      <c r="AS199" s="141"/>
      <c r="AT199" s="141"/>
      <c r="AU199" s="141"/>
      <c r="AV199" s="141"/>
      <c r="AW199" s="141" t="str">
        <f t="shared" si="55"/>
        <v>0 Tahun 2 Bulan</v>
      </c>
      <c r="AX199" s="141"/>
      <c r="AY199" s="141"/>
      <c r="AZ199" s="141"/>
      <c r="BA199" s="141"/>
      <c r="BB199" s="141"/>
      <c r="BC199" s="141"/>
      <c r="BD199" s="141"/>
      <c r="BE199" s="141"/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</row>
    <row r="200" ht="15.75" hidden="1" customHeight="1">
      <c r="A200" s="338">
        <v>194.0</v>
      </c>
      <c r="B200" s="207" t="s">
        <v>2361</v>
      </c>
      <c r="C200" s="205" t="s">
        <v>514</v>
      </c>
      <c r="D200" s="207" t="s">
        <v>923</v>
      </c>
      <c r="E200" s="78" t="s">
        <v>2362</v>
      </c>
      <c r="F200" s="318" t="s">
        <v>2363</v>
      </c>
      <c r="G200" s="358" t="s">
        <v>2364</v>
      </c>
      <c r="H200" s="150" t="s">
        <v>2216</v>
      </c>
      <c r="I200" s="150" t="s">
        <v>248</v>
      </c>
      <c r="J200" s="141"/>
      <c r="K200" s="207" t="s">
        <v>44</v>
      </c>
      <c r="L200" s="207" t="s">
        <v>98</v>
      </c>
      <c r="M200" s="150" t="s">
        <v>2365</v>
      </c>
      <c r="N200" s="337" t="s">
        <v>2366</v>
      </c>
      <c r="O200" s="207" t="s">
        <v>1043</v>
      </c>
      <c r="P200" s="395" t="s">
        <v>2367</v>
      </c>
      <c r="Q200" s="207" t="s">
        <v>521</v>
      </c>
      <c r="R200" s="141"/>
      <c r="S200" s="207" t="s">
        <v>69</v>
      </c>
      <c r="T200" s="206">
        <v>36057.0</v>
      </c>
      <c r="U200" s="150" t="s">
        <v>51</v>
      </c>
      <c r="V200" s="141"/>
      <c r="W200" s="150" t="s">
        <v>2368</v>
      </c>
      <c r="X200" s="141"/>
      <c r="Y200" s="150" t="s">
        <v>53</v>
      </c>
      <c r="Z200" s="150" t="s">
        <v>51</v>
      </c>
      <c r="AA200" s="150" t="s">
        <v>535</v>
      </c>
      <c r="AB200" s="150" t="s">
        <v>536</v>
      </c>
      <c r="AC200" s="338">
        <v>60172.0</v>
      </c>
      <c r="AD200" s="141"/>
      <c r="AE200" s="141"/>
      <c r="AF200" s="150" t="s">
        <v>71</v>
      </c>
      <c r="AG200" s="141"/>
      <c r="AH200" s="206" t="s">
        <v>2133</v>
      </c>
      <c r="AI200" s="150" t="s">
        <v>1010</v>
      </c>
      <c r="AJ200" s="207" t="s">
        <v>1010</v>
      </c>
      <c r="AK200" s="141"/>
      <c r="AL200" s="73" t="str">
        <f t="shared" si="53"/>
        <v>0 Tahun 3 Bulan</v>
      </c>
      <c r="AM200" s="359">
        <v>46013.0</v>
      </c>
      <c r="AN200" s="207" t="s">
        <v>1648</v>
      </c>
      <c r="AO200" s="207" t="s">
        <v>2369</v>
      </c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41"/>
      <c r="BA200" s="141"/>
      <c r="BB200" s="141"/>
      <c r="BC200" s="141"/>
      <c r="BD200" s="141"/>
      <c r="BE200" s="141"/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  <c r="CL200" s="141"/>
    </row>
    <row r="201">
      <c r="A201" s="155">
        <v>195.0</v>
      </c>
      <c r="B201" s="67" t="s">
        <v>2370</v>
      </c>
      <c r="C201" s="155" t="s">
        <v>498</v>
      </c>
      <c r="D201" s="67" t="s">
        <v>923</v>
      </c>
      <c r="E201" s="155" t="s">
        <v>2347</v>
      </c>
      <c r="F201" s="136" t="s">
        <v>2371</v>
      </c>
      <c r="G201" s="155" t="s">
        <v>2372</v>
      </c>
      <c r="H201" s="155" t="s">
        <v>157</v>
      </c>
      <c r="I201" s="155" t="s">
        <v>614</v>
      </c>
      <c r="K201" s="422" t="s">
        <v>44</v>
      </c>
      <c r="L201" s="422" t="s">
        <v>98</v>
      </c>
      <c r="M201" s="136" t="s">
        <v>2373</v>
      </c>
      <c r="N201" s="68" t="s">
        <v>2374</v>
      </c>
      <c r="O201" s="67" t="s">
        <v>1043</v>
      </c>
      <c r="P201" s="260" t="s">
        <v>2375</v>
      </c>
      <c r="Q201" s="155" t="s">
        <v>2143</v>
      </c>
      <c r="S201" s="155" t="s">
        <v>49</v>
      </c>
      <c r="T201" s="254">
        <v>37217.0</v>
      </c>
      <c r="U201" s="155" t="s">
        <v>51</v>
      </c>
      <c r="W201" s="155" t="s">
        <v>2376</v>
      </c>
      <c r="Y201" s="155" t="s">
        <v>53</v>
      </c>
      <c r="Z201" s="155" t="s">
        <v>51</v>
      </c>
      <c r="AA201" s="155" t="s">
        <v>290</v>
      </c>
      <c r="AB201" s="155" t="s">
        <v>2377</v>
      </c>
      <c r="AC201" s="155">
        <v>60165.0</v>
      </c>
      <c r="AF201" s="98" t="s">
        <v>65</v>
      </c>
      <c r="AH201" s="155" t="s">
        <v>2133</v>
      </c>
      <c r="AI201" s="68">
        <v>2.604198151E10</v>
      </c>
      <c r="AJ201" s="420" t="s">
        <v>2378</v>
      </c>
      <c r="AL201" s="57" t="str">
        <f t="shared" si="53"/>
        <v>0 Tahun 3 Bulan</v>
      </c>
      <c r="AM201" s="414">
        <v>46013.0</v>
      </c>
      <c r="AN201" s="67" t="s">
        <v>1648</v>
      </c>
      <c r="AO201" s="424" t="s">
        <v>2379</v>
      </c>
      <c r="AW201" s="45" t="str">
        <f t="shared" ref="AW201:AW203" si="56">DATEDIF(AM201,$AW$2,"Y") &amp; " Tahun " &amp; DATEDIF(AM201,$AW$2,"YM") &amp; " Bulan"</f>
        <v>0 Tahun 2 Bulan</v>
      </c>
    </row>
    <row r="202">
      <c r="A202" s="155">
        <v>196.0</v>
      </c>
      <c r="B202" s="67" t="s">
        <v>2380</v>
      </c>
      <c r="C202" s="155" t="s">
        <v>498</v>
      </c>
      <c r="D202" s="67" t="s">
        <v>923</v>
      </c>
      <c r="E202" s="155" t="s">
        <v>2381</v>
      </c>
      <c r="F202" s="136" t="s">
        <v>2382</v>
      </c>
      <c r="G202" s="155" t="s">
        <v>2383</v>
      </c>
      <c r="H202" s="155" t="s">
        <v>282</v>
      </c>
      <c r="I202" s="155" t="s">
        <v>283</v>
      </c>
      <c r="K202" s="422" t="s">
        <v>44</v>
      </c>
      <c r="L202" s="422" t="s">
        <v>98</v>
      </c>
      <c r="M202" s="136" t="s">
        <v>2384</v>
      </c>
      <c r="N202" s="136" t="s">
        <v>2385</v>
      </c>
      <c r="O202" s="67" t="s">
        <v>1043</v>
      </c>
      <c r="P202" s="260" t="s">
        <v>2386</v>
      </c>
      <c r="Q202" s="155" t="s">
        <v>521</v>
      </c>
      <c r="S202" s="155" t="s">
        <v>69</v>
      </c>
      <c r="T202" s="155" t="s">
        <v>2387</v>
      </c>
      <c r="U202" s="155" t="s">
        <v>51</v>
      </c>
      <c r="W202" s="155" t="s">
        <v>2388</v>
      </c>
      <c r="Y202" s="155" t="s">
        <v>53</v>
      </c>
      <c r="Z202" s="155" t="s">
        <v>51</v>
      </c>
      <c r="AA202" s="155" t="s">
        <v>619</v>
      </c>
      <c r="AB202" s="155" t="s">
        <v>620</v>
      </c>
      <c r="AC202" s="155">
        <v>60181.0</v>
      </c>
      <c r="AF202" s="98" t="s">
        <v>71</v>
      </c>
      <c r="AH202" s="155" t="s">
        <v>2133</v>
      </c>
      <c r="AI202" s="67" t="s">
        <v>1010</v>
      </c>
      <c r="AJ202" s="67" t="s">
        <v>1010</v>
      </c>
      <c r="AL202" s="57" t="str">
        <f t="shared" si="53"/>
        <v>0 Tahun 3 Bulan</v>
      </c>
      <c r="AM202" s="414">
        <v>46013.0</v>
      </c>
      <c r="AN202" s="90" t="s">
        <v>1648</v>
      </c>
      <c r="AO202" s="273" t="s">
        <v>2389</v>
      </c>
      <c r="AW202" s="45" t="str">
        <f t="shared" si="56"/>
        <v>0 Tahun 2 Bulan</v>
      </c>
    </row>
    <row r="203" hidden="1">
      <c r="A203" s="338">
        <v>197.0</v>
      </c>
      <c r="B203" s="207" t="s">
        <v>2390</v>
      </c>
      <c r="C203" s="205" t="s">
        <v>84</v>
      </c>
      <c r="D203" s="207" t="s">
        <v>923</v>
      </c>
      <c r="E203" s="78" t="s">
        <v>2391</v>
      </c>
      <c r="F203" s="337" t="s">
        <v>2392</v>
      </c>
      <c r="G203" s="358" t="s">
        <v>2393</v>
      </c>
      <c r="H203" s="150" t="s">
        <v>2205</v>
      </c>
      <c r="I203" s="150" t="s">
        <v>248</v>
      </c>
      <c r="J203" s="141"/>
      <c r="K203" s="207" t="s">
        <v>44</v>
      </c>
      <c r="L203" s="207" t="s">
        <v>98</v>
      </c>
      <c r="M203" s="206" t="s">
        <v>2394</v>
      </c>
      <c r="N203" s="400" t="s">
        <v>2395</v>
      </c>
      <c r="O203" s="207" t="s">
        <v>1742</v>
      </c>
      <c r="P203" s="208">
        <v>1.440022377805E12</v>
      </c>
      <c r="Q203" s="141" t="s">
        <v>521</v>
      </c>
      <c r="R203" s="141"/>
      <c r="S203" s="207" t="s">
        <v>69</v>
      </c>
      <c r="T203" s="206" t="s">
        <v>2396</v>
      </c>
      <c r="U203" s="150" t="s">
        <v>2057</v>
      </c>
      <c r="V203" s="141"/>
      <c r="W203" s="150" t="s">
        <v>2397</v>
      </c>
      <c r="X203" s="141"/>
      <c r="Y203" s="150" t="s">
        <v>53</v>
      </c>
      <c r="Z203" s="150" t="s">
        <v>2057</v>
      </c>
      <c r="AA203" s="150" t="s">
        <v>2398</v>
      </c>
      <c r="AB203" s="150" t="s">
        <v>2399</v>
      </c>
      <c r="AC203" s="338">
        <v>65156.0</v>
      </c>
      <c r="AD203" s="141"/>
      <c r="AE203" s="141"/>
      <c r="AF203" s="150" t="s">
        <v>71</v>
      </c>
      <c r="AG203" s="141"/>
      <c r="AH203" s="309" t="s">
        <v>2133</v>
      </c>
      <c r="AI203" s="85" t="s">
        <v>1010</v>
      </c>
      <c r="AJ203" s="85" t="s">
        <v>1010</v>
      </c>
      <c r="AK203" s="141"/>
      <c r="AL203" s="141" t="str">
        <f t="shared" si="53"/>
        <v>0 Tahun 3 Bulan</v>
      </c>
      <c r="AM203" s="359">
        <v>46027.0</v>
      </c>
      <c r="AN203" s="401" t="s">
        <v>1648</v>
      </c>
      <c r="AO203" s="141" t="s">
        <v>2360</v>
      </c>
      <c r="AP203" s="141"/>
      <c r="AQ203" s="141"/>
      <c r="AR203" s="141"/>
      <c r="AS203" s="141"/>
      <c r="AT203" s="141"/>
      <c r="AU203" s="141"/>
      <c r="AV203" s="141"/>
      <c r="AW203" s="141" t="str">
        <f t="shared" si="56"/>
        <v>0 Tahun 2 Bulan</v>
      </c>
      <c r="AX203" s="141"/>
      <c r="AY203" s="141"/>
      <c r="AZ203" s="141"/>
      <c r="BA203" s="141"/>
      <c r="BB203" s="141"/>
      <c r="BC203" s="141"/>
      <c r="BD203" s="141"/>
      <c r="BE203" s="141"/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41"/>
      <c r="BU203" s="141"/>
      <c r="BV203" s="141"/>
      <c r="BW203" s="141"/>
      <c r="BX203" s="141"/>
      <c r="BY203" s="141"/>
      <c r="BZ203" s="141"/>
      <c r="CA203" s="141"/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  <c r="CL203" s="141"/>
    </row>
    <row r="204" ht="15.75" hidden="1" customHeight="1">
      <c r="A204" s="338">
        <v>198.0</v>
      </c>
      <c r="B204" s="207" t="s">
        <v>2400</v>
      </c>
      <c r="C204" s="205" t="s">
        <v>1310</v>
      </c>
      <c r="D204" s="207" t="s">
        <v>923</v>
      </c>
      <c r="E204" s="78"/>
      <c r="F204" s="150"/>
      <c r="G204" s="358"/>
      <c r="H204" s="150"/>
      <c r="I204" s="150"/>
      <c r="J204" s="141"/>
      <c r="K204" s="207"/>
      <c r="L204" s="207"/>
      <c r="M204" s="206"/>
      <c r="N204" s="402"/>
      <c r="O204" s="207"/>
      <c r="P204" s="208"/>
      <c r="Q204" s="141"/>
      <c r="R204" s="141"/>
      <c r="S204" s="207" t="s">
        <v>49</v>
      </c>
      <c r="T204" s="206"/>
      <c r="U204" s="150"/>
      <c r="V204" s="141"/>
      <c r="W204" s="150"/>
      <c r="X204" s="141"/>
      <c r="Y204" s="150"/>
      <c r="Z204" s="150"/>
      <c r="AA204" s="150"/>
      <c r="AB204" s="150"/>
      <c r="AC204" s="338"/>
      <c r="AD204" s="141"/>
      <c r="AE204" s="141"/>
      <c r="AF204" s="150"/>
      <c r="AG204" s="141"/>
      <c r="AH204" s="309" t="s">
        <v>2190</v>
      </c>
      <c r="AI204" s="85" t="s">
        <v>1010</v>
      </c>
      <c r="AJ204" s="85" t="s">
        <v>1010</v>
      </c>
      <c r="AK204" s="141"/>
      <c r="AL204" s="141" t="str">
        <f t="shared" si="53"/>
        <v>0 Tahun 3 Bulan</v>
      </c>
      <c r="AM204" s="359">
        <v>46027.0</v>
      </c>
      <c r="AN204" s="401" t="s">
        <v>1648</v>
      </c>
      <c r="AO204" s="207" t="s">
        <v>2401</v>
      </c>
      <c r="AP204" s="141"/>
      <c r="AQ204" s="141"/>
      <c r="AR204" s="141"/>
      <c r="AS204" s="141"/>
      <c r="AT204" s="141"/>
      <c r="AU204" s="141"/>
      <c r="AV204" s="141"/>
      <c r="AW204" s="141"/>
      <c r="AX204" s="141"/>
      <c r="AY204" s="141"/>
      <c r="AZ204" s="141"/>
      <c r="BA204" s="141"/>
      <c r="BB204" s="141"/>
      <c r="BC204" s="141"/>
      <c r="BD204" s="141"/>
      <c r="BE204" s="141"/>
      <c r="BF204" s="141"/>
      <c r="BG204" s="141"/>
      <c r="BH204" s="141"/>
      <c r="BI204" s="141"/>
      <c r="BJ204" s="141"/>
      <c r="BK204" s="141"/>
      <c r="BL204" s="141"/>
      <c r="BM204" s="141"/>
      <c r="BN204" s="141"/>
      <c r="BO204" s="141"/>
      <c r="BP204" s="141"/>
      <c r="BQ204" s="141"/>
      <c r="BR204" s="141"/>
      <c r="BS204" s="141"/>
      <c r="BT204" s="141"/>
      <c r="BU204" s="141"/>
      <c r="BV204" s="141"/>
      <c r="BW204" s="141"/>
      <c r="BX204" s="141"/>
      <c r="BY204" s="141"/>
      <c r="BZ204" s="141"/>
      <c r="CA204" s="141"/>
      <c r="CB204" s="141"/>
      <c r="CC204" s="141"/>
      <c r="CD204" s="141"/>
      <c r="CE204" s="141"/>
      <c r="CF204" s="141"/>
      <c r="CG204" s="141"/>
      <c r="CH204" s="141"/>
      <c r="CI204" s="141"/>
      <c r="CJ204" s="141"/>
      <c r="CK204" s="141"/>
      <c r="CL204" s="141"/>
    </row>
    <row r="205" hidden="1">
      <c r="A205" s="338">
        <v>199.0</v>
      </c>
      <c r="B205" s="207" t="s">
        <v>2402</v>
      </c>
      <c r="C205" s="205" t="s">
        <v>498</v>
      </c>
      <c r="D205" s="207" t="s">
        <v>923</v>
      </c>
      <c r="E205" s="78" t="s">
        <v>2403</v>
      </c>
      <c r="F205" s="337" t="s">
        <v>2404</v>
      </c>
      <c r="G205" s="358" t="s">
        <v>2405</v>
      </c>
      <c r="H205" s="150" t="s">
        <v>1188</v>
      </c>
      <c r="I205" s="150" t="s">
        <v>591</v>
      </c>
      <c r="J205" s="141"/>
      <c r="K205" s="207" t="s">
        <v>44</v>
      </c>
      <c r="L205" s="207" t="s">
        <v>98</v>
      </c>
      <c r="M205" s="318" t="s">
        <v>2406</v>
      </c>
      <c r="N205" s="400" t="s">
        <v>2407</v>
      </c>
      <c r="O205" s="207" t="s">
        <v>1043</v>
      </c>
      <c r="P205" s="395" t="s">
        <v>2408</v>
      </c>
      <c r="Q205" s="141" t="s">
        <v>2143</v>
      </c>
      <c r="R205" s="141"/>
      <c r="S205" s="207" t="s">
        <v>1958</v>
      </c>
      <c r="T205" s="206">
        <v>36060.0</v>
      </c>
      <c r="U205" s="150" t="s">
        <v>51</v>
      </c>
      <c r="V205" s="141"/>
      <c r="W205" s="150" t="s">
        <v>2409</v>
      </c>
      <c r="X205" s="141"/>
      <c r="Y205" s="150" t="s">
        <v>53</v>
      </c>
      <c r="Z205" s="150" t="s">
        <v>51</v>
      </c>
      <c r="AA205" s="150" t="s">
        <v>253</v>
      </c>
      <c r="AB205" s="150" t="s">
        <v>254</v>
      </c>
      <c r="AC205" s="338">
        <v>60178.0</v>
      </c>
      <c r="AD205" s="141"/>
      <c r="AE205" s="141"/>
      <c r="AF205" s="150" t="s">
        <v>71</v>
      </c>
      <c r="AG205" s="141"/>
      <c r="AH205" s="309" t="s">
        <v>2133</v>
      </c>
      <c r="AI205" s="85" t="s">
        <v>1010</v>
      </c>
      <c r="AJ205" s="85" t="s">
        <v>1010</v>
      </c>
      <c r="AK205" s="141"/>
      <c r="AL205" s="141" t="str">
        <f t="shared" si="53"/>
        <v>0 Tahun 3 Bulan</v>
      </c>
      <c r="AM205" s="359">
        <v>46030.0</v>
      </c>
      <c r="AN205" s="401" t="s">
        <v>1648</v>
      </c>
      <c r="AO205" s="207" t="s">
        <v>2410</v>
      </c>
      <c r="AP205" s="141"/>
      <c r="AQ205" s="141"/>
      <c r="AR205" s="141"/>
      <c r="AS205" s="141"/>
      <c r="AT205" s="141"/>
      <c r="AU205" s="141"/>
      <c r="AV205" s="141"/>
      <c r="AW205" s="141" t="str">
        <f t="shared" ref="AW205:AW214" si="57">DATEDIF(AM205,$AW$2,"Y") &amp; " Tahun " &amp; DATEDIF(AM205,$AW$2,"YM") &amp; " Bulan"</f>
        <v>0 Tahun 2 Bulan</v>
      </c>
      <c r="AX205" s="141"/>
      <c r="AY205" s="141"/>
      <c r="AZ205" s="141"/>
      <c r="BA205" s="141"/>
      <c r="BB205" s="141"/>
      <c r="BC205" s="141"/>
      <c r="BD205" s="141"/>
      <c r="BE205" s="141"/>
      <c r="BF205" s="141"/>
      <c r="BG205" s="141"/>
      <c r="BH205" s="141"/>
      <c r="BI205" s="141"/>
      <c r="BJ205" s="141"/>
      <c r="BK205" s="141"/>
      <c r="BL205" s="141"/>
      <c r="BM205" s="141"/>
      <c r="BN205" s="141"/>
      <c r="BO205" s="141"/>
      <c r="BP205" s="141"/>
      <c r="BQ205" s="141"/>
      <c r="BR205" s="141"/>
      <c r="BS205" s="141"/>
      <c r="BT205" s="141"/>
      <c r="BU205" s="141"/>
      <c r="BV205" s="141"/>
      <c r="BW205" s="141"/>
      <c r="BX205" s="141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  <c r="CL205" s="141"/>
    </row>
    <row r="206">
      <c r="A206" s="155">
        <v>200.0</v>
      </c>
      <c r="B206" s="155" t="s">
        <v>2411</v>
      </c>
      <c r="C206" s="155" t="s">
        <v>498</v>
      </c>
      <c r="D206" s="155" t="s">
        <v>923</v>
      </c>
      <c r="E206" s="155" t="s">
        <v>2412</v>
      </c>
      <c r="F206" s="136" t="s">
        <v>2413</v>
      </c>
      <c r="G206" s="155" t="s">
        <v>2414</v>
      </c>
      <c r="H206" s="155" t="s">
        <v>1188</v>
      </c>
      <c r="I206" s="155" t="s">
        <v>591</v>
      </c>
      <c r="K206" s="155" t="s">
        <v>44</v>
      </c>
      <c r="L206" s="155" t="s">
        <v>98</v>
      </c>
      <c r="M206" s="136" t="s">
        <v>2415</v>
      </c>
      <c r="N206" s="136" t="s">
        <v>2416</v>
      </c>
      <c r="O206" s="155" t="s">
        <v>1043</v>
      </c>
      <c r="P206" s="260" t="s">
        <v>2417</v>
      </c>
      <c r="Q206" s="155" t="s">
        <v>521</v>
      </c>
      <c r="S206" s="155" t="s">
        <v>1958</v>
      </c>
      <c r="T206" s="155" t="s">
        <v>2418</v>
      </c>
      <c r="U206" s="155" t="s">
        <v>51</v>
      </c>
      <c r="W206" s="155" t="s">
        <v>2419</v>
      </c>
      <c r="Y206" s="155" t="s">
        <v>53</v>
      </c>
      <c r="Z206" s="155" t="s">
        <v>51</v>
      </c>
      <c r="AA206" s="155" t="s">
        <v>1254</v>
      </c>
      <c r="AB206" s="155" t="s">
        <v>2420</v>
      </c>
      <c r="AC206" s="155">
        <v>60298.0</v>
      </c>
      <c r="AF206" s="98" t="s">
        <v>71</v>
      </c>
      <c r="AH206" s="155" t="s">
        <v>2133</v>
      </c>
      <c r="AI206" s="68">
        <v>2.6041981544E10</v>
      </c>
      <c r="AJ206" s="374" t="s">
        <v>2378</v>
      </c>
      <c r="AL206" s="57" t="str">
        <f t="shared" si="53"/>
        <v>0 Tahun 3 Bulan</v>
      </c>
      <c r="AM206" s="254">
        <v>46037.0</v>
      </c>
      <c r="AN206" s="417">
        <v>46140.0</v>
      </c>
      <c r="AO206" s="418">
        <v>46323.0</v>
      </c>
      <c r="AW206" s="45" t="str">
        <f t="shared" si="57"/>
        <v>0 Tahun 2 Bulan</v>
      </c>
    </row>
    <row r="207">
      <c r="A207" s="155">
        <v>201.0</v>
      </c>
      <c r="B207" s="155" t="s">
        <v>2421</v>
      </c>
      <c r="C207" s="155" t="s">
        <v>514</v>
      </c>
      <c r="D207" s="155" t="s">
        <v>923</v>
      </c>
      <c r="E207" s="155" t="s">
        <v>2422</v>
      </c>
      <c r="F207" s="136" t="s">
        <v>2423</v>
      </c>
      <c r="G207" s="155" t="s">
        <v>2424</v>
      </c>
      <c r="H207" s="155" t="s">
        <v>2205</v>
      </c>
      <c r="I207" s="155" t="s">
        <v>248</v>
      </c>
      <c r="K207" s="155" t="s">
        <v>2326</v>
      </c>
      <c r="L207" s="370" t="s">
        <v>98</v>
      </c>
      <c r="M207" s="136" t="s">
        <v>2425</v>
      </c>
      <c r="N207" s="136" t="s">
        <v>2426</v>
      </c>
      <c r="O207" s="155" t="s">
        <v>1043</v>
      </c>
      <c r="P207" s="260" t="s">
        <v>2427</v>
      </c>
      <c r="Q207" s="155" t="s">
        <v>521</v>
      </c>
      <c r="S207" s="155" t="s">
        <v>69</v>
      </c>
      <c r="T207" s="155" t="s">
        <v>2428</v>
      </c>
      <c r="U207" s="155" t="s">
        <v>1123</v>
      </c>
      <c r="W207" s="155" t="s">
        <v>2429</v>
      </c>
      <c r="Y207" s="155" t="s">
        <v>53</v>
      </c>
      <c r="Z207" s="155" t="s">
        <v>238</v>
      </c>
      <c r="AA207" s="155" t="s">
        <v>2430</v>
      </c>
      <c r="AB207" s="155" t="s">
        <v>2431</v>
      </c>
      <c r="AC207" s="155">
        <v>61351.0</v>
      </c>
      <c r="AF207" s="98" t="s">
        <v>71</v>
      </c>
      <c r="AH207" s="155" t="s">
        <v>2133</v>
      </c>
      <c r="AI207" s="68">
        <v>2.6041979563E10</v>
      </c>
      <c r="AJ207" s="155" t="s">
        <v>1010</v>
      </c>
      <c r="AL207" s="57" t="str">
        <f t="shared" si="53"/>
        <v>0 Tahun 3 Bulan</v>
      </c>
      <c r="AM207" s="254">
        <v>46041.0</v>
      </c>
      <c r="AN207" s="417">
        <v>46140.0</v>
      </c>
      <c r="AO207" s="418">
        <v>46323.0</v>
      </c>
      <c r="AW207" s="45" t="str">
        <f t="shared" si="57"/>
        <v>0 Tahun 2 Bulan</v>
      </c>
    </row>
    <row r="208">
      <c r="A208" s="155">
        <v>202.0</v>
      </c>
      <c r="B208" s="257" t="s">
        <v>2432</v>
      </c>
      <c r="C208" s="155" t="s">
        <v>1310</v>
      </c>
      <c r="D208" s="155" t="s">
        <v>923</v>
      </c>
      <c r="E208" s="155" t="s">
        <v>2433</v>
      </c>
      <c r="F208" s="136" t="s">
        <v>2434</v>
      </c>
      <c r="G208" s="155" t="s">
        <v>2435</v>
      </c>
      <c r="H208" s="155" t="s">
        <v>1178</v>
      </c>
      <c r="I208" s="155" t="s">
        <v>729</v>
      </c>
      <c r="K208" s="155" t="s">
        <v>44</v>
      </c>
      <c r="L208" s="370" t="s">
        <v>98</v>
      </c>
      <c r="M208" s="155" t="s">
        <v>2436</v>
      </c>
      <c r="N208" s="155" t="s">
        <v>2437</v>
      </c>
      <c r="P208" s="65"/>
      <c r="Q208" s="155" t="s">
        <v>2143</v>
      </c>
      <c r="S208" s="155" t="s">
        <v>49</v>
      </c>
      <c r="T208" s="254">
        <v>29909.0</v>
      </c>
      <c r="U208" s="155" t="s">
        <v>238</v>
      </c>
      <c r="W208" s="155" t="s">
        <v>2438</v>
      </c>
      <c r="Y208" s="155" t="s">
        <v>53</v>
      </c>
      <c r="Z208" s="155" t="s">
        <v>420</v>
      </c>
      <c r="AA208" s="155" t="s">
        <v>2439</v>
      </c>
      <c r="AB208" s="155" t="s">
        <v>2440</v>
      </c>
      <c r="AC208" s="155">
        <v>61175.0</v>
      </c>
      <c r="AF208" s="98" t="s">
        <v>139</v>
      </c>
      <c r="AH208" s="155" t="s">
        <v>2133</v>
      </c>
      <c r="AI208" s="68">
        <v>2.6042051297E10</v>
      </c>
      <c r="AJ208" s="374" t="s">
        <v>2378</v>
      </c>
      <c r="AL208" s="57" t="str">
        <f t="shared" si="53"/>
        <v>0 Tahun 3 Bulan</v>
      </c>
      <c r="AM208" s="254">
        <v>46041.0</v>
      </c>
      <c r="AN208" s="418">
        <v>46140.0</v>
      </c>
      <c r="AW208" s="45" t="str">
        <f t="shared" si="57"/>
        <v>0 Tahun 2 Bulan</v>
      </c>
    </row>
    <row r="209">
      <c r="A209" s="155">
        <v>203.0</v>
      </c>
      <c r="B209" s="155" t="s">
        <v>2441</v>
      </c>
      <c r="C209" s="155" t="s">
        <v>498</v>
      </c>
      <c r="D209" s="155" t="s">
        <v>923</v>
      </c>
      <c r="E209" s="155" t="s">
        <v>2442</v>
      </c>
      <c r="F209" s="136" t="s">
        <v>2443</v>
      </c>
      <c r="G209" s="155" t="s">
        <v>2444</v>
      </c>
      <c r="H209" s="155" t="s">
        <v>355</v>
      </c>
      <c r="I209" s="155" t="s">
        <v>614</v>
      </c>
      <c r="K209" s="155" t="s">
        <v>44</v>
      </c>
      <c r="L209" s="370" t="s">
        <v>98</v>
      </c>
      <c r="M209" s="136" t="s">
        <v>2445</v>
      </c>
      <c r="N209" s="136" t="s">
        <v>2446</v>
      </c>
      <c r="O209" s="155" t="s">
        <v>1043</v>
      </c>
      <c r="P209" s="136" t="s">
        <v>2447</v>
      </c>
      <c r="Q209" s="155" t="s">
        <v>521</v>
      </c>
      <c r="S209" s="155" t="s">
        <v>1958</v>
      </c>
      <c r="T209" s="254">
        <v>35571.0</v>
      </c>
      <c r="U209" s="155" t="s">
        <v>51</v>
      </c>
      <c r="W209" s="155" t="s">
        <v>2448</v>
      </c>
      <c r="Y209" s="155" t="s">
        <v>53</v>
      </c>
      <c r="Z209" s="155" t="s">
        <v>51</v>
      </c>
      <c r="AA209" s="155" t="s">
        <v>177</v>
      </c>
      <c r="AB209" s="155" t="s">
        <v>2449</v>
      </c>
      <c r="AC209" s="155">
        <v>60252.0</v>
      </c>
      <c r="AF209" s="98" t="s">
        <v>65</v>
      </c>
      <c r="AH209" s="155" t="s">
        <v>2133</v>
      </c>
      <c r="AI209" s="68">
        <v>2.6041981536E10</v>
      </c>
      <c r="AJ209" s="374" t="s">
        <v>2378</v>
      </c>
      <c r="AL209" s="57" t="str">
        <f t="shared" si="53"/>
        <v>0 Tahun 2 Bulan</v>
      </c>
      <c r="AM209" s="254">
        <v>46045.0</v>
      </c>
      <c r="AN209" s="417">
        <v>46140.0</v>
      </c>
      <c r="AO209" s="418">
        <v>46323.0</v>
      </c>
      <c r="AW209" s="45" t="str">
        <f t="shared" si="57"/>
        <v>0 Tahun 1 Bulan</v>
      </c>
    </row>
    <row r="210">
      <c r="A210" s="155">
        <v>204.0</v>
      </c>
      <c r="B210" s="155" t="s">
        <v>2450</v>
      </c>
      <c r="C210" s="155" t="s">
        <v>498</v>
      </c>
      <c r="D210" s="155" t="s">
        <v>923</v>
      </c>
      <c r="E210" s="155" t="s">
        <v>2451</v>
      </c>
      <c r="F210" s="136" t="s">
        <v>2452</v>
      </c>
      <c r="G210" s="155" t="s">
        <v>2453</v>
      </c>
      <c r="H210" s="155" t="s">
        <v>2205</v>
      </c>
      <c r="I210" s="155" t="s">
        <v>248</v>
      </c>
      <c r="K210" s="155" t="s">
        <v>44</v>
      </c>
      <c r="L210" s="370" t="s">
        <v>98</v>
      </c>
      <c r="M210" s="136" t="s">
        <v>2454</v>
      </c>
      <c r="N210" s="136" t="s">
        <v>2455</v>
      </c>
      <c r="O210" s="155" t="s">
        <v>1043</v>
      </c>
      <c r="P210" s="136" t="s">
        <v>2456</v>
      </c>
      <c r="Q210" s="155" t="s">
        <v>521</v>
      </c>
      <c r="S210" s="155" t="s">
        <v>69</v>
      </c>
      <c r="T210" s="155" t="s">
        <v>2457</v>
      </c>
      <c r="U210" s="155" t="s">
        <v>51</v>
      </c>
      <c r="W210" s="155" t="s">
        <v>2458</v>
      </c>
      <c r="Y210" s="155" t="s">
        <v>53</v>
      </c>
      <c r="Z210" s="155" t="s">
        <v>51</v>
      </c>
      <c r="AA210" s="155" t="s">
        <v>137</v>
      </c>
      <c r="AB210" s="155" t="s">
        <v>2459</v>
      </c>
      <c r="AC210" s="155">
        <v>60198.0</v>
      </c>
      <c r="AF210" s="98" t="s">
        <v>71</v>
      </c>
      <c r="AH210" s="155" t="s">
        <v>2133</v>
      </c>
      <c r="AI210" s="68">
        <v>2.6041981528E10</v>
      </c>
      <c r="AJ210" s="374" t="s">
        <v>2378</v>
      </c>
      <c r="AL210" s="57" t="str">
        <f t="shared" si="53"/>
        <v>0 Tahun 2 Bulan</v>
      </c>
      <c r="AM210" s="254">
        <v>46045.0</v>
      </c>
      <c r="AN210" s="417">
        <v>46140.0</v>
      </c>
      <c r="AO210" s="418">
        <v>46323.0</v>
      </c>
      <c r="AW210" s="45" t="str">
        <f t="shared" si="57"/>
        <v>0 Tahun 1 Bulan</v>
      </c>
    </row>
    <row r="211">
      <c r="A211" s="155">
        <v>205.0</v>
      </c>
      <c r="B211" s="257" t="s">
        <v>2460</v>
      </c>
      <c r="C211" s="155" t="s">
        <v>1310</v>
      </c>
      <c r="D211" s="155" t="s">
        <v>923</v>
      </c>
      <c r="E211" s="155" t="s">
        <v>2461</v>
      </c>
      <c r="F211" s="136" t="s">
        <v>2462</v>
      </c>
      <c r="G211" s="155" t="s">
        <v>2463</v>
      </c>
      <c r="H211" s="155" t="s">
        <v>1178</v>
      </c>
      <c r="I211" s="155" t="s">
        <v>729</v>
      </c>
      <c r="K211" s="155" t="s">
        <v>44</v>
      </c>
      <c r="L211" s="370" t="s">
        <v>98</v>
      </c>
      <c r="M211" s="136" t="s">
        <v>2464</v>
      </c>
      <c r="N211" s="136" t="s">
        <v>2465</v>
      </c>
      <c r="S211" s="155" t="s">
        <v>49</v>
      </c>
      <c r="T211" s="155" t="s">
        <v>2466</v>
      </c>
      <c r="U211" s="155" t="s">
        <v>548</v>
      </c>
      <c r="W211" s="155" t="s">
        <v>2467</v>
      </c>
      <c r="Y211" s="155" t="s">
        <v>53</v>
      </c>
      <c r="Z211" s="155" t="s">
        <v>548</v>
      </c>
      <c r="AA211" s="155" t="s">
        <v>2468</v>
      </c>
      <c r="AB211" s="155" t="s">
        <v>2469</v>
      </c>
      <c r="AC211" s="155">
        <v>62192.0</v>
      </c>
      <c r="AF211" s="98" t="s">
        <v>241</v>
      </c>
      <c r="AH211" s="237" t="s">
        <v>2133</v>
      </c>
      <c r="AI211" s="68">
        <v>2.6042051313E10</v>
      </c>
      <c r="AJ211" s="155" t="s">
        <v>1010</v>
      </c>
      <c r="AL211" s="57" t="str">
        <f t="shared" si="53"/>
        <v>0 Tahun 3 Bulan</v>
      </c>
      <c r="AM211" s="254">
        <v>46041.0</v>
      </c>
      <c r="AN211" s="418">
        <v>46140.0</v>
      </c>
      <c r="AW211" s="45" t="str">
        <f t="shared" si="57"/>
        <v>0 Tahun 2 Bulan</v>
      </c>
    </row>
    <row r="212">
      <c r="A212" s="155">
        <v>206.0</v>
      </c>
      <c r="B212" s="155" t="s">
        <v>2470</v>
      </c>
      <c r="C212" s="155" t="s">
        <v>514</v>
      </c>
      <c r="D212" s="155" t="s">
        <v>923</v>
      </c>
      <c r="E212" s="155" t="s">
        <v>2471</v>
      </c>
      <c r="F212" s="136" t="s">
        <v>2472</v>
      </c>
      <c r="G212" s="155" t="s">
        <v>2473</v>
      </c>
      <c r="H212" s="155" t="s">
        <v>2216</v>
      </c>
      <c r="I212" s="155" t="s">
        <v>248</v>
      </c>
      <c r="K212" s="155" t="s">
        <v>44</v>
      </c>
      <c r="L212" s="370" t="s">
        <v>98</v>
      </c>
      <c r="M212" s="136" t="s">
        <v>2474</v>
      </c>
      <c r="N212" s="136" t="s">
        <v>2475</v>
      </c>
      <c r="O212" s="155" t="s">
        <v>1043</v>
      </c>
      <c r="P212" s="136" t="s">
        <v>2476</v>
      </c>
      <c r="Q212" s="155" t="s">
        <v>521</v>
      </c>
      <c r="S212" s="155" t="s">
        <v>69</v>
      </c>
      <c r="T212" s="254">
        <v>35699.0</v>
      </c>
      <c r="U212" s="155" t="s">
        <v>51</v>
      </c>
      <c r="W212" s="155" t="s">
        <v>2477</v>
      </c>
      <c r="Y212" s="155" t="s">
        <v>53</v>
      </c>
      <c r="Z212" s="155" t="s">
        <v>51</v>
      </c>
      <c r="AA212" s="155" t="s">
        <v>2179</v>
      </c>
      <c r="AB212" s="155" t="s">
        <v>2179</v>
      </c>
      <c r="AC212" s="155">
        <v>60143.0</v>
      </c>
      <c r="AF212" s="98" t="s">
        <v>71</v>
      </c>
      <c r="AH212" s="155" t="s">
        <v>2133</v>
      </c>
      <c r="AI212" s="68" t="s">
        <v>2478</v>
      </c>
      <c r="AJ212" s="155" t="s">
        <v>1010</v>
      </c>
      <c r="AL212" s="57" t="str">
        <f t="shared" si="53"/>
        <v>0 Tahun 2 Bulan</v>
      </c>
      <c r="AM212" s="425">
        <v>46059.0</v>
      </c>
      <c r="AN212" s="418">
        <v>46140.0</v>
      </c>
      <c r="AO212" s="273" t="s">
        <v>2389</v>
      </c>
      <c r="AW212" s="45" t="str">
        <f t="shared" si="57"/>
        <v>0 Tahun 1 Bulan</v>
      </c>
    </row>
    <row r="213">
      <c r="A213" s="155">
        <v>207.0</v>
      </c>
      <c r="B213" s="67" t="s">
        <v>2479</v>
      </c>
      <c r="C213" s="155" t="s">
        <v>729</v>
      </c>
      <c r="D213" s="155" t="s">
        <v>923</v>
      </c>
      <c r="E213" s="155" t="s">
        <v>2480</v>
      </c>
      <c r="F213" s="136" t="s">
        <v>2481</v>
      </c>
      <c r="G213" s="155" t="s">
        <v>2482</v>
      </c>
      <c r="H213" s="155" t="s">
        <v>2339</v>
      </c>
      <c r="I213" s="155" t="s">
        <v>729</v>
      </c>
      <c r="K213" s="155" t="s">
        <v>44</v>
      </c>
      <c r="L213" s="370" t="s">
        <v>98</v>
      </c>
      <c r="M213" s="136" t="s">
        <v>2483</v>
      </c>
      <c r="N213" s="136" t="s">
        <v>2484</v>
      </c>
      <c r="O213" s="155" t="s">
        <v>819</v>
      </c>
      <c r="P213" s="136" t="s">
        <v>2485</v>
      </c>
      <c r="Q213" s="155" t="s">
        <v>521</v>
      </c>
      <c r="S213" s="155" t="s">
        <v>69</v>
      </c>
      <c r="T213" s="425">
        <v>34801.0</v>
      </c>
      <c r="U213" s="155" t="s">
        <v>51</v>
      </c>
      <c r="W213" s="155" t="s">
        <v>2486</v>
      </c>
      <c r="Y213" s="155" t="s">
        <v>53</v>
      </c>
      <c r="Z213" s="155" t="s">
        <v>51</v>
      </c>
      <c r="AA213" s="155" t="s">
        <v>54</v>
      </c>
      <c r="AB213" s="155" t="s">
        <v>1395</v>
      </c>
      <c r="AC213" s="155">
        <v>60135.0</v>
      </c>
      <c r="AF213" s="98" t="s">
        <v>71</v>
      </c>
      <c r="AH213" s="155" t="s">
        <v>2133</v>
      </c>
      <c r="AI213" s="68">
        <v>2.6042051305E10</v>
      </c>
      <c r="AJ213" s="374" t="s">
        <v>2378</v>
      </c>
      <c r="AL213" s="57" t="str">
        <f t="shared" si="53"/>
        <v>0 Tahun 2 Bulan</v>
      </c>
      <c r="AM213" s="254">
        <v>46059.0</v>
      </c>
      <c r="AN213" s="417">
        <v>46140.0</v>
      </c>
      <c r="AO213" s="418" t="s">
        <v>1818</v>
      </c>
      <c r="AW213" s="45" t="str">
        <f t="shared" si="57"/>
        <v>0 Tahun 1 Bulan</v>
      </c>
    </row>
    <row r="214">
      <c r="A214" s="155">
        <v>208.0</v>
      </c>
      <c r="B214" s="257" t="s">
        <v>2487</v>
      </c>
      <c r="C214" s="155" t="s">
        <v>1310</v>
      </c>
      <c r="D214" s="155" t="s">
        <v>923</v>
      </c>
      <c r="E214" s="155" t="s">
        <v>2488</v>
      </c>
      <c r="F214" s="155"/>
      <c r="G214" s="155"/>
      <c r="H214" s="155" t="s">
        <v>1178</v>
      </c>
      <c r="I214" s="155" t="s">
        <v>729</v>
      </c>
      <c r="K214" s="155" t="s">
        <v>44</v>
      </c>
      <c r="L214" s="370" t="s">
        <v>98</v>
      </c>
      <c r="M214" s="155" t="s">
        <v>2489</v>
      </c>
      <c r="N214" s="155" t="s">
        <v>2490</v>
      </c>
      <c r="O214" s="155"/>
      <c r="Q214" s="155" t="s">
        <v>133</v>
      </c>
      <c r="S214" s="155" t="s">
        <v>1958</v>
      </c>
      <c r="T214" s="425">
        <v>32394.0</v>
      </c>
      <c r="U214" s="155" t="s">
        <v>135</v>
      </c>
      <c r="W214" s="155" t="s">
        <v>2491</v>
      </c>
      <c r="Y214" s="155" t="s">
        <v>53</v>
      </c>
      <c r="Z214" s="155" t="s">
        <v>122</v>
      </c>
      <c r="AA214" s="155" t="s">
        <v>961</v>
      </c>
      <c r="AB214" s="155" t="s">
        <v>2492</v>
      </c>
      <c r="AC214" s="155">
        <v>63361.0</v>
      </c>
      <c r="AF214" s="98" t="s">
        <v>139</v>
      </c>
      <c r="AH214" s="155" t="s">
        <v>2133</v>
      </c>
      <c r="AI214" s="374" t="s">
        <v>2493</v>
      </c>
      <c r="AJ214" s="155" t="s">
        <v>1010</v>
      </c>
      <c r="AL214" s="57" t="str">
        <f t="shared" si="53"/>
        <v>0 Tahun 2 Bulan</v>
      </c>
      <c r="AM214" s="254">
        <v>46062.0</v>
      </c>
      <c r="AN214" s="418">
        <v>46140.0</v>
      </c>
      <c r="AO214" s="155" t="s">
        <v>2494</v>
      </c>
      <c r="AW214" s="45" t="str">
        <f t="shared" si="57"/>
        <v>0 Tahun 1 Bulan</v>
      </c>
    </row>
    <row r="215" hidden="1">
      <c r="A215" s="426">
        <v>209.0</v>
      </c>
      <c r="B215" s="426" t="s">
        <v>2495</v>
      </c>
      <c r="C215" s="426" t="s">
        <v>514</v>
      </c>
      <c r="D215" s="426" t="s">
        <v>923</v>
      </c>
      <c r="E215" s="426" t="s">
        <v>2496</v>
      </c>
      <c r="F215" s="427" t="s">
        <v>2497</v>
      </c>
      <c r="G215" s="426" t="s">
        <v>2498</v>
      </c>
      <c r="H215" s="426" t="s">
        <v>578</v>
      </c>
      <c r="I215" s="426" t="s">
        <v>309</v>
      </c>
      <c r="J215" s="428"/>
      <c r="K215" s="426" t="s">
        <v>44</v>
      </c>
      <c r="L215" s="426" t="s">
        <v>98</v>
      </c>
      <c r="M215" s="427" t="s">
        <v>2499</v>
      </c>
      <c r="N215" s="427" t="s">
        <v>2500</v>
      </c>
      <c r="O215" s="428"/>
      <c r="P215" s="428"/>
      <c r="Q215" s="426" t="s">
        <v>521</v>
      </c>
      <c r="R215" s="428"/>
      <c r="S215" s="426" t="s">
        <v>1958</v>
      </c>
      <c r="T215" s="429">
        <v>36190.0</v>
      </c>
      <c r="U215" s="426" t="s">
        <v>51</v>
      </c>
      <c r="V215" s="428"/>
      <c r="W215" s="426" t="s">
        <v>2501</v>
      </c>
      <c r="X215" s="428"/>
      <c r="Y215" s="426" t="s">
        <v>53</v>
      </c>
      <c r="Z215" s="426" t="s">
        <v>51</v>
      </c>
      <c r="AA215" s="426" t="s">
        <v>1135</v>
      </c>
      <c r="AB215" s="426" t="s">
        <v>1136</v>
      </c>
      <c r="AC215" s="426">
        <v>60197.0</v>
      </c>
      <c r="AD215" s="428"/>
      <c r="AE215" s="428"/>
      <c r="AF215" s="426" t="s">
        <v>71</v>
      </c>
      <c r="AG215" s="428"/>
      <c r="AH215" s="426" t="s">
        <v>2133</v>
      </c>
      <c r="AI215" s="426" t="s">
        <v>1010</v>
      </c>
      <c r="AJ215" s="426" t="s">
        <v>1010</v>
      </c>
      <c r="AK215" s="428"/>
      <c r="AL215" s="430" t="str">
        <f t="shared" si="53"/>
        <v>0 Tahun 2 Bulan</v>
      </c>
      <c r="AM215" s="431">
        <v>46062.0</v>
      </c>
      <c r="AN215" s="432">
        <v>46140.0</v>
      </c>
      <c r="AO215" s="428"/>
      <c r="AP215" s="428"/>
      <c r="AQ215" s="428"/>
      <c r="AR215" s="428"/>
      <c r="AS215" s="428"/>
      <c r="AT215" s="428"/>
      <c r="AU215" s="428"/>
      <c r="AV215" s="428"/>
      <c r="AW215" s="428"/>
      <c r="AX215" s="428"/>
      <c r="AY215" s="428"/>
      <c r="AZ215" s="428"/>
      <c r="BA215" s="428"/>
      <c r="BB215" s="428"/>
      <c r="BC215" s="428"/>
      <c r="BD215" s="428"/>
      <c r="BE215" s="428"/>
      <c r="BF215" s="428"/>
      <c r="BG215" s="428"/>
      <c r="BH215" s="428"/>
      <c r="BI215" s="428"/>
      <c r="BJ215" s="428"/>
      <c r="BK215" s="428"/>
      <c r="BL215" s="428"/>
      <c r="BM215" s="428"/>
      <c r="BN215" s="428"/>
      <c r="BO215" s="428"/>
      <c r="BP215" s="428"/>
      <c r="BQ215" s="428"/>
      <c r="BR215" s="428"/>
      <c r="BS215" s="428"/>
      <c r="BT215" s="428"/>
      <c r="BU215" s="428"/>
      <c r="BV215" s="428"/>
      <c r="BW215" s="428"/>
      <c r="BX215" s="428"/>
      <c r="BY215" s="428"/>
      <c r="BZ215" s="428"/>
      <c r="CA215" s="428"/>
      <c r="CB215" s="428"/>
      <c r="CC215" s="428"/>
      <c r="CD215" s="428"/>
      <c r="CE215" s="428"/>
      <c r="CF215" s="428"/>
      <c r="CG215" s="428"/>
      <c r="CH215" s="428"/>
      <c r="CI215" s="428"/>
      <c r="CJ215" s="428"/>
      <c r="CK215" s="428"/>
      <c r="CL215" s="428"/>
    </row>
    <row r="216">
      <c r="A216" s="155">
        <v>210.0</v>
      </c>
      <c r="B216" s="257" t="s">
        <v>2502</v>
      </c>
      <c r="C216" s="155" t="s">
        <v>729</v>
      </c>
      <c r="D216" s="155" t="s">
        <v>923</v>
      </c>
      <c r="E216" s="155" t="s">
        <v>2503</v>
      </c>
      <c r="F216" s="155"/>
      <c r="G216" s="155"/>
      <c r="H216" s="155" t="s">
        <v>2504</v>
      </c>
      <c r="I216" s="155" t="s">
        <v>729</v>
      </c>
      <c r="K216" s="155" t="s">
        <v>44</v>
      </c>
      <c r="L216" s="155" t="s">
        <v>98</v>
      </c>
      <c r="M216" s="136" t="s">
        <v>2505</v>
      </c>
      <c r="N216" s="136" t="s">
        <v>2506</v>
      </c>
      <c r="O216" s="155"/>
      <c r="P216" s="155"/>
      <c r="Q216" s="155"/>
      <c r="S216" s="155" t="s">
        <v>1958</v>
      </c>
      <c r="T216" s="425">
        <v>35662.0</v>
      </c>
      <c r="U216" s="155" t="s">
        <v>51</v>
      </c>
      <c r="W216" s="155" t="s">
        <v>2507</v>
      </c>
      <c r="Y216" s="155" t="s">
        <v>53</v>
      </c>
      <c r="Z216" s="155" t="s">
        <v>51</v>
      </c>
      <c r="AA216" s="155" t="s">
        <v>847</v>
      </c>
      <c r="AB216" s="155" t="s">
        <v>2508</v>
      </c>
      <c r="AC216" s="155">
        <v>60185.0</v>
      </c>
      <c r="AF216" s="98" t="s">
        <v>56</v>
      </c>
      <c r="AH216" s="155" t="s">
        <v>2133</v>
      </c>
      <c r="AI216" s="155" t="s">
        <v>1010</v>
      </c>
      <c r="AJ216" s="155" t="s">
        <v>1010</v>
      </c>
      <c r="AL216" s="57" t="str">
        <f t="shared" si="53"/>
        <v>0 Tahun 2 Bulan</v>
      </c>
      <c r="AM216" s="414">
        <v>46070.0</v>
      </c>
      <c r="AN216" s="418">
        <v>46435.0</v>
      </c>
      <c r="AW216" s="45" t="str">
        <f t="shared" ref="AW216:AW220" si="58">DATEDIF(AM216,$AW$2,"Y") &amp; " Tahun " &amp; DATEDIF(AM216,$AW$2,"YM") &amp; " Bulan"</f>
        <v>0 Tahun 1 Bulan</v>
      </c>
    </row>
    <row r="217">
      <c r="A217" s="155">
        <v>211.0</v>
      </c>
      <c r="B217" s="257" t="s">
        <v>2509</v>
      </c>
      <c r="C217" s="155" t="s">
        <v>514</v>
      </c>
      <c r="D217" s="155" t="s">
        <v>923</v>
      </c>
      <c r="E217" s="155" t="s">
        <v>2510</v>
      </c>
      <c r="F217" s="136" t="s">
        <v>2511</v>
      </c>
      <c r="G217" s="155" t="s">
        <v>2512</v>
      </c>
      <c r="H217" s="155" t="s">
        <v>373</v>
      </c>
      <c r="I217" s="155" t="s">
        <v>614</v>
      </c>
      <c r="K217" s="155" t="s">
        <v>44</v>
      </c>
      <c r="L217" s="155" t="s">
        <v>98</v>
      </c>
      <c r="M217" s="136" t="s">
        <v>2513</v>
      </c>
      <c r="N217" s="155" t="s">
        <v>2514</v>
      </c>
      <c r="O217" s="155" t="s">
        <v>1043</v>
      </c>
      <c r="P217" s="136" t="s">
        <v>2515</v>
      </c>
      <c r="Q217" s="155" t="s">
        <v>2143</v>
      </c>
      <c r="S217" s="155" t="s">
        <v>1958</v>
      </c>
      <c r="T217" s="425">
        <v>35623.0</v>
      </c>
      <c r="U217" s="155" t="s">
        <v>378</v>
      </c>
      <c r="W217" s="155" t="s">
        <v>2516</v>
      </c>
      <c r="Y217" s="155" t="s">
        <v>53</v>
      </c>
      <c r="Z217" s="155" t="s">
        <v>2517</v>
      </c>
      <c r="AA217" s="155" t="s">
        <v>2518</v>
      </c>
      <c r="AB217" s="155" t="s">
        <v>2519</v>
      </c>
      <c r="AC217" s="155">
        <v>67116.0</v>
      </c>
      <c r="AF217" s="98" t="s">
        <v>139</v>
      </c>
      <c r="AH217" s="155" t="s">
        <v>2133</v>
      </c>
      <c r="AI217" s="68">
        <v>2.6041979555E10</v>
      </c>
      <c r="AJ217" s="155" t="s">
        <v>1010</v>
      </c>
      <c r="AL217" s="57" t="str">
        <f t="shared" si="53"/>
        <v>0 Tahun 2 Bulan</v>
      </c>
      <c r="AM217" s="414">
        <v>46072.0</v>
      </c>
      <c r="AN217" s="418">
        <v>46170.0</v>
      </c>
      <c r="AW217" s="45" t="str">
        <f t="shared" si="58"/>
        <v>0 Tahun 1 Bulan</v>
      </c>
    </row>
    <row r="218">
      <c r="A218" s="155">
        <v>212.0</v>
      </c>
      <c r="B218" s="155" t="s">
        <v>2520</v>
      </c>
      <c r="C218" s="155" t="s">
        <v>514</v>
      </c>
      <c r="D218" s="155" t="s">
        <v>923</v>
      </c>
      <c r="E218" s="155" t="s">
        <v>2521</v>
      </c>
      <c r="F218" s="136" t="s">
        <v>2522</v>
      </c>
      <c r="G218" s="155" t="s">
        <v>2523</v>
      </c>
      <c r="H218" s="155" t="s">
        <v>2216</v>
      </c>
      <c r="I218" s="155" t="s">
        <v>248</v>
      </c>
      <c r="K218" s="155" t="s">
        <v>44</v>
      </c>
      <c r="L218" s="155" t="s">
        <v>98</v>
      </c>
      <c r="M218" s="136" t="s">
        <v>2524</v>
      </c>
      <c r="N218" s="136" t="s">
        <v>2525</v>
      </c>
      <c r="Q218" s="155" t="s">
        <v>521</v>
      </c>
      <c r="S218" s="155" t="s">
        <v>69</v>
      </c>
      <c r="T218" s="425">
        <v>36208.0</v>
      </c>
      <c r="U218" s="155" t="s">
        <v>432</v>
      </c>
      <c r="W218" s="155" t="s">
        <v>2526</v>
      </c>
      <c r="Y218" s="155" t="s">
        <v>53</v>
      </c>
      <c r="Z218" s="155" t="s">
        <v>51</v>
      </c>
      <c r="AA218" s="155" t="s">
        <v>253</v>
      </c>
      <c r="AB218" s="155" t="s">
        <v>254</v>
      </c>
      <c r="AC218" s="155">
        <v>60178.0</v>
      </c>
      <c r="AF218" s="155" t="s">
        <v>71</v>
      </c>
      <c r="AH218" s="155" t="s">
        <v>2133</v>
      </c>
      <c r="AI218" s="68">
        <v>2.6041979571E10</v>
      </c>
      <c r="AJ218" s="155" t="s">
        <v>1010</v>
      </c>
      <c r="AL218" s="57" t="str">
        <f t="shared" si="53"/>
        <v>0 Tahun 1 Bulan</v>
      </c>
      <c r="AM218" s="254">
        <v>46077.0</v>
      </c>
      <c r="AN218" s="418">
        <v>46170.0</v>
      </c>
      <c r="AW218" s="45" t="str">
        <f t="shared" si="58"/>
        <v>0 Tahun 0 Bulan</v>
      </c>
    </row>
    <row r="219">
      <c r="A219" s="155">
        <v>213.0</v>
      </c>
      <c r="B219" s="257" t="s">
        <v>2527</v>
      </c>
      <c r="C219" s="155" t="s">
        <v>636</v>
      </c>
      <c r="D219" s="155" t="s">
        <v>923</v>
      </c>
      <c r="E219" s="155" t="s">
        <v>2528</v>
      </c>
      <c r="F219" s="136" t="s">
        <v>2529</v>
      </c>
      <c r="G219" s="155" t="s">
        <v>2530</v>
      </c>
      <c r="H219" s="155" t="s">
        <v>1153</v>
      </c>
      <c r="I219" s="155" t="s">
        <v>248</v>
      </c>
      <c r="K219" s="155" t="s">
        <v>44</v>
      </c>
      <c r="L219" s="155" t="s">
        <v>98</v>
      </c>
      <c r="M219" s="136" t="s">
        <v>2531</v>
      </c>
      <c r="N219" s="155" t="s">
        <v>2532</v>
      </c>
      <c r="Q219" s="155" t="s">
        <v>521</v>
      </c>
      <c r="S219" s="155" t="s">
        <v>1958</v>
      </c>
      <c r="T219" s="254">
        <v>33988.0</v>
      </c>
      <c r="U219" s="155" t="s">
        <v>1552</v>
      </c>
      <c r="W219" s="155" t="s">
        <v>2533</v>
      </c>
      <c r="Y219" s="155" t="s">
        <v>798</v>
      </c>
      <c r="Z219" s="155" t="s">
        <v>2534</v>
      </c>
      <c r="AA219" s="155" t="s">
        <v>2535</v>
      </c>
      <c r="AB219" s="155" t="s">
        <v>2536</v>
      </c>
      <c r="AC219" s="155">
        <v>90232.0</v>
      </c>
      <c r="AF219" s="155" t="s">
        <v>56</v>
      </c>
      <c r="AH219" s="155" t="s">
        <v>2133</v>
      </c>
      <c r="AI219" s="68">
        <v>2.6042050695E10</v>
      </c>
      <c r="AJ219" s="155" t="s">
        <v>1010</v>
      </c>
      <c r="AL219" s="57" t="str">
        <f t="shared" si="53"/>
        <v>0 Tahun 1 Bulan</v>
      </c>
      <c r="AM219" s="254">
        <v>46077.0</v>
      </c>
      <c r="AN219" s="418">
        <v>46170.0</v>
      </c>
      <c r="AW219" s="45" t="str">
        <f t="shared" si="58"/>
        <v>0 Tahun 0 Bulan</v>
      </c>
    </row>
    <row r="220">
      <c r="A220" s="155">
        <v>214.0</v>
      </c>
      <c r="B220" s="155" t="s">
        <v>2537</v>
      </c>
      <c r="C220" s="155" t="s">
        <v>2183</v>
      </c>
      <c r="D220" s="155" t="s">
        <v>2184</v>
      </c>
      <c r="F220" s="136" t="s">
        <v>2538</v>
      </c>
      <c r="G220" s="155" t="s">
        <v>2539</v>
      </c>
      <c r="H220" s="155" t="s">
        <v>2187</v>
      </c>
      <c r="I220" s="155" t="s">
        <v>309</v>
      </c>
      <c r="K220" s="155" t="s">
        <v>44</v>
      </c>
      <c r="L220" s="155" t="s">
        <v>98</v>
      </c>
      <c r="M220" s="136" t="s">
        <v>2540</v>
      </c>
      <c r="N220" s="136" t="s">
        <v>2541</v>
      </c>
      <c r="Q220" s="155" t="s">
        <v>2542</v>
      </c>
      <c r="S220" s="155" t="s">
        <v>1958</v>
      </c>
      <c r="T220" s="254">
        <v>36608.0</v>
      </c>
      <c r="U220" s="155" t="s">
        <v>51</v>
      </c>
      <c r="W220" s="155" t="s">
        <v>2543</v>
      </c>
      <c r="Y220" s="155" t="s">
        <v>53</v>
      </c>
      <c r="Z220" s="155" t="s">
        <v>51</v>
      </c>
      <c r="AA220" s="155" t="s">
        <v>687</v>
      </c>
      <c r="AB220" s="155" t="s">
        <v>687</v>
      </c>
      <c r="AC220" s="155">
        <v>60294.0</v>
      </c>
      <c r="AF220" s="155" t="s">
        <v>71</v>
      </c>
      <c r="AI220" s="332" t="s">
        <v>1010</v>
      </c>
      <c r="AJ220" s="332" t="s">
        <v>1010</v>
      </c>
      <c r="AL220" s="57" t="str">
        <f t="shared" si="53"/>
        <v>0 Tahun 1 Bulan</v>
      </c>
      <c r="AM220" s="254">
        <v>46078.0</v>
      </c>
      <c r="AN220" s="418">
        <v>46170.0</v>
      </c>
      <c r="AW220" s="45" t="str">
        <f t="shared" si="58"/>
        <v>0 Tahun 0 Bulan</v>
      </c>
    </row>
    <row r="221">
      <c r="A221" s="155">
        <v>215.0</v>
      </c>
      <c r="B221" s="155" t="s">
        <v>2544</v>
      </c>
      <c r="C221" s="155" t="s">
        <v>84</v>
      </c>
      <c r="D221" s="155" t="s">
        <v>923</v>
      </c>
      <c r="E221" s="155" t="s">
        <v>2545</v>
      </c>
      <c r="F221" s="136" t="s">
        <v>2546</v>
      </c>
      <c r="G221" s="155" t="s">
        <v>2547</v>
      </c>
      <c r="H221" s="155" t="s">
        <v>2205</v>
      </c>
      <c r="I221" s="155" t="s">
        <v>248</v>
      </c>
      <c r="K221" s="155" t="s">
        <v>44</v>
      </c>
      <c r="L221" s="155" t="s">
        <v>98</v>
      </c>
      <c r="M221" s="136" t="s">
        <v>2548</v>
      </c>
      <c r="N221" s="136" t="s">
        <v>2549</v>
      </c>
      <c r="Q221" s="155" t="s">
        <v>521</v>
      </c>
      <c r="S221" s="155" t="s">
        <v>69</v>
      </c>
      <c r="T221" s="254">
        <v>35536.0</v>
      </c>
      <c r="U221" s="155" t="s">
        <v>51</v>
      </c>
      <c r="W221" s="155" t="s">
        <v>2550</v>
      </c>
      <c r="Y221" s="155" t="s">
        <v>53</v>
      </c>
      <c r="Z221" s="155" t="s">
        <v>51</v>
      </c>
      <c r="AA221" s="155" t="s">
        <v>535</v>
      </c>
      <c r="AB221" s="155" t="s">
        <v>607</v>
      </c>
      <c r="AC221" s="155">
        <v>60171.0</v>
      </c>
      <c r="AF221" s="155" t="s">
        <v>71</v>
      </c>
      <c r="AH221" s="155" t="s">
        <v>2133</v>
      </c>
      <c r="AI221" s="374" t="s">
        <v>2493</v>
      </c>
      <c r="AJ221" s="155" t="s">
        <v>1010</v>
      </c>
      <c r="AL221" s="57" t="str">
        <f t="shared" si="53"/>
        <v>0 Tahun 1 Bulan</v>
      </c>
      <c r="AM221" s="425">
        <v>46090.0</v>
      </c>
      <c r="AN221" s="418">
        <v>46170.0</v>
      </c>
    </row>
    <row r="222" ht="15.75" customHeight="1">
      <c r="A222" s="155">
        <v>216.0</v>
      </c>
      <c r="B222" s="155" t="s">
        <v>2551</v>
      </c>
      <c r="C222" s="154" t="s">
        <v>514</v>
      </c>
      <c r="D222" s="155" t="s">
        <v>923</v>
      </c>
      <c r="E222" s="155" t="s">
        <v>2552</v>
      </c>
      <c r="F222" s="136" t="s">
        <v>2553</v>
      </c>
      <c r="G222" s="155" t="s">
        <v>2554</v>
      </c>
      <c r="H222" s="155" t="s">
        <v>578</v>
      </c>
      <c r="I222" s="155" t="s">
        <v>309</v>
      </c>
      <c r="K222" s="155" t="s">
        <v>44</v>
      </c>
      <c r="L222" s="155" t="s">
        <v>98</v>
      </c>
      <c r="M222" s="136" t="s">
        <v>2555</v>
      </c>
      <c r="N222" s="136" t="s">
        <v>2556</v>
      </c>
      <c r="P222" s="235"/>
      <c r="Q222" s="155" t="s">
        <v>684</v>
      </c>
      <c r="S222" s="155" t="s">
        <v>69</v>
      </c>
      <c r="T222" s="254">
        <v>34478.0</v>
      </c>
      <c r="U222" s="155" t="s">
        <v>51</v>
      </c>
      <c r="W222" s="155" t="s">
        <v>2557</v>
      </c>
      <c r="Y222" s="155" t="s">
        <v>53</v>
      </c>
      <c r="Z222" s="155" t="s">
        <v>51</v>
      </c>
      <c r="AA222" s="155" t="s">
        <v>1658</v>
      </c>
      <c r="AB222" s="155" t="s">
        <v>2558</v>
      </c>
      <c r="AC222" s="155">
        <v>60245.0</v>
      </c>
      <c r="AF222" s="155" t="s">
        <v>71</v>
      </c>
      <c r="AH222" s="155" t="s">
        <v>2133</v>
      </c>
      <c r="AI222" s="374" t="s">
        <v>2493</v>
      </c>
      <c r="AJ222" s="155" t="s">
        <v>1010</v>
      </c>
      <c r="AL222" s="57" t="str">
        <f t="shared" si="53"/>
        <v>0 Tahun 1 Bulan</v>
      </c>
      <c r="AM222" s="254">
        <v>46093.0</v>
      </c>
      <c r="AN222" s="418">
        <v>46170.0</v>
      </c>
    </row>
    <row r="223" ht="15.75" customHeight="1">
      <c r="A223" s="155">
        <v>217.0</v>
      </c>
      <c r="B223" s="155" t="s">
        <v>2559</v>
      </c>
      <c r="C223" s="154" t="s">
        <v>84</v>
      </c>
      <c r="D223" s="155" t="s">
        <v>923</v>
      </c>
      <c r="E223" s="155" t="s">
        <v>2560</v>
      </c>
      <c r="F223" s="136" t="s">
        <v>2561</v>
      </c>
      <c r="G223" s="155" t="s">
        <v>2562</v>
      </c>
      <c r="H223" s="155" t="s">
        <v>954</v>
      </c>
      <c r="I223" s="155" t="s">
        <v>955</v>
      </c>
      <c r="K223" s="155" t="s">
        <v>44</v>
      </c>
      <c r="L223" s="155" t="s">
        <v>98</v>
      </c>
      <c r="M223" s="155" t="s">
        <v>2563</v>
      </c>
      <c r="N223" s="155" t="s">
        <v>2564</v>
      </c>
      <c r="P223" s="235"/>
      <c r="Q223" s="155" t="s">
        <v>521</v>
      </c>
      <c r="R223" s="155" t="s">
        <v>2565</v>
      </c>
      <c r="S223" s="155" t="s">
        <v>1958</v>
      </c>
      <c r="T223" s="425">
        <v>37204.0</v>
      </c>
      <c r="U223" s="155" t="s">
        <v>135</v>
      </c>
      <c r="W223" s="155" t="s">
        <v>2566</v>
      </c>
      <c r="Y223" s="155" t="s">
        <v>53</v>
      </c>
      <c r="Z223" s="155" t="s">
        <v>163</v>
      </c>
      <c r="AA223" s="155" t="s">
        <v>163</v>
      </c>
      <c r="AB223" s="155" t="s">
        <v>2567</v>
      </c>
      <c r="AC223" s="155">
        <v>61233.0</v>
      </c>
      <c r="AF223" s="155" t="s">
        <v>71</v>
      </c>
      <c r="AH223" s="155" t="s">
        <v>1010</v>
      </c>
      <c r="AI223" s="374" t="s">
        <v>2493</v>
      </c>
      <c r="AJ223" s="155" t="s">
        <v>1010</v>
      </c>
      <c r="AL223" s="57" t="str">
        <f t="shared" si="53"/>
        <v>0 Tahun 0 Bulan</v>
      </c>
      <c r="AM223" s="425">
        <v>46105.0</v>
      </c>
      <c r="AN223" s="254">
        <v>46201.0</v>
      </c>
      <c r="AO223" s="136" t="s">
        <v>2568</v>
      </c>
    </row>
    <row r="224" ht="15.75" customHeight="1">
      <c r="A224" s="155">
        <v>218.0</v>
      </c>
      <c r="B224" s="155" t="s">
        <v>2569</v>
      </c>
      <c r="C224" s="154" t="s">
        <v>41</v>
      </c>
      <c r="D224" s="155" t="s">
        <v>923</v>
      </c>
      <c r="E224" s="155" t="s">
        <v>2570</v>
      </c>
      <c r="F224" s="155" t="s">
        <v>2571</v>
      </c>
      <c r="G224" s="155" t="s">
        <v>2572</v>
      </c>
      <c r="H224" s="155" t="s">
        <v>705</v>
      </c>
      <c r="I224" s="155" t="s">
        <v>248</v>
      </c>
      <c r="K224" s="155" t="s">
        <v>44</v>
      </c>
      <c r="L224" s="155" t="s">
        <v>98</v>
      </c>
      <c r="M224" s="136" t="s">
        <v>2573</v>
      </c>
      <c r="N224" s="136" t="s">
        <v>2574</v>
      </c>
      <c r="P224" s="235"/>
      <c r="Q224" s="155" t="s">
        <v>521</v>
      </c>
      <c r="R224" s="155" t="s">
        <v>2575</v>
      </c>
      <c r="S224" s="155" t="s">
        <v>69</v>
      </c>
      <c r="T224" s="254">
        <v>34548.0</v>
      </c>
      <c r="U224" s="155" t="s">
        <v>51</v>
      </c>
      <c r="W224" s="155" t="s">
        <v>2576</v>
      </c>
      <c r="Y224" s="155" t="s">
        <v>53</v>
      </c>
      <c r="Z224" s="155" t="s">
        <v>51</v>
      </c>
      <c r="AA224" s="155" t="s">
        <v>290</v>
      </c>
      <c r="AB224" s="155" t="s">
        <v>2377</v>
      </c>
      <c r="AC224" s="155">
        <v>60164.0</v>
      </c>
      <c r="AF224" s="155" t="s">
        <v>71</v>
      </c>
      <c r="AH224" s="155" t="s">
        <v>2133</v>
      </c>
      <c r="AI224" s="374" t="s">
        <v>2493</v>
      </c>
      <c r="AJ224" s="155" t="s">
        <v>1010</v>
      </c>
      <c r="AL224" s="57" t="str">
        <f t="shared" si="53"/>
        <v>0 Tahun 0 Bulan</v>
      </c>
      <c r="AM224" s="254">
        <v>46107.0</v>
      </c>
      <c r="AN224" s="254">
        <v>46201.0</v>
      </c>
    </row>
    <row r="225" ht="15.75" customHeight="1">
      <c r="A225" s="155">
        <v>219.0</v>
      </c>
      <c r="B225" s="155" t="s">
        <v>2577</v>
      </c>
      <c r="C225" s="154" t="s">
        <v>498</v>
      </c>
      <c r="D225" s="155" t="s">
        <v>923</v>
      </c>
      <c r="E225" s="155" t="s">
        <v>2578</v>
      </c>
      <c r="F225" s="136" t="s">
        <v>2579</v>
      </c>
      <c r="G225" s="155" t="s">
        <v>2580</v>
      </c>
      <c r="H225" s="155" t="s">
        <v>282</v>
      </c>
      <c r="I225" s="155" t="s">
        <v>283</v>
      </c>
      <c r="K225" s="155" t="s">
        <v>44</v>
      </c>
      <c r="L225" s="155" t="s">
        <v>98</v>
      </c>
      <c r="M225" s="136" t="s">
        <v>2581</v>
      </c>
      <c r="N225" s="136" t="s">
        <v>2582</v>
      </c>
      <c r="P225" s="235"/>
      <c r="Q225" s="155" t="s">
        <v>521</v>
      </c>
      <c r="R225" s="155" t="s">
        <v>2565</v>
      </c>
      <c r="S225" s="155" t="s">
        <v>69</v>
      </c>
      <c r="T225" s="254">
        <v>37892.0</v>
      </c>
      <c r="U225" s="155" t="s">
        <v>163</v>
      </c>
      <c r="W225" s="155" t="s">
        <v>2583</v>
      </c>
      <c r="Y225" s="155" t="s">
        <v>53</v>
      </c>
      <c r="Z225" s="155" t="s">
        <v>163</v>
      </c>
      <c r="AA225" s="155" t="s">
        <v>2584</v>
      </c>
      <c r="AB225" s="155" t="s">
        <v>2585</v>
      </c>
      <c r="AC225" s="155">
        <v>61257.0</v>
      </c>
      <c r="AF225" s="155" t="s">
        <v>71</v>
      </c>
      <c r="AH225" s="155" t="s">
        <v>2133</v>
      </c>
      <c r="AI225" s="374" t="s">
        <v>2493</v>
      </c>
      <c r="AJ225" s="155" t="s">
        <v>1010</v>
      </c>
      <c r="AL225" s="57" t="str">
        <f t="shared" si="53"/>
        <v>0 Tahun 0 Bulan</v>
      </c>
      <c r="AM225" s="254">
        <v>46107.0</v>
      </c>
      <c r="AN225" s="254">
        <v>46201.0</v>
      </c>
    </row>
    <row r="226" ht="15.75" hidden="1" customHeight="1">
      <c r="A226" s="433">
        <v>220.0</v>
      </c>
      <c r="B226" s="434" t="s">
        <v>2586</v>
      </c>
      <c r="C226" s="435" t="s">
        <v>498</v>
      </c>
      <c r="D226" s="434" t="s">
        <v>923</v>
      </c>
      <c r="E226" s="434" t="s">
        <v>2587</v>
      </c>
      <c r="F226" s="436" t="s">
        <v>2588</v>
      </c>
      <c r="G226" s="434" t="s">
        <v>2589</v>
      </c>
      <c r="H226" s="434" t="s">
        <v>1188</v>
      </c>
      <c r="I226" s="434" t="s">
        <v>591</v>
      </c>
      <c r="J226" s="437"/>
      <c r="K226" s="434" t="s">
        <v>44</v>
      </c>
      <c r="L226" s="434" t="s">
        <v>98</v>
      </c>
      <c r="M226" s="436" t="s">
        <v>2590</v>
      </c>
      <c r="N226" s="436" t="s">
        <v>2591</v>
      </c>
      <c r="O226" s="437"/>
      <c r="P226" s="438"/>
      <c r="Q226" s="434" t="s">
        <v>1682</v>
      </c>
      <c r="R226" s="434" t="s">
        <v>2575</v>
      </c>
      <c r="S226" s="434" t="s">
        <v>1958</v>
      </c>
      <c r="T226" s="439">
        <v>34451.0</v>
      </c>
      <c r="U226" s="434" t="s">
        <v>51</v>
      </c>
      <c r="V226" s="437"/>
      <c r="W226" s="434" t="s">
        <v>2592</v>
      </c>
      <c r="X226" s="437"/>
      <c r="Y226" s="434" t="s">
        <v>53</v>
      </c>
      <c r="Z226" s="434" t="s">
        <v>51</v>
      </c>
      <c r="AA226" s="434" t="s">
        <v>137</v>
      </c>
      <c r="AB226" s="434" t="s">
        <v>2459</v>
      </c>
      <c r="AC226" s="434">
        <v>60198.0</v>
      </c>
      <c r="AD226" s="437"/>
      <c r="AE226" s="437"/>
      <c r="AF226" s="434" t="s">
        <v>56</v>
      </c>
      <c r="AG226" s="437"/>
      <c r="AH226" s="434" t="s">
        <v>2133</v>
      </c>
      <c r="AI226" s="440" t="s">
        <v>1010</v>
      </c>
      <c r="AJ226" s="434" t="s">
        <v>1010</v>
      </c>
      <c r="AK226" s="437"/>
      <c r="AL226" s="441" t="str">
        <f t="shared" si="53"/>
        <v>0 Tahun 0 Bulan</v>
      </c>
      <c r="AM226" s="439">
        <v>46114.0</v>
      </c>
      <c r="AN226" s="439">
        <v>46201.0</v>
      </c>
      <c r="AO226" s="434" t="s">
        <v>2593</v>
      </c>
      <c r="AP226" s="434" t="s">
        <v>2594</v>
      </c>
      <c r="AQ226" s="437"/>
      <c r="AR226" s="437"/>
      <c r="AS226" s="437"/>
      <c r="AT226" s="437"/>
      <c r="AU226" s="437"/>
      <c r="AV226" s="437"/>
      <c r="AW226" s="437"/>
      <c r="AX226" s="437"/>
      <c r="AY226" s="437"/>
      <c r="AZ226" s="437"/>
      <c r="BA226" s="437"/>
      <c r="BB226" s="437"/>
      <c r="BC226" s="437"/>
      <c r="BD226" s="437"/>
      <c r="BE226" s="437"/>
      <c r="BF226" s="437"/>
      <c r="BG226" s="437"/>
      <c r="BH226" s="437"/>
      <c r="BI226" s="437"/>
      <c r="BJ226" s="437"/>
      <c r="BK226" s="437"/>
      <c r="BL226" s="437"/>
      <c r="BM226" s="437"/>
      <c r="BN226" s="437"/>
      <c r="BO226" s="437"/>
      <c r="BP226" s="437"/>
      <c r="BQ226" s="437"/>
      <c r="BR226" s="437"/>
      <c r="BS226" s="437"/>
      <c r="BT226" s="437"/>
      <c r="BU226" s="437"/>
      <c r="BV226" s="437"/>
      <c r="BW226" s="437"/>
      <c r="BX226" s="437"/>
      <c r="BY226" s="437"/>
      <c r="BZ226" s="437"/>
      <c r="CA226" s="437"/>
      <c r="CB226" s="437"/>
      <c r="CC226" s="437"/>
      <c r="CD226" s="437"/>
      <c r="CE226" s="437"/>
      <c r="CF226" s="437"/>
      <c r="CG226" s="437"/>
      <c r="CH226" s="437"/>
      <c r="CI226" s="437"/>
      <c r="CJ226" s="437"/>
      <c r="CK226" s="437"/>
      <c r="CL226" s="437"/>
    </row>
    <row r="227" ht="15.75" customHeight="1">
      <c r="A227" s="155">
        <v>220.0</v>
      </c>
      <c r="B227" s="257" t="s">
        <v>2595</v>
      </c>
      <c r="C227" s="154" t="s">
        <v>1310</v>
      </c>
      <c r="D227" s="155" t="s">
        <v>923</v>
      </c>
      <c r="E227" s="155" t="s">
        <v>2596</v>
      </c>
      <c r="F227" s="136" t="s">
        <v>2597</v>
      </c>
      <c r="H227" s="155" t="s">
        <v>1178</v>
      </c>
      <c r="I227" s="155" t="s">
        <v>729</v>
      </c>
      <c r="K227" s="155" t="s">
        <v>44</v>
      </c>
      <c r="L227" s="155" t="s">
        <v>98</v>
      </c>
      <c r="M227" s="136" t="s">
        <v>2598</v>
      </c>
      <c r="N227" s="136" t="s">
        <v>2599</v>
      </c>
      <c r="P227" s="235"/>
      <c r="Q227" s="155" t="s">
        <v>87</v>
      </c>
      <c r="R227" s="155" t="s">
        <v>2575</v>
      </c>
      <c r="S227" s="155" t="s">
        <v>1958</v>
      </c>
      <c r="T227" s="254">
        <v>28656.0</v>
      </c>
      <c r="U227" s="155" t="s">
        <v>2600</v>
      </c>
      <c r="W227" s="155" t="s">
        <v>2601</v>
      </c>
      <c r="Y227" s="155" t="s">
        <v>53</v>
      </c>
      <c r="Z227" s="155" t="s">
        <v>630</v>
      </c>
      <c r="AA227" s="155" t="s">
        <v>2602</v>
      </c>
      <c r="AB227" s="155" t="s">
        <v>2603</v>
      </c>
      <c r="AC227" s="155">
        <v>62352.0</v>
      </c>
      <c r="AF227" s="155" t="s">
        <v>241</v>
      </c>
      <c r="AH227" s="155" t="s">
        <v>2133</v>
      </c>
      <c r="AI227" s="374" t="s">
        <v>2493</v>
      </c>
      <c r="AJ227" s="155" t="s">
        <v>1010</v>
      </c>
      <c r="AL227" s="57" t="str">
        <f t="shared" si="53"/>
        <v>0 Tahun 0 Bulan</v>
      </c>
      <c r="AM227" s="254">
        <v>46116.0</v>
      </c>
      <c r="AN227" s="254">
        <v>46201.0</v>
      </c>
    </row>
    <row r="228" ht="15.75" customHeight="1">
      <c r="A228" s="155">
        <v>221.0</v>
      </c>
      <c r="B228" s="257" t="s">
        <v>2604</v>
      </c>
      <c r="C228" s="154" t="s">
        <v>1310</v>
      </c>
      <c r="D228" s="155" t="s">
        <v>923</v>
      </c>
      <c r="E228" s="155" t="s">
        <v>2605</v>
      </c>
      <c r="F228" s="136" t="s">
        <v>2606</v>
      </c>
      <c r="H228" s="155" t="s">
        <v>1178</v>
      </c>
      <c r="I228" s="155" t="s">
        <v>729</v>
      </c>
      <c r="K228" s="155" t="s">
        <v>44</v>
      </c>
      <c r="L228" s="155" t="s">
        <v>1376</v>
      </c>
      <c r="M228" s="136" t="s">
        <v>2607</v>
      </c>
      <c r="N228" s="136" t="s">
        <v>2608</v>
      </c>
      <c r="P228" s="235"/>
      <c r="Q228" s="155" t="s">
        <v>87</v>
      </c>
      <c r="R228" s="155" t="s">
        <v>2575</v>
      </c>
      <c r="S228" s="155" t="s">
        <v>1958</v>
      </c>
      <c r="T228" s="425">
        <v>35037.0</v>
      </c>
      <c r="U228" s="155" t="s">
        <v>2609</v>
      </c>
      <c r="W228" s="155" t="s">
        <v>2610</v>
      </c>
      <c r="Y228" s="155" t="s">
        <v>2611</v>
      </c>
      <c r="Z228" s="155" t="s">
        <v>2612</v>
      </c>
      <c r="AA228" s="155" t="s">
        <v>2613</v>
      </c>
      <c r="AB228" s="155" t="s">
        <v>2614</v>
      </c>
      <c r="AC228" s="155">
        <v>29124.0</v>
      </c>
      <c r="AF228" s="155" t="s">
        <v>65</v>
      </c>
      <c r="AH228" s="155" t="s">
        <v>1010</v>
      </c>
      <c r="AI228" s="374" t="s">
        <v>2493</v>
      </c>
      <c r="AJ228" s="155" t="s">
        <v>1010</v>
      </c>
      <c r="AL228" s="57" t="str">
        <f t="shared" si="53"/>
        <v>0 Tahun 0 Bulan</v>
      </c>
      <c r="AM228" s="254">
        <v>46118.0</v>
      </c>
      <c r="AN228" s="254">
        <v>46201.0</v>
      </c>
    </row>
    <row r="229" ht="15.75" customHeight="1">
      <c r="A229" s="155">
        <v>222.0</v>
      </c>
      <c r="B229" s="155" t="s">
        <v>2615</v>
      </c>
      <c r="C229" s="154" t="s">
        <v>636</v>
      </c>
      <c r="D229" s="155" t="s">
        <v>923</v>
      </c>
      <c r="E229" s="155" t="s">
        <v>2616</v>
      </c>
      <c r="F229" s="136" t="s">
        <v>2617</v>
      </c>
      <c r="G229" s="155" t="s">
        <v>2618</v>
      </c>
      <c r="H229" s="155" t="s">
        <v>2339</v>
      </c>
      <c r="I229" s="155" t="s">
        <v>248</v>
      </c>
      <c r="K229" s="155" t="s">
        <v>44</v>
      </c>
      <c r="L229" s="273" t="s">
        <v>1376</v>
      </c>
      <c r="M229" s="155" t="s">
        <v>2619</v>
      </c>
      <c r="N229" s="136" t="s">
        <v>2620</v>
      </c>
      <c r="P229" s="235"/>
      <c r="Q229" s="155" t="s">
        <v>521</v>
      </c>
      <c r="R229" s="155" t="s">
        <v>2565</v>
      </c>
      <c r="S229" s="155" t="s">
        <v>69</v>
      </c>
      <c r="T229" s="254">
        <v>34607.0</v>
      </c>
      <c r="U229" s="155" t="s">
        <v>1019</v>
      </c>
      <c r="W229" s="155" t="s">
        <v>2621</v>
      </c>
      <c r="Y229" s="155" t="s">
        <v>798</v>
      </c>
      <c r="Z229" s="155" t="s">
        <v>2534</v>
      </c>
      <c r="AA229" s="155" t="s">
        <v>2622</v>
      </c>
      <c r="AB229" s="155" t="s">
        <v>2623</v>
      </c>
      <c r="AC229" s="155">
        <v>90132.0</v>
      </c>
      <c r="AF229" s="155" t="s">
        <v>71</v>
      </c>
      <c r="AH229" s="155" t="s">
        <v>2133</v>
      </c>
      <c r="AI229" s="52" t="s">
        <v>1010</v>
      </c>
      <c r="AJ229" s="155" t="s">
        <v>1010</v>
      </c>
      <c r="AL229" s="57" t="str">
        <f t="shared" si="53"/>
        <v>0 Tahun 0 Bulan</v>
      </c>
      <c r="AM229" s="254">
        <v>46125.0</v>
      </c>
      <c r="AN229" s="254">
        <v>46201.0</v>
      </c>
    </row>
    <row r="230" ht="15.75" customHeight="1">
      <c r="A230" s="155">
        <v>223.0</v>
      </c>
      <c r="B230" s="155" t="s">
        <v>2624</v>
      </c>
      <c r="C230" s="154" t="s">
        <v>514</v>
      </c>
      <c r="D230" s="155" t="s">
        <v>923</v>
      </c>
      <c r="E230" s="155" t="s">
        <v>2625</v>
      </c>
      <c r="F230" s="136" t="s">
        <v>2626</v>
      </c>
      <c r="G230" s="155" t="s">
        <v>2627</v>
      </c>
      <c r="H230" s="155" t="s">
        <v>2205</v>
      </c>
      <c r="I230" s="155" t="s">
        <v>248</v>
      </c>
      <c r="K230" s="155" t="s">
        <v>44</v>
      </c>
      <c r="L230" s="155" t="s">
        <v>98</v>
      </c>
      <c r="M230" s="136" t="s">
        <v>2628</v>
      </c>
      <c r="N230" s="155" t="s">
        <v>2629</v>
      </c>
      <c r="P230" s="235"/>
      <c r="Q230" s="155" t="s">
        <v>521</v>
      </c>
      <c r="R230" s="155" t="s">
        <v>2565</v>
      </c>
      <c r="S230" s="155" t="s">
        <v>69</v>
      </c>
      <c r="T230" s="254">
        <v>36853.0</v>
      </c>
      <c r="U230" s="155" t="s">
        <v>203</v>
      </c>
      <c r="W230" s="155" t="s">
        <v>2630</v>
      </c>
      <c r="Y230" s="155" t="s">
        <v>53</v>
      </c>
      <c r="Z230" s="155" t="s">
        <v>1577</v>
      </c>
      <c r="AA230" s="155" t="s">
        <v>2631</v>
      </c>
      <c r="AB230" s="155" t="s">
        <v>2632</v>
      </c>
      <c r="AF230" s="155" t="s">
        <v>71</v>
      </c>
      <c r="AH230" s="155" t="s">
        <v>2133</v>
      </c>
      <c r="AI230" s="52" t="s">
        <v>1010</v>
      </c>
      <c r="AJ230" s="155" t="s">
        <v>1010</v>
      </c>
      <c r="AL230" s="57" t="str">
        <f t="shared" si="53"/>
        <v>0 Tahun 0 Bulan</v>
      </c>
      <c r="AM230" s="254">
        <v>46128.0</v>
      </c>
      <c r="AN230" s="254">
        <v>46231.0</v>
      </c>
    </row>
    <row r="231" ht="15.75" customHeight="1">
      <c r="A231" s="155">
        <v>224.0</v>
      </c>
      <c r="B231" s="155" t="s">
        <v>2633</v>
      </c>
      <c r="C231" s="154" t="s">
        <v>514</v>
      </c>
      <c r="D231" s="155" t="s">
        <v>923</v>
      </c>
      <c r="E231" s="155" t="s">
        <v>2634</v>
      </c>
      <c r="F231" s="136" t="s">
        <v>2635</v>
      </c>
      <c r="G231" s="155" t="s">
        <v>2636</v>
      </c>
      <c r="H231" s="155" t="s">
        <v>2216</v>
      </c>
      <c r="I231" s="155" t="s">
        <v>248</v>
      </c>
      <c r="K231" s="155" t="s">
        <v>44</v>
      </c>
      <c r="L231" s="155" t="s">
        <v>98</v>
      </c>
      <c r="N231" s="155" t="s">
        <v>2637</v>
      </c>
      <c r="P231" s="235"/>
      <c r="Q231" s="155" t="s">
        <v>521</v>
      </c>
      <c r="R231" s="155" t="s">
        <v>2565</v>
      </c>
      <c r="S231" s="155" t="s">
        <v>69</v>
      </c>
      <c r="T231" s="254">
        <v>35451.0</v>
      </c>
      <c r="U231" s="155" t="s">
        <v>51</v>
      </c>
      <c r="W231" s="155" t="s">
        <v>2638</v>
      </c>
      <c r="Y231" s="155" t="s">
        <v>53</v>
      </c>
      <c r="AH231" s="155" t="s">
        <v>2133</v>
      </c>
      <c r="AI231" s="52" t="s">
        <v>1010</v>
      </c>
      <c r="AJ231" s="155" t="s">
        <v>1010</v>
      </c>
      <c r="AL231" s="57" t="str">
        <f t="shared" si="53"/>
        <v>#NUM!</v>
      </c>
      <c r="AM231" s="254">
        <v>46140.0</v>
      </c>
      <c r="AN231" s="254">
        <v>46231.0</v>
      </c>
    </row>
    <row r="232" ht="15.75" customHeight="1">
      <c r="A232" s="35"/>
      <c r="C232" s="442"/>
      <c r="L232" s="155"/>
      <c r="P232" s="235"/>
      <c r="AI232" s="38"/>
    </row>
    <row r="233" ht="15.75" customHeight="1">
      <c r="A233" s="35"/>
      <c r="C233" s="442"/>
      <c r="L233" s="155"/>
      <c r="P233" s="235"/>
      <c r="AI233" s="38"/>
    </row>
    <row r="234" ht="15.75" customHeight="1">
      <c r="A234" s="35"/>
      <c r="C234" s="442"/>
      <c r="L234" s="155"/>
      <c r="P234" s="235"/>
      <c r="AI234" s="38"/>
    </row>
    <row r="235" ht="15.75" customHeight="1">
      <c r="A235" s="35"/>
      <c r="C235" s="442"/>
      <c r="L235" s="155"/>
      <c r="P235" s="235"/>
      <c r="AI235" s="38"/>
    </row>
    <row r="236" ht="15.75" customHeight="1">
      <c r="A236" s="153" t="s">
        <v>2639</v>
      </c>
      <c r="B236" s="45" t="s">
        <v>2640</v>
      </c>
      <c r="C236" s="442"/>
      <c r="P236" s="235"/>
      <c r="AI236" s="38"/>
    </row>
    <row r="237" ht="15.75" customHeight="1">
      <c r="A237" s="153" t="s">
        <v>2641</v>
      </c>
      <c r="B237" s="45" t="s">
        <v>2642</v>
      </c>
      <c r="C237" s="442"/>
      <c r="L237" s="155" t="s">
        <v>2643</v>
      </c>
      <c r="P237" s="235"/>
      <c r="AI237" s="38"/>
    </row>
    <row r="238" ht="15.75" customHeight="1">
      <c r="A238" s="153" t="s">
        <v>2644</v>
      </c>
      <c r="B238" s="45" t="s">
        <v>2645</v>
      </c>
      <c r="C238" s="442"/>
      <c r="P238" s="235"/>
      <c r="AI238" s="38"/>
    </row>
    <row r="239" ht="15.75" customHeight="1">
      <c r="A239" s="153" t="s">
        <v>2646</v>
      </c>
      <c r="B239" s="155" t="s">
        <v>2647</v>
      </c>
      <c r="C239" s="442"/>
      <c r="P239" s="235"/>
      <c r="AI239" s="38"/>
    </row>
    <row r="240" ht="15.75" customHeight="1">
      <c r="A240" s="35"/>
      <c r="C240" s="442"/>
      <c r="P240" s="235"/>
      <c r="AI240" s="38"/>
    </row>
    <row r="241" ht="15.75" customHeight="1">
      <c r="A241" s="35"/>
      <c r="B241" s="443" t="s">
        <v>2648</v>
      </c>
      <c r="C241" s="442"/>
      <c r="P241" s="235"/>
      <c r="AI241" s="38"/>
    </row>
    <row r="242" ht="15.75" customHeight="1">
      <c r="A242" s="35"/>
      <c r="C242" s="442"/>
      <c r="P242" s="235"/>
      <c r="AI242" s="38"/>
    </row>
    <row r="243" ht="15.75" customHeight="1">
      <c r="A243" s="35"/>
      <c r="C243" s="442"/>
      <c r="P243" s="235"/>
      <c r="AI243" s="38"/>
    </row>
    <row r="244" ht="15.75" customHeight="1">
      <c r="A244" s="35"/>
      <c r="C244" s="442"/>
      <c r="P244" s="235"/>
      <c r="AI244" s="38"/>
    </row>
    <row r="245" ht="15.75" customHeight="1">
      <c r="A245" s="35"/>
      <c r="C245" s="442"/>
      <c r="P245" s="235"/>
      <c r="AI245" s="38"/>
    </row>
    <row r="246" ht="15.75" customHeight="1">
      <c r="A246" s="35"/>
      <c r="C246" s="442"/>
      <c r="P246" s="235"/>
      <c r="AI246" s="38"/>
    </row>
    <row r="247" ht="15.75" customHeight="1">
      <c r="A247" s="35"/>
      <c r="C247" s="442"/>
      <c r="P247" s="235"/>
      <c r="AI247" s="38"/>
    </row>
    <row r="248" ht="15.75" customHeight="1">
      <c r="A248" s="35"/>
      <c r="C248" s="442"/>
      <c r="P248" s="235"/>
      <c r="AI248" s="38"/>
    </row>
    <row r="249" ht="15.75" customHeight="1">
      <c r="A249" s="35"/>
      <c r="C249" s="442"/>
      <c r="P249" s="235"/>
      <c r="AI249" s="38"/>
    </row>
    <row r="250" ht="15.75" customHeight="1">
      <c r="A250" s="35"/>
      <c r="C250" s="442"/>
      <c r="P250" s="235"/>
      <c r="AI250" s="38"/>
    </row>
    <row r="251" ht="15.75" customHeight="1">
      <c r="A251" s="35"/>
      <c r="C251" s="442"/>
      <c r="P251" s="235"/>
      <c r="AI251" s="38"/>
    </row>
    <row r="252" ht="15.75" customHeight="1">
      <c r="A252" s="35"/>
      <c r="C252" s="442"/>
      <c r="P252" s="235"/>
      <c r="AI252" s="38"/>
    </row>
    <row r="253" ht="15.75" customHeight="1">
      <c r="A253" s="35"/>
      <c r="C253" s="442"/>
      <c r="P253" s="235"/>
      <c r="AI253" s="38"/>
    </row>
    <row r="254" ht="15.75" customHeight="1">
      <c r="A254" s="35"/>
      <c r="C254" s="442"/>
      <c r="P254" s="235"/>
      <c r="AI254" s="38"/>
    </row>
    <row r="255" ht="15.75" customHeight="1">
      <c r="A255" s="35"/>
      <c r="C255" s="442"/>
      <c r="P255" s="235"/>
      <c r="AI255" s="38"/>
    </row>
    <row r="256" ht="15.75" customHeight="1">
      <c r="A256" s="35"/>
      <c r="C256" s="442"/>
      <c r="P256" s="235"/>
      <c r="AI256" s="38"/>
    </row>
    <row r="257" ht="15.75" customHeight="1">
      <c r="A257" s="35"/>
      <c r="C257" s="442"/>
      <c r="P257" s="235"/>
      <c r="AI257" s="38"/>
    </row>
    <row r="258" ht="15.75" customHeight="1">
      <c r="A258" s="35"/>
      <c r="C258" s="442"/>
      <c r="P258" s="235"/>
      <c r="AI258" s="38"/>
    </row>
    <row r="259" ht="15.75" customHeight="1">
      <c r="A259" s="35"/>
      <c r="C259" s="442"/>
      <c r="P259" s="235"/>
      <c r="AI259" s="38"/>
      <c r="AP259" s="45" t="s">
        <v>141</v>
      </c>
    </row>
    <row r="260" ht="15.75" customHeight="1">
      <c r="A260" s="35"/>
      <c r="C260" s="442"/>
      <c r="P260" s="235"/>
      <c r="AI260" s="38"/>
      <c r="AN260" s="45" t="s">
        <v>141</v>
      </c>
      <c r="AO260" s="45" t="s">
        <v>141</v>
      </c>
    </row>
    <row r="261" ht="15.75" customHeight="1">
      <c r="A261" s="35"/>
      <c r="C261" s="442"/>
      <c r="P261" s="235"/>
      <c r="AI261" s="38"/>
    </row>
    <row r="262" ht="15.75" customHeight="1">
      <c r="A262" s="35"/>
      <c r="C262" s="442"/>
      <c r="P262" s="235"/>
      <c r="AI262" s="38"/>
    </row>
    <row r="263" ht="15.75" customHeight="1">
      <c r="A263" s="35"/>
      <c r="C263" s="442"/>
      <c r="P263" s="235"/>
      <c r="AI263" s="38"/>
    </row>
    <row r="264" ht="15.75" customHeight="1">
      <c r="A264" s="35"/>
      <c r="C264" s="442"/>
      <c r="P264" s="235"/>
      <c r="AI264" s="38"/>
    </row>
    <row r="265" ht="15.75" customHeight="1">
      <c r="A265" s="35"/>
      <c r="C265" s="442"/>
      <c r="P265" s="235"/>
      <c r="AI265" s="38"/>
    </row>
    <row r="266" ht="15.75" customHeight="1">
      <c r="A266" s="35"/>
      <c r="C266" s="442"/>
      <c r="P266" s="235"/>
      <c r="AI266" s="38"/>
    </row>
    <row r="267" ht="15.75" customHeight="1">
      <c r="A267" s="35"/>
      <c r="C267" s="442"/>
      <c r="P267" s="235"/>
      <c r="AI267" s="38"/>
    </row>
    <row r="268" ht="15.75" customHeight="1">
      <c r="A268" s="35"/>
      <c r="C268" s="442"/>
      <c r="P268" s="235"/>
      <c r="AI268" s="38"/>
    </row>
    <row r="269" ht="15.75" customHeight="1">
      <c r="A269" s="35"/>
      <c r="C269" s="442"/>
      <c r="P269" s="235"/>
      <c r="AI269" s="38"/>
    </row>
    <row r="270" ht="15.75" customHeight="1">
      <c r="A270" s="35"/>
      <c r="C270" s="442"/>
      <c r="P270" s="235"/>
      <c r="AI270" s="38"/>
    </row>
    <row r="271" ht="15.75" customHeight="1">
      <c r="A271" s="35"/>
      <c r="C271" s="442"/>
      <c r="P271" s="235"/>
      <c r="AI271" s="38"/>
    </row>
    <row r="272" ht="15.75" customHeight="1">
      <c r="A272" s="35"/>
      <c r="C272" s="442"/>
      <c r="P272" s="235"/>
      <c r="AI272" s="38"/>
    </row>
    <row r="273" ht="15.75" customHeight="1">
      <c r="A273" s="35"/>
      <c r="C273" s="442"/>
      <c r="P273" s="235"/>
      <c r="AI273" s="38"/>
    </row>
    <row r="274" ht="15.75" customHeight="1">
      <c r="A274" s="35"/>
      <c r="C274" s="442"/>
      <c r="P274" s="235"/>
      <c r="AI274" s="38"/>
    </row>
    <row r="275" ht="15.75" customHeight="1">
      <c r="A275" s="35"/>
      <c r="C275" s="442"/>
      <c r="P275" s="235"/>
      <c r="AI275" s="38"/>
    </row>
    <row r="276" ht="15.75" customHeight="1">
      <c r="A276" s="35"/>
      <c r="C276" s="442"/>
      <c r="P276" s="235"/>
      <c r="AI276" s="38"/>
    </row>
    <row r="277" ht="15.75" customHeight="1">
      <c r="A277" s="35"/>
      <c r="C277" s="442"/>
      <c r="P277" s="235"/>
      <c r="AI277" s="38"/>
    </row>
    <row r="278" ht="15.75" customHeight="1">
      <c r="A278" s="35"/>
      <c r="C278" s="442"/>
      <c r="P278" s="235"/>
      <c r="AI278" s="38"/>
    </row>
    <row r="279" ht="15.75" customHeight="1">
      <c r="A279" s="35"/>
      <c r="C279" s="442"/>
      <c r="P279" s="235"/>
      <c r="AI279" s="38"/>
    </row>
    <row r="280" ht="15.75" customHeight="1">
      <c r="A280" s="35"/>
      <c r="C280" s="442"/>
      <c r="P280" s="235"/>
      <c r="AI280" s="38"/>
    </row>
    <row r="281" ht="15.75" customHeight="1">
      <c r="A281" s="35"/>
      <c r="C281" s="442"/>
      <c r="P281" s="235"/>
      <c r="AI281" s="38"/>
    </row>
    <row r="282" ht="15.75" customHeight="1">
      <c r="A282" s="35"/>
      <c r="C282" s="442"/>
      <c r="P282" s="235"/>
      <c r="AI282" s="38"/>
    </row>
    <row r="283" ht="15.75" customHeight="1">
      <c r="A283" s="35"/>
      <c r="C283" s="442"/>
      <c r="P283" s="235"/>
      <c r="AI283" s="38"/>
    </row>
    <row r="284" ht="15.75" customHeight="1">
      <c r="A284" s="35"/>
      <c r="C284" s="442"/>
      <c r="P284" s="235"/>
      <c r="AI284" s="38"/>
    </row>
    <row r="285" ht="15.75" customHeight="1">
      <c r="A285" s="35"/>
      <c r="C285" s="442"/>
      <c r="P285" s="235"/>
      <c r="AI285" s="38"/>
    </row>
    <row r="286" ht="15.75" customHeight="1">
      <c r="A286" s="35"/>
      <c r="C286" s="442"/>
      <c r="P286" s="235"/>
      <c r="AI286" s="38"/>
    </row>
    <row r="287" ht="15.75" customHeight="1">
      <c r="A287" s="35"/>
      <c r="C287" s="442"/>
      <c r="P287" s="235"/>
      <c r="AI287" s="38"/>
    </row>
    <row r="288" ht="15.75" customHeight="1">
      <c r="A288" s="35"/>
      <c r="C288" s="442"/>
      <c r="P288" s="235"/>
      <c r="AI288" s="38"/>
    </row>
    <row r="289" ht="15.75" customHeight="1">
      <c r="A289" s="35"/>
      <c r="C289" s="442"/>
      <c r="P289" s="235"/>
      <c r="AI289" s="38"/>
    </row>
    <row r="290" ht="15.75" customHeight="1">
      <c r="A290" s="35"/>
      <c r="C290" s="442"/>
      <c r="P290" s="235"/>
      <c r="AI290" s="38"/>
    </row>
    <row r="291" ht="15.75" customHeight="1">
      <c r="A291" s="35"/>
      <c r="C291" s="442"/>
      <c r="P291" s="235"/>
      <c r="AI291" s="38"/>
    </row>
    <row r="292" ht="15.75" customHeight="1">
      <c r="A292" s="35"/>
      <c r="C292" s="442"/>
      <c r="P292" s="235"/>
      <c r="AI292" s="38"/>
    </row>
    <row r="293" ht="15.75" customHeight="1">
      <c r="A293" s="35"/>
      <c r="C293" s="442"/>
      <c r="P293" s="235"/>
      <c r="AI293" s="38"/>
    </row>
    <row r="294" ht="15.75" customHeight="1">
      <c r="A294" s="35"/>
      <c r="C294" s="442"/>
      <c r="P294" s="235"/>
      <c r="AI294" s="38"/>
    </row>
    <row r="295" ht="15.75" customHeight="1">
      <c r="A295" s="35"/>
      <c r="C295" s="442"/>
      <c r="P295" s="235"/>
      <c r="AI295" s="38"/>
    </row>
    <row r="296" ht="15.75" customHeight="1">
      <c r="A296" s="35"/>
      <c r="C296" s="442"/>
      <c r="P296" s="235"/>
      <c r="AI296" s="38"/>
    </row>
    <row r="297" ht="15.75" customHeight="1">
      <c r="A297" s="35"/>
      <c r="C297" s="442"/>
      <c r="P297" s="235"/>
      <c r="AI297" s="38"/>
    </row>
    <row r="298" ht="15.75" customHeight="1">
      <c r="A298" s="35"/>
      <c r="C298" s="442"/>
      <c r="P298" s="235"/>
      <c r="AI298" s="38"/>
    </row>
    <row r="299" ht="15.75" customHeight="1">
      <c r="A299" s="35"/>
      <c r="C299" s="442"/>
      <c r="P299" s="235"/>
      <c r="AI299" s="38"/>
    </row>
    <row r="300" ht="15.75" customHeight="1">
      <c r="A300" s="35"/>
      <c r="C300" s="442"/>
      <c r="P300" s="235"/>
      <c r="AI300" s="38"/>
    </row>
    <row r="301" ht="15.75" customHeight="1">
      <c r="A301" s="35"/>
      <c r="C301" s="442"/>
      <c r="P301" s="235"/>
      <c r="AI301" s="38"/>
    </row>
    <row r="302" ht="15.75" customHeight="1">
      <c r="A302" s="35"/>
      <c r="C302" s="442"/>
      <c r="P302" s="235"/>
      <c r="AI302" s="38"/>
    </row>
    <row r="303" ht="15.75" customHeight="1">
      <c r="A303" s="35"/>
      <c r="C303" s="442"/>
      <c r="P303" s="235"/>
      <c r="AI303" s="38"/>
    </row>
    <row r="304" ht="15.75" customHeight="1">
      <c r="A304" s="35"/>
      <c r="C304" s="442"/>
      <c r="P304" s="235"/>
      <c r="AI304" s="38"/>
    </row>
    <row r="305" ht="15.75" customHeight="1">
      <c r="A305" s="35"/>
      <c r="C305" s="442"/>
      <c r="P305" s="235"/>
      <c r="AI305" s="38"/>
    </row>
    <row r="306" ht="15.75" customHeight="1">
      <c r="A306" s="35"/>
      <c r="C306" s="442"/>
      <c r="P306" s="235"/>
      <c r="AI306" s="38"/>
    </row>
    <row r="307" ht="15.75" customHeight="1">
      <c r="A307" s="35"/>
      <c r="C307" s="442"/>
      <c r="P307" s="235"/>
      <c r="AI307" s="38"/>
    </row>
    <row r="308" ht="15.75" customHeight="1">
      <c r="A308" s="35"/>
      <c r="C308" s="442"/>
      <c r="P308" s="235"/>
      <c r="AI308" s="38"/>
    </row>
    <row r="309" ht="15.75" customHeight="1">
      <c r="A309" s="35"/>
      <c r="C309" s="442"/>
      <c r="P309" s="235"/>
      <c r="AI309" s="38"/>
    </row>
    <row r="310" ht="15.75" customHeight="1">
      <c r="A310" s="35"/>
      <c r="C310" s="442"/>
      <c r="P310" s="235"/>
      <c r="AI310" s="38"/>
    </row>
    <row r="311" ht="15.75" customHeight="1">
      <c r="A311" s="35"/>
      <c r="C311" s="442"/>
      <c r="P311" s="235"/>
      <c r="AI311" s="38"/>
    </row>
    <row r="312" ht="15.75" customHeight="1">
      <c r="A312" s="35"/>
      <c r="C312" s="442"/>
      <c r="P312" s="235"/>
      <c r="AI312" s="38"/>
    </row>
    <row r="313" ht="15.75" customHeight="1">
      <c r="A313" s="35"/>
      <c r="C313" s="442"/>
      <c r="P313" s="235"/>
      <c r="AI313" s="38"/>
    </row>
    <row r="314" ht="15.75" customHeight="1">
      <c r="A314" s="35"/>
      <c r="C314" s="442"/>
      <c r="P314" s="235"/>
      <c r="AI314" s="38"/>
    </row>
    <row r="315" ht="15.75" customHeight="1">
      <c r="A315" s="35"/>
      <c r="C315" s="442"/>
      <c r="P315" s="235"/>
      <c r="AI315" s="38"/>
    </row>
    <row r="316" ht="15.75" customHeight="1">
      <c r="A316" s="35"/>
      <c r="C316" s="442"/>
      <c r="P316" s="235"/>
      <c r="AI316" s="38"/>
    </row>
    <row r="317" ht="15.75" customHeight="1">
      <c r="A317" s="35"/>
      <c r="C317" s="442"/>
      <c r="P317" s="235"/>
      <c r="AI317" s="38"/>
    </row>
    <row r="318" ht="15.75" customHeight="1">
      <c r="A318" s="35"/>
      <c r="C318" s="442"/>
      <c r="P318" s="235"/>
      <c r="AI318" s="38"/>
    </row>
    <row r="319" ht="15.75" customHeight="1">
      <c r="A319" s="35"/>
      <c r="C319" s="442"/>
      <c r="P319" s="235"/>
      <c r="AI319" s="38"/>
    </row>
    <row r="320" ht="15.75" customHeight="1">
      <c r="A320" s="35"/>
      <c r="C320" s="442"/>
      <c r="P320" s="235"/>
      <c r="AI320" s="38"/>
    </row>
    <row r="321" ht="15.75" customHeight="1">
      <c r="A321" s="35"/>
      <c r="C321" s="442"/>
      <c r="P321" s="235"/>
      <c r="AI321" s="38"/>
    </row>
    <row r="322" ht="15.75" customHeight="1">
      <c r="A322" s="35"/>
      <c r="C322" s="442"/>
      <c r="P322" s="235"/>
      <c r="AI322" s="38"/>
    </row>
    <row r="323" ht="15.75" customHeight="1">
      <c r="A323" s="35"/>
      <c r="C323" s="442"/>
      <c r="P323" s="235"/>
      <c r="AI323" s="38"/>
    </row>
    <row r="324" ht="15.75" customHeight="1">
      <c r="A324" s="35"/>
      <c r="C324" s="442"/>
      <c r="P324" s="235"/>
      <c r="AI324" s="38"/>
    </row>
    <row r="325" ht="15.75" customHeight="1">
      <c r="A325" s="35"/>
      <c r="C325" s="442"/>
      <c r="P325" s="235"/>
      <c r="AI325" s="38"/>
    </row>
    <row r="326" ht="15.75" customHeight="1">
      <c r="A326" s="35"/>
      <c r="C326" s="442"/>
      <c r="P326" s="235"/>
      <c r="AI326" s="38"/>
    </row>
    <row r="327" ht="15.75" customHeight="1">
      <c r="A327" s="35"/>
      <c r="C327" s="442"/>
      <c r="P327" s="235"/>
      <c r="AI327" s="38"/>
    </row>
    <row r="328" ht="15.75" customHeight="1">
      <c r="A328" s="35"/>
      <c r="C328" s="442"/>
      <c r="P328" s="235"/>
      <c r="AI328" s="38"/>
    </row>
    <row r="329" ht="15.75" customHeight="1">
      <c r="A329" s="35"/>
      <c r="C329" s="442"/>
      <c r="P329" s="235"/>
      <c r="AI329" s="38"/>
    </row>
    <row r="330" ht="15.75" customHeight="1">
      <c r="A330" s="35"/>
      <c r="C330" s="442"/>
      <c r="P330" s="235"/>
      <c r="AI330" s="38"/>
    </row>
    <row r="331" ht="15.75" customHeight="1">
      <c r="A331" s="35"/>
      <c r="C331" s="442"/>
      <c r="P331" s="235"/>
      <c r="AI331" s="38"/>
    </row>
    <row r="332" ht="15.75" customHeight="1">
      <c r="A332" s="35"/>
      <c r="C332" s="442"/>
      <c r="P332" s="235"/>
      <c r="AI332" s="38"/>
    </row>
    <row r="333" ht="15.75" customHeight="1">
      <c r="A333" s="35"/>
      <c r="C333" s="442"/>
      <c r="P333" s="235"/>
      <c r="AI333" s="38"/>
    </row>
    <row r="334" ht="15.75" customHeight="1">
      <c r="A334" s="35"/>
      <c r="C334" s="442"/>
      <c r="P334" s="235"/>
      <c r="AI334" s="38"/>
    </row>
    <row r="335" ht="15.75" customHeight="1">
      <c r="A335" s="35"/>
      <c r="C335" s="442"/>
      <c r="P335" s="235"/>
      <c r="AI335" s="38"/>
    </row>
    <row r="336" ht="15.75" customHeight="1">
      <c r="A336" s="35"/>
      <c r="C336" s="442"/>
      <c r="P336" s="235"/>
      <c r="AI336" s="38"/>
    </row>
    <row r="337" ht="15.75" customHeight="1">
      <c r="A337" s="35"/>
      <c r="C337" s="442"/>
      <c r="P337" s="235"/>
      <c r="AI337" s="38"/>
    </row>
    <row r="338" ht="15.75" customHeight="1">
      <c r="A338" s="35"/>
      <c r="C338" s="442"/>
      <c r="P338" s="235"/>
      <c r="AI338" s="38"/>
    </row>
    <row r="339" ht="15.75" customHeight="1">
      <c r="A339" s="35"/>
      <c r="C339" s="442"/>
      <c r="P339" s="235"/>
      <c r="AI339" s="38"/>
    </row>
    <row r="340" ht="15.75" customHeight="1">
      <c r="A340" s="35"/>
      <c r="C340" s="442"/>
      <c r="P340" s="235"/>
      <c r="AI340" s="38"/>
    </row>
    <row r="341" ht="15.75" customHeight="1">
      <c r="A341" s="35"/>
      <c r="C341" s="442"/>
      <c r="P341" s="235"/>
      <c r="AI341" s="38"/>
    </row>
    <row r="342" ht="15.75" customHeight="1">
      <c r="A342" s="35"/>
      <c r="C342" s="442"/>
      <c r="P342" s="235"/>
      <c r="AI342" s="38"/>
    </row>
    <row r="343" ht="15.75" customHeight="1">
      <c r="A343" s="35"/>
      <c r="C343" s="442"/>
      <c r="P343" s="235"/>
      <c r="AI343" s="38"/>
    </row>
    <row r="344" ht="15.75" customHeight="1">
      <c r="A344" s="35"/>
      <c r="C344" s="442"/>
      <c r="P344" s="235"/>
      <c r="AI344" s="38"/>
    </row>
    <row r="345" ht="15.75" customHeight="1">
      <c r="A345" s="35"/>
      <c r="C345" s="442"/>
      <c r="P345" s="235"/>
      <c r="AI345" s="38"/>
    </row>
    <row r="346" ht="15.75" customHeight="1">
      <c r="A346" s="35"/>
      <c r="C346" s="442"/>
      <c r="P346" s="235"/>
      <c r="AI346" s="38"/>
    </row>
    <row r="347" ht="15.75" customHeight="1">
      <c r="A347" s="35"/>
      <c r="C347" s="442"/>
      <c r="P347" s="235"/>
      <c r="AI347" s="38"/>
    </row>
    <row r="348" ht="15.75" customHeight="1">
      <c r="A348" s="35"/>
      <c r="C348" s="442"/>
      <c r="P348" s="235"/>
      <c r="AI348" s="38"/>
    </row>
    <row r="349" ht="15.75" customHeight="1">
      <c r="A349" s="35"/>
      <c r="C349" s="442"/>
      <c r="P349" s="235"/>
      <c r="AI349" s="38"/>
    </row>
    <row r="350" ht="15.75" customHeight="1">
      <c r="A350" s="35"/>
      <c r="C350" s="442"/>
      <c r="P350" s="235"/>
      <c r="AI350" s="38"/>
    </row>
    <row r="351" ht="15.75" customHeight="1">
      <c r="A351" s="35"/>
      <c r="C351" s="442"/>
      <c r="P351" s="235"/>
      <c r="AI351" s="38"/>
    </row>
    <row r="352" ht="15.75" customHeight="1">
      <c r="A352" s="35"/>
      <c r="C352" s="442"/>
      <c r="P352" s="235"/>
      <c r="AI352" s="38"/>
    </row>
    <row r="353" ht="15.75" customHeight="1">
      <c r="A353" s="35"/>
      <c r="C353" s="442"/>
      <c r="P353" s="235"/>
      <c r="AI353" s="38"/>
    </row>
    <row r="354" ht="15.75" customHeight="1">
      <c r="A354" s="35"/>
      <c r="C354" s="442"/>
      <c r="P354" s="235"/>
      <c r="AI354" s="38"/>
    </row>
    <row r="355" ht="15.75" customHeight="1">
      <c r="A355" s="35"/>
      <c r="C355" s="442"/>
      <c r="P355" s="235"/>
      <c r="AI355" s="38"/>
    </row>
    <row r="356" ht="15.75" customHeight="1">
      <c r="A356" s="35"/>
      <c r="C356" s="442"/>
      <c r="P356" s="235"/>
      <c r="AI356" s="38"/>
    </row>
    <row r="357" ht="15.75" customHeight="1">
      <c r="A357" s="35"/>
      <c r="C357" s="442"/>
      <c r="P357" s="235"/>
      <c r="AI357" s="38"/>
    </row>
    <row r="358" ht="15.75" customHeight="1">
      <c r="A358" s="35"/>
      <c r="C358" s="442"/>
      <c r="P358" s="235"/>
      <c r="AI358" s="38"/>
    </row>
    <row r="359" ht="15.75" customHeight="1">
      <c r="A359" s="35"/>
      <c r="C359" s="442"/>
      <c r="P359" s="235"/>
      <c r="AI359" s="38"/>
    </row>
    <row r="360" ht="15.75" customHeight="1">
      <c r="A360" s="35"/>
      <c r="C360" s="442"/>
      <c r="P360" s="235"/>
      <c r="AI360" s="38"/>
    </row>
    <row r="361" ht="15.75" customHeight="1">
      <c r="A361" s="35"/>
      <c r="C361" s="442"/>
      <c r="P361" s="235"/>
      <c r="AI361" s="38"/>
    </row>
    <row r="362" ht="15.75" customHeight="1">
      <c r="A362" s="35"/>
      <c r="C362" s="442"/>
      <c r="P362" s="235"/>
      <c r="AI362" s="38"/>
    </row>
    <row r="363" ht="15.75" customHeight="1">
      <c r="A363" s="35"/>
      <c r="C363" s="442"/>
      <c r="P363" s="235"/>
      <c r="AI363" s="38"/>
    </row>
    <row r="364" ht="15.75" customHeight="1">
      <c r="A364" s="35"/>
      <c r="C364" s="442"/>
      <c r="P364" s="235"/>
      <c r="AI364" s="38"/>
    </row>
    <row r="365" ht="15.75" customHeight="1">
      <c r="A365" s="35"/>
      <c r="C365" s="442"/>
      <c r="P365" s="235"/>
      <c r="AI365" s="38"/>
    </row>
    <row r="366" ht="15.75" customHeight="1">
      <c r="A366" s="35"/>
      <c r="C366" s="442"/>
      <c r="P366" s="235"/>
      <c r="AI366" s="38"/>
    </row>
    <row r="367" ht="15.75" customHeight="1">
      <c r="A367" s="35"/>
      <c r="C367" s="442"/>
      <c r="P367" s="235"/>
      <c r="AI367" s="38"/>
    </row>
    <row r="368" ht="15.75" customHeight="1">
      <c r="A368" s="35"/>
      <c r="C368" s="442"/>
      <c r="P368" s="235"/>
      <c r="AI368" s="38"/>
    </row>
    <row r="369" ht="15.75" customHeight="1">
      <c r="A369" s="35"/>
      <c r="C369" s="442"/>
      <c r="P369" s="235"/>
      <c r="AI369" s="38"/>
    </row>
    <row r="370" ht="15.75" customHeight="1">
      <c r="A370" s="35"/>
      <c r="C370" s="442"/>
      <c r="P370" s="235"/>
      <c r="AI370" s="38"/>
    </row>
    <row r="371" ht="15.75" customHeight="1">
      <c r="A371" s="35"/>
      <c r="C371" s="442"/>
      <c r="P371" s="235"/>
      <c r="AI371" s="38"/>
    </row>
    <row r="372" ht="15.75" customHeight="1">
      <c r="A372" s="35"/>
      <c r="C372" s="442"/>
      <c r="P372" s="235"/>
      <c r="AI372" s="38"/>
    </row>
    <row r="373" ht="15.75" customHeight="1">
      <c r="A373" s="35"/>
      <c r="C373" s="442"/>
      <c r="P373" s="235"/>
      <c r="AI373" s="38"/>
    </row>
    <row r="374" ht="15.75" customHeight="1">
      <c r="A374" s="35"/>
      <c r="C374" s="442"/>
      <c r="P374" s="235"/>
      <c r="AI374" s="38"/>
    </row>
    <row r="375" ht="15.75" customHeight="1">
      <c r="A375" s="35"/>
      <c r="C375" s="442"/>
      <c r="P375" s="235"/>
      <c r="AI375" s="38"/>
    </row>
    <row r="376" ht="15.75" customHeight="1">
      <c r="A376" s="35"/>
      <c r="C376" s="442"/>
      <c r="P376" s="235"/>
      <c r="AI376" s="38"/>
    </row>
    <row r="377" ht="15.75" customHeight="1">
      <c r="A377" s="35"/>
      <c r="C377" s="442"/>
      <c r="P377" s="235"/>
      <c r="AI377" s="38"/>
    </row>
    <row r="378" ht="15.75" customHeight="1">
      <c r="A378" s="35"/>
      <c r="C378" s="442"/>
      <c r="P378" s="235"/>
      <c r="AI378" s="38"/>
    </row>
    <row r="379" ht="15.75" customHeight="1">
      <c r="A379" s="35"/>
      <c r="C379" s="442"/>
      <c r="P379" s="235"/>
      <c r="AI379" s="38"/>
    </row>
    <row r="380" ht="15.75" customHeight="1">
      <c r="A380" s="35"/>
      <c r="C380" s="442"/>
      <c r="P380" s="235"/>
      <c r="AI380" s="38"/>
    </row>
    <row r="381" ht="15.75" customHeight="1">
      <c r="A381" s="35"/>
      <c r="C381" s="442"/>
      <c r="P381" s="235"/>
      <c r="AI381" s="38"/>
    </row>
    <row r="382" ht="15.75" customHeight="1">
      <c r="A382" s="35"/>
      <c r="C382" s="442"/>
      <c r="P382" s="235"/>
      <c r="AI382" s="38"/>
    </row>
    <row r="383" ht="15.75" customHeight="1">
      <c r="A383" s="35"/>
      <c r="C383" s="442"/>
      <c r="P383" s="235"/>
      <c r="AI383" s="38"/>
    </row>
    <row r="384" ht="15.75" customHeight="1">
      <c r="A384" s="35"/>
      <c r="C384" s="442"/>
      <c r="P384" s="235"/>
      <c r="AI384" s="38"/>
    </row>
    <row r="385" ht="15.75" customHeight="1">
      <c r="A385" s="35"/>
      <c r="C385" s="442"/>
      <c r="P385" s="235"/>
      <c r="AI385" s="38"/>
    </row>
    <row r="386" ht="15.75" customHeight="1">
      <c r="A386" s="35"/>
      <c r="C386" s="442"/>
      <c r="P386" s="235"/>
      <c r="AI386" s="38"/>
    </row>
    <row r="387" ht="15.75" customHeight="1">
      <c r="A387" s="35"/>
      <c r="C387" s="442"/>
      <c r="P387" s="235"/>
      <c r="AI387" s="38"/>
    </row>
    <row r="388" ht="15.75" customHeight="1">
      <c r="A388" s="35"/>
      <c r="C388" s="442"/>
      <c r="P388" s="235"/>
      <c r="AI388" s="38"/>
    </row>
    <row r="389" ht="15.75" customHeight="1">
      <c r="A389" s="35"/>
      <c r="C389" s="442"/>
      <c r="P389" s="235"/>
      <c r="AI389" s="38"/>
    </row>
    <row r="390" ht="15.75" customHeight="1">
      <c r="A390" s="35"/>
      <c r="C390" s="442"/>
      <c r="P390" s="235"/>
      <c r="AI390" s="38"/>
    </row>
    <row r="391" ht="15.75" customHeight="1">
      <c r="A391" s="35"/>
      <c r="C391" s="442"/>
      <c r="P391" s="235"/>
      <c r="AI391" s="38"/>
    </row>
    <row r="392" ht="15.75" customHeight="1">
      <c r="A392" s="35"/>
      <c r="C392" s="442"/>
      <c r="P392" s="235"/>
      <c r="AI392" s="38"/>
    </row>
    <row r="393" ht="15.75" customHeight="1">
      <c r="A393" s="35"/>
      <c r="C393" s="442"/>
      <c r="P393" s="235"/>
      <c r="AI393" s="38"/>
    </row>
    <row r="394" ht="15.75" customHeight="1">
      <c r="A394" s="35"/>
      <c r="C394" s="442"/>
      <c r="P394" s="235"/>
      <c r="AI394" s="38"/>
    </row>
    <row r="395" ht="15.75" customHeight="1">
      <c r="A395" s="35"/>
      <c r="C395" s="442"/>
      <c r="P395" s="235"/>
      <c r="AI395" s="38"/>
    </row>
    <row r="396" ht="15.75" customHeight="1">
      <c r="A396" s="35"/>
      <c r="C396" s="442"/>
      <c r="P396" s="235"/>
      <c r="AI396" s="38"/>
    </row>
    <row r="397" ht="15.75" customHeight="1">
      <c r="A397" s="35"/>
      <c r="C397" s="442"/>
      <c r="P397" s="235"/>
      <c r="AI397" s="38"/>
    </row>
    <row r="398" ht="15.75" customHeight="1">
      <c r="A398" s="35"/>
      <c r="C398" s="442"/>
      <c r="P398" s="235"/>
      <c r="AI398" s="38"/>
    </row>
    <row r="399" ht="15.75" customHeight="1">
      <c r="A399" s="35"/>
      <c r="C399" s="442"/>
      <c r="P399" s="235"/>
      <c r="AI399" s="38"/>
    </row>
    <row r="400" ht="15.75" customHeight="1">
      <c r="A400" s="35"/>
      <c r="C400" s="442"/>
      <c r="P400" s="235"/>
      <c r="AI400" s="38"/>
    </row>
    <row r="401" ht="15.75" customHeight="1">
      <c r="A401" s="35"/>
      <c r="C401" s="442"/>
      <c r="P401" s="235"/>
      <c r="AI401" s="38"/>
    </row>
    <row r="402" ht="15.75" customHeight="1">
      <c r="A402" s="35"/>
      <c r="C402" s="442"/>
      <c r="P402" s="235"/>
      <c r="AI402" s="38"/>
    </row>
    <row r="403" ht="15.75" customHeight="1">
      <c r="A403" s="35"/>
      <c r="C403" s="442"/>
      <c r="P403" s="235"/>
      <c r="AI403" s="38"/>
    </row>
    <row r="404" ht="15.75" customHeight="1">
      <c r="A404" s="35"/>
      <c r="C404" s="442"/>
      <c r="P404" s="235"/>
      <c r="AI404" s="38"/>
    </row>
    <row r="405" ht="15.75" customHeight="1">
      <c r="A405" s="35"/>
      <c r="C405" s="442"/>
      <c r="P405" s="235"/>
      <c r="AI405" s="38"/>
    </row>
    <row r="406" ht="15.75" customHeight="1">
      <c r="A406" s="35"/>
      <c r="C406" s="442"/>
      <c r="P406" s="235"/>
      <c r="AI406" s="38"/>
    </row>
    <row r="407" ht="15.75" customHeight="1">
      <c r="A407" s="35"/>
      <c r="C407" s="442"/>
      <c r="P407" s="235"/>
      <c r="AI407" s="38"/>
    </row>
    <row r="408" ht="15.75" customHeight="1">
      <c r="A408" s="35"/>
      <c r="C408" s="442"/>
      <c r="P408" s="235"/>
      <c r="AI408" s="38"/>
    </row>
    <row r="409" ht="15.75" customHeight="1">
      <c r="A409" s="35"/>
      <c r="C409" s="442"/>
      <c r="P409" s="235"/>
      <c r="AI409" s="38"/>
    </row>
    <row r="410" ht="15.75" customHeight="1">
      <c r="A410" s="35"/>
      <c r="C410" s="442"/>
      <c r="P410" s="235"/>
      <c r="AI410" s="38"/>
    </row>
    <row r="411" ht="15.75" customHeight="1">
      <c r="A411" s="35"/>
      <c r="C411" s="442"/>
      <c r="P411" s="235"/>
      <c r="AI411" s="38"/>
    </row>
    <row r="412" ht="15.75" customHeight="1">
      <c r="A412" s="35"/>
      <c r="C412" s="442"/>
      <c r="P412" s="235"/>
      <c r="AI412" s="38"/>
    </row>
    <row r="413" ht="15.75" customHeight="1">
      <c r="A413" s="35"/>
      <c r="C413" s="442"/>
      <c r="P413" s="235"/>
      <c r="AI413" s="38"/>
    </row>
    <row r="414" ht="15.75" customHeight="1">
      <c r="A414" s="35"/>
      <c r="C414" s="442"/>
      <c r="P414" s="235"/>
      <c r="AI414" s="38"/>
    </row>
    <row r="415" ht="15.75" customHeight="1">
      <c r="A415" s="35"/>
      <c r="C415" s="442"/>
      <c r="P415" s="235"/>
      <c r="AI415" s="38"/>
    </row>
    <row r="416" ht="15.75" customHeight="1">
      <c r="A416" s="35"/>
      <c r="C416" s="442"/>
      <c r="P416" s="235"/>
      <c r="AI416" s="38"/>
    </row>
    <row r="417" ht="15.75" customHeight="1">
      <c r="A417" s="35"/>
      <c r="C417" s="442"/>
      <c r="P417" s="235"/>
      <c r="AI417" s="38"/>
    </row>
    <row r="418" ht="15.75" customHeight="1">
      <c r="A418" s="35"/>
      <c r="C418" s="442"/>
      <c r="P418" s="235"/>
      <c r="AI418" s="38"/>
    </row>
    <row r="419" ht="15.75" customHeight="1">
      <c r="A419" s="35"/>
      <c r="C419" s="442"/>
      <c r="P419" s="235"/>
      <c r="AI419" s="38"/>
    </row>
    <row r="420" ht="15.75" customHeight="1">
      <c r="A420" s="35"/>
      <c r="C420" s="442"/>
      <c r="P420" s="235"/>
      <c r="AI420" s="38"/>
    </row>
    <row r="421" ht="15.75" customHeight="1">
      <c r="A421" s="35"/>
      <c r="C421" s="442"/>
      <c r="P421" s="235"/>
      <c r="AI421" s="38"/>
    </row>
    <row r="422" ht="15.75" customHeight="1">
      <c r="A422" s="35"/>
      <c r="C422" s="442"/>
      <c r="P422" s="235"/>
      <c r="AI422" s="38"/>
    </row>
    <row r="423" ht="15.75" customHeight="1">
      <c r="A423" s="35"/>
      <c r="C423" s="442"/>
      <c r="P423" s="235"/>
      <c r="AI423" s="38"/>
    </row>
    <row r="424" ht="15.75" customHeight="1">
      <c r="A424" s="35"/>
      <c r="C424" s="442"/>
      <c r="P424" s="235"/>
      <c r="AI424" s="38"/>
    </row>
    <row r="425" ht="15.75" customHeight="1">
      <c r="A425" s="35"/>
      <c r="C425" s="442"/>
      <c r="P425" s="235"/>
      <c r="AI425" s="38"/>
    </row>
    <row r="426" ht="15.75" customHeight="1">
      <c r="A426" s="35"/>
      <c r="C426" s="442"/>
      <c r="P426" s="235"/>
      <c r="AI426" s="38"/>
    </row>
    <row r="427" ht="15.75" customHeight="1">
      <c r="A427" s="35"/>
      <c r="C427" s="442"/>
      <c r="P427" s="235"/>
      <c r="AI427" s="38"/>
    </row>
    <row r="428" ht="15.75" customHeight="1">
      <c r="A428" s="35"/>
      <c r="C428" s="442"/>
      <c r="P428" s="235"/>
      <c r="AI428" s="38"/>
    </row>
    <row r="429" ht="15.75" customHeight="1">
      <c r="A429" s="35"/>
      <c r="C429" s="442"/>
      <c r="P429" s="235"/>
      <c r="AI429" s="38"/>
    </row>
    <row r="430" ht="15.75" customHeight="1">
      <c r="A430" s="35"/>
      <c r="C430" s="442"/>
      <c r="P430" s="235"/>
      <c r="AI430" s="38"/>
    </row>
    <row r="431" ht="15.75" customHeight="1">
      <c r="A431" s="35"/>
      <c r="C431" s="442"/>
      <c r="P431" s="235"/>
      <c r="AI431" s="38"/>
    </row>
    <row r="432" ht="15.75" customHeight="1">
      <c r="A432" s="35"/>
      <c r="C432" s="442"/>
      <c r="P432" s="235"/>
      <c r="AI432" s="38"/>
    </row>
    <row r="433" ht="15.75" customHeight="1">
      <c r="A433" s="35"/>
      <c r="C433" s="442"/>
      <c r="P433" s="235"/>
      <c r="AI433" s="38"/>
    </row>
    <row r="434" ht="15.75" customHeight="1">
      <c r="A434" s="35"/>
      <c r="C434" s="442"/>
      <c r="P434" s="235"/>
      <c r="AI434" s="38"/>
    </row>
    <row r="435" ht="15.75" customHeight="1">
      <c r="A435" s="35"/>
      <c r="C435" s="442"/>
      <c r="P435" s="235"/>
      <c r="AI435" s="38"/>
    </row>
    <row r="436" ht="15.75" customHeight="1">
      <c r="A436" s="35"/>
      <c r="C436" s="442"/>
      <c r="P436" s="235"/>
      <c r="AI436" s="38"/>
    </row>
    <row r="437" ht="15.75" customHeight="1">
      <c r="A437" s="35"/>
      <c r="C437" s="442"/>
      <c r="P437" s="235"/>
      <c r="AI437" s="38"/>
    </row>
    <row r="438" ht="15.75" customHeight="1">
      <c r="A438" s="35"/>
      <c r="C438" s="442"/>
      <c r="P438" s="235"/>
      <c r="AI438" s="38"/>
    </row>
    <row r="439" ht="15.75" customHeight="1">
      <c r="A439" s="35"/>
      <c r="C439" s="442"/>
      <c r="P439" s="235"/>
      <c r="AI439" s="38"/>
    </row>
    <row r="440" ht="15.75" customHeight="1">
      <c r="A440" s="35"/>
      <c r="C440" s="442"/>
      <c r="P440" s="235"/>
      <c r="AI440" s="38"/>
    </row>
    <row r="441" ht="15.75" customHeight="1">
      <c r="A441" s="35"/>
      <c r="C441" s="442"/>
      <c r="P441" s="235"/>
      <c r="AI441" s="38"/>
    </row>
    <row r="442" ht="15.75" customHeight="1">
      <c r="A442" s="35"/>
      <c r="C442" s="442"/>
      <c r="P442" s="235"/>
      <c r="AI442" s="38"/>
    </row>
    <row r="443" ht="15.75" customHeight="1">
      <c r="A443" s="35"/>
      <c r="C443" s="442"/>
      <c r="P443" s="235"/>
      <c r="AI443" s="38"/>
    </row>
    <row r="444" ht="15.75" customHeight="1">
      <c r="A444" s="35"/>
      <c r="C444" s="442"/>
      <c r="P444" s="235"/>
      <c r="AI444" s="38"/>
    </row>
    <row r="445" ht="15.75" customHeight="1">
      <c r="A445" s="35"/>
      <c r="C445" s="442"/>
      <c r="P445" s="235"/>
      <c r="AI445" s="38"/>
    </row>
    <row r="446" ht="15.75" customHeight="1">
      <c r="A446" s="35"/>
      <c r="C446" s="442"/>
      <c r="P446" s="235"/>
      <c r="AI446" s="38"/>
    </row>
    <row r="447" ht="15.75" customHeight="1">
      <c r="A447" s="35"/>
      <c r="C447" s="442"/>
      <c r="P447" s="235"/>
      <c r="AI447" s="38"/>
    </row>
    <row r="448" ht="15.75" customHeight="1">
      <c r="A448" s="35"/>
      <c r="C448" s="442"/>
      <c r="P448" s="235"/>
      <c r="AI448" s="38"/>
    </row>
    <row r="449" ht="15.75" customHeight="1">
      <c r="A449" s="35"/>
      <c r="C449" s="442"/>
      <c r="P449" s="235"/>
      <c r="AI449" s="38"/>
    </row>
    <row r="450" ht="15.75" customHeight="1">
      <c r="A450" s="35"/>
      <c r="C450" s="442"/>
      <c r="P450" s="235"/>
      <c r="AI450" s="38"/>
    </row>
    <row r="451" ht="15.75" customHeight="1">
      <c r="A451" s="35"/>
      <c r="C451" s="442"/>
      <c r="P451" s="235"/>
      <c r="AI451" s="38"/>
    </row>
    <row r="452" ht="15.75" customHeight="1">
      <c r="A452" s="35"/>
      <c r="C452" s="442"/>
      <c r="P452" s="235"/>
      <c r="AI452" s="38"/>
    </row>
    <row r="453" ht="15.75" customHeight="1">
      <c r="A453" s="35"/>
      <c r="C453" s="442"/>
      <c r="P453" s="235"/>
      <c r="AI453" s="38"/>
    </row>
    <row r="454" ht="15.75" customHeight="1">
      <c r="A454" s="35"/>
      <c r="C454" s="442"/>
      <c r="P454" s="235"/>
      <c r="AI454" s="38"/>
    </row>
    <row r="455" ht="15.75" customHeight="1">
      <c r="A455" s="35"/>
      <c r="C455" s="442"/>
      <c r="P455" s="235"/>
      <c r="AI455" s="38"/>
    </row>
    <row r="456" ht="15.75" customHeight="1">
      <c r="A456" s="35"/>
      <c r="C456" s="442"/>
      <c r="P456" s="235"/>
      <c r="AI456" s="38"/>
    </row>
    <row r="457" ht="15.75" customHeight="1">
      <c r="A457" s="35"/>
      <c r="C457" s="442"/>
      <c r="P457" s="235"/>
      <c r="AI457" s="38"/>
    </row>
    <row r="458" ht="15.75" customHeight="1">
      <c r="A458" s="35"/>
      <c r="C458" s="442"/>
      <c r="P458" s="235"/>
      <c r="AI458" s="38"/>
    </row>
    <row r="459" ht="15.75" customHeight="1">
      <c r="A459" s="35"/>
      <c r="C459" s="442"/>
      <c r="P459" s="235"/>
      <c r="AI459" s="38"/>
    </row>
    <row r="460" ht="15.75" customHeight="1">
      <c r="A460" s="35"/>
      <c r="C460" s="442"/>
      <c r="P460" s="235"/>
      <c r="AI460" s="38"/>
    </row>
    <row r="461" ht="15.75" customHeight="1">
      <c r="A461" s="35"/>
      <c r="C461" s="442"/>
      <c r="P461" s="235"/>
      <c r="AI461" s="38"/>
    </row>
    <row r="462" ht="15.75" customHeight="1">
      <c r="A462" s="35"/>
      <c r="C462" s="442"/>
      <c r="P462" s="235"/>
      <c r="AI462" s="38"/>
    </row>
    <row r="463" ht="15.75" customHeight="1">
      <c r="A463" s="35"/>
      <c r="C463" s="442"/>
      <c r="P463" s="235"/>
      <c r="AI463" s="38"/>
    </row>
    <row r="464" ht="15.75" customHeight="1">
      <c r="A464" s="35"/>
      <c r="C464" s="442"/>
      <c r="P464" s="235"/>
      <c r="AI464" s="38"/>
    </row>
    <row r="465" ht="15.75" customHeight="1">
      <c r="A465" s="35"/>
      <c r="C465" s="442"/>
      <c r="P465" s="235"/>
      <c r="AI465" s="38"/>
    </row>
    <row r="466" ht="15.75" customHeight="1">
      <c r="A466" s="35"/>
      <c r="C466" s="442"/>
      <c r="P466" s="235"/>
      <c r="AI466" s="38"/>
    </row>
    <row r="467" ht="15.75" customHeight="1">
      <c r="A467" s="35"/>
      <c r="C467" s="442"/>
      <c r="P467" s="235"/>
      <c r="AI467" s="38"/>
    </row>
    <row r="468" ht="15.75" customHeight="1">
      <c r="A468" s="35"/>
      <c r="C468" s="442"/>
      <c r="P468" s="235"/>
      <c r="AI468" s="38"/>
    </row>
    <row r="469" ht="15.75" customHeight="1">
      <c r="A469" s="35"/>
      <c r="C469" s="442"/>
      <c r="P469" s="235"/>
      <c r="AI469" s="38"/>
    </row>
    <row r="470" ht="15.75" customHeight="1">
      <c r="A470" s="35"/>
      <c r="C470" s="442"/>
      <c r="P470" s="235"/>
      <c r="AI470" s="38"/>
    </row>
    <row r="471" ht="15.75" customHeight="1">
      <c r="A471" s="35"/>
      <c r="C471" s="442"/>
      <c r="P471" s="235"/>
      <c r="AI471" s="38"/>
    </row>
    <row r="472" ht="15.75" customHeight="1">
      <c r="A472" s="35"/>
      <c r="C472" s="442"/>
      <c r="P472" s="235"/>
      <c r="AI472" s="38"/>
    </row>
    <row r="473" ht="15.75" customHeight="1">
      <c r="A473" s="35"/>
      <c r="C473" s="442"/>
      <c r="P473" s="235"/>
      <c r="AI473" s="38"/>
    </row>
    <row r="474" ht="15.75" customHeight="1">
      <c r="A474" s="35"/>
      <c r="C474" s="442"/>
      <c r="P474" s="235"/>
      <c r="AI474" s="38"/>
    </row>
    <row r="475" ht="15.75" customHeight="1">
      <c r="A475" s="35"/>
      <c r="C475" s="442"/>
      <c r="P475" s="235"/>
      <c r="AI475" s="38"/>
    </row>
    <row r="476" ht="15.75" customHeight="1">
      <c r="A476" s="35"/>
      <c r="C476" s="442"/>
      <c r="P476" s="235"/>
      <c r="AI476" s="38"/>
    </row>
    <row r="477" ht="15.75" customHeight="1">
      <c r="A477" s="35"/>
      <c r="C477" s="442"/>
      <c r="P477" s="235"/>
      <c r="AI477" s="38"/>
    </row>
    <row r="478" ht="15.75" customHeight="1">
      <c r="A478" s="35"/>
      <c r="C478" s="442"/>
      <c r="P478" s="235"/>
      <c r="AI478" s="38"/>
    </row>
    <row r="479" ht="15.75" customHeight="1">
      <c r="A479" s="35"/>
      <c r="C479" s="442"/>
      <c r="P479" s="235"/>
      <c r="AI479" s="38"/>
    </row>
    <row r="480" ht="15.75" customHeight="1">
      <c r="A480" s="35"/>
      <c r="C480" s="442"/>
      <c r="P480" s="235"/>
      <c r="AI480" s="38"/>
    </row>
    <row r="481" ht="15.75" customHeight="1">
      <c r="A481" s="35"/>
      <c r="C481" s="442"/>
      <c r="P481" s="235"/>
      <c r="AI481" s="38"/>
    </row>
    <row r="482" ht="15.75" customHeight="1">
      <c r="A482" s="35"/>
      <c r="C482" s="442"/>
      <c r="P482" s="235"/>
      <c r="AI482" s="38"/>
    </row>
    <row r="483" ht="15.75" customHeight="1">
      <c r="A483" s="35"/>
      <c r="C483" s="442"/>
      <c r="P483" s="235"/>
      <c r="AI483" s="38"/>
    </row>
    <row r="484" ht="15.75" customHeight="1">
      <c r="A484" s="35"/>
      <c r="C484" s="442"/>
      <c r="P484" s="235"/>
      <c r="AI484" s="38"/>
    </row>
    <row r="485" ht="15.75" customHeight="1">
      <c r="A485" s="35"/>
      <c r="C485" s="442"/>
      <c r="P485" s="235"/>
      <c r="AI485" s="38"/>
    </row>
    <row r="486" ht="15.75" customHeight="1">
      <c r="A486" s="35"/>
      <c r="C486" s="442"/>
      <c r="P486" s="235"/>
      <c r="AI486" s="38"/>
    </row>
    <row r="487" ht="15.75" customHeight="1">
      <c r="A487" s="35"/>
      <c r="C487" s="442"/>
      <c r="P487" s="235"/>
      <c r="AI487" s="38"/>
    </row>
    <row r="488" ht="15.75" customHeight="1">
      <c r="A488" s="35"/>
      <c r="C488" s="442"/>
      <c r="P488" s="235"/>
      <c r="AI488" s="38"/>
    </row>
    <row r="489" ht="15.75" customHeight="1">
      <c r="A489" s="35"/>
      <c r="C489" s="442"/>
      <c r="P489" s="235"/>
      <c r="AI489" s="38"/>
    </row>
    <row r="490" ht="15.75" customHeight="1">
      <c r="A490" s="35"/>
      <c r="C490" s="442"/>
      <c r="P490" s="235"/>
      <c r="AI490" s="38"/>
    </row>
    <row r="491" ht="15.75" customHeight="1">
      <c r="A491" s="35"/>
      <c r="C491" s="442"/>
      <c r="P491" s="235"/>
      <c r="AI491" s="38"/>
    </row>
    <row r="492" ht="15.75" customHeight="1">
      <c r="A492" s="35"/>
      <c r="C492" s="442"/>
      <c r="P492" s="235"/>
      <c r="AI492" s="38"/>
    </row>
    <row r="493" ht="15.75" customHeight="1">
      <c r="A493" s="35"/>
      <c r="C493" s="442"/>
      <c r="P493" s="235"/>
      <c r="AI493" s="38"/>
    </row>
    <row r="494" ht="15.75" customHeight="1">
      <c r="A494" s="35"/>
      <c r="C494" s="442"/>
      <c r="P494" s="235"/>
      <c r="AI494" s="38"/>
    </row>
    <row r="495" ht="15.75" customHeight="1">
      <c r="A495" s="35"/>
      <c r="C495" s="442"/>
      <c r="P495" s="235"/>
      <c r="AI495" s="38"/>
    </row>
    <row r="496" ht="15.75" customHeight="1">
      <c r="A496" s="35"/>
      <c r="C496" s="442"/>
      <c r="P496" s="235"/>
      <c r="AI496" s="38"/>
    </row>
    <row r="497" ht="15.75" customHeight="1">
      <c r="A497" s="35"/>
      <c r="C497" s="442"/>
      <c r="P497" s="235"/>
      <c r="AI497" s="38"/>
    </row>
    <row r="498" ht="15.75" customHeight="1">
      <c r="A498" s="35"/>
      <c r="C498" s="442"/>
      <c r="P498" s="235"/>
      <c r="AI498" s="38"/>
    </row>
    <row r="499" ht="15.75" customHeight="1">
      <c r="A499" s="35"/>
      <c r="C499" s="442"/>
      <c r="P499" s="235"/>
      <c r="AI499" s="38"/>
    </row>
    <row r="500" ht="15.75" customHeight="1">
      <c r="A500" s="35"/>
      <c r="C500" s="442"/>
      <c r="P500" s="235"/>
      <c r="AI500" s="38"/>
    </row>
    <row r="501" ht="15.75" customHeight="1">
      <c r="A501" s="35"/>
      <c r="C501" s="442"/>
      <c r="P501" s="235"/>
      <c r="AI501" s="38"/>
    </row>
    <row r="502" ht="15.75" customHeight="1">
      <c r="A502" s="35"/>
      <c r="C502" s="442"/>
      <c r="P502" s="235"/>
      <c r="AI502" s="38"/>
    </row>
    <row r="503" ht="15.75" customHeight="1">
      <c r="A503" s="35"/>
      <c r="C503" s="442"/>
      <c r="P503" s="235"/>
      <c r="AI503" s="38"/>
    </row>
    <row r="504" ht="15.75" customHeight="1">
      <c r="A504" s="35"/>
      <c r="C504" s="442"/>
      <c r="P504" s="235"/>
      <c r="AI504" s="38"/>
    </row>
    <row r="505" ht="15.75" customHeight="1">
      <c r="A505" s="35"/>
      <c r="C505" s="442"/>
      <c r="P505" s="235"/>
      <c r="AI505" s="38"/>
    </row>
    <row r="506" ht="15.75" customHeight="1">
      <c r="A506" s="35"/>
      <c r="C506" s="442"/>
      <c r="P506" s="235"/>
      <c r="AI506" s="38"/>
    </row>
    <row r="507" ht="15.75" customHeight="1">
      <c r="A507" s="35"/>
      <c r="C507" s="442"/>
      <c r="P507" s="235"/>
      <c r="AI507" s="38"/>
    </row>
    <row r="508" ht="15.75" customHeight="1">
      <c r="A508" s="35"/>
      <c r="C508" s="442"/>
      <c r="P508" s="235"/>
      <c r="AI508" s="38"/>
    </row>
    <row r="509" ht="15.75" customHeight="1">
      <c r="A509" s="35"/>
      <c r="C509" s="442"/>
      <c r="P509" s="235"/>
      <c r="AI509" s="38"/>
    </row>
    <row r="510" ht="15.75" customHeight="1">
      <c r="A510" s="35"/>
      <c r="C510" s="442"/>
      <c r="P510" s="235"/>
      <c r="AI510" s="38"/>
    </row>
    <row r="511" ht="15.75" customHeight="1">
      <c r="A511" s="35"/>
      <c r="C511" s="442"/>
      <c r="P511" s="235"/>
      <c r="AI511" s="38"/>
    </row>
    <row r="512" ht="15.75" customHeight="1">
      <c r="A512" s="35"/>
      <c r="C512" s="442"/>
      <c r="P512" s="235"/>
      <c r="AI512" s="38"/>
    </row>
    <row r="513" ht="15.75" customHeight="1">
      <c r="A513" s="35"/>
      <c r="C513" s="442"/>
      <c r="P513" s="235"/>
      <c r="AI513" s="38"/>
    </row>
    <row r="514" ht="15.75" customHeight="1">
      <c r="A514" s="35"/>
      <c r="C514" s="442"/>
      <c r="P514" s="235"/>
      <c r="AI514" s="38"/>
    </row>
    <row r="515" ht="15.75" customHeight="1">
      <c r="A515" s="35"/>
      <c r="C515" s="442"/>
      <c r="P515" s="235"/>
      <c r="AI515" s="38"/>
    </row>
    <row r="516" ht="15.75" customHeight="1">
      <c r="A516" s="35"/>
      <c r="C516" s="442"/>
      <c r="P516" s="235"/>
      <c r="AI516" s="38"/>
    </row>
    <row r="517" ht="15.75" customHeight="1">
      <c r="A517" s="35"/>
      <c r="C517" s="442"/>
      <c r="P517" s="235"/>
      <c r="AI517" s="38"/>
    </row>
    <row r="518" ht="15.75" customHeight="1">
      <c r="A518" s="35"/>
      <c r="C518" s="442"/>
      <c r="P518" s="235"/>
      <c r="AI518" s="38"/>
    </row>
    <row r="519" ht="15.75" customHeight="1">
      <c r="A519" s="35"/>
      <c r="C519" s="442"/>
      <c r="P519" s="235"/>
      <c r="AI519" s="38"/>
    </row>
    <row r="520" ht="15.75" customHeight="1">
      <c r="A520" s="35"/>
      <c r="C520" s="442"/>
      <c r="P520" s="235"/>
      <c r="AI520" s="38"/>
    </row>
    <row r="521" ht="15.75" customHeight="1">
      <c r="A521" s="35"/>
      <c r="C521" s="442"/>
      <c r="P521" s="235"/>
      <c r="AI521" s="38"/>
    </row>
    <row r="522" ht="15.75" customHeight="1">
      <c r="A522" s="35"/>
      <c r="C522" s="442"/>
      <c r="P522" s="235"/>
      <c r="AI522" s="38"/>
    </row>
    <row r="523" ht="15.75" customHeight="1">
      <c r="A523" s="35"/>
      <c r="C523" s="442"/>
      <c r="P523" s="235"/>
      <c r="AI523" s="38"/>
    </row>
    <row r="524" ht="15.75" customHeight="1">
      <c r="A524" s="35"/>
      <c r="C524" s="442"/>
      <c r="P524" s="235"/>
      <c r="AI524" s="38"/>
    </row>
    <row r="525" ht="15.75" customHeight="1">
      <c r="A525" s="35"/>
      <c r="C525" s="442"/>
      <c r="P525" s="235"/>
      <c r="AI525" s="38"/>
    </row>
    <row r="526" ht="15.75" customHeight="1">
      <c r="A526" s="35"/>
      <c r="C526" s="442"/>
      <c r="P526" s="235"/>
      <c r="AI526" s="38"/>
    </row>
    <row r="527" ht="15.75" customHeight="1">
      <c r="A527" s="35"/>
      <c r="C527" s="442"/>
      <c r="P527" s="235"/>
      <c r="AI527" s="38"/>
    </row>
    <row r="528" ht="15.75" customHeight="1">
      <c r="A528" s="35"/>
      <c r="C528" s="442"/>
      <c r="P528" s="235"/>
      <c r="AI528" s="38"/>
    </row>
    <row r="529" ht="15.75" customHeight="1">
      <c r="A529" s="35"/>
      <c r="C529" s="442"/>
      <c r="P529" s="235"/>
      <c r="AI529" s="38"/>
    </row>
    <row r="530" ht="15.75" customHeight="1">
      <c r="A530" s="35"/>
      <c r="C530" s="442"/>
      <c r="P530" s="235"/>
      <c r="AI530" s="38"/>
    </row>
    <row r="531" ht="15.75" customHeight="1">
      <c r="A531" s="35"/>
      <c r="C531" s="442"/>
      <c r="P531" s="235"/>
      <c r="AI531" s="38"/>
    </row>
    <row r="532" ht="15.75" customHeight="1">
      <c r="A532" s="35"/>
      <c r="C532" s="442"/>
      <c r="P532" s="235"/>
      <c r="AI532" s="38"/>
    </row>
    <row r="533" ht="15.75" customHeight="1">
      <c r="A533" s="35"/>
      <c r="C533" s="442"/>
      <c r="P533" s="235"/>
      <c r="AI533" s="38"/>
    </row>
    <row r="534" ht="15.75" customHeight="1">
      <c r="A534" s="35"/>
      <c r="C534" s="442"/>
      <c r="P534" s="235"/>
      <c r="AI534" s="38"/>
    </row>
    <row r="535" ht="15.75" customHeight="1">
      <c r="A535" s="35"/>
      <c r="C535" s="442"/>
      <c r="P535" s="235"/>
      <c r="AI535" s="38"/>
    </row>
    <row r="536" ht="15.75" customHeight="1">
      <c r="A536" s="35"/>
      <c r="C536" s="442"/>
      <c r="P536" s="235"/>
      <c r="AI536" s="38"/>
    </row>
    <row r="537" ht="15.75" customHeight="1">
      <c r="A537" s="35"/>
      <c r="C537" s="442"/>
      <c r="P537" s="235"/>
      <c r="AI537" s="38"/>
    </row>
    <row r="538" ht="15.75" customHeight="1">
      <c r="A538" s="35"/>
      <c r="C538" s="442"/>
      <c r="P538" s="235"/>
      <c r="AI538" s="38"/>
    </row>
    <row r="539" ht="15.75" customHeight="1">
      <c r="A539" s="35"/>
      <c r="C539" s="442"/>
      <c r="P539" s="235"/>
      <c r="AI539" s="38"/>
    </row>
    <row r="540" ht="15.75" customHeight="1">
      <c r="A540" s="35"/>
      <c r="C540" s="442"/>
      <c r="P540" s="235"/>
      <c r="AI540" s="38"/>
    </row>
    <row r="541" ht="15.75" customHeight="1">
      <c r="A541" s="35"/>
      <c r="C541" s="442"/>
      <c r="P541" s="235"/>
      <c r="AI541" s="38"/>
    </row>
    <row r="542" ht="15.75" customHeight="1">
      <c r="A542" s="35"/>
      <c r="C542" s="442"/>
      <c r="P542" s="235"/>
      <c r="AI542" s="38"/>
    </row>
    <row r="543" ht="15.75" customHeight="1">
      <c r="A543" s="35"/>
      <c r="C543" s="442"/>
      <c r="P543" s="235"/>
      <c r="AI543" s="38"/>
    </row>
    <row r="544" ht="15.75" customHeight="1">
      <c r="A544" s="35"/>
      <c r="C544" s="442"/>
      <c r="P544" s="235"/>
      <c r="AI544" s="38"/>
    </row>
    <row r="545" ht="15.75" customHeight="1">
      <c r="A545" s="35"/>
      <c r="C545" s="442"/>
      <c r="P545" s="235"/>
      <c r="AI545" s="38"/>
    </row>
    <row r="546" ht="15.75" customHeight="1">
      <c r="A546" s="35"/>
      <c r="C546" s="442"/>
      <c r="P546" s="235"/>
      <c r="AI546" s="38"/>
    </row>
    <row r="547" ht="15.75" customHeight="1">
      <c r="A547" s="35"/>
      <c r="C547" s="442"/>
      <c r="P547" s="235"/>
      <c r="AI547" s="38"/>
    </row>
    <row r="548" ht="15.75" customHeight="1">
      <c r="A548" s="35"/>
      <c r="C548" s="442"/>
      <c r="P548" s="235"/>
      <c r="AI548" s="38"/>
    </row>
    <row r="549" ht="15.75" customHeight="1">
      <c r="A549" s="35"/>
      <c r="C549" s="442"/>
      <c r="P549" s="235"/>
      <c r="AI549" s="38"/>
    </row>
    <row r="550" ht="15.75" customHeight="1">
      <c r="A550" s="35"/>
      <c r="C550" s="442"/>
      <c r="P550" s="235"/>
      <c r="AI550" s="38"/>
    </row>
    <row r="551" ht="15.75" customHeight="1">
      <c r="A551" s="35"/>
      <c r="C551" s="442"/>
      <c r="P551" s="235"/>
      <c r="AI551" s="38"/>
    </row>
    <row r="552" ht="15.75" customHeight="1">
      <c r="A552" s="35"/>
      <c r="C552" s="442"/>
      <c r="P552" s="235"/>
      <c r="AI552" s="38"/>
    </row>
    <row r="553" ht="15.75" customHeight="1">
      <c r="A553" s="35"/>
      <c r="C553" s="442"/>
      <c r="P553" s="235"/>
      <c r="AI553" s="38"/>
    </row>
    <row r="554" ht="15.75" customHeight="1">
      <c r="A554" s="35"/>
      <c r="C554" s="442"/>
      <c r="P554" s="235"/>
      <c r="AI554" s="38"/>
    </row>
    <row r="555" ht="15.75" customHeight="1">
      <c r="A555" s="35"/>
      <c r="C555" s="442"/>
      <c r="P555" s="235"/>
      <c r="AI555" s="38"/>
    </row>
    <row r="556" ht="15.75" customHeight="1">
      <c r="A556" s="35"/>
      <c r="C556" s="442"/>
      <c r="P556" s="235"/>
      <c r="AI556" s="38"/>
    </row>
    <row r="557" ht="15.75" customHeight="1">
      <c r="A557" s="35"/>
      <c r="C557" s="442"/>
      <c r="P557" s="235"/>
      <c r="AI557" s="38"/>
    </row>
    <row r="558" ht="15.75" customHeight="1">
      <c r="A558" s="35"/>
      <c r="C558" s="442"/>
      <c r="P558" s="235"/>
      <c r="AI558" s="38"/>
    </row>
    <row r="559" ht="15.75" customHeight="1">
      <c r="A559" s="35"/>
      <c r="C559" s="442"/>
      <c r="P559" s="235"/>
      <c r="AI559" s="38"/>
    </row>
    <row r="560" ht="15.75" customHeight="1">
      <c r="A560" s="35"/>
      <c r="C560" s="442"/>
      <c r="P560" s="235"/>
      <c r="AI560" s="38"/>
    </row>
    <row r="561" ht="15.75" customHeight="1">
      <c r="A561" s="35"/>
      <c r="C561" s="442"/>
      <c r="P561" s="235"/>
      <c r="AI561" s="38"/>
    </row>
    <row r="562" ht="15.75" customHeight="1">
      <c r="A562" s="35"/>
      <c r="C562" s="442"/>
      <c r="P562" s="235"/>
      <c r="AI562" s="38"/>
    </row>
    <row r="563" ht="15.75" customHeight="1">
      <c r="A563" s="35"/>
      <c r="C563" s="442"/>
      <c r="P563" s="235"/>
      <c r="AI563" s="38"/>
    </row>
    <row r="564" ht="15.75" customHeight="1">
      <c r="A564" s="35"/>
      <c r="C564" s="442"/>
      <c r="P564" s="235"/>
      <c r="AI564" s="38"/>
    </row>
    <row r="565" ht="15.75" customHeight="1">
      <c r="A565" s="35"/>
      <c r="C565" s="442"/>
      <c r="P565" s="235"/>
      <c r="AI565" s="38"/>
    </row>
    <row r="566" ht="15.75" customHeight="1">
      <c r="A566" s="35"/>
      <c r="C566" s="442"/>
      <c r="P566" s="235"/>
      <c r="AI566" s="38"/>
    </row>
    <row r="567" ht="15.75" customHeight="1">
      <c r="A567" s="35"/>
      <c r="C567" s="442"/>
      <c r="P567" s="235"/>
      <c r="AI567" s="38"/>
    </row>
    <row r="568" ht="15.75" customHeight="1">
      <c r="A568" s="35"/>
      <c r="C568" s="442"/>
      <c r="P568" s="235"/>
      <c r="AI568" s="38"/>
    </row>
    <row r="569" ht="15.75" customHeight="1">
      <c r="A569" s="35"/>
      <c r="C569" s="442"/>
      <c r="P569" s="235"/>
      <c r="AI569" s="38"/>
    </row>
    <row r="570" ht="15.75" customHeight="1">
      <c r="A570" s="35"/>
      <c r="C570" s="442"/>
      <c r="P570" s="235"/>
      <c r="AI570" s="38"/>
    </row>
    <row r="571" ht="15.75" customHeight="1">
      <c r="A571" s="35"/>
      <c r="C571" s="442"/>
      <c r="P571" s="235"/>
      <c r="AI571" s="38"/>
    </row>
    <row r="572" ht="15.75" customHeight="1">
      <c r="A572" s="35"/>
      <c r="C572" s="442"/>
      <c r="P572" s="235"/>
      <c r="AI572" s="38"/>
    </row>
    <row r="573" ht="15.75" customHeight="1">
      <c r="A573" s="35"/>
      <c r="C573" s="442"/>
      <c r="P573" s="235"/>
      <c r="AI573" s="38"/>
    </row>
    <row r="574" ht="15.75" customHeight="1">
      <c r="A574" s="35"/>
      <c r="C574" s="442"/>
      <c r="P574" s="235"/>
      <c r="AI574" s="38"/>
    </row>
    <row r="575" ht="15.75" customHeight="1">
      <c r="A575" s="35"/>
      <c r="C575" s="442"/>
      <c r="P575" s="235"/>
      <c r="AI575" s="38"/>
    </row>
    <row r="576" ht="15.75" customHeight="1">
      <c r="A576" s="35"/>
      <c r="C576" s="442"/>
      <c r="P576" s="235"/>
      <c r="AI576" s="38"/>
    </row>
    <row r="577" ht="15.75" customHeight="1">
      <c r="A577" s="35"/>
      <c r="C577" s="442"/>
      <c r="P577" s="235"/>
      <c r="AI577" s="38"/>
    </row>
    <row r="578" ht="15.75" customHeight="1">
      <c r="A578" s="35"/>
      <c r="C578" s="442"/>
      <c r="P578" s="235"/>
      <c r="AI578" s="38"/>
    </row>
    <row r="579" ht="15.75" customHeight="1">
      <c r="A579" s="35"/>
      <c r="C579" s="442"/>
      <c r="P579" s="235"/>
      <c r="AI579" s="38"/>
    </row>
    <row r="580" ht="15.75" customHeight="1">
      <c r="A580" s="35"/>
      <c r="C580" s="442"/>
      <c r="P580" s="235"/>
      <c r="AI580" s="38"/>
    </row>
    <row r="581" ht="15.75" customHeight="1">
      <c r="A581" s="35"/>
      <c r="C581" s="442"/>
      <c r="P581" s="235"/>
      <c r="AI581" s="38"/>
    </row>
    <row r="582" ht="15.75" customHeight="1">
      <c r="A582" s="35"/>
      <c r="C582" s="442"/>
      <c r="P582" s="235"/>
      <c r="AI582" s="38"/>
    </row>
    <row r="583" ht="15.75" customHeight="1">
      <c r="A583" s="35"/>
      <c r="C583" s="442"/>
      <c r="P583" s="235"/>
      <c r="AI583" s="38"/>
    </row>
    <row r="584" ht="15.75" customHeight="1">
      <c r="A584" s="35"/>
      <c r="C584" s="442"/>
      <c r="P584" s="235"/>
      <c r="AI584" s="38"/>
    </row>
    <row r="585" ht="15.75" customHeight="1">
      <c r="A585" s="35"/>
      <c r="C585" s="442"/>
      <c r="P585" s="235"/>
      <c r="AI585" s="38"/>
    </row>
    <row r="586" ht="15.75" customHeight="1">
      <c r="A586" s="35"/>
      <c r="C586" s="442"/>
      <c r="P586" s="235"/>
      <c r="AI586" s="38"/>
    </row>
    <row r="587" ht="15.75" customHeight="1">
      <c r="A587" s="35"/>
      <c r="C587" s="442"/>
      <c r="P587" s="235"/>
      <c r="AI587" s="38"/>
    </row>
    <row r="588" ht="15.75" customHeight="1">
      <c r="A588" s="35"/>
      <c r="C588" s="442"/>
      <c r="P588" s="235"/>
      <c r="AI588" s="38"/>
    </row>
    <row r="589" ht="15.75" customHeight="1">
      <c r="A589" s="35"/>
      <c r="C589" s="442"/>
      <c r="P589" s="235"/>
      <c r="AI589" s="38"/>
    </row>
    <row r="590" ht="15.75" customHeight="1">
      <c r="A590" s="35"/>
      <c r="C590" s="442"/>
      <c r="P590" s="235"/>
      <c r="AI590" s="38"/>
    </row>
    <row r="591" ht="15.75" customHeight="1">
      <c r="A591" s="35"/>
      <c r="C591" s="442"/>
      <c r="P591" s="235"/>
      <c r="AI591" s="38"/>
    </row>
    <row r="592" ht="15.75" customHeight="1">
      <c r="A592" s="35"/>
      <c r="C592" s="442"/>
      <c r="P592" s="235"/>
      <c r="AI592" s="38"/>
    </row>
    <row r="593" ht="15.75" customHeight="1">
      <c r="A593" s="35"/>
      <c r="C593" s="442"/>
      <c r="P593" s="235"/>
      <c r="AI593" s="38"/>
    </row>
    <row r="594" ht="15.75" customHeight="1">
      <c r="A594" s="35"/>
      <c r="C594" s="442"/>
      <c r="P594" s="235"/>
      <c r="AI594" s="38"/>
    </row>
    <row r="595" ht="15.75" customHeight="1">
      <c r="A595" s="35"/>
      <c r="C595" s="442"/>
      <c r="P595" s="235"/>
      <c r="AI595" s="38"/>
    </row>
    <row r="596" ht="15.75" customHeight="1">
      <c r="A596" s="35"/>
      <c r="C596" s="442"/>
      <c r="P596" s="235"/>
      <c r="AI596" s="38"/>
    </row>
    <row r="597" ht="15.75" customHeight="1">
      <c r="A597" s="35"/>
      <c r="C597" s="442"/>
      <c r="P597" s="235"/>
      <c r="AI597" s="38"/>
    </row>
    <row r="598" ht="15.75" customHeight="1">
      <c r="A598" s="35"/>
      <c r="C598" s="442"/>
      <c r="P598" s="235"/>
      <c r="AI598" s="38"/>
    </row>
    <row r="599" ht="15.75" customHeight="1">
      <c r="A599" s="35"/>
      <c r="C599" s="442"/>
      <c r="P599" s="235"/>
      <c r="AI599" s="38"/>
    </row>
    <row r="600" ht="15.75" customHeight="1">
      <c r="A600" s="35"/>
      <c r="C600" s="442"/>
      <c r="P600" s="235"/>
      <c r="AI600" s="38"/>
    </row>
    <row r="601" ht="15.75" customHeight="1">
      <c r="A601" s="35"/>
      <c r="C601" s="442"/>
      <c r="P601" s="235"/>
      <c r="AI601" s="38"/>
    </row>
    <row r="602" ht="15.75" customHeight="1">
      <c r="A602" s="35"/>
      <c r="C602" s="442"/>
      <c r="P602" s="235"/>
      <c r="AI602" s="38"/>
    </row>
    <row r="603" ht="15.75" customHeight="1">
      <c r="A603" s="35"/>
      <c r="C603" s="442"/>
      <c r="P603" s="235"/>
      <c r="AI603" s="38"/>
    </row>
    <row r="604" ht="15.75" customHeight="1">
      <c r="A604" s="35"/>
      <c r="C604" s="442"/>
      <c r="P604" s="235"/>
      <c r="AI604" s="38"/>
    </row>
    <row r="605" ht="15.75" customHeight="1">
      <c r="A605" s="35"/>
      <c r="C605" s="442"/>
      <c r="P605" s="235"/>
      <c r="AI605" s="38"/>
    </row>
    <row r="606" ht="15.75" customHeight="1">
      <c r="A606" s="35"/>
      <c r="C606" s="442"/>
      <c r="P606" s="235"/>
      <c r="AI606" s="38"/>
    </row>
    <row r="607" ht="15.75" customHeight="1">
      <c r="A607" s="35"/>
      <c r="C607" s="442"/>
      <c r="P607" s="235"/>
      <c r="AI607" s="38"/>
    </row>
    <row r="608" ht="15.75" customHeight="1">
      <c r="A608" s="35"/>
      <c r="C608" s="442"/>
      <c r="P608" s="235"/>
      <c r="AI608" s="38"/>
    </row>
    <row r="609" ht="15.75" customHeight="1">
      <c r="A609" s="35"/>
      <c r="C609" s="442"/>
      <c r="P609" s="235"/>
      <c r="AI609" s="38"/>
    </row>
    <row r="610" ht="15.75" customHeight="1">
      <c r="A610" s="35"/>
      <c r="C610" s="442"/>
      <c r="P610" s="235"/>
      <c r="AI610" s="38"/>
    </row>
    <row r="611" ht="15.75" customHeight="1">
      <c r="A611" s="35"/>
      <c r="C611" s="442"/>
      <c r="P611" s="235"/>
      <c r="AI611" s="38"/>
    </row>
    <row r="612" ht="15.75" customHeight="1">
      <c r="A612" s="35"/>
      <c r="C612" s="442"/>
      <c r="P612" s="235"/>
      <c r="AI612" s="38"/>
    </row>
    <row r="613" ht="15.75" customHeight="1">
      <c r="A613" s="35"/>
      <c r="C613" s="442"/>
      <c r="P613" s="235"/>
      <c r="AI613" s="38"/>
    </row>
    <row r="614" ht="15.75" customHeight="1">
      <c r="A614" s="35"/>
      <c r="C614" s="442"/>
      <c r="P614" s="235"/>
      <c r="AI614" s="38"/>
    </row>
    <row r="615" ht="15.75" customHeight="1">
      <c r="A615" s="35"/>
      <c r="C615" s="442"/>
      <c r="P615" s="235"/>
      <c r="AI615" s="38"/>
    </row>
    <row r="616" ht="15.75" customHeight="1">
      <c r="A616" s="35"/>
      <c r="C616" s="442"/>
      <c r="P616" s="235"/>
      <c r="AI616" s="38"/>
    </row>
    <row r="617" ht="15.75" customHeight="1">
      <c r="A617" s="35"/>
      <c r="C617" s="442"/>
      <c r="P617" s="235"/>
      <c r="AI617" s="38"/>
    </row>
    <row r="618" ht="15.75" customHeight="1">
      <c r="A618" s="35"/>
      <c r="C618" s="442"/>
      <c r="P618" s="235"/>
      <c r="AI618" s="38"/>
    </row>
    <row r="619" ht="15.75" customHeight="1">
      <c r="A619" s="35"/>
      <c r="C619" s="442"/>
      <c r="P619" s="235"/>
      <c r="AI619" s="38"/>
    </row>
    <row r="620" ht="15.75" customHeight="1">
      <c r="A620" s="35"/>
      <c r="C620" s="442"/>
      <c r="P620" s="235"/>
      <c r="AI620" s="38"/>
    </row>
    <row r="621" ht="15.75" customHeight="1">
      <c r="A621" s="35"/>
      <c r="C621" s="442"/>
      <c r="P621" s="235"/>
      <c r="AI621" s="38"/>
    </row>
    <row r="622" ht="15.75" customHeight="1">
      <c r="A622" s="35"/>
      <c r="C622" s="442"/>
      <c r="P622" s="235"/>
      <c r="AI622" s="38"/>
    </row>
    <row r="623" ht="15.75" customHeight="1">
      <c r="A623" s="35"/>
      <c r="C623" s="442"/>
      <c r="P623" s="235"/>
      <c r="AI623" s="38"/>
    </row>
    <row r="624" ht="15.75" customHeight="1">
      <c r="A624" s="35"/>
      <c r="C624" s="442"/>
      <c r="P624" s="235"/>
      <c r="AI624" s="38"/>
    </row>
    <row r="625" ht="15.75" customHeight="1">
      <c r="A625" s="35"/>
      <c r="C625" s="442"/>
      <c r="P625" s="235"/>
      <c r="AI625" s="38"/>
    </row>
    <row r="626" ht="15.75" customHeight="1">
      <c r="A626" s="35"/>
      <c r="C626" s="442"/>
      <c r="P626" s="235"/>
      <c r="AI626" s="38"/>
    </row>
    <row r="627" ht="15.75" customHeight="1">
      <c r="A627" s="35"/>
      <c r="C627" s="442"/>
      <c r="P627" s="235"/>
      <c r="AI627" s="38"/>
    </row>
    <row r="628" ht="15.75" customHeight="1">
      <c r="A628" s="35"/>
      <c r="C628" s="442"/>
      <c r="P628" s="235"/>
      <c r="AI628" s="38"/>
    </row>
    <row r="629" ht="15.75" customHeight="1">
      <c r="A629" s="35"/>
      <c r="C629" s="442"/>
      <c r="P629" s="235"/>
      <c r="AI629" s="38"/>
    </row>
    <row r="630" ht="15.75" customHeight="1">
      <c r="A630" s="35"/>
      <c r="C630" s="442"/>
      <c r="P630" s="235"/>
      <c r="AI630" s="38"/>
    </row>
    <row r="631" ht="15.75" customHeight="1">
      <c r="A631" s="35"/>
      <c r="C631" s="442"/>
      <c r="P631" s="235"/>
      <c r="AI631" s="38"/>
    </row>
    <row r="632" ht="15.75" customHeight="1">
      <c r="A632" s="35"/>
      <c r="C632" s="442"/>
      <c r="P632" s="235"/>
      <c r="AI632" s="38"/>
    </row>
    <row r="633" ht="15.75" customHeight="1">
      <c r="A633" s="35"/>
      <c r="C633" s="442"/>
      <c r="P633" s="235"/>
      <c r="AI633" s="38"/>
    </row>
    <row r="634" ht="15.75" customHeight="1">
      <c r="A634" s="35"/>
      <c r="C634" s="442"/>
      <c r="P634" s="235"/>
      <c r="AI634" s="38"/>
    </row>
    <row r="635" ht="15.75" customHeight="1">
      <c r="A635" s="35"/>
      <c r="C635" s="442"/>
      <c r="P635" s="235"/>
      <c r="AI635" s="38"/>
    </row>
    <row r="636" ht="15.75" customHeight="1">
      <c r="A636" s="35"/>
      <c r="C636" s="442"/>
      <c r="P636" s="235"/>
      <c r="AI636" s="38"/>
    </row>
    <row r="637" ht="15.75" customHeight="1">
      <c r="A637" s="35"/>
      <c r="C637" s="442"/>
      <c r="P637" s="235"/>
      <c r="AI637" s="38"/>
    </row>
    <row r="638" ht="15.75" customHeight="1">
      <c r="A638" s="35"/>
      <c r="C638" s="442"/>
      <c r="P638" s="235"/>
      <c r="AI638" s="38"/>
    </row>
    <row r="639" ht="15.75" customHeight="1">
      <c r="A639" s="35"/>
      <c r="C639" s="442"/>
      <c r="P639" s="235"/>
      <c r="AI639" s="38"/>
    </row>
    <row r="640" ht="15.75" customHeight="1">
      <c r="A640" s="35"/>
      <c r="C640" s="442"/>
      <c r="P640" s="235"/>
      <c r="AI640" s="38"/>
    </row>
    <row r="641" ht="15.75" customHeight="1">
      <c r="A641" s="35"/>
      <c r="C641" s="442"/>
      <c r="P641" s="235"/>
      <c r="AI641" s="38"/>
    </row>
    <row r="642" ht="15.75" customHeight="1">
      <c r="A642" s="35"/>
      <c r="C642" s="442"/>
      <c r="P642" s="235"/>
      <c r="AI642" s="38"/>
    </row>
    <row r="643" ht="15.75" customHeight="1">
      <c r="A643" s="35"/>
      <c r="C643" s="442"/>
      <c r="P643" s="235"/>
      <c r="AI643" s="38"/>
    </row>
    <row r="644" ht="15.75" customHeight="1">
      <c r="A644" s="35"/>
      <c r="C644" s="442"/>
      <c r="P644" s="235"/>
      <c r="AI644" s="38"/>
    </row>
    <row r="645" ht="15.75" customHeight="1">
      <c r="A645" s="35"/>
      <c r="C645" s="442"/>
      <c r="P645" s="235"/>
      <c r="AI645" s="38"/>
    </row>
    <row r="646" ht="15.75" customHeight="1">
      <c r="A646" s="35"/>
      <c r="C646" s="442"/>
      <c r="P646" s="235"/>
      <c r="AI646" s="38"/>
    </row>
    <row r="647" ht="15.75" customHeight="1">
      <c r="A647" s="35"/>
      <c r="C647" s="442"/>
      <c r="P647" s="235"/>
      <c r="AI647" s="38"/>
    </row>
    <row r="648" ht="15.75" customHeight="1">
      <c r="A648" s="35"/>
      <c r="C648" s="442"/>
      <c r="P648" s="235"/>
      <c r="AI648" s="38"/>
    </row>
    <row r="649" ht="15.75" customHeight="1">
      <c r="A649" s="35"/>
      <c r="C649" s="442"/>
      <c r="P649" s="235"/>
      <c r="AI649" s="38"/>
    </row>
    <row r="650" ht="15.75" customHeight="1">
      <c r="A650" s="35"/>
      <c r="C650" s="442"/>
      <c r="P650" s="235"/>
      <c r="AI650" s="38"/>
    </row>
    <row r="651" ht="15.75" customHeight="1">
      <c r="A651" s="35"/>
      <c r="C651" s="442"/>
      <c r="P651" s="235"/>
      <c r="AI651" s="38"/>
    </row>
    <row r="652" ht="15.75" customHeight="1">
      <c r="A652" s="35"/>
      <c r="C652" s="442"/>
      <c r="P652" s="235"/>
      <c r="AI652" s="38"/>
    </row>
    <row r="653" ht="15.75" customHeight="1">
      <c r="A653" s="35"/>
      <c r="C653" s="442"/>
      <c r="P653" s="235"/>
      <c r="AI653" s="38"/>
    </row>
    <row r="654" ht="15.75" customHeight="1">
      <c r="A654" s="35"/>
      <c r="C654" s="442"/>
      <c r="P654" s="235"/>
      <c r="AI654" s="38"/>
    </row>
    <row r="655" ht="15.75" customHeight="1">
      <c r="A655" s="35"/>
      <c r="C655" s="442"/>
      <c r="P655" s="235"/>
      <c r="AI655" s="38"/>
    </row>
    <row r="656" ht="15.75" customHeight="1">
      <c r="A656" s="35"/>
      <c r="C656" s="442"/>
      <c r="P656" s="235"/>
      <c r="AI656" s="38"/>
    </row>
    <row r="657" ht="15.75" customHeight="1">
      <c r="A657" s="35"/>
      <c r="C657" s="442"/>
      <c r="P657" s="235"/>
      <c r="AI657" s="38"/>
    </row>
    <row r="658" ht="15.75" customHeight="1">
      <c r="A658" s="35"/>
      <c r="C658" s="442"/>
      <c r="P658" s="235"/>
      <c r="AI658" s="38"/>
    </row>
    <row r="659" ht="15.75" customHeight="1">
      <c r="A659" s="35"/>
      <c r="C659" s="442"/>
      <c r="P659" s="235"/>
      <c r="AI659" s="38"/>
    </row>
    <row r="660" ht="15.75" customHeight="1">
      <c r="A660" s="35"/>
      <c r="C660" s="442"/>
      <c r="P660" s="235"/>
      <c r="AI660" s="38"/>
    </row>
    <row r="661" ht="15.75" customHeight="1">
      <c r="A661" s="35"/>
      <c r="C661" s="442"/>
      <c r="P661" s="235"/>
      <c r="AI661" s="38"/>
    </row>
    <row r="662" ht="15.75" customHeight="1">
      <c r="A662" s="35"/>
      <c r="C662" s="442"/>
      <c r="P662" s="235"/>
      <c r="AI662" s="38"/>
    </row>
    <row r="663" ht="15.75" customHeight="1">
      <c r="A663" s="35"/>
      <c r="C663" s="442"/>
      <c r="P663" s="235"/>
      <c r="AI663" s="38"/>
    </row>
    <row r="664" ht="15.75" customHeight="1">
      <c r="A664" s="35"/>
      <c r="C664" s="442"/>
      <c r="P664" s="235"/>
      <c r="AI664" s="38"/>
    </row>
    <row r="665" ht="15.75" customHeight="1">
      <c r="A665" s="35"/>
      <c r="C665" s="442"/>
      <c r="P665" s="235"/>
      <c r="AI665" s="38"/>
    </row>
    <row r="666" ht="15.75" customHeight="1">
      <c r="A666" s="35"/>
      <c r="C666" s="442"/>
      <c r="P666" s="235"/>
      <c r="AI666" s="38"/>
    </row>
    <row r="667" ht="15.75" customHeight="1">
      <c r="A667" s="35"/>
      <c r="C667" s="442"/>
      <c r="P667" s="235"/>
      <c r="AI667" s="38"/>
    </row>
    <row r="668" ht="15.75" customHeight="1">
      <c r="A668" s="35"/>
      <c r="C668" s="442"/>
      <c r="P668" s="235"/>
      <c r="AI668" s="38"/>
    </row>
    <row r="669" ht="15.75" customHeight="1">
      <c r="A669" s="35"/>
      <c r="C669" s="442"/>
      <c r="P669" s="235"/>
      <c r="AI669" s="38"/>
    </row>
    <row r="670" ht="15.75" customHeight="1">
      <c r="A670" s="35"/>
      <c r="C670" s="442"/>
      <c r="P670" s="235"/>
      <c r="AI670" s="38"/>
    </row>
    <row r="671" ht="15.75" customHeight="1">
      <c r="A671" s="35"/>
      <c r="C671" s="442"/>
      <c r="P671" s="235"/>
      <c r="AI671" s="38"/>
    </row>
    <row r="672" ht="15.75" customHeight="1">
      <c r="A672" s="35"/>
      <c r="C672" s="442"/>
      <c r="P672" s="235"/>
      <c r="AI672" s="38"/>
    </row>
    <row r="673" ht="15.75" customHeight="1">
      <c r="A673" s="35"/>
      <c r="C673" s="442"/>
      <c r="P673" s="235"/>
      <c r="AI673" s="38"/>
    </row>
    <row r="674" ht="15.75" customHeight="1">
      <c r="A674" s="35"/>
      <c r="C674" s="442"/>
      <c r="P674" s="235"/>
      <c r="AI674" s="38"/>
    </row>
    <row r="675" ht="15.75" customHeight="1">
      <c r="A675" s="35"/>
      <c r="C675" s="442"/>
      <c r="P675" s="235"/>
      <c r="AI675" s="38"/>
    </row>
    <row r="676" ht="15.75" customHeight="1">
      <c r="A676" s="35"/>
      <c r="C676" s="442"/>
      <c r="P676" s="235"/>
      <c r="AI676" s="38"/>
    </row>
    <row r="677" ht="15.75" customHeight="1">
      <c r="A677" s="35"/>
      <c r="C677" s="442"/>
      <c r="P677" s="235"/>
      <c r="AI677" s="38"/>
    </row>
    <row r="678" ht="15.75" customHeight="1">
      <c r="A678" s="35"/>
      <c r="C678" s="442"/>
      <c r="P678" s="235"/>
      <c r="AI678" s="38"/>
    </row>
    <row r="679" ht="15.75" customHeight="1">
      <c r="A679" s="35"/>
      <c r="C679" s="442"/>
      <c r="P679" s="235"/>
      <c r="AI679" s="38"/>
    </row>
    <row r="680" ht="15.75" customHeight="1">
      <c r="A680" s="35"/>
      <c r="C680" s="442"/>
      <c r="P680" s="235"/>
      <c r="AI680" s="38"/>
    </row>
    <row r="681" ht="15.75" customHeight="1">
      <c r="A681" s="35"/>
      <c r="C681" s="442"/>
      <c r="P681" s="235"/>
      <c r="AI681" s="38"/>
    </row>
    <row r="682" ht="15.75" customHeight="1">
      <c r="A682" s="35"/>
      <c r="C682" s="442"/>
      <c r="P682" s="235"/>
      <c r="AI682" s="38"/>
    </row>
    <row r="683" ht="15.75" customHeight="1">
      <c r="A683" s="35"/>
      <c r="C683" s="442"/>
      <c r="P683" s="235"/>
      <c r="AI683" s="38"/>
    </row>
    <row r="684" ht="15.75" customHeight="1">
      <c r="A684" s="35"/>
      <c r="C684" s="442"/>
      <c r="P684" s="235"/>
      <c r="AI684" s="38"/>
    </row>
    <row r="685" ht="15.75" customHeight="1">
      <c r="A685" s="35"/>
      <c r="C685" s="442"/>
      <c r="P685" s="235"/>
      <c r="AI685" s="38"/>
    </row>
    <row r="686" ht="15.75" customHeight="1">
      <c r="A686" s="35"/>
      <c r="C686" s="442"/>
      <c r="P686" s="235"/>
      <c r="AI686" s="38"/>
    </row>
    <row r="687" ht="15.75" customHeight="1">
      <c r="A687" s="35"/>
      <c r="C687" s="442"/>
      <c r="P687" s="235"/>
      <c r="AI687" s="38"/>
    </row>
    <row r="688" ht="15.75" customHeight="1">
      <c r="A688" s="35"/>
      <c r="C688" s="442"/>
      <c r="P688" s="235"/>
      <c r="AI688" s="38"/>
    </row>
    <row r="689" ht="15.75" customHeight="1">
      <c r="A689" s="35"/>
      <c r="C689" s="442"/>
      <c r="P689" s="235"/>
      <c r="AI689" s="38"/>
    </row>
    <row r="690" ht="15.75" customHeight="1">
      <c r="A690" s="35"/>
      <c r="C690" s="442"/>
      <c r="P690" s="235"/>
      <c r="AI690" s="38"/>
    </row>
    <row r="691" ht="15.75" customHeight="1">
      <c r="A691" s="35"/>
      <c r="C691" s="442"/>
      <c r="P691" s="235"/>
      <c r="AI691" s="38"/>
    </row>
    <row r="692" ht="15.75" customHeight="1">
      <c r="A692" s="35"/>
      <c r="C692" s="442"/>
      <c r="P692" s="235"/>
      <c r="AI692" s="38"/>
    </row>
    <row r="693" ht="15.75" customHeight="1">
      <c r="A693" s="35"/>
      <c r="C693" s="442"/>
      <c r="P693" s="235"/>
      <c r="AI693" s="38"/>
    </row>
    <row r="694" ht="15.75" customHeight="1">
      <c r="A694" s="35"/>
      <c r="C694" s="442"/>
      <c r="P694" s="235"/>
      <c r="AI694" s="38"/>
    </row>
    <row r="695" ht="15.75" customHeight="1">
      <c r="A695" s="35"/>
      <c r="C695" s="442"/>
      <c r="P695" s="235"/>
      <c r="AI695" s="38"/>
    </row>
    <row r="696" ht="15.75" customHeight="1">
      <c r="A696" s="35"/>
      <c r="C696" s="442"/>
      <c r="P696" s="235"/>
      <c r="AI696" s="38"/>
    </row>
    <row r="697" ht="15.75" customHeight="1">
      <c r="A697" s="35"/>
      <c r="C697" s="442"/>
      <c r="P697" s="235"/>
      <c r="AI697" s="38"/>
    </row>
    <row r="698" ht="15.75" customHeight="1">
      <c r="A698" s="35"/>
      <c r="C698" s="442"/>
      <c r="P698" s="235"/>
      <c r="AI698" s="38"/>
    </row>
    <row r="699" ht="15.75" customHeight="1">
      <c r="A699" s="35"/>
      <c r="C699" s="442"/>
      <c r="P699" s="235"/>
      <c r="AI699" s="38"/>
    </row>
    <row r="700" ht="15.75" customHeight="1">
      <c r="A700" s="35"/>
      <c r="C700" s="442"/>
      <c r="P700" s="235"/>
      <c r="AI700" s="38"/>
    </row>
    <row r="701" ht="15.75" customHeight="1">
      <c r="A701" s="35"/>
      <c r="C701" s="442"/>
      <c r="P701" s="235"/>
      <c r="AI701" s="38"/>
    </row>
    <row r="702" ht="15.75" customHeight="1">
      <c r="A702" s="35"/>
      <c r="C702" s="442"/>
      <c r="P702" s="235"/>
      <c r="AI702" s="38"/>
    </row>
    <row r="703" ht="15.75" customHeight="1">
      <c r="A703" s="35"/>
      <c r="C703" s="442"/>
      <c r="P703" s="235"/>
      <c r="AI703" s="38"/>
    </row>
    <row r="704" ht="15.75" customHeight="1">
      <c r="A704" s="35"/>
      <c r="C704" s="442"/>
      <c r="P704" s="235"/>
      <c r="AI704" s="38"/>
    </row>
    <row r="705" ht="15.75" customHeight="1">
      <c r="A705" s="35"/>
      <c r="C705" s="442"/>
      <c r="P705" s="235"/>
      <c r="AI705" s="38"/>
    </row>
    <row r="706" ht="15.75" customHeight="1">
      <c r="A706" s="35"/>
      <c r="C706" s="442"/>
      <c r="P706" s="235"/>
      <c r="AI706" s="38"/>
    </row>
    <row r="707" ht="15.75" customHeight="1">
      <c r="A707" s="35"/>
      <c r="C707" s="442"/>
      <c r="P707" s="235"/>
      <c r="AI707" s="38"/>
    </row>
    <row r="708" ht="15.75" customHeight="1">
      <c r="A708" s="35"/>
      <c r="C708" s="442"/>
      <c r="P708" s="235"/>
      <c r="AI708" s="38"/>
    </row>
    <row r="709" ht="15.75" customHeight="1">
      <c r="A709" s="35"/>
      <c r="C709" s="442"/>
      <c r="P709" s="235"/>
      <c r="AI709" s="38"/>
    </row>
    <row r="710" ht="15.75" customHeight="1">
      <c r="A710" s="35"/>
      <c r="C710" s="442"/>
      <c r="P710" s="235"/>
      <c r="AI710" s="38"/>
    </row>
    <row r="711" ht="15.75" customHeight="1">
      <c r="A711" s="35"/>
      <c r="C711" s="442"/>
      <c r="P711" s="235"/>
      <c r="AI711" s="38"/>
    </row>
    <row r="712" ht="15.75" customHeight="1">
      <c r="A712" s="35"/>
      <c r="C712" s="442"/>
      <c r="P712" s="235"/>
      <c r="AI712" s="38"/>
    </row>
    <row r="713" ht="15.75" customHeight="1">
      <c r="A713" s="35"/>
      <c r="C713" s="442"/>
      <c r="P713" s="235"/>
      <c r="AI713" s="38"/>
    </row>
    <row r="714" ht="15.75" customHeight="1">
      <c r="A714" s="35"/>
      <c r="C714" s="442"/>
      <c r="P714" s="235"/>
      <c r="AI714" s="38"/>
    </row>
    <row r="715" ht="15.75" customHeight="1">
      <c r="A715" s="35"/>
      <c r="C715" s="442"/>
      <c r="P715" s="235"/>
      <c r="AI715" s="38"/>
    </row>
    <row r="716" ht="15.75" customHeight="1">
      <c r="A716" s="35"/>
      <c r="C716" s="442"/>
      <c r="P716" s="235"/>
      <c r="AI716" s="38"/>
    </row>
    <row r="717" ht="15.75" customHeight="1">
      <c r="A717" s="35"/>
      <c r="C717" s="442"/>
      <c r="P717" s="235"/>
      <c r="AI717" s="38"/>
    </row>
    <row r="718" ht="15.75" customHeight="1">
      <c r="A718" s="35"/>
      <c r="C718" s="442"/>
      <c r="P718" s="235"/>
      <c r="AI718" s="38"/>
    </row>
    <row r="719" ht="15.75" customHeight="1">
      <c r="A719" s="35"/>
      <c r="C719" s="442"/>
      <c r="P719" s="235"/>
      <c r="AI719" s="38"/>
    </row>
    <row r="720" ht="15.75" customHeight="1">
      <c r="A720" s="35"/>
      <c r="C720" s="442"/>
      <c r="P720" s="235"/>
      <c r="AI720" s="38"/>
    </row>
    <row r="721" ht="15.75" customHeight="1">
      <c r="A721" s="35"/>
      <c r="C721" s="442"/>
      <c r="P721" s="235"/>
      <c r="AI721" s="38"/>
    </row>
    <row r="722" ht="15.75" customHeight="1">
      <c r="A722" s="35"/>
      <c r="C722" s="442"/>
      <c r="P722" s="235"/>
      <c r="AI722" s="38"/>
    </row>
    <row r="723" ht="15.75" customHeight="1">
      <c r="A723" s="35"/>
      <c r="C723" s="442"/>
      <c r="P723" s="235"/>
      <c r="AI723" s="38"/>
    </row>
    <row r="724" ht="15.75" customHeight="1">
      <c r="A724" s="35"/>
      <c r="C724" s="442"/>
      <c r="P724" s="235"/>
      <c r="AI724" s="38"/>
    </row>
    <row r="725" ht="15.75" customHeight="1">
      <c r="A725" s="35"/>
      <c r="C725" s="442"/>
      <c r="P725" s="235"/>
      <c r="AI725" s="38"/>
    </row>
    <row r="726" ht="15.75" customHeight="1">
      <c r="A726" s="35"/>
      <c r="C726" s="442"/>
      <c r="P726" s="235"/>
      <c r="AI726" s="38"/>
    </row>
    <row r="727" ht="15.75" customHeight="1">
      <c r="A727" s="35"/>
      <c r="C727" s="442"/>
      <c r="P727" s="235"/>
      <c r="AI727" s="38"/>
    </row>
    <row r="728" ht="15.75" customHeight="1">
      <c r="A728" s="35"/>
      <c r="C728" s="442"/>
      <c r="P728" s="235"/>
      <c r="AI728" s="38"/>
    </row>
    <row r="729" ht="15.75" customHeight="1">
      <c r="A729" s="35"/>
      <c r="C729" s="442"/>
      <c r="P729" s="235"/>
      <c r="AI729" s="38"/>
    </row>
    <row r="730" ht="15.75" customHeight="1">
      <c r="A730" s="35"/>
      <c r="C730" s="442"/>
      <c r="P730" s="235"/>
      <c r="AI730" s="38"/>
    </row>
    <row r="731" ht="15.75" customHeight="1">
      <c r="A731" s="35"/>
      <c r="C731" s="442"/>
      <c r="P731" s="235"/>
      <c r="AI731" s="38"/>
    </row>
    <row r="732" ht="15.75" customHeight="1">
      <c r="A732" s="35"/>
      <c r="C732" s="442"/>
      <c r="P732" s="235"/>
      <c r="AI732" s="38"/>
    </row>
    <row r="733" ht="15.75" customHeight="1">
      <c r="A733" s="35"/>
      <c r="C733" s="442"/>
      <c r="P733" s="235"/>
      <c r="AI733" s="38"/>
    </row>
    <row r="734" ht="15.75" customHeight="1">
      <c r="A734" s="35"/>
      <c r="C734" s="442"/>
      <c r="P734" s="235"/>
      <c r="AI734" s="38"/>
    </row>
    <row r="735" ht="15.75" customHeight="1">
      <c r="A735" s="35"/>
      <c r="C735" s="442"/>
      <c r="P735" s="235"/>
      <c r="AI735" s="38"/>
    </row>
    <row r="736" ht="15.75" customHeight="1">
      <c r="A736" s="35"/>
      <c r="C736" s="442"/>
      <c r="P736" s="235"/>
      <c r="AI736" s="38"/>
    </row>
    <row r="737" ht="15.75" customHeight="1">
      <c r="A737" s="35"/>
      <c r="C737" s="442"/>
      <c r="P737" s="235"/>
      <c r="AI737" s="38"/>
    </row>
    <row r="738" ht="15.75" customHeight="1">
      <c r="A738" s="35"/>
      <c r="C738" s="442"/>
      <c r="P738" s="235"/>
      <c r="AI738" s="38"/>
    </row>
    <row r="739" ht="15.75" customHeight="1">
      <c r="A739" s="35"/>
      <c r="C739" s="442"/>
      <c r="P739" s="235"/>
      <c r="AI739" s="38"/>
    </row>
    <row r="740" ht="15.75" customHeight="1">
      <c r="A740" s="35"/>
      <c r="C740" s="442"/>
      <c r="P740" s="235"/>
      <c r="AI740" s="38"/>
    </row>
    <row r="741" ht="15.75" customHeight="1">
      <c r="A741" s="35"/>
      <c r="C741" s="442"/>
      <c r="P741" s="235"/>
      <c r="AI741" s="38"/>
    </row>
    <row r="742" ht="15.75" customHeight="1">
      <c r="A742" s="35"/>
      <c r="C742" s="442"/>
      <c r="P742" s="235"/>
      <c r="AI742" s="38"/>
    </row>
    <row r="743" ht="15.75" customHeight="1">
      <c r="A743" s="35"/>
      <c r="C743" s="442"/>
      <c r="P743" s="235"/>
      <c r="AI743" s="38"/>
    </row>
    <row r="744" ht="15.75" customHeight="1">
      <c r="A744" s="35"/>
      <c r="C744" s="442"/>
      <c r="P744" s="235"/>
      <c r="AI744" s="38"/>
    </row>
    <row r="745" ht="15.75" customHeight="1">
      <c r="A745" s="35"/>
      <c r="C745" s="442"/>
      <c r="P745" s="235"/>
      <c r="AI745" s="38"/>
    </row>
    <row r="746" ht="15.75" customHeight="1">
      <c r="A746" s="35"/>
      <c r="C746" s="442"/>
      <c r="P746" s="235"/>
      <c r="AI746" s="38"/>
    </row>
    <row r="747" ht="15.75" customHeight="1">
      <c r="A747" s="35"/>
      <c r="C747" s="442"/>
      <c r="P747" s="235"/>
      <c r="AI747" s="38"/>
    </row>
    <row r="748" ht="15.75" customHeight="1">
      <c r="A748" s="35"/>
      <c r="C748" s="442"/>
      <c r="P748" s="235"/>
      <c r="AI748" s="38"/>
    </row>
    <row r="749" ht="15.75" customHeight="1">
      <c r="A749" s="35"/>
      <c r="C749" s="442"/>
      <c r="P749" s="235"/>
      <c r="AI749" s="38"/>
    </row>
    <row r="750" ht="15.75" customHeight="1">
      <c r="A750" s="35"/>
      <c r="C750" s="442"/>
      <c r="P750" s="235"/>
      <c r="AI750" s="38"/>
    </row>
    <row r="751" ht="15.75" customHeight="1">
      <c r="A751" s="35"/>
      <c r="C751" s="442"/>
      <c r="P751" s="235"/>
      <c r="AI751" s="38"/>
    </row>
    <row r="752" ht="15.75" customHeight="1">
      <c r="A752" s="35"/>
      <c r="C752" s="442"/>
      <c r="P752" s="235"/>
      <c r="AI752" s="38"/>
    </row>
    <row r="753" ht="15.75" customHeight="1">
      <c r="A753" s="35"/>
      <c r="C753" s="442"/>
      <c r="P753" s="235"/>
      <c r="AI753" s="38"/>
    </row>
    <row r="754" ht="15.75" customHeight="1">
      <c r="A754" s="35"/>
      <c r="C754" s="442"/>
      <c r="P754" s="235"/>
      <c r="AI754" s="38"/>
    </row>
    <row r="755" ht="15.75" customHeight="1">
      <c r="A755" s="35"/>
      <c r="C755" s="442"/>
      <c r="P755" s="235"/>
      <c r="AI755" s="38"/>
    </row>
    <row r="756" ht="15.75" customHeight="1">
      <c r="A756" s="35"/>
      <c r="C756" s="442"/>
      <c r="P756" s="235"/>
      <c r="AI756" s="38"/>
    </row>
    <row r="757" ht="15.75" customHeight="1">
      <c r="A757" s="35"/>
      <c r="C757" s="442"/>
      <c r="P757" s="235"/>
      <c r="AI757" s="38"/>
    </row>
    <row r="758" ht="15.75" customHeight="1">
      <c r="A758" s="35"/>
      <c r="C758" s="442"/>
      <c r="P758" s="235"/>
      <c r="AI758" s="38"/>
    </row>
    <row r="759" ht="15.75" customHeight="1">
      <c r="A759" s="35"/>
      <c r="C759" s="442"/>
      <c r="P759" s="235"/>
      <c r="AI759" s="38"/>
    </row>
    <row r="760" ht="15.75" customHeight="1">
      <c r="A760" s="35"/>
      <c r="C760" s="442"/>
      <c r="P760" s="235"/>
      <c r="AI760" s="38"/>
    </row>
    <row r="761" ht="15.75" customHeight="1">
      <c r="A761" s="35"/>
      <c r="C761" s="442"/>
      <c r="P761" s="235"/>
      <c r="AI761" s="38"/>
    </row>
    <row r="762" ht="15.75" customHeight="1">
      <c r="A762" s="35"/>
      <c r="C762" s="442"/>
      <c r="P762" s="235"/>
      <c r="AI762" s="38"/>
    </row>
    <row r="763" ht="15.75" customHeight="1">
      <c r="A763" s="35"/>
      <c r="C763" s="442"/>
      <c r="P763" s="235"/>
      <c r="AI763" s="38"/>
    </row>
    <row r="764" ht="15.75" customHeight="1">
      <c r="A764" s="35"/>
      <c r="C764" s="442"/>
      <c r="P764" s="235"/>
      <c r="AI764" s="38"/>
    </row>
    <row r="765" ht="15.75" customHeight="1">
      <c r="A765" s="35"/>
      <c r="C765" s="442"/>
      <c r="P765" s="235"/>
      <c r="AI765" s="38"/>
    </row>
    <row r="766" ht="15.75" customHeight="1">
      <c r="A766" s="35"/>
      <c r="C766" s="442"/>
      <c r="P766" s="235"/>
      <c r="AI766" s="38"/>
    </row>
    <row r="767" ht="15.75" customHeight="1">
      <c r="A767" s="35"/>
      <c r="C767" s="442"/>
      <c r="P767" s="235"/>
      <c r="AI767" s="38"/>
    </row>
    <row r="768" ht="15.75" customHeight="1">
      <c r="A768" s="35"/>
      <c r="C768" s="442"/>
      <c r="P768" s="235"/>
      <c r="AI768" s="38"/>
    </row>
    <row r="769" ht="15.75" customHeight="1">
      <c r="A769" s="35"/>
      <c r="C769" s="442"/>
      <c r="P769" s="235"/>
      <c r="AI769" s="38"/>
    </row>
    <row r="770" ht="15.75" customHeight="1">
      <c r="A770" s="35"/>
      <c r="C770" s="442"/>
      <c r="P770" s="235"/>
      <c r="AI770" s="38"/>
    </row>
    <row r="771" ht="15.75" customHeight="1">
      <c r="A771" s="35"/>
      <c r="C771" s="442"/>
      <c r="P771" s="235"/>
      <c r="AI771" s="38"/>
    </row>
    <row r="772" ht="15.75" customHeight="1">
      <c r="A772" s="35"/>
      <c r="C772" s="442"/>
      <c r="P772" s="235"/>
      <c r="AI772" s="38"/>
    </row>
    <row r="773" ht="15.75" customHeight="1">
      <c r="A773" s="35"/>
      <c r="C773" s="442"/>
      <c r="P773" s="235"/>
      <c r="AI773" s="38"/>
    </row>
    <row r="774" ht="15.75" customHeight="1">
      <c r="A774" s="35"/>
      <c r="C774" s="442"/>
      <c r="P774" s="235"/>
      <c r="AI774" s="38"/>
    </row>
    <row r="775" ht="15.75" customHeight="1">
      <c r="A775" s="35"/>
      <c r="C775" s="442"/>
      <c r="P775" s="235"/>
      <c r="AI775" s="38"/>
    </row>
    <row r="776" ht="15.75" customHeight="1">
      <c r="A776" s="35"/>
      <c r="C776" s="442"/>
      <c r="P776" s="235"/>
      <c r="AI776" s="38"/>
    </row>
    <row r="777" ht="15.75" customHeight="1">
      <c r="A777" s="35"/>
      <c r="C777" s="442"/>
      <c r="P777" s="235"/>
      <c r="AI777" s="38"/>
    </row>
    <row r="778" ht="15.75" customHeight="1">
      <c r="A778" s="35"/>
      <c r="C778" s="442"/>
      <c r="P778" s="235"/>
      <c r="AI778" s="38"/>
    </row>
    <row r="779" ht="15.75" customHeight="1">
      <c r="A779" s="35"/>
      <c r="C779" s="442"/>
      <c r="P779" s="235"/>
      <c r="AI779" s="38"/>
    </row>
    <row r="780" ht="15.75" customHeight="1">
      <c r="A780" s="35"/>
      <c r="C780" s="442"/>
      <c r="P780" s="235"/>
      <c r="AI780" s="38"/>
    </row>
    <row r="781" ht="15.75" customHeight="1">
      <c r="A781" s="35"/>
      <c r="C781" s="442"/>
      <c r="P781" s="235"/>
      <c r="AI781" s="38"/>
    </row>
    <row r="782" ht="15.75" customHeight="1">
      <c r="A782" s="35"/>
      <c r="C782" s="442"/>
      <c r="P782" s="235"/>
      <c r="AI782" s="38"/>
    </row>
    <row r="783" ht="15.75" customHeight="1">
      <c r="A783" s="35"/>
      <c r="C783" s="442"/>
      <c r="P783" s="235"/>
      <c r="AI783" s="38"/>
    </row>
    <row r="784" ht="15.75" customHeight="1">
      <c r="A784" s="35"/>
      <c r="C784" s="442"/>
      <c r="P784" s="235"/>
      <c r="AI784" s="38"/>
    </row>
    <row r="785" ht="15.75" customHeight="1">
      <c r="A785" s="35"/>
      <c r="C785" s="442"/>
      <c r="P785" s="235"/>
      <c r="AI785" s="38"/>
    </row>
    <row r="786" ht="15.75" customHeight="1">
      <c r="A786" s="35"/>
      <c r="C786" s="442"/>
      <c r="P786" s="235"/>
      <c r="AI786" s="38"/>
    </row>
    <row r="787" ht="15.75" customHeight="1">
      <c r="A787" s="35"/>
      <c r="C787" s="442"/>
      <c r="P787" s="235"/>
      <c r="AI787" s="38"/>
    </row>
    <row r="788" ht="15.75" customHeight="1">
      <c r="A788" s="35"/>
      <c r="C788" s="442"/>
      <c r="P788" s="235"/>
      <c r="AI788" s="38"/>
    </row>
    <row r="789" ht="15.75" customHeight="1">
      <c r="A789" s="35"/>
      <c r="C789" s="442"/>
      <c r="P789" s="235"/>
      <c r="AI789" s="38"/>
    </row>
    <row r="790" ht="15.75" customHeight="1">
      <c r="A790" s="35"/>
      <c r="C790" s="442"/>
      <c r="P790" s="235"/>
      <c r="AI790" s="38"/>
    </row>
    <row r="791" ht="15.75" customHeight="1">
      <c r="A791" s="35"/>
      <c r="C791" s="442"/>
      <c r="P791" s="235"/>
      <c r="AI791" s="38"/>
    </row>
    <row r="792" ht="15.75" customHeight="1">
      <c r="A792" s="35"/>
      <c r="C792" s="442"/>
      <c r="P792" s="235"/>
      <c r="AI792" s="38"/>
    </row>
    <row r="793" ht="15.75" customHeight="1">
      <c r="A793" s="35"/>
      <c r="C793" s="442"/>
      <c r="P793" s="235"/>
      <c r="AI793" s="38"/>
    </row>
    <row r="794" ht="15.75" customHeight="1">
      <c r="A794" s="35"/>
      <c r="C794" s="442"/>
      <c r="P794" s="235"/>
      <c r="AI794" s="38"/>
    </row>
    <row r="795" ht="15.75" customHeight="1">
      <c r="A795" s="35"/>
      <c r="C795" s="442"/>
      <c r="P795" s="235"/>
      <c r="AI795" s="38"/>
    </row>
    <row r="796" ht="15.75" customHeight="1">
      <c r="A796" s="35"/>
      <c r="C796" s="442"/>
      <c r="P796" s="235"/>
      <c r="AI796" s="38"/>
    </row>
    <row r="797" ht="15.75" customHeight="1">
      <c r="A797" s="35"/>
      <c r="C797" s="442"/>
      <c r="P797" s="235"/>
      <c r="AI797" s="38"/>
    </row>
    <row r="798" ht="15.75" customHeight="1">
      <c r="A798" s="35"/>
      <c r="C798" s="442"/>
      <c r="P798" s="235"/>
      <c r="AI798" s="38"/>
    </row>
    <row r="799" ht="15.75" customHeight="1">
      <c r="A799" s="35"/>
      <c r="C799" s="442"/>
      <c r="P799" s="235"/>
      <c r="AI799" s="38"/>
    </row>
    <row r="800" ht="15.75" customHeight="1">
      <c r="A800" s="35"/>
      <c r="C800" s="442"/>
      <c r="P800" s="235"/>
      <c r="AI800" s="38"/>
    </row>
    <row r="801" ht="15.75" customHeight="1">
      <c r="A801" s="35"/>
      <c r="C801" s="442"/>
      <c r="P801" s="235"/>
      <c r="AI801" s="38"/>
    </row>
    <row r="802" ht="15.75" customHeight="1">
      <c r="A802" s="35"/>
      <c r="C802" s="442"/>
      <c r="P802" s="235"/>
      <c r="AI802" s="38"/>
    </row>
    <row r="803" ht="15.75" customHeight="1">
      <c r="A803" s="35"/>
      <c r="C803" s="442"/>
      <c r="P803" s="235"/>
      <c r="AI803" s="38"/>
    </row>
    <row r="804" ht="15.75" customHeight="1">
      <c r="A804" s="35"/>
      <c r="C804" s="442"/>
      <c r="P804" s="235"/>
      <c r="AI804" s="38"/>
    </row>
    <row r="805" ht="15.75" customHeight="1">
      <c r="A805" s="35"/>
      <c r="C805" s="442"/>
      <c r="P805" s="235"/>
      <c r="AI805" s="38"/>
    </row>
    <row r="806" ht="15.75" customHeight="1">
      <c r="A806" s="35"/>
      <c r="C806" s="442"/>
      <c r="P806" s="235"/>
      <c r="AI806" s="38"/>
    </row>
    <row r="807" ht="15.75" customHeight="1">
      <c r="A807" s="35"/>
      <c r="C807" s="442"/>
      <c r="P807" s="235"/>
      <c r="AI807" s="38"/>
    </row>
    <row r="808" ht="15.75" customHeight="1">
      <c r="A808" s="35"/>
      <c r="C808" s="442"/>
      <c r="P808" s="235"/>
      <c r="AI808" s="38"/>
    </row>
    <row r="809" ht="15.75" customHeight="1">
      <c r="A809" s="35"/>
      <c r="C809" s="442"/>
      <c r="P809" s="235"/>
      <c r="AI809" s="38"/>
    </row>
    <row r="810" ht="15.75" customHeight="1">
      <c r="A810" s="35"/>
      <c r="C810" s="442"/>
      <c r="P810" s="235"/>
      <c r="AI810" s="38"/>
    </row>
    <row r="811" ht="15.75" customHeight="1">
      <c r="A811" s="35"/>
      <c r="C811" s="442"/>
      <c r="P811" s="235"/>
      <c r="AI811" s="38"/>
    </row>
    <row r="812" ht="15.75" customHeight="1">
      <c r="A812" s="35"/>
      <c r="C812" s="442"/>
      <c r="P812" s="235"/>
      <c r="AI812" s="38"/>
    </row>
    <row r="813" ht="15.75" customHeight="1">
      <c r="A813" s="35"/>
      <c r="C813" s="442"/>
      <c r="P813" s="235"/>
      <c r="AI813" s="38"/>
    </row>
    <row r="814" ht="15.75" customHeight="1">
      <c r="A814" s="35"/>
      <c r="C814" s="442"/>
      <c r="P814" s="235"/>
      <c r="AI814" s="38"/>
    </row>
    <row r="815" ht="15.75" customHeight="1">
      <c r="A815" s="35"/>
      <c r="C815" s="442"/>
      <c r="P815" s="235"/>
      <c r="AI815" s="38"/>
    </row>
    <row r="816" ht="15.75" customHeight="1">
      <c r="A816" s="35"/>
      <c r="C816" s="442"/>
      <c r="P816" s="235"/>
      <c r="AI816" s="38"/>
    </row>
    <row r="817" ht="15.75" customHeight="1">
      <c r="A817" s="35"/>
      <c r="C817" s="442"/>
      <c r="P817" s="235"/>
      <c r="AI817" s="38"/>
    </row>
    <row r="818" ht="15.75" customHeight="1">
      <c r="A818" s="35"/>
      <c r="C818" s="442"/>
      <c r="P818" s="235"/>
      <c r="AI818" s="38"/>
    </row>
    <row r="819" ht="15.75" customHeight="1">
      <c r="A819" s="35"/>
      <c r="C819" s="442"/>
      <c r="P819" s="235"/>
      <c r="AI819" s="38"/>
    </row>
    <row r="820" ht="15.75" customHeight="1">
      <c r="A820" s="35"/>
      <c r="C820" s="442"/>
      <c r="P820" s="235"/>
      <c r="AI820" s="38"/>
    </row>
    <row r="821" ht="15.75" customHeight="1">
      <c r="A821" s="35"/>
      <c r="C821" s="442"/>
      <c r="P821" s="235"/>
      <c r="AI821" s="38"/>
    </row>
    <row r="822" ht="15.75" customHeight="1">
      <c r="A822" s="35"/>
      <c r="C822" s="442"/>
      <c r="P822" s="235"/>
      <c r="AI822" s="38"/>
    </row>
    <row r="823" ht="15.75" customHeight="1">
      <c r="A823" s="35"/>
      <c r="C823" s="442"/>
      <c r="P823" s="235"/>
      <c r="AI823" s="38"/>
    </row>
    <row r="824" ht="15.75" customHeight="1">
      <c r="A824" s="35"/>
      <c r="C824" s="442"/>
      <c r="P824" s="235"/>
      <c r="AI824" s="38"/>
    </row>
    <row r="825" ht="15.75" customHeight="1">
      <c r="A825" s="35"/>
      <c r="C825" s="442"/>
      <c r="P825" s="235"/>
      <c r="AI825" s="38"/>
    </row>
    <row r="826" ht="15.75" customHeight="1">
      <c r="A826" s="35"/>
      <c r="C826" s="442"/>
      <c r="P826" s="235"/>
      <c r="AI826" s="38"/>
    </row>
    <row r="827" ht="15.75" customHeight="1">
      <c r="A827" s="35"/>
      <c r="C827" s="442"/>
      <c r="P827" s="235"/>
      <c r="AI827" s="38"/>
    </row>
    <row r="828" ht="15.75" customHeight="1">
      <c r="A828" s="35"/>
      <c r="C828" s="442"/>
      <c r="P828" s="235"/>
      <c r="AI828" s="38"/>
    </row>
    <row r="829" ht="15.75" customHeight="1">
      <c r="A829" s="35"/>
      <c r="C829" s="442"/>
      <c r="P829" s="235"/>
      <c r="AI829" s="38"/>
    </row>
    <row r="830" ht="15.75" customHeight="1">
      <c r="A830" s="35"/>
      <c r="C830" s="442"/>
      <c r="P830" s="235"/>
      <c r="AI830" s="38"/>
    </row>
    <row r="831" ht="15.75" customHeight="1">
      <c r="A831" s="35"/>
      <c r="C831" s="442"/>
      <c r="P831" s="235"/>
      <c r="AI831" s="38"/>
    </row>
    <row r="832" ht="15.75" customHeight="1">
      <c r="A832" s="35"/>
      <c r="C832" s="442"/>
      <c r="P832" s="235"/>
      <c r="AI832" s="38"/>
    </row>
    <row r="833" ht="15.75" customHeight="1">
      <c r="A833" s="35"/>
      <c r="C833" s="442"/>
      <c r="P833" s="235"/>
      <c r="AI833" s="38"/>
    </row>
    <row r="834" ht="15.75" customHeight="1">
      <c r="A834" s="35"/>
      <c r="C834" s="442"/>
      <c r="P834" s="235"/>
      <c r="AI834" s="38"/>
    </row>
    <row r="835" ht="15.75" customHeight="1">
      <c r="A835" s="35"/>
      <c r="C835" s="442"/>
      <c r="P835" s="235"/>
      <c r="AI835" s="38"/>
    </row>
    <row r="836" ht="15.75" customHeight="1">
      <c r="A836" s="35"/>
      <c r="C836" s="442"/>
      <c r="P836" s="235"/>
      <c r="AI836" s="38"/>
    </row>
    <row r="837" ht="15.75" customHeight="1">
      <c r="A837" s="35"/>
      <c r="C837" s="442"/>
      <c r="P837" s="235"/>
      <c r="AI837" s="38"/>
    </row>
    <row r="838" ht="15.75" customHeight="1">
      <c r="A838" s="35"/>
      <c r="C838" s="442"/>
      <c r="P838" s="235"/>
      <c r="AI838" s="38"/>
    </row>
    <row r="839" ht="15.75" customHeight="1">
      <c r="A839" s="35"/>
      <c r="C839" s="442"/>
      <c r="P839" s="235"/>
      <c r="AI839" s="38"/>
    </row>
    <row r="840" ht="15.75" customHeight="1">
      <c r="A840" s="35"/>
      <c r="C840" s="442"/>
      <c r="P840" s="235"/>
      <c r="AI840" s="38"/>
    </row>
    <row r="841" ht="15.75" customHeight="1">
      <c r="A841" s="35"/>
      <c r="C841" s="442"/>
      <c r="P841" s="235"/>
      <c r="AI841" s="38"/>
    </row>
    <row r="842" ht="15.75" customHeight="1">
      <c r="A842" s="35"/>
      <c r="C842" s="442"/>
      <c r="P842" s="235"/>
      <c r="AI842" s="38"/>
    </row>
    <row r="843" ht="15.75" customHeight="1">
      <c r="A843" s="35"/>
      <c r="C843" s="442"/>
      <c r="P843" s="235"/>
      <c r="AI843" s="38"/>
    </row>
    <row r="844" ht="15.75" customHeight="1">
      <c r="A844" s="35"/>
      <c r="C844" s="442"/>
      <c r="P844" s="235"/>
      <c r="AI844" s="38"/>
    </row>
    <row r="845" ht="15.75" customHeight="1">
      <c r="A845" s="35"/>
      <c r="C845" s="442"/>
      <c r="P845" s="235"/>
      <c r="AI845" s="38"/>
    </row>
    <row r="846" ht="15.75" customHeight="1">
      <c r="A846" s="35"/>
      <c r="C846" s="442"/>
      <c r="P846" s="235"/>
      <c r="AI846" s="38"/>
    </row>
    <row r="847" ht="15.75" customHeight="1">
      <c r="A847" s="35"/>
      <c r="C847" s="442"/>
      <c r="P847" s="235"/>
      <c r="AI847" s="38"/>
    </row>
    <row r="848" ht="15.75" customHeight="1">
      <c r="A848" s="35"/>
      <c r="C848" s="442"/>
      <c r="P848" s="235"/>
      <c r="AI848" s="38"/>
    </row>
    <row r="849" ht="15.75" customHeight="1">
      <c r="A849" s="35"/>
      <c r="C849" s="442"/>
      <c r="P849" s="235"/>
      <c r="AI849" s="38"/>
    </row>
    <row r="850" ht="15.75" customHeight="1">
      <c r="A850" s="35"/>
      <c r="C850" s="442"/>
      <c r="P850" s="235"/>
      <c r="AI850" s="38"/>
    </row>
    <row r="851" ht="15.75" customHeight="1">
      <c r="A851" s="35"/>
      <c r="C851" s="442"/>
      <c r="P851" s="235"/>
      <c r="AI851" s="38"/>
    </row>
    <row r="852" ht="15.75" customHeight="1">
      <c r="A852" s="35"/>
      <c r="C852" s="442"/>
      <c r="P852" s="235"/>
      <c r="AI852" s="38"/>
    </row>
    <row r="853" ht="15.75" customHeight="1">
      <c r="A853" s="35"/>
      <c r="C853" s="442"/>
      <c r="P853" s="235"/>
      <c r="AI853" s="38"/>
    </row>
    <row r="854" ht="15.75" customHeight="1">
      <c r="A854" s="35"/>
      <c r="C854" s="442"/>
      <c r="P854" s="235"/>
      <c r="AI854" s="38"/>
    </row>
    <row r="855" ht="15.75" customHeight="1">
      <c r="A855" s="35"/>
      <c r="C855" s="442"/>
      <c r="P855" s="235"/>
      <c r="AI855" s="38"/>
    </row>
    <row r="856" ht="15.75" customHeight="1">
      <c r="A856" s="35"/>
      <c r="C856" s="442"/>
      <c r="P856" s="235"/>
      <c r="AI856" s="38"/>
    </row>
    <row r="857" ht="15.75" customHeight="1">
      <c r="A857" s="35"/>
      <c r="C857" s="442"/>
      <c r="P857" s="235"/>
      <c r="AI857" s="38"/>
    </row>
    <row r="858" ht="15.75" customHeight="1">
      <c r="A858" s="35"/>
      <c r="C858" s="442"/>
      <c r="P858" s="235"/>
      <c r="AI858" s="38"/>
    </row>
    <row r="859" ht="15.75" customHeight="1">
      <c r="A859" s="35"/>
      <c r="C859" s="442"/>
      <c r="P859" s="235"/>
      <c r="AI859" s="38"/>
    </row>
    <row r="860" ht="15.75" customHeight="1">
      <c r="A860" s="35"/>
      <c r="C860" s="442"/>
      <c r="P860" s="235"/>
      <c r="AI860" s="38"/>
    </row>
    <row r="861" ht="15.75" customHeight="1">
      <c r="A861" s="35"/>
      <c r="C861" s="442"/>
      <c r="P861" s="235"/>
      <c r="AI861" s="38"/>
    </row>
    <row r="862" ht="15.75" customHeight="1">
      <c r="A862" s="35"/>
      <c r="C862" s="442"/>
      <c r="P862" s="235"/>
      <c r="AI862" s="38"/>
    </row>
    <row r="863" ht="15.75" customHeight="1">
      <c r="A863" s="35"/>
      <c r="C863" s="442"/>
      <c r="P863" s="235"/>
      <c r="AI863" s="38"/>
    </row>
    <row r="864" ht="15.75" customHeight="1">
      <c r="A864" s="35"/>
      <c r="C864" s="442"/>
      <c r="P864" s="235"/>
      <c r="AI864" s="38"/>
    </row>
    <row r="865" ht="15.75" customHeight="1">
      <c r="A865" s="35"/>
      <c r="C865" s="442"/>
      <c r="P865" s="235"/>
      <c r="AI865" s="38"/>
    </row>
    <row r="866" ht="15.75" customHeight="1">
      <c r="A866" s="35"/>
      <c r="C866" s="442"/>
      <c r="P866" s="235"/>
      <c r="AI866" s="38"/>
    </row>
    <row r="867" ht="15.75" customHeight="1">
      <c r="A867" s="35"/>
      <c r="C867" s="442"/>
      <c r="P867" s="235"/>
      <c r="AI867" s="38"/>
    </row>
    <row r="868" ht="15.75" customHeight="1">
      <c r="A868" s="35"/>
      <c r="C868" s="442"/>
      <c r="P868" s="235"/>
      <c r="AI868" s="38"/>
    </row>
    <row r="869" ht="15.75" customHeight="1">
      <c r="A869" s="35"/>
      <c r="C869" s="442"/>
      <c r="P869" s="235"/>
      <c r="AI869" s="38"/>
    </row>
    <row r="870" ht="15.75" customHeight="1">
      <c r="A870" s="35"/>
      <c r="C870" s="442"/>
      <c r="P870" s="235"/>
      <c r="AI870" s="38"/>
    </row>
    <row r="871" ht="15.75" customHeight="1">
      <c r="A871" s="35"/>
      <c r="C871" s="442"/>
      <c r="P871" s="235"/>
      <c r="AI871" s="38"/>
    </row>
    <row r="872" ht="15.75" customHeight="1">
      <c r="A872" s="35"/>
      <c r="C872" s="442"/>
      <c r="P872" s="235"/>
      <c r="AI872" s="38"/>
    </row>
    <row r="873" ht="15.75" customHeight="1">
      <c r="A873" s="35"/>
      <c r="C873" s="442"/>
      <c r="P873" s="235"/>
      <c r="AI873" s="38"/>
    </row>
    <row r="874" ht="15.75" customHeight="1">
      <c r="A874" s="35"/>
      <c r="C874" s="442"/>
      <c r="P874" s="235"/>
      <c r="AI874" s="38"/>
    </row>
    <row r="875" ht="15.75" customHeight="1">
      <c r="A875" s="35"/>
      <c r="C875" s="442"/>
      <c r="P875" s="235"/>
      <c r="AI875" s="38"/>
    </row>
    <row r="876" ht="15.75" customHeight="1">
      <c r="A876" s="35"/>
      <c r="C876" s="442"/>
      <c r="P876" s="235"/>
      <c r="AI876" s="38"/>
    </row>
    <row r="877" ht="15.75" customHeight="1">
      <c r="A877" s="35"/>
      <c r="C877" s="442"/>
      <c r="P877" s="235"/>
      <c r="AI877" s="38"/>
    </row>
    <row r="878" ht="15.75" customHeight="1">
      <c r="A878" s="35"/>
      <c r="C878" s="442"/>
      <c r="P878" s="235"/>
      <c r="AI878" s="38"/>
    </row>
    <row r="879" ht="15.75" customHeight="1">
      <c r="A879" s="35"/>
      <c r="C879" s="442"/>
      <c r="P879" s="235"/>
      <c r="AI879" s="38"/>
    </row>
    <row r="880" ht="15.75" customHeight="1">
      <c r="A880" s="35"/>
      <c r="C880" s="442"/>
      <c r="P880" s="235"/>
      <c r="AI880" s="38"/>
    </row>
    <row r="881" ht="15.75" customHeight="1">
      <c r="A881" s="35"/>
      <c r="C881" s="442"/>
      <c r="P881" s="235"/>
      <c r="AI881" s="38"/>
    </row>
    <row r="882" ht="15.75" customHeight="1">
      <c r="A882" s="35"/>
      <c r="C882" s="442"/>
      <c r="P882" s="235"/>
      <c r="AI882" s="38"/>
    </row>
    <row r="883" ht="15.75" customHeight="1">
      <c r="A883" s="35"/>
      <c r="C883" s="442"/>
      <c r="P883" s="235"/>
      <c r="AI883" s="38"/>
    </row>
    <row r="884" ht="15.75" customHeight="1">
      <c r="A884" s="35"/>
      <c r="C884" s="442"/>
      <c r="P884" s="235"/>
      <c r="AI884" s="38"/>
    </row>
    <row r="885" ht="15.75" customHeight="1">
      <c r="A885" s="35"/>
      <c r="C885" s="442"/>
      <c r="P885" s="235"/>
      <c r="AI885" s="38"/>
    </row>
    <row r="886" ht="15.75" customHeight="1">
      <c r="A886" s="35"/>
      <c r="C886" s="442"/>
      <c r="P886" s="235"/>
      <c r="AI886" s="38"/>
    </row>
    <row r="887" ht="15.75" customHeight="1">
      <c r="A887" s="35"/>
      <c r="C887" s="442"/>
      <c r="P887" s="235"/>
      <c r="AI887" s="38"/>
    </row>
    <row r="888" ht="15.75" customHeight="1">
      <c r="A888" s="35"/>
      <c r="C888" s="442"/>
      <c r="P888" s="235"/>
      <c r="AI888" s="38"/>
    </row>
    <row r="889" ht="15.75" customHeight="1">
      <c r="A889" s="35"/>
      <c r="C889" s="442"/>
      <c r="P889" s="235"/>
      <c r="AI889" s="38"/>
    </row>
    <row r="890" ht="15.75" customHeight="1">
      <c r="A890" s="35"/>
      <c r="C890" s="442"/>
      <c r="P890" s="235"/>
      <c r="AI890" s="38"/>
    </row>
    <row r="891" ht="15.75" customHeight="1">
      <c r="A891" s="35"/>
      <c r="C891" s="442"/>
      <c r="P891" s="235"/>
      <c r="AI891" s="38"/>
    </row>
    <row r="892" ht="15.75" customHeight="1">
      <c r="A892" s="35"/>
      <c r="C892" s="442"/>
      <c r="P892" s="235"/>
      <c r="AI892" s="38"/>
    </row>
    <row r="893" ht="15.75" customHeight="1">
      <c r="A893" s="35"/>
      <c r="C893" s="442"/>
      <c r="P893" s="235"/>
      <c r="AI893" s="38"/>
    </row>
    <row r="894" ht="15.75" customHeight="1">
      <c r="A894" s="35"/>
      <c r="C894" s="442"/>
      <c r="P894" s="235"/>
      <c r="AI894" s="38"/>
    </row>
    <row r="895" ht="15.75" customHeight="1">
      <c r="A895" s="35"/>
      <c r="C895" s="442"/>
      <c r="P895" s="235"/>
      <c r="AI895" s="38"/>
    </row>
    <row r="896" ht="15.75" customHeight="1">
      <c r="A896" s="35"/>
      <c r="C896" s="442"/>
      <c r="P896" s="235"/>
      <c r="AI896" s="38"/>
    </row>
    <row r="897" ht="15.75" customHeight="1">
      <c r="A897" s="35"/>
      <c r="C897" s="442"/>
      <c r="P897" s="235"/>
      <c r="AI897" s="38"/>
    </row>
    <row r="898" ht="15.75" customHeight="1">
      <c r="A898" s="35"/>
      <c r="C898" s="442"/>
      <c r="P898" s="235"/>
      <c r="AI898" s="38"/>
    </row>
    <row r="899" ht="15.75" customHeight="1">
      <c r="A899" s="35"/>
      <c r="C899" s="442"/>
      <c r="P899" s="235"/>
      <c r="AI899" s="38"/>
    </row>
    <row r="900" ht="15.75" customHeight="1">
      <c r="A900" s="35"/>
      <c r="C900" s="442"/>
      <c r="P900" s="235"/>
      <c r="AI900" s="38"/>
    </row>
    <row r="901" ht="15.75" customHeight="1">
      <c r="A901" s="35"/>
      <c r="C901" s="442"/>
      <c r="P901" s="235"/>
      <c r="AI901" s="38"/>
    </row>
    <row r="902" ht="15.75" customHeight="1">
      <c r="A902" s="35"/>
      <c r="C902" s="442"/>
      <c r="P902" s="235"/>
      <c r="AI902" s="38"/>
    </row>
    <row r="903" ht="15.75" customHeight="1">
      <c r="A903" s="35"/>
      <c r="C903" s="442"/>
      <c r="P903" s="235"/>
      <c r="AI903" s="38"/>
    </row>
    <row r="904" ht="15.75" customHeight="1">
      <c r="A904" s="35"/>
      <c r="C904" s="442"/>
      <c r="P904" s="235"/>
      <c r="AI904" s="38"/>
    </row>
    <row r="905" ht="15.75" customHeight="1">
      <c r="A905" s="35"/>
      <c r="C905" s="442"/>
      <c r="P905" s="235"/>
      <c r="AI905" s="38"/>
    </row>
    <row r="906" ht="15.75" customHeight="1">
      <c r="A906" s="35"/>
      <c r="C906" s="442"/>
      <c r="P906" s="235"/>
      <c r="AI906" s="38"/>
    </row>
    <row r="907" ht="15.75" customHeight="1">
      <c r="A907" s="35"/>
      <c r="C907" s="442"/>
      <c r="P907" s="235"/>
      <c r="AI907" s="38"/>
    </row>
    <row r="908" ht="15.75" customHeight="1">
      <c r="A908" s="35"/>
      <c r="C908" s="442"/>
      <c r="P908" s="235"/>
      <c r="AI908" s="38"/>
    </row>
    <row r="909" ht="15.75" customHeight="1">
      <c r="A909" s="35"/>
      <c r="C909" s="442"/>
      <c r="P909" s="235"/>
      <c r="AI909" s="38"/>
    </row>
    <row r="910" ht="15.75" customHeight="1">
      <c r="A910" s="35"/>
      <c r="C910" s="442"/>
      <c r="P910" s="235"/>
      <c r="AI910" s="38"/>
    </row>
    <row r="911" ht="15.75" customHeight="1">
      <c r="A911" s="35"/>
      <c r="C911" s="442"/>
      <c r="P911" s="235"/>
      <c r="AI911" s="38"/>
    </row>
    <row r="912" ht="15.75" customHeight="1">
      <c r="A912" s="35"/>
      <c r="C912" s="442"/>
      <c r="P912" s="235"/>
      <c r="AI912" s="38"/>
    </row>
    <row r="913" ht="15.75" customHeight="1">
      <c r="A913" s="35"/>
      <c r="C913" s="442"/>
      <c r="P913" s="235"/>
      <c r="AI913" s="38"/>
    </row>
    <row r="914" ht="15.75" customHeight="1">
      <c r="A914" s="35"/>
      <c r="C914" s="442"/>
      <c r="P914" s="235"/>
      <c r="AI914" s="38"/>
    </row>
    <row r="915" ht="15.75" customHeight="1">
      <c r="A915" s="35"/>
      <c r="C915" s="442"/>
      <c r="P915" s="235"/>
      <c r="AI915" s="38"/>
    </row>
    <row r="916" ht="15.75" customHeight="1">
      <c r="A916" s="35"/>
      <c r="C916" s="442"/>
      <c r="P916" s="235"/>
      <c r="AI916" s="38"/>
    </row>
    <row r="917" ht="15.75" customHeight="1">
      <c r="A917" s="35"/>
      <c r="C917" s="442"/>
      <c r="P917" s="235"/>
      <c r="AI917" s="38"/>
    </row>
    <row r="918" ht="15.75" customHeight="1">
      <c r="A918" s="35"/>
      <c r="C918" s="442"/>
      <c r="P918" s="235"/>
      <c r="AI918" s="38"/>
    </row>
    <row r="919" ht="15.75" customHeight="1">
      <c r="A919" s="35"/>
      <c r="C919" s="442"/>
      <c r="P919" s="235"/>
      <c r="AI919" s="38"/>
    </row>
    <row r="920" ht="15.75" customHeight="1">
      <c r="A920" s="35"/>
      <c r="C920" s="442"/>
      <c r="P920" s="235"/>
      <c r="AI920" s="38"/>
    </row>
    <row r="921" ht="15.75" customHeight="1">
      <c r="A921" s="35"/>
      <c r="C921" s="442"/>
      <c r="P921" s="235"/>
      <c r="AI921" s="38"/>
    </row>
    <row r="922" ht="15.75" customHeight="1">
      <c r="A922" s="35"/>
      <c r="C922" s="442"/>
      <c r="P922" s="235"/>
      <c r="AI922" s="38"/>
    </row>
    <row r="923" ht="15.75" customHeight="1">
      <c r="A923" s="35"/>
      <c r="C923" s="442"/>
      <c r="P923" s="235"/>
      <c r="AI923" s="38"/>
    </row>
    <row r="924" ht="15.75" customHeight="1">
      <c r="A924" s="35"/>
      <c r="C924" s="442"/>
      <c r="P924" s="235"/>
      <c r="AI924" s="38"/>
    </row>
    <row r="925" ht="15.75" customHeight="1">
      <c r="A925" s="35"/>
      <c r="C925" s="442"/>
      <c r="P925" s="235"/>
      <c r="AI925" s="38"/>
    </row>
    <row r="926" ht="15.75" customHeight="1">
      <c r="A926" s="35"/>
      <c r="C926" s="442"/>
      <c r="P926" s="235"/>
      <c r="AI926" s="38"/>
    </row>
    <row r="927" ht="15.75" customHeight="1">
      <c r="A927" s="35"/>
      <c r="C927" s="442"/>
      <c r="P927" s="235"/>
      <c r="AI927" s="38"/>
    </row>
    <row r="928" ht="15.75" customHeight="1">
      <c r="A928" s="35"/>
      <c r="C928" s="442"/>
      <c r="P928" s="235"/>
      <c r="AI928" s="38"/>
    </row>
    <row r="929" ht="15.75" customHeight="1">
      <c r="A929" s="35"/>
      <c r="C929" s="442"/>
      <c r="P929" s="235"/>
      <c r="AI929" s="38"/>
    </row>
    <row r="930" ht="15.75" customHeight="1">
      <c r="A930" s="35"/>
      <c r="C930" s="442"/>
      <c r="P930" s="235"/>
      <c r="AI930" s="38"/>
    </row>
    <row r="931" ht="15.75" customHeight="1">
      <c r="A931" s="35"/>
      <c r="C931" s="442"/>
      <c r="P931" s="235"/>
      <c r="AI931" s="38"/>
    </row>
    <row r="932" ht="15.75" customHeight="1">
      <c r="A932" s="35"/>
      <c r="C932" s="442"/>
      <c r="P932" s="235"/>
      <c r="AI932" s="38"/>
    </row>
    <row r="933" ht="15.75" customHeight="1">
      <c r="A933" s="35"/>
      <c r="C933" s="442"/>
      <c r="P933" s="235"/>
      <c r="AI933" s="38"/>
    </row>
    <row r="934" ht="15.75" customHeight="1">
      <c r="A934" s="35"/>
      <c r="C934" s="442"/>
      <c r="P934" s="235"/>
      <c r="AI934" s="38"/>
    </row>
    <row r="935" ht="15.75" customHeight="1">
      <c r="A935" s="35"/>
      <c r="C935" s="442"/>
      <c r="P935" s="235"/>
      <c r="AI935" s="38"/>
    </row>
    <row r="936" ht="15.75" customHeight="1">
      <c r="A936" s="35"/>
      <c r="C936" s="442"/>
      <c r="P936" s="235"/>
      <c r="AI936" s="38"/>
    </row>
    <row r="937" ht="15.75" customHeight="1">
      <c r="A937" s="35"/>
      <c r="C937" s="442"/>
      <c r="P937" s="235"/>
      <c r="AI937" s="38"/>
    </row>
    <row r="938" ht="15.75" customHeight="1">
      <c r="A938" s="35"/>
      <c r="C938" s="442"/>
      <c r="P938" s="235"/>
      <c r="AI938" s="38"/>
    </row>
    <row r="939" ht="15.75" customHeight="1">
      <c r="A939" s="35"/>
      <c r="C939" s="442"/>
      <c r="P939" s="235"/>
      <c r="AI939" s="38"/>
    </row>
    <row r="940" ht="15.75" customHeight="1">
      <c r="A940" s="35"/>
      <c r="C940" s="442"/>
      <c r="P940" s="235"/>
      <c r="AI940" s="38"/>
    </row>
    <row r="941" ht="15.75" customHeight="1">
      <c r="A941" s="35"/>
      <c r="C941" s="442"/>
      <c r="P941" s="235"/>
      <c r="AI941" s="38"/>
    </row>
    <row r="942" ht="15.75" customHeight="1">
      <c r="A942" s="35"/>
      <c r="C942" s="442"/>
      <c r="P942" s="235"/>
      <c r="AI942" s="38"/>
    </row>
    <row r="943" ht="15.75" customHeight="1">
      <c r="A943" s="35"/>
      <c r="C943" s="442"/>
      <c r="P943" s="235"/>
      <c r="AI943" s="38"/>
    </row>
    <row r="944" ht="15.75" customHeight="1">
      <c r="A944" s="35"/>
      <c r="C944" s="442"/>
      <c r="P944" s="235"/>
      <c r="AI944" s="38"/>
    </row>
    <row r="945" ht="15.75" customHeight="1">
      <c r="A945" s="35"/>
      <c r="C945" s="442"/>
      <c r="P945" s="235"/>
      <c r="AI945" s="38"/>
    </row>
    <row r="946" ht="15.75" customHeight="1">
      <c r="A946" s="35"/>
      <c r="C946" s="442"/>
      <c r="P946" s="235"/>
      <c r="AI946" s="38"/>
    </row>
    <row r="947" ht="15.75" customHeight="1">
      <c r="A947" s="35"/>
      <c r="C947" s="442"/>
      <c r="P947" s="235"/>
      <c r="AI947" s="38"/>
    </row>
    <row r="948" ht="15.75" customHeight="1">
      <c r="A948" s="35"/>
      <c r="C948" s="442"/>
      <c r="P948" s="235"/>
      <c r="AI948" s="38"/>
    </row>
    <row r="949" ht="15.75" customHeight="1">
      <c r="A949" s="35"/>
      <c r="C949" s="442"/>
      <c r="P949" s="235"/>
      <c r="AI949" s="38"/>
    </row>
    <row r="950" ht="15.75" customHeight="1">
      <c r="A950" s="35"/>
      <c r="C950" s="442"/>
      <c r="P950" s="235"/>
      <c r="AI950" s="38"/>
    </row>
    <row r="951" ht="15.75" customHeight="1">
      <c r="A951" s="35"/>
      <c r="C951" s="442"/>
      <c r="P951" s="235"/>
      <c r="AI951" s="38"/>
    </row>
    <row r="952" ht="15.75" customHeight="1">
      <c r="A952" s="35"/>
      <c r="C952" s="442"/>
      <c r="P952" s="235"/>
      <c r="AI952" s="38"/>
    </row>
    <row r="953" ht="15.75" customHeight="1">
      <c r="A953" s="35"/>
      <c r="C953" s="442"/>
      <c r="P953" s="235"/>
      <c r="AI953" s="38"/>
    </row>
    <row r="954" ht="15.75" customHeight="1">
      <c r="A954" s="35"/>
      <c r="C954" s="442"/>
      <c r="P954" s="235"/>
      <c r="AI954" s="38"/>
    </row>
    <row r="955" ht="15.75" customHeight="1">
      <c r="A955" s="35"/>
      <c r="C955" s="442"/>
      <c r="P955" s="235"/>
      <c r="AI955" s="38"/>
    </row>
    <row r="956" ht="15.75" customHeight="1">
      <c r="A956" s="35"/>
      <c r="C956" s="442"/>
      <c r="P956" s="235"/>
      <c r="AI956" s="38"/>
    </row>
    <row r="957" ht="15.75" customHeight="1">
      <c r="A957" s="35"/>
      <c r="C957" s="442"/>
      <c r="P957" s="235"/>
      <c r="AI957" s="38"/>
    </row>
    <row r="958" ht="15.75" customHeight="1">
      <c r="A958" s="35"/>
      <c r="C958" s="442"/>
      <c r="P958" s="235"/>
      <c r="AI958" s="38"/>
    </row>
    <row r="959" ht="15.75" customHeight="1">
      <c r="A959" s="35"/>
      <c r="C959" s="442"/>
      <c r="P959" s="235"/>
      <c r="AI959" s="38"/>
    </row>
    <row r="960" ht="15.75" customHeight="1">
      <c r="A960" s="35"/>
      <c r="C960" s="442"/>
      <c r="P960" s="235"/>
      <c r="AI960" s="38"/>
    </row>
    <row r="961" ht="15.75" customHeight="1">
      <c r="A961" s="35"/>
      <c r="C961" s="442"/>
      <c r="P961" s="235"/>
      <c r="AI961" s="38"/>
    </row>
    <row r="962" ht="15.75" customHeight="1">
      <c r="A962" s="35"/>
      <c r="C962" s="442"/>
      <c r="P962" s="235"/>
      <c r="AI962" s="38"/>
    </row>
    <row r="963" ht="15.75" customHeight="1">
      <c r="A963" s="35"/>
      <c r="C963" s="442"/>
      <c r="P963" s="235"/>
      <c r="AI963" s="38"/>
    </row>
    <row r="964" ht="15.75" customHeight="1">
      <c r="A964" s="35"/>
      <c r="C964" s="442"/>
      <c r="P964" s="235"/>
      <c r="AI964" s="38"/>
    </row>
    <row r="965" ht="15.75" customHeight="1">
      <c r="A965" s="35"/>
      <c r="C965" s="442"/>
      <c r="P965" s="235"/>
      <c r="AI965" s="38"/>
    </row>
    <row r="966" ht="15.75" customHeight="1">
      <c r="A966" s="35"/>
      <c r="C966" s="442"/>
      <c r="P966" s="235"/>
      <c r="AI966" s="38"/>
    </row>
    <row r="967" ht="15.75" customHeight="1">
      <c r="A967" s="35"/>
      <c r="C967" s="442"/>
      <c r="P967" s="235"/>
      <c r="AI967" s="38"/>
    </row>
    <row r="968" ht="15.75" customHeight="1">
      <c r="A968" s="35"/>
      <c r="C968" s="442"/>
      <c r="P968" s="235"/>
      <c r="AI968" s="38"/>
    </row>
    <row r="969" ht="15.75" customHeight="1">
      <c r="A969" s="35"/>
      <c r="C969" s="442"/>
      <c r="P969" s="235"/>
      <c r="AI969" s="38"/>
    </row>
    <row r="970" ht="15.75" customHeight="1">
      <c r="A970" s="35"/>
      <c r="C970" s="442"/>
      <c r="P970" s="235"/>
      <c r="AI970" s="38"/>
    </row>
    <row r="971" ht="15.75" customHeight="1">
      <c r="A971" s="35"/>
      <c r="C971" s="442"/>
      <c r="P971" s="235"/>
      <c r="AI971" s="38"/>
    </row>
    <row r="972" ht="15.75" customHeight="1">
      <c r="A972" s="35"/>
      <c r="C972" s="442"/>
      <c r="P972" s="235"/>
      <c r="AI972" s="38"/>
    </row>
    <row r="973" ht="15.75" customHeight="1">
      <c r="A973" s="35"/>
      <c r="C973" s="442"/>
      <c r="P973" s="235"/>
      <c r="AI973" s="38"/>
    </row>
    <row r="974" ht="15.75" customHeight="1">
      <c r="A974" s="35"/>
      <c r="C974" s="442"/>
      <c r="P974" s="235"/>
      <c r="AI974" s="38"/>
    </row>
    <row r="975" ht="15.75" customHeight="1">
      <c r="A975" s="35"/>
      <c r="C975" s="442"/>
      <c r="P975" s="235"/>
      <c r="AI975" s="38"/>
    </row>
    <row r="976" ht="15.75" customHeight="1">
      <c r="A976" s="35"/>
      <c r="C976" s="442"/>
      <c r="P976" s="235"/>
      <c r="AI976" s="38"/>
    </row>
    <row r="977" ht="15.75" customHeight="1">
      <c r="A977" s="35"/>
      <c r="C977" s="442"/>
      <c r="P977" s="235"/>
      <c r="AI977" s="38"/>
    </row>
    <row r="978" ht="15.75" customHeight="1">
      <c r="A978" s="35"/>
      <c r="C978" s="442"/>
      <c r="P978" s="235"/>
      <c r="AI978" s="38"/>
    </row>
    <row r="979" ht="15.75" customHeight="1">
      <c r="A979" s="35"/>
      <c r="C979" s="442"/>
      <c r="P979" s="235"/>
      <c r="AI979" s="38"/>
    </row>
    <row r="980" ht="15.75" customHeight="1">
      <c r="A980" s="35"/>
      <c r="C980" s="442"/>
      <c r="P980" s="235"/>
      <c r="AI980" s="38"/>
    </row>
    <row r="981" ht="15.75" customHeight="1">
      <c r="A981" s="35"/>
      <c r="C981" s="442"/>
      <c r="P981" s="235"/>
      <c r="AI981" s="38"/>
    </row>
    <row r="982" ht="15.75" customHeight="1">
      <c r="A982" s="35"/>
      <c r="C982" s="442"/>
      <c r="P982" s="235"/>
      <c r="AI982" s="38"/>
    </row>
    <row r="983" ht="15.75" customHeight="1">
      <c r="A983" s="35"/>
      <c r="C983" s="442"/>
      <c r="P983" s="235"/>
      <c r="AI983" s="38"/>
    </row>
    <row r="984" ht="15.75" customHeight="1">
      <c r="A984" s="35"/>
      <c r="C984" s="442"/>
      <c r="P984" s="235"/>
      <c r="AI984" s="38"/>
    </row>
    <row r="985" ht="15.75" customHeight="1">
      <c r="A985" s="35"/>
      <c r="C985" s="442"/>
      <c r="P985" s="235"/>
      <c r="AI985" s="38"/>
    </row>
    <row r="986" ht="15.75" customHeight="1">
      <c r="A986" s="35"/>
      <c r="C986" s="442"/>
      <c r="P986" s="235"/>
      <c r="AI986" s="38"/>
    </row>
    <row r="987" ht="15.75" customHeight="1">
      <c r="A987" s="35"/>
      <c r="C987" s="442"/>
      <c r="P987" s="235"/>
      <c r="AI987" s="38"/>
    </row>
    <row r="988" ht="15.75" customHeight="1">
      <c r="A988" s="35"/>
      <c r="C988" s="442"/>
      <c r="P988" s="235"/>
      <c r="AI988" s="38"/>
    </row>
    <row r="989" ht="15.75" customHeight="1">
      <c r="A989" s="35"/>
      <c r="C989" s="442"/>
      <c r="P989" s="235"/>
      <c r="AI989" s="38"/>
    </row>
    <row r="990" ht="15.75" customHeight="1">
      <c r="A990" s="35"/>
      <c r="C990" s="442"/>
      <c r="P990" s="235"/>
      <c r="AI990" s="38"/>
    </row>
    <row r="991" ht="15.75" customHeight="1">
      <c r="A991" s="35"/>
      <c r="C991" s="442"/>
      <c r="P991" s="235"/>
      <c r="AI991" s="38"/>
    </row>
    <row r="992" ht="15.75" customHeight="1">
      <c r="A992" s="35"/>
      <c r="C992" s="442"/>
      <c r="P992" s="235"/>
      <c r="AI992" s="38"/>
    </row>
    <row r="993" ht="15.75" customHeight="1">
      <c r="A993" s="35"/>
      <c r="C993" s="442"/>
      <c r="P993" s="235"/>
      <c r="AI993" s="38"/>
    </row>
    <row r="994" ht="15.75" customHeight="1">
      <c r="A994" s="35"/>
      <c r="C994" s="442"/>
      <c r="P994" s="235"/>
      <c r="AI994" s="38"/>
    </row>
    <row r="995" ht="15.75" customHeight="1">
      <c r="A995" s="35"/>
      <c r="C995" s="442"/>
      <c r="P995" s="235"/>
      <c r="AI995" s="38"/>
    </row>
    <row r="996" ht="15.75" customHeight="1">
      <c r="A996" s="35"/>
      <c r="C996" s="442"/>
      <c r="P996" s="235"/>
      <c r="AI996" s="38"/>
    </row>
    <row r="997" ht="15.75" customHeight="1">
      <c r="A997" s="35"/>
      <c r="C997" s="442"/>
      <c r="P997" s="235"/>
      <c r="AI997" s="38"/>
    </row>
    <row r="998" ht="15.75" customHeight="1">
      <c r="A998" s="35"/>
      <c r="C998" s="442"/>
      <c r="P998" s="235"/>
      <c r="AI998" s="38"/>
    </row>
    <row r="999" ht="15.75" customHeight="1">
      <c r="A999" s="35"/>
      <c r="C999" s="442"/>
      <c r="P999" s="235"/>
      <c r="AI999" s="38"/>
    </row>
    <row r="1000" ht="15.75" customHeight="1">
      <c r="A1000" s="35"/>
      <c r="C1000" s="442"/>
      <c r="P1000" s="235"/>
      <c r="AI1000" s="38"/>
    </row>
    <row r="1001" ht="15.75" customHeight="1">
      <c r="A1001" s="35"/>
      <c r="C1001" s="442"/>
      <c r="P1001" s="235"/>
      <c r="AI1001" s="38"/>
    </row>
    <row r="1002" ht="15.75" customHeight="1">
      <c r="A1002" s="35"/>
      <c r="C1002" s="442"/>
      <c r="P1002" s="235"/>
      <c r="AI1002" s="38"/>
    </row>
    <row r="1003" ht="15.75" customHeight="1">
      <c r="A1003" s="35"/>
      <c r="C1003" s="442"/>
      <c r="P1003" s="235"/>
      <c r="AI1003" s="38"/>
    </row>
    <row r="1004" ht="15.75" customHeight="1">
      <c r="A1004" s="35"/>
      <c r="C1004" s="442"/>
      <c r="P1004" s="235"/>
      <c r="AI1004" s="38"/>
    </row>
    <row r="1005" ht="15.75" customHeight="1">
      <c r="A1005" s="35"/>
      <c r="C1005" s="442"/>
      <c r="P1005" s="235"/>
      <c r="AI1005" s="38"/>
    </row>
    <row r="1006" ht="15.75" customHeight="1">
      <c r="A1006" s="35"/>
      <c r="C1006" s="442"/>
      <c r="P1006" s="235"/>
      <c r="AI1006" s="38"/>
    </row>
    <row r="1007" ht="15.75" customHeight="1">
      <c r="A1007" s="35"/>
      <c r="C1007" s="442"/>
      <c r="P1007" s="235"/>
      <c r="AI1007" s="38"/>
    </row>
    <row r="1008" ht="15.75" customHeight="1">
      <c r="A1008" s="35"/>
      <c r="C1008" s="442"/>
      <c r="P1008" s="235"/>
      <c r="AI1008" s="38"/>
    </row>
    <row r="1009" ht="15.75" customHeight="1">
      <c r="A1009" s="35"/>
      <c r="C1009" s="442"/>
      <c r="P1009" s="235"/>
      <c r="AI1009" s="38"/>
    </row>
    <row r="1010" ht="15.75" customHeight="1">
      <c r="A1010" s="35"/>
      <c r="C1010" s="442"/>
      <c r="P1010" s="235"/>
      <c r="AI1010" s="38"/>
    </row>
    <row r="1011" ht="15.75" customHeight="1">
      <c r="A1011" s="35"/>
      <c r="C1011" s="442"/>
      <c r="P1011" s="235"/>
      <c r="AI1011" s="38"/>
    </row>
    <row r="1012" ht="15.75" customHeight="1">
      <c r="A1012" s="35"/>
      <c r="C1012" s="442"/>
      <c r="P1012" s="235"/>
      <c r="AI1012" s="38"/>
    </row>
    <row r="1013" ht="15.75" customHeight="1">
      <c r="A1013" s="35"/>
      <c r="C1013" s="442"/>
      <c r="P1013" s="235"/>
      <c r="AI1013" s="38"/>
    </row>
    <row r="1014" ht="15.75" customHeight="1">
      <c r="A1014" s="35"/>
      <c r="C1014" s="442"/>
      <c r="P1014" s="235"/>
      <c r="AI1014" s="38"/>
    </row>
    <row r="1015" ht="15.75" customHeight="1">
      <c r="A1015" s="35"/>
      <c r="C1015" s="442"/>
      <c r="P1015" s="235"/>
      <c r="AI1015" s="38"/>
    </row>
    <row r="1016" ht="15.75" customHeight="1">
      <c r="A1016" s="35"/>
      <c r="C1016" s="442"/>
      <c r="P1016" s="235"/>
      <c r="AI1016" s="38"/>
    </row>
    <row r="1017" ht="15.75" customHeight="1">
      <c r="A1017" s="35"/>
      <c r="C1017" s="442"/>
      <c r="P1017" s="235"/>
      <c r="AI1017" s="38"/>
    </row>
    <row r="1018" ht="15.75" customHeight="1">
      <c r="A1018" s="35"/>
      <c r="C1018" s="442"/>
      <c r="P1018" s="235"/>
      <c r="AI1018" s="38"/>
    </row>
    <row r="1019" ht="15.75" customHeight="1">
      <c r="A1019" s="35"/>
      <c r="C1019" s="442"/>
      <c r="P1019" s="235"/>
      <c r="AI1019" s="38"/>
    </row>
    <row r="1020" ht="15.75" customHeight="1">
      <c r="A1020" s="35"/>
      <c r="C1020" s="442"/>
      <c r="P1020" s="235"/>
      <c r="AI1020" s="38"/>
    </row>
    <row r="1021" ht="15.75" customHeight="1">
      <c r="A1021" s="35"/>
      <c r="C1021" s="442"/>
      <c r="P1021" s="235"/>
      <c r="AI1021" s="38"/>
    </row>
    <row r="1022" ht="15.75" customHeight="1">
      <c r="A1022" s="35"/>
      <c r="C1022" s="442"/>
      <c r="P1022" s="235"/>
      <c r="AI1022" s="38"/>
    </row>
    <row r="1023" ht="15.75" customHeight="1">
      <c r="A1023" s="35"/>
      <c r="C1023" s="442"/>
      <c r="P1023" s="235"/>
      <c r="AI1023" s="38"/>
    </row>
    <row r="1024" ht="15.75" customHeight="1">
      <c r="A1024" s="35"/>
      <c r="C1024" s="442"/>
      <c r="P1024" s="235"/>
      <c r="AI1024" s="38"/>
    </row>
    <row r="1025" ht="15.75" customHeight="1">
      <c r="A1025" s="35"/>
      <c r="C1025" s="442"/>
      <c r="P1025" s="235"/>
      <c r="AI1025" s="38"/>
    </row>
    <row r="1026" ht="15.75" customHeight="1">
      <c r="A1026" s="35"/>
      <c r="C1026" s="442"/>
      <c r="P1026" s="235"/>
      <c r="AI1026" s="38"/>
    </row>
    <row r="1027" ht="15.75" customHeight="1">
      <c r="A1027" s="35"/>
      <c r="C1027" s="442"/>
      <c r="P1027" s="235"/>
      <c r="AI1027" s="38"/>
    </row>
    <row r="1028" ht="15.75" customHeight="1">
      <c r="A1028" s="35"/>
      <c r="C1028" s="442"/>
      <c r="P1028" s="235"/>
      <c r="AI1028" s="38"/>
    </row>
    <row r="1029" ht="15.75" customHeight="1">
      <c r="A1029" s="35"/>
      <c r="C1029" s="442"/>
      <c r="P1029" s="235"/>
      <c r="AI1029" s="38"/>
    </row>
    <row r="1030" ht="15.75" customHeight="1">
      <c r="A1030" s="35"/>
      <c r="C1030" s="442"/>
      <c r="P1030" s="235"/>
      <c r="AI1030" s="38"/>
    </row>
    <row r="1031" ht="15.75" customHeight="1">
      <c r="A1031" s="35"/>
      <c r="C1031" s="442"/>
      <c r="P1031" s="235"/>
      <c r="AI1031" s="38"/>
    </row>
    <row r="1032" ht="15.75" customHeight="1">
      <c r="A1032" s="35"/>
      <c r="C1032" s="442"/>
      <c r="P1032" s="235"/>
      <c r="AI1032" s="38"/>
    </row>
    <row r="1033" ht="15.75" customHeight="1">
      <c r="A1033" s="35"/>
      <c r="C1033" s="442"/>
      <c r="P1033" s="235"/>
      <c r="AI1033" s="38"/>
    </row>
    <row r="1034" ht="15.75" customHeight="1">
      <c r="A1034" s="35"/>
      <c r="C1034" s="442"/>
      <c r="P1034" s="235"/>
      <c r="AI1034" s="38"/>
    </row>
    <row r="1035" ht="15.75" customHeight="1">
      <c r="A1035" s="35"/>
      <c r="C1035" s="442"/>
      <c r="P1035" s="235"/>
      <c r="AI1035" s="38"/>
    </row>
    <row r="1036" ht="15.75" customHeight="1">
      <c r="A1036" s="35"/>
      <c r="C1036" s="442"/>
      <c r="P1036" s="235"/>
      <c r="AI1036" s="38"/>
    </row>
    <row r="1037" ht="15.75" customHeight="1">
      <c r="A1037" s="35"/>
      <c r="C1037" s="442"/>
      <c r="P1037" s="235"/>
      <c r="AI1037" s="38"/>
    </row>
    <row r="1038" ht="15.75" customHeight="1">
      <c r="A1038" s="35"/>
      <c r="C1038" s="442"/>
      <c r="P1038" s="235"/>
      <c r="AI1038" s="38"/>
    </row>
    <row r="1039" ht="15.75" customHeight="1">
      <c r="A1039" s="35"/>
      <c r="C1039" s="442"/>
      <c r="P1039" s="235"/>
      <c r="AI1039" s="38"/>
    </row>
    <row r="1040" ht="15.75" customHeight="1">
      <c r="A1040" s="35"/>
      <c r="C1040" s="442"/>
      <c r="P1040" s="235"/>
      <c r="AI1040" s="38"/>
    </row>
    <row r="1041" ht="15.75" customHeight="1">
      <c r="A1041" s="35"/>
      <c r="C1041" s="442"/>
      <c r="P1041" s="235"/>
      <c r="AI1041" s="38"/>
    </row>
    <row r="1042" ht="15.75" customHeight="1">
      <c r="A1042" s="35"/>
      <c r="C1042" s="442"/>
      <c r="P1042" s="235"/>
      <c r="AI1042" s="38"/>
    </row>
    <row r="1043" ht="15.75" customHeight="1">
      <c r="A1043" s="35"/>
      <c r="C1043" s="442"/>
      <c r="P1043" s="235"/>
      <c r="AI1043" s="38"/>
    </row>
    <row r="1044" ht="15.75" customHeight="1">
      <c r="A1044" s="35"/>
      <c r="C1044" s="442"/>
      <c r="P1044" s="235"/>
      <c r="AI1044" s="38"/>
    </row>
    <row r="1045" ht="15.75" customHeight="1">
      <c r="A1045" s="35"/>
      <c r="C1045" s="442"/>
      <c r="P1045" s="235"/>
      <c r="AI1045" s="38"/>
    </row>
    <row r="1046" ht="15.75" customHeight="1">
      <c r="A1046" s="35"/>
      <c r="C1046" s="442"/>
      <c r="P1046" s="235"/>
      <c r="AI1046" s="38"/>
    </row>
    <row r="1047" ht="15.75" customHeight="1">
      <c r="A1047" s="35"/>
      <c r="C1047" s="442"/>
      <c r="P1047" s="235"/>
      <c r="AI1047" s="38"/>
    </row>
    <row r="1048" ht="15.75" customHeight="1">
      <c r="A1048" s="35"/>
      <c r="C1048" s="442"/>
      <c r="P1048" s="235"/>
      <c r="AI1048" s="38"/>
    </row>
    <row r="1049" ht="15.75" customHeight="1">
      <c r="A1049" s="35"/>
      <c r="C1049" s="442"/>
      <c r="P1049" s="235"/>
      <c r="AI1049" s="38"/>
    </row>
    <row r="1050" ht="15.75" customHeight="1">
      <c r="A1050" s="35"/>
      <c r="C1050" s="442"/>
      <c r="P1050" s="235"/>
      <c r="AI1050" s="38"/>
    </row>
    <row r="1051" ht="15.75" customHeight="1">
      <c r="A1051" s="35"/>
      <c r="C1051" s="442"/>
      <c r="P1051" s="235"/>
      <c r="AI1051" s="38"/>
    </row>
    <row r="1052" ht="15.75" customHeight="1">
      <c r="A1052" s="35"/>
      <c r="C1052" s="442"/>
      <c r="P1052" s="235"/>
      <c r="AI1052" s="38"/>
    </row>
    <row r="1053" ht="15.75" customHeight="1">
      <c r="A1053" s="35"/>
      <c r="C1053" s="442"/>
      <c r="P1053" s="235"/>
      <c r="AI1053" s="38"/>
    </row>
    <row r="1054" ht="15.75" customHeight="1">
      <c r="A1054" s="35"/>
      <c r="C1054" s="442"/>
      <c r="P1054" s="235"/>
      <c r="AI1054" s="38"/>
    </row>
    <row r="1055" ht="15.75" customHeight="1">
      <c r="A1055" s="35"/>
      <c r="C1055" s="442"/>
      <c r="P1055" s="235"/>
      <c r="AI1055" s="38"/>
    </row>
    <row r="1056" ht="15.75" customHeight="1">
      <c r="A1056" s="35"/>
      <c r="C1056" s="442"/>
      <c r="P1056" s="235"/>
      <c r="AI1056" s="38"/>
    </row>
    <row r="1057" ht="15.75" customHeight="1">
      <c r="A1057" s="35"/>
      <c r="C1057" s="442"/>
      <c r="P1057" s="235"/>
      <c r="AI1057" s="38"/>
    </row>
    <row r="1058" ht="15.75" customHeight="1">
      <c r="A1058" s="35"/>
      <c r="C1058" s="442"/>
      <c r="P1058" s="235"/>
      <c r="AI1058" s="38"/>
    </row>
    <row r="1059" ht="15.75" customHeight="1">
      <c r="A1059" s="35"/>
      <c r="C1059" s="442"/>
      <c r="P1059" s="235"/>
      <c r="AI1059" s="38"/>
    </row>
    <row r="1060" ht="15.75" customHeight="1">
      <c r="A1060" s="35"/>
      <c r="C1060" s="442"/>
      <c r="P1060" s="235"/>
      <c r="AI1060" s="38"/>
    </row>
    <row r="1061" ht="15.75" customHeight="1">
      <c r="A1061" s="35"/>
      <c r="C1061" s="442"/>
      <c r="P1061" s="235"/>
      <c r="AI1061" s="38"/>
    </row>
    <row r="1062" ht="15.75" customHeight="1">
      <c r="A1062" s="35"/>
      <c r="C1062" s="442"/>
      <c r="P1062" s="235"/>
      <c r="AI1062" s="38"/>
    </row>
    <row r="1063" ht="15.75" customHeight="1">
      <c r="A1063" s="35"/>
      <c r="C1063" s="442"/>
      <c r="P1063" s="235"/>
      <c r="AI1063" s="38"/>
    </row>
    <row r="1064" ht="15.75" customHeight="1">
      <c r="A1064" s="35"/>
      <c r="C1064" s="442"/>
      <c r="P1064" s="235"/>
      <c r="AI1064" s="38"/>
    </row>
    <row r="1065" ht="15.75" customHeight="1">
      <c r="A1065" s="35"/>
      <c r="C1065" s="442"/>
      <c r="P1065" s="235"/>
      <c r="AI1065" s="38"/>
    </row>
    <row r="1066" ht="15.75" customHeight="1">
      <c r="A1066" s="35"/>
      <c r="C1066" s="442"/>
      <c r="P1066" s="235"/>
      <c r="AI1066" s="38"/>
    </row>
    <row r="1067" ht="15.75" customHeight="1">
      <c r="A1067" s="35"/>
      <c r="C1067" s="442"/>
      <c r="P1067" s="235"/>
      <c r="AI1067" s="38"/>
    </row>
    <row r="1068" ht="15.75" customHeight="1">
      <c r="A1068" s="35"/>
      <c r="C1068" s="442"/>
      <c r="P1068" s="235"/>
      <c r="AI1068" s="38"/>
    </row>
    <row r="1069" ht="15.75" customHeight="1">
      <c r="A1069" s="35"/>
      <c r="C1069" s="442"/>
      <c r="P1069" s="235"/>
      <c r="AI1069" s="38"/>
    </row>
    <row r="1070" ht="15.75" customHeight="1">
      <c r="A1070" s="35"/>
      <c r="C1070" s="442"/>
      <c r="P1070" s="235"/>
      <c r="AI1070" s="38"/>
    </row>
    <row r="1071" ht="15.75" customHeight="1">
      <c r="A1071" s="35"/>
      <c r="C1071" s="442"/>
      <c r="P1071" s="235"/>
      <c r="AI1071" s="38"/>
    </row>
    <row r="1072" ht="15.75" customHeight="1">
      <c r="A1072" s="35"/>
      <c r="C1072" s="442"/>
      <c r="P1072" s="235"/>
      <c r="AI1072" s="38"/>
    </row>
    <row r="1073" ht="15.75" customHeight="1">
      <c r="A1073" s="35"/>
      <c r="C1073" s="442"/>
      <c r="P1073" s="235"/>
      <c r="AI1073" s="38"/>
    </row>
    <row r="1074" ht="15.75" customHeight="1">
      <c r="A1074" s="35"/>
      <c r="C1074" s="442"/>
      <c r="P1074" s="235"/>
      <c r="AI1074" s="38"/>
    </row>
    <row r="1075" ht="15.75" customHeight="1">
      <c r="A1075" s="35"/>
      <c r="C1075" s="442"/>
      <c r="P1075" s="235"/>
      <c r="AI1075" s="38"/>
    </row>
    <row r="1076" ht="15.75" customHeight="1">
      <c r="A1076" s="35"/>
      <c r="C1076" s="442"/>
      <c r="P1076" s="235"/>
      <c r="AI1076" s="38"/>
    </row>
    <row r="1077" ht="15.75" customHeight="1">
      <c r="A1077" s="35"/>
      <c r="C1077" s="442"/>
      <c r="P1077" s="235"/>
      <c r="AI1077" s="38"/>
    </row>
    <row r="1078" ht="15.75" customHeight="1">
      <c r="A1078" s="35"/>
      <c r="C1078" s="442"/>
      <c r="P1078" s="235"/>
      <c r="AI1078" s="38"/>
    </row>
    <row r="1079" ht="15.75" customHeight="1">
      <c r="A1079" s="35"/>
      <c r="C1079" s="442"/>
      <c r="P1079" s="235"/>
      <c r="AI1079" s="38"/>
    </row>
    <row r="1080" ht="15.75" customHeight="1">
      <c r="A1080" s="35"/>
      <c r="C1080" s="442"/>
      <c r="P1080" s="235"/>
      <c r="AI1080" s="38"/>
    </row>
    <row r="1081" ht="15.75" customHeight="1">
      <c r="A1081" s="35"/>
      <c r="C1081" s="442"/>
      <c r="P1081" s="235"/>
      <c r="AI1081" s="38"/>
    </row>
    <row r="1082" ht="15.75" customHeight="1">
      <c r="A1082" s="35"/>
      <c r="C1082" s="442"/>
      <c r="P1082" s="235"/>
      <c r="AI1082" s="38"/>
    </row>
    <row r="1083" ht="15.75" customHeight="1">
      <c r="A1083" s="35"/>
      <c r="C1083" s="442"/>
      <c r="P1083" s="235"/>
      <c r="AI1083" s="38"/>
    </row>
    <row r="1084" ht="15.75" customHeight="1">
      <c r="A1084" s="35"/>
      <c r="C1084" s="442"/>
      <c r="P1084" s="235"/>
      <c r="AI1084" s="38"/>
    </row>
    <row r="1085" ht="15.75" customHeight="1">
      <c r="A1085" s="35"/>
      <c r="C1085" s="442"/>
      <c r="P1085" s="235"/>
      <c r="AI1085" s="38"/>
    </row>
    <row r="1086" ht="15.75" customHeight="1">
      <c r="A1086" s="35"/>
      <c r="C1086" s="442"/>
      <c r="P1086" s="235"/>
      <c r="AI1086" s="38"/>
    </row>
    <row r="1087" ht="15.75" customHeight="1">
      <c r="A1087" s="35"/>
      <c r="C1087" s="442"/>
      <c r="P1087" s="235"/>
      <c r="AI1087" s="38"/>
    </row>
    <row r="1088" ht="15.75" customHeight="1">
      <c r="A1088" s="35"/>
      <c r="C1088" s="442"/>
      <c r="P1088" s="235"/>
      <c r="AI1088" s="38"/>
    </row>
    <row r="1089" ht="15.75" customHeight="1">
      <c r="A1089" s="35"/>
      <c r="C1089" s="442"/>
      <c r="P1089" s="235"/>
      <c r="AI1089" s="38"/>
    </row>
    <row r="1090" ht="15.75" customHeight="1">
      <c r="A1090" s="35"/>
      <c r="C1090" s="442"/>
      <c r="P1090" s="235"/>
      <c r="AI1090" s="38"/>
    </row>
    <row r="1091" ht="15.75" customHeight="1">
      <c r="A1091" s="35"/>
      <c r="C1091" s="442"/>
      <c r="P1091" s="235"/>
      <c r="AI1091" s="38"/>
    </row>
    <row r="1092" ht="15.75" customHeight="1">
      <c r="A1092" s="35"/>
      <c r="C1092" s="442"/>
      <c r="P1092" s="235"/>
      <c r="AI1092" s="38"/>
    </row>
    <row r="1093" ht="15.75" customHeight="1">
      <c r="A1093" s="35"/>
      <c r="C1093" s="442"/>
      <c r="P1093" s="235"/>
      <c r="AI1093" s="38"/>
    </row>
    <row r="1094" ht="15.75" customHeight="1">
      <c r="A1094" s="35"/>
      <c r="C1094" s="442"/>
      <c r="P1094" s="235"/>
      <c r="AI1094" s="38"/>
    </row>
    <row r="1095" ht="15.75" customHeight="1">
      <c r="A1095" s="35"/>
      <c r="C1095" s="442"/>
      <c r="P1095" s="235"/>
      <c r="AI1095" s="38"/>
    </row>
    <row r="1096" ht="15.75" customHeight="1">
      <c r="A1096" s="35"/>
      <c r="C1096" s="442"/>
      <c r="P1096" s="235"/>
      <c r="AI1096" s="38"/>
    </row>
    <row r="1097" ht="15.75" customHeight="1">
      <c r="A1097" s="35"/>
      <c r="C1097" s="442"/>
      <c r="P1097" s="235"/>
      <c r="AI1097" s="38"/>
    </row>
    <row r="1098" ht="15.75" customHeight="1">
      <c r="A1098" s="35"/>
      <c r="C1098" s="442"/>
      <c r="P1098" s="235"/>
      <c r="AI1098" s="38"/>
    </row>
    <row r="1099" ht="15.75" customHeight="1">
      <c r="A1099" s="35"/>
      <c r="C1099" s="442"/>
      <c r="P1099" s="235"/>
      <c r="AI1099" s="38"/>
    </row>
    <row r="1100" ht="15.75" customHeight="1">
      <c r="A1100" s="35"/>
      <c r="C1100" s="442"/>
      <c r="P1100" s="235"/>
      <c r="AI1100" s="38"/>
    </row>
    <row r="1101" ht="15.75" customHeight="1">
      <c r="A1101" s="35"/>
      <c r="C1101" s="442"/>
      <c r="P1101" s="235"/>
      <c r="AI1101" s="38"/>
    </row>
    <row r="1102" ht="15.75" customHeight="1">
      <c r="A1102" s="35"/>
      <c r="C1102" s="442"/>
      <c r="P1102" s="235"/>
      <c r="AI1102" s="38"/>
    </row>
    <row r="1103" ht="15.75" customHeight="1">
      <c r="A1103" s="35"/>
      <c r="C1103" s="442"/>
      <c r="P1103" s="235"/>
      <c r="AI1103" s="38"/>
    </row>
    <row r="1104" ht="15.75" customHeight="1">
      <c r="A1104" s="35"/>
      <c r="C1104" s="442"/>
      <c r="P1104" s="235"/>
      <c r="AI1104" s="38"/>
    </row>
    <row r="1105" ht="15.75" customHeight="1">
      <c r="A1105" s="35"/>
      <c r="C1105" s="442"/>
      <c r="P1105" s="235"/>
      <c r="AI1105" s="38"/>
    </row>
    <row r="1106" ht="15.75" customHeight="1">
      <c r="A1106" s="35"/>
      <c r="C1106" s="442"/>
      <c r="P1106" s="235"/>
      <c r="AI1106" s="38"/>
    </row>
    <row r="1107" ht="15.75" customHeight="1">
      <c r="A1107" s="35"/>
      <c r="C1107" s="442"/>
      <c r="P1107" s="235"/>
      <c r="AI1107" s="38"/>
    </row>
    <row r="1108" ht="15.75" customHeight="1">
      <c r="A1108" s="35"/>
      <c r="C1108" s="442"/>
      <c r="P1108" s="235"/>
      <c r="AI1108" s="38"/>
    </row>
    <row r="1109" ht="15.75" customHeight="1">
      <c r="A1109" s="35"/>
      <c r="C1109" s="442"/>
      <c r="P1109" s="235"/>
      <c r="AI1109" s="38"/>
    </row>
    <row r="1110" ht="15.75" customHeight="1">
      <c r="A1110" s="35"/>
      <c r="C1110" s="442"/>
      <c r="P1110" s="235"/>
      <c r="AI1110" s="38"/>
    </row>
    <row r="1111" ht="15.75" customHeight="1">
      <c r="A1111" s="35"/>
      <c r="C1111" s="442"/>
      <c r="P1111" s="235"/>
      <c r="AI1111" s="38"/>
    </row>
    <row r="1112" ht="15.75" customHeight="1">
      <c r="A1112" s="35"/>
      <c r="C1112" s="442"/>
      <c r="P1112" s="235"/>
      <c r="AI1112" s="38"/>
    </row>
    <row r="1113" ht="15.75" customHeight="1">
      <c r="A1113" s="35"/>
      <c r="C1113" s="442"/>
      <c r="P1113" s="235"/>
      <c r="AI1113" s="38"/>
    </row>
    <row r="1114" ht="15.75" customHeight="1">
      <c r="A1114" s="35"/>
      <c r="C1114" s="442"/>
      <c r="P1114" s="235"/>
      <c r="AI1114" s="38"/>
    </row>
    <row r="1115" ht="15.75" customHeight="1">
      <c r="A1115" s="35"/>
      <c r="C1115" s="442"/>
      <c r="P1115" s="235"/>
      <c r="AI1115" s="38"/>
    </row>
    <row r="1116" ht="15.75" customHeight="1">
      <c r="A1116" s="35"/>
      <c r="C1116" s="442"/>
      <c r="P1116" s="235"/>
      <c r="AI1116" s="38"/>
    </row>
    <row r="1117" ht="15.75" customHeight="1">
      <c r="A1117" s="35"/>
      <c r="C1117" s="442"/>
      <c r="P1117" s="235"/>
      <c r="AI1117" s="38"/>
    </row>
    <row r="1118" ht="15.75" customHeight="1">
      <c r="A1118" s="35"/>
      <c r="C1118" s="442"/>
      <c r="P1118" s="235"/>
      <c r="AI1118" s="38"/>
    </row>
    <row r="1119" ht="15.75" customHeight="1">
      <c r="A1119" s="35"/>
      <c r="C1119" s="442"/>
      <c r="P1119" s="235"/>
      <c r="AI1119" s="38"/>
    </row>
    <row r="1120" ht="15.75" customHeight="1">
      <c r="A1120" s="35"/>
      <c r="C1120" s="442"/>
      <c r="P1120" s="235"/>
      <c r="AI1120" s="38"/>
    </row>
    <row r="1121" ht="15.75" customHeight="1">
      <c r="A1121" s="35"/>
      <c r="C1121" s="442"/>
      <c r="P1121" s="235"/>
      <c r="AI1121" s="38"/>
    </row>
    <row r="1122" ht="15.75" customHeight="1">
      <c r="A1122" s="35"/>
      <c r="C1122" s="442"/>
      <c r="P1122" s="235"/>
      <c r="AI1122" s="38"/>
    </row>
    <row r="1123" ht="15.75" customHeight="1">
      <c r="A1123" s="35"/>
      <c r="C1123" s="442"/>
      <c r="P1123" s="235"/>
      <c r="AI1123" s="38"/>
    </row>
    <row r="1124" ht="15.75" customHeight="1">
      <c r="A1124" s="35"/>
      <c r="C1124" s="442"/>
      <c r="P1124" s="235"/>
      <c r="AI1124" s="38"/>
    </row>
    <row r="1125" ht="15.75" customHeight="1">
      <c r="A1125" s="35"/>
      <c r="C1125" s="442"/>
      <c r="P1125" s="235"/>
      <c r="AI1125" s="38"/>
    </row>
    <row r="1126" ht="15.75" customHeight="1">
      <c r="A1126" s="35"/>
      <c r="C1126" s="442"/>
      <c r="P1126" s="235"/>
      <c r="AI1126" s="38"/>
    </row>
    <row r="1127" ht="15.75" customHeight="1">
      <c r="A1127" s="35"/>
      <c r="C1127" s="442"/>
      <c r="P1127" s="235"/>
      <c r="AI1127" s="38"/>
    </row>
    <row r="1128" ht="15.75" customHeight="1">
      <c r="A1128" s="35"/>
      <c r="C1128" s="442"/>
      <c r="P1128" s="235"/>
      <c r="AI1128" s="38"/>
    </row>
    <row r="1129" ht="15.75" customHeight="1">
      <c r="A1129" s="35"/>
      <c r="C1129" s="442"/>
      <c r="P1129" s="235"/>
      <c r="AI1129" s="38"/>
    </row>
    <row r="1130" ht="15.75" customHeight="1">
      <c r="A1130" s="35"/>
      <c r="C1130" s="442"/>
      <c r="P1130" s="235"/>
      <c r="AI1130" s="38"/>
    </row>
    <row r="1131" ht="15.75" customHeight="1">
      <c r="A1131" s="35"/>
      <c r="C1131" s="442"/>
      <c r="P1131" s="235"/>
      <c r="AI1131" s="38"/>
    </row>
    <row r="1132" ht="15.75" customHeight="1">
      <c r="A1132" s="35"/>
      <c r="C1132" s="442"/>
      <c r="P1132" s="235"/>
      <c r="AI1132" s="38"/>
    </row>
    <row r="1133" ht="15.75" customHeight="1">
      <c r="A1133" s="35"/>
      <c r="C1133" s="442"/>
      <c r="P1133" s="235"/>
      <c r="AI1133" s="38"/>
    </row>
    <row r="1134" ht="15.75" customHeight="1">
      <c r="A1134" s="35"/>
      <c r="C1134" s="442"/>
      <c r="P1134" s="235"/>
      <c r="AI1134" s="38"/>
    </row>
    <row r="1135" ht="15.75" customHeight="1">
      <c r="A1135" s="35"/>
      <c r="C1135" s="442"/>
      <c r="P1135" s="235"/>
      <c r="AI1135" s="38"/>
    </row>
    <row r="1136" ht="15.75" customHeight="1">
      <c r="A1136" s="35"/>
      <c r="C1136" s="442"/>
      <c r="P1136" s="235"/>
      <c r="AI1136" s="38"/>
    </row>
    <row r="1137" ht="15.75" customHeight="1">
      <c r="A1137" s="35"/>
      <c r="C1137" s="442"/>
      <c r="P1137" s="235"/>
      <c r="AI1137" s="38"/>
    </row>
    <row r="1138" ht="15.75" customHeight="1">
      <c r="A1138" s="35"/>
      <c r="C1138" s="442"/>
      <c r="P1138" s="235"/>
      <c r="AI1138" s="38"/>
    </row>
    <row r="1139" ht="15.75" customHeight="1">
      <c r="A1139" s="35"/>
      <c r="C1139" s="442"/>
      <c r="P1139" s="235"/>
      <c r="AI1139" s="38"/>
    </row>
    <row r="1140" ht="15.75" customHeight="1">
      <c r="A1140" s="35"/>
      <c r="C1140" s="442"/>
      <c r="P1140" s="235"/>
      <c r="AI1140" s="38"/>
    </row>
    <row r="1141" ht="15.75" customHeight="1">
      <c r="A1141" s="35"/>
      <c r="C1141" s="442"/>
      <c r="P1141" s="235"/>
      <c r="AI1141" s="38"/>
    </row>
    <row r="1142" ht="15.75" customHeight="1">
      <c r="A1142" s="35"/>
      <c r="C1142" s="442"/>
      <c r="P1142" s="235"/>
      <c r="AI1142" s="38"/>
    </row>
    <row r="1143" ht="15.75" customHeight="1">
      <c r="A1143" s="35"/>
      <c r="C1143" s="442"/>
      <c r="P1143" s="235"/>
      <c r="AI1143" s="38"/>
    </row>
    <row r="1144" ht="15.75" customHeight="1">
      <c r="A1144" s="35"/>
      <c r="C1144" s="442"/>
      <c r="P1144" s="235"/>
      <c r="AI1144" s="38"/>
    </row>
    <row r="1145" ht="15.75" customHeight="1">
      <c r="A1145" s="35"/>
      <c r="C1145" s="442"/>
      <c r="P1145" s="235"/>
      <c r="AI1145" s="38"/>
    </row>
    <row r="1146" ht="15.75" customHeight="1">
      <c r="A1146" s="35"/>
      <c r="C1146" s="442"/>
      <c r="P1146" s="235"/>
      <c r="AI1146" s="38"/>
    </row>
    <row r="1147" ht="15.75" customHeight="1">
      <c r="A1147" s="35"/>
      <c r="C1147" s="442"/>
      <c r="P1147" s="235"/>
      <c r="AI1147" s="38"/>
    </row>
    <row r="1148" ht="15.75" customHeight="1">
      <c r="A1148" s="35"/>
      <c r="C1148" s="442"/>
      <c r="P1148" s="235"/>
      <c r="AI1148" s="38"/>
    </row>
    <row r="1149" ht="15.75" customHeight="1">
      <c r="A1149" s="35"/>
      <c r="C1149" s="442"/>
      <c r="P1149" s="235"/>
      <c r="AI1149" s="38"/>
    </row>
    <row r="1150" ht="15.75" customHeight="1">
      <c r="A1150" s="35"/>
      <c r="C1150" s="442"/>
      <c r="P1150" s="235"/>
      <c r="AI1150" s="38"/>
    </row>
    <row r="1151" ht="15.75" customHeight="1">
      <c r="A1151" s="35"/>
      <c r="C1151" s="442"/>
      <c r="P1151" s="235"/>
      <c r="AI1151" s="38"/>
    </row>
    <row r="1152" ht="15.75" customHeight="1">
      <c r="A1152" s="35"/>
      <c r="C1152" s="442"/>
      <c r="P1152" s="235"/>
      <c r="AI1152" s="38"/>
    </row>
    <row r="1153" ht="15.75" customHeight="1">
      <c r="A1153" s="35"/>
      <c r="C1153" s="442"/>
      <c r="P1153" s="235"/>
      <c r="AI1153" s="38"/>
    </row>
    <row r="1154" ht="15.75" customHeight="1">
      <c r="A1154" s="35"/>
      <c r="C1154" s="442"/>
      <c r="P1154" s="235"/>
      <c r="AI1154" s="38"/>
    </row>
    <row r="1155" ht="15.75" customHeight="1">
      <c r="A1155" s="35"/>
      <c r="C1155" s="442"/>
      <c r="P1155" s="235"/>
      <c r="AI1155" s="38"/>
    </row>
    <row r="1156" ht="15.75" customHeight="1">
      <c r="A1156" s="35"/>
      <c r="C1156" s="442"/>
      <c r="P1156" s="235"/>
      <c r="AI1156" s="38"/>
    </row>
    <row r="1157" ht="15.75" customHeight="1">
      <c r="A1157" s="35"/>
      <c r="C1157" s="442"/>
      <c r="P1157" s="235"/>
      <c r="AI1157" s="38"/>
    </row>
    <row r="1158" ht="15.75" customHeight="1">
      <c r="A1158" s="35"/>
      <c r="C1158" s="442"/>
      <c r="P1158" s="235"/>
      <c r="AI1158" s="38"/>
    </row>
    <row r="1159" ht="15.75" customHeight="1">
      <c r="A1159" s="35"/>
      <c r="C1159" s="442"/>
      <c r="P1159" s="235"/>
      <c r="AI1159" s="38"/>
    </row>
    <row r="1160" ht="15.75" customHeight="1">
      <c r="A1160" s="35"/>
      <c r="C1160" s="442"/>
      <c r="P1160" s="235"/>
      <c r="AI1160" s="38"/>
    </row>
    <row r="1161" ht="15.75" customHeight="1">
      <c r="A1161" s="35"/>
      <c r="C1161" s="442"/>
      <c r="P1161" s="235"/>
      <c r="AI1161" s="38"/>
    </row>
    <row r="1162" ht="15.75" customHeight="1">
      <c r="A1162" s="35"/>
      <c r="C1162" s="442"/>
      <c r="P1162" s="235"/>
      <c r="AI1162" s="38"/>
    </row>
    <row r="1163" ht="15.75" customHeight="1">
      <c r="A1163" s="35"/>
      <c r="C1163" s="442"/>
      <c r="P1163" s="235"/>
      <c r="AI1163" s="38"/>
    </row>
    <row r="1164" ht="15.75" customHeight="1">
      <c r="A1164" s="35"/>
      <c r="C1164" s="442"/>
      <c r="P1164" s="235"/>
      <c r="AI1164" s="38"/>
    </row>
    <row r="1165" ht="15.75" customHeight="1">
      <c r="A1165" s="35"/>
      <c r="C1165" s="442"/>
      <c r="P1165" s="235"/>
      <c r="AI1165" s="38"/>
    </row>
    <row r="1166" ht="15.75" customHeight="1">
      <c r="A1166" s="35"/>
      <c r="C1166" s="442"/>
      <c r="P1166" s="235"/>
      <c r="AI1166" s="38"/>
    </row>
    <row r="1167" ht="15.75" customHeight="1">
      <c r="A1167" s="35"/>
      <c r="C1167" s="442"/>
      <c r="P1167" s="235"/>
      <c r="AI1167" s="38"/>
    </row>
    <row r="1168" ht="15.75" customHeight="1">
      <c r="A1168" s="35"/>
      <c r="C1168" s="442"/>
      <c r="P1168" s="235"/>
      <c r="AI1168" s="38"/>
    </row>
    <row r="1169" ht="15.75" customHeight="1">
      <c r="A1169" s="35"/>
      <c r="C1169" s="442"/>
      <c r="P1169" s="235"/>
      <c r="AI1169" s="38"/>
    </row>
    <row r="1170" ht="15.75" customHeight="1">
      <c r="A1170" s="35"/>
      <c r="C1170" s="442"/>
      <c r="P1170" s="235"/>
      <c r="AI1170" s="38"/>
    </row>
    <row r="1171" ht="15.75" customHeight="1">
      <c r="A1171" s="35"/>
      <c r="C1171" s="442"/>
      <c r="P1171" s="235"/>
      <c r="AI1171" s="38"/>
    </row>
    <row r="1172" ht="15.75" customHeight="1">
      <c r="A1172" s="35"/>
      <c r="C1172" s="442"/>
      <c r="P1172" s="235"/>
      <c r="AI1172" s="38"/>
    </row>
    <row r="1173" ht="15.75" customHeight="1">
      <c r="A1173" s="35"/>
      <c r="C1173" s="442"/>
      <c r="P1173" s="235"/>
      <c r="AI1173" s="38"/>
    </row>
    <row r="1174" ht="15.75" customHeight="1">
      <c r="A1174" s="35"/>
      <c r="C1174" s="442"/>
      <c r="P1174" s="235"/>
      <c r="AI1174" s="38"/>
    </row>
    <row r="1175" ht="15.75" customHeight="1">
      <c r="A1175" s="35"/>
      <c r="C1175" s="442"/>
      <c r="P1175" s="235"/>
      <c r="AI1175" s="38"/>
    </row>
    <row r="1176" ht="15.75" customHeight="1">
      <c r="A1176" s="35"/>
      <c r="C1176" s="442"/>
      <c r="P1176" s="235"/>
      <c r="AI1176" s="38"/>
    </row>
    <row r="1177" ht="15.75" customHeight="1">
      <c r="A1177" s="35"/>
      <c r="C1177" s="442"/>
      <c r="P1177" s="235"/>
      <c r="AI1177" s="38"/>
    </row>
    <row r="1178" ht="15.75" customHeight="1">
      <c r="A1178" s="35"/>
      <c r="C1178" s="442"/>
      <c r="P1178" s="235"/>
      <c r="AI1178" s="38"/>
    </row>
    <row r="1179" ht="15.75" customHeight="1">
      <c r="A1179" s="35"/>
      <c r="C1179" s="442"/>
      <c r="P1179" s="235"/>
      <c r="AI1179" s="38"/>
    </row>
    <row r="1180" ht="15.75" customHeight="1">
      <c r="A1180" s="35"/>
      <c r="C1180" s="442"/>
      <c r="P1180" s="235"/>
      <c r="AI1180" s="38"/>
    </row>
    <row r="1181" ht="15.75" customHeight="1">
      <c r="A1181" s="35"/>
      <c r="C1181" s="442"/>
      <c r="P1181" s="235"/>
      <c r="AI1181" s="38"/>
    </row>
    <row r="1182" ht="15.75" customHeight="1">
      <c r="A1182" s="35"/>
      <c r="C1182" s="442"/>
      <c r="P1182" s="235"/>
      <c r="AI1182" s="38"/>
    </row>
    <row r="1183" ht="15.75" customHeight="1">
      <c r="A1183" s="35"/>
      <c r="C1183" s="442"/>
      <c r="P1183" s="235"/>
      <c r="AI1183" s="38"/>
    </row>
    <row r="1184" ht="15.75" customHeight="1">
      <c r="A1184" s="35"/>
      <c r="C1184" s="442"/>
      <c r="P1184" s="235"/>
      <c r="AI1184" s="38"/>
    </row>
    <row r="1185" ht="15.75" customHeight="1">
      <c r="A1185" s="35"/>
      <c r="C1185" s="442"/>
      <c r="P1185" s="235"/>
      <c r="AI1185" s="38"/>
    </row>
    <row r="1186" ht="15.75" customHeight="1">
      <c r="A1186" s="35"/>
      <c r="C1186" s="442"/>
      <c r="P1186" s="235"/>
      <c r="AI1186" s="38"/>
    </row>
    <row r="1187" ht="15.75" customHeight="1">
      <c r="A1187" s="35"/>
      <c r="C1187" s="442"/>
      <c r="P1187" s="235"/>
      <c r="AI1187" s="38"/>
    </row>
    <row r="1188" ht="15.75" customHeight="1">
      <c r="A1188" s="35"/>
      <c r="C1188" s="442"/>
      <c r="P1188" s="235"/>
      <c r="AI1188" s="38"/>
    </row>
    <row r="1189" ht="15.75" customHeight="1">
      <c r="A1189" s="35"/>
      <c r="C1189" s="442"/>
      <c r="P1189" s="235"/>
      <c r="AI1189" s="38"/>
    </row>
    <row r="1190" ht="15.75" customHeight="1">
      <c r="A1190" s="35"/>
      <c r="C1190" s="442"/>
      <c r="P1190" s="235"/>
      <c r="AI1190" s="38"/>
    </row>
    <row r="1191" ht="15.75" customHeight="1">
      <c r="A1191" s="35"/>
      <c r="C1191" s="442"/>
      <c r="P1191" s="235"/>
      <c r="AI1191" s="38"/>
    </row>
    <row r="1192" ht="15.75" customHeight="1">
      <c r="A1192" s="35"/>
      <c r="C1192" s="442"/>
      <c r="P1192" s="235"/>
      <c r="AI1192" s="38"/>
    </row>
    <row r="1193" ht="15.75" customHeight="1">
      <c r="A1193" s="35"/>
      <c r="C1193" s="442"/>
      <c r="P1193" s="235"/>
      <c r="AI1193" s="38"/>
    </row>
    <row r="1194" ht="15.75" customHeight="1">
      <c r="A1194" s="35"/>
      <c r="C1194" s="442"/>
      <c r="P1194" s="235"/>
      <c r="AI1194" s="38"/>
    </row>
    <row r="1195" ht="15.75" customHeight="1">
      <c r="A1195" s="35"/>
      <c r="C1195" s="442"/>
      <c r="P1195" s="235"/>
      <c r="AI1195" s="38"/>
    </row>
    <row r="1196" ht="15.75" customHeight="1">
      <c r="A1196" s="35"/>
      <c r="C1196" s="442"/>
      <c r="P1196" s="235"/>
      <c r="AI1196" s="38"/>
    </row>
    <row r="1197" ht="15.75" customHeight="1">
      <c r="A1197" s="35"/>
      <c r="C1197" s="442"/>
      <c r="P1197" s="235"/>
      <c r="AI1197" s="38"/>
    </row>
    <row r="1198" ht="15.75" customHeight="1">
      <c r="A1198" s="35"/>
      <c r="C1198" s="442"/>
      <c r="P1198" s="235"/>
      <c r="AI1198" s="38"/>
    </row>
    <row r="1199" ht="15.75" customHeight="1">
      <c r="A1199" s="35"/>
      <c r="C1199" s="442"/>
      <c r="P1199" s="235"/>
      <c r="AI1199" s="38"/>
    </row>
    <row r="1200" ht="15.75" customHeight="1">
      <c r="A1200" s="35"/>
      <c r="C1200" s="442"/>
      <c r="P1200" s="235"/>
      <c r="AI1200" s="38"/>
    </row>
    <row r="1201" ht="15.75" customHeight="1">
      <c r="A1201" s="35"/>
      <c r="C1201" s="442"/>
      <c r="P1201" s="235"/>
      <c r="AI1201" s="38"/>
    </row>
    <row r="1202" ht="15.75" customHeight="1">
      <c r="A1202" s="35"/>
      <c r="C1202" s="442"/>
      <c r="P1202" s="235"/>
      <c r="AI1202" s="38"/>
    </row>
    <row r="1203" ht="15.75" customHeight="1">
      <c r="A1203" s="35"/>
      <c r="C1203" s="442"/>
      <c r="P1203" s="235"/>
      <c r="AI1203" s="38"/>
    </row>
    <row r="1204" ht="15.75" customHeight="1">
      <c r="A1204" s="35"/>
      <c r="C1204" s="442"/>
      <c r="P1204" s="235"/>
      <c r="AI1204" s="38"/>
    </row>
    <row r="1205" ht="15.75" customHeight="1">
      <c r="A1205" s="35"/>
      <c r="C1205" s="442"/>
      <c r="P1205" s="235"/>
      <c r="AI1205" s="38"/>
    </row>
    <row r="1206" ht="15.75" customHeight="1">
      <c r="A1206" s="35"/>
      <c r="C1206" s="442"/>
      <c r="P1206" s="235"/>
      <c r="AI1206" s="38"/>
    </row>
    <row r="1207" ht="15.75" customHeight="1">
      <c r="A1207" s="35"/>
      <c r="C1207" s="442"/>
      <c r="P1207" s="235"/>
      <c r="AI1207" s="38"/>
    </row>
    <row r="1208" ht="15.75" customHeight="1">
      <c r="A1208" s="35"/>
      <c r="C1208" s="442"/>
      <c r="P1208" s="235"/>
      <c r="AI1208" s="38"/>
    </row>
    <row r="1209" ht="15.75" customHeight="1">
      <c r="A1209" s="35"/>
      <c r="C1209" s="442"/>
      <c r="P1209" s="235"/>
      <c r="AI1209" s="38"/>
    </row>
    <row r="1210" ht="15.75" customHeight="1">
      <c r="A1210" s="35"/>
      <c r="C1210" s="442"/>
      <c r="P1210" s="235"/>
      <c r="AI1210" s="38"/>
    </row>
    <row r="1211" ht="15.75" customHeight="1">
      <c r="A1211" s="35"/>
      <c r="C1211" s="442"/>
      <c r="P1211" s="235"/>
      <c r="AI1211" s="38"/>
    </row>
    <row r="1212" ht="15.75" customHeight="1">
      <c r="A1212" s="35"/>
      <c r="C1212" s="442"/>
      <c r="P1212" s="235"/>
      <c r="AI1212" s="38"/>
    </row>
    <row r="1213" ht="15.75" customHeight="1">
      <c r="A1213" s="35"/>
      <c r="C1213" s="442"/>
      <c r="P1213" s="235"/>
      <c r="AI1213" s="38"/>
    </row>
    <row r="1214" ht="15.75" customHeight="1">
      <c r="A1214" s="35"/>
      <c r="C1214" s="442"/>
      <c r="P1214" s="235"/>
      <c r="AI1214" s="38"/>
    </row>
    <row r="1215" ht="15.75" customHeight="1">
      <c r="A1215" s="35"/>
      <c r="C1215" s="442"/>
      <c r="P1215" s="235"/>
      <c r="AI1215" s="38"/>
    </row>
    <row r="1216" ht="15.75" customHeight="1">
      <c r="A1216" s="35"/>
      <c r="C1216" s="442"/>
      <c r="P1216" s="235"/>
      <c r="AI1216" s="38"/>
    </row>
    <row r="1217" ht="15.75" customHeight="1">
      <c r="A1217" s="35"/>
      <c r="C1217" s="442"/>
      <c r="P1217" s="235"/>
      <c r="AI1217" s="38"/>
    </row>
    <row r="1218" ht="15.75" customHeight="1">
      <c r="A1218" s="35"/>
      <c r="C1218" s="442"/>
      <c r="P1218" s="235"/>
      <c r="AI1218" s="38"/>
    </row>
    <row r="1219" ht="15.75" customHeight="1">
      <c r="A1219" s="35"/>
      <c r="C1219" s="442"/>
      <c r="P1219" s="235"/>
      <c r="AI1219" s="38"/>
    </row>
    <row r="1220" ht="15.75" customHeight="1">
      <c r="A1220" s="35"/>
      <c r="C1220" s="442"/>
      <c r="P1220" s="235"/>
      <c r="AI1220" s="38"/>
    </row>
    <row r="1221" ht="15.75" customHeight="1">
      <c r="A1221" s="35"/>
      <c r="C1221" s="442"/>
      <c r="P1221" s="235"/>
      <c r="AI1221" s="38"/>
    </row>
    <row r="1222" ht="15.75" customHeight="1">
      <c r="A1222" s="35"/>
      <c r="C1222" s="442"/>
      <c r="P1222" s="235"/>
      <c r="AI1222" s="38"/>
    </row>
    <row r="1223" ht="15.75" customHeight="1">
      <c r="A1223" s="35"/>
      <c r="C1223" s="442"/>
      <c r="P1223" s="235"/>
      <c r="AI1223" s="38"/>
    </row>
    <row r="1224" ht="15.75" customHeight="1">
      <c r="A1224" s="35"/>
      <c r="C1224" s="442"/>
      <c r="P1224" s="235"/>
      <c r="AI1224" s="38"/>
    </row>
    <row r="1225" ht="15.75" customHeight="1">
      <c r="A1225" s="35"/>
      <c r="C1225" s="442"/>
      <c r="P1225" s="235"/>
      <c r="AI1225" s="38"/>
    </row>
    <row r="1226" ht="15.75" customHeight="1">
      <c r="A1226" s="35"/>
      <c r="C1226" s="442"/>
      <c r="P1226" s="235"/>
      <c r="AI1226" s="38"/>
    </row>
    <row r="1227" ht="15.75" customHeight="1">
      <c r="A1227" s="35"/>
      <c r="C1227" s="442"/>
      <c r="P1227" s="235"/>
      <c r="AI1227" s="38"/>
    </row>
    <row r="1228" ht="15.75" customHeight="1">
      <c r="A1228" s="35"/>
      <c r="C1228" s="442"/>
      <c r="P1228" s="235"/>
      <c r="AI1228" s="38"/>
    </row>
    <row r="1229" ht="15.75" customHeight="1">
      <c r="A1229" s="35"/>
      <c r="C1229" s="442"/>
      <c r="P1229" s="235"/>
      <c r="AI1229" s="38"/>
    </row>
    <row r="1230" ht="15.75" customHeight="1">
      <c r="A1230" s="35"/>
      <c r="C1230" s="442"/>
      <c r="P1230" s="235"/>
      <c r="AI1230" s="38"/>
    </row>
    <row r="1231" ht="15.75" customHeight="1">
      <c r="A1231" s="35"/>
      <c r="C1231" s="442"/>
      <c r="P1231" s="235"/>
      <c r="AI1231" s="38"/>
    </row>
    <row r="1232" ht="15.75" customHeight="1">
      <c r="A1232" s="35"/>
      <c r="C1232" s="442"/>
      <c r="P1232" s="235"/>
      <c r="AI1232" s="38"/>
    </row>
    <row r="1233" ht="15.75" customHeight="1">
      <c r="A1233" s="35"/>
      <c r="C1233" s="442"/>
      <c r="P1233" s="235"/>
      <c r="AI1233" s="38"/>
    </row>
    <row r="1234" ht="15.75" customHeight="1">
      <c r="A1234" s="35"/>
      <c r="C1234" s="442"/>
      <c r="P1234" s="235"/>
      <c r="AI1234" s="38"/>
    </row>
    <row r="1235" ht="15.75" customHeight="1">
      <c r="A1235" s="35"/>
      <c r="C1235" s="442"/>
      <c r="P1235" s="235"/>
      <c r="AI1235" s="38"/>
    </row>
    <row r="1236" ht="15.75" customHeight="1">
      <c r="A1236" s="35"/>
      <c r="C1236" s="442"/>
      <c r="P1236" s="235"/>
      <c r="AI1236" s="38"/>
    </row>
    <row r="1237" ht="15.75" customHeight="1">
      <c r="A1237" s="35"/>
      <c r="C1237" s="442"/>
      <c r="P1237" s="235"/>
      <c r="AI1237" s="38"/>
    </row>
    <row r="1238" ht="15.75" customHeight="1">
      <c r="A1238" s="35"/>
      <c r="C1238" s="442"/>
      <c r="P1238" s="235"/>
      <c r="AI1238" s="38"/>
    </row>
    <row r="1239" ht="15.75" customHeight="1">
      <c r="A1239" s="35"/>
      <c r="C1239" s="442"/>
      <c r="P1239" s="235"/>
      <c r="AI1239" s="38"/>
    </row>
    <row r="1240" ht="15.75" customHeight="1">
      <c r="A1240" s="35"/>
      <c r="C1240" s="442"/>
      <c r="P1240" s="235"/>
      <c r="AI1240" s="38"/>
    </row>
    <row r="1241" ht="15.75" customHeight="1">
      <c r="A1241" s="35"/>
      <c r="C1241" s="442"/>
      <c r="P1241" s="235"/>
      <c r="AI1241" s="38"/>
    </row>
    <row r="1242" ht="15.75" customHeight="1">
      <c r="A1242" s="35"/>
      <c r="C1242" s="442"/>
      <c r="P1242" s="235"/>
      <c r="AI1242" s="38"/>
    </row>
    <row r="1243" ht="15.75" customHeight="1">
      <c r="A1243" s="35"/>
      <c r="C1243" s="442"/>
      <c r="P1243" s="235"/>
      <c r="AI1243" s="38"/>
    </row>
    <row r="1244" ht="15.75" customHeight="1">
      <c r="A1244" s="35"/>
      <c r="C1244" s="442"/>
      <c r="P1244" s="235"/>
      <c r="AI1244" s="38"/>
    </row>
    <row r="1245" ht="15.75" customHeight="1">
      <c r="A1245" s="35"/>
      <c r="C1245" s="442"/>
      <c r="P1245" s="235"/>
      <c r="AI1245" s="38"/>
    </row>
    <row r="1246" ht="15.75" customHeight="1">
      <c r="A1246" s="35"/>
      <c r="C1246" s="442"/>
      <c r="P1246" s="235"/>
      <c r="AI1246" s="38"/>
    </row>
    <row r="1247" ht="15.75" customHeight="1">
      <c r="A1247" s="35"/>
      <c r="C1247" s="442"/>
      <c r="P1247" s="235"/>
      <c r="AI1247" s="38"/>
    </row>
    <row r="1248" ht="15.75" customHeight="1">
      <c r="A1248" s="35"/>
      <c r="C1248" s="442"/>
      <c r="P1248" s="235"/>
      <c r="AI1248" s="38"/>
    </row>
    <row r="1249" ht="15.75" customHeight="1">
      <c r="A1249" s="35"/>
      <c r="C1249" s="442"/>
      <c r="P1249" s="235"/>
      <c r="AI1249" s="38"/>
    </row>
    <row r="1250" ht="15.75" customHeight="1">
      <c r="A1250" s="35"/>
      <c r="C1250" s="442"/>
      <c r="P1250" s="235"/>
      <c r="AI1250" s="38"/>
    </row>
    <row r="1251" ht="15.75" customHeight="1">
      <c r="A1251" s="35"/>
      <c r="C1251" s="442"/>
      <c r="P1251" s="235"/>
      <c r="AI1251" s="38"/>
    </row>
    <row r="1252" ht="15.75" customHeight="1">
      <c r="A1252" s="35"/>
      <c r="C1252" s="442"/>
      <c r="P1252" s="235"/>
      <c r="AI1252" s="38"/>
    </row>
    <row r="1253" ht="15.75" customHeight="1">
      <c r="A1253" s="35"/>
      <c r="C1253" s="442"/>
      <c r="P1253" s="235"/>
      <c r="AI1253" s="38"/>
    </row>
    <row r="1254" ht="15.75" customHeight="1">
      <c r="A1254" s="35"/>
      <c r="C1254" s="442"/>
      <c r="P1254" s="235"/>
      <c r="AI1254" s="38"/>
    </row>
    <row r="1255" ht="15.75" customHeight="1">
      <c r="A1255" s="35"/>
      <c r="C1255" s="442"/>
      <c r="P1255" s="235"/>
      <c r="AI1255" s="38"/>
    </row>
    <row r="1256" ht="15.75" customHeight="1">
      <c r="A1256" s="35"/>
      <c r="C1256" s="442"/>
      <c r="P1256" s="235"/>
      <c r="AI1256" s="38"/>
    </row>
    <row r="1257" ht="15.75" customHeight="1">
      <c r="A1257" s="35"/>
      <c r="C1257" s="442"/>
      <c r="P1257" s="235"/>
      <c r="AI1257" s="38"/>
    </row>
    <row r="1258" ht="15.75" customHeight="1">
      <c r="A1258" s="35"/>
      <c r="C1258" s="442"/>
      <c r="P1258" s="235"/>
      <c r="AI1258" s="38"/>
    </row>
    <row r="1259" ht="15.75" customHeight="1">
      <c r="A1259" s="35"/>
      <c r="C1259" s="442"/>
      <c r="P1259" s="235"/>
      <c r="AI1259" s="38"/>
    </row>
    <row r="1260" ht="15.75" customHeight="1">
      <c r="A1260" s="35"/>
      <c r="C1260" s="442"/>
      <c r="P1260" s="235"/>
      <c r="AI1260" s="38"/>
    </row>
    <row r="1261" ht="15.75" customHeight="1">
      <c r="A1261" s="35"/>
      <c r="C1261" s="442"/>
      <c r="P1261" s="235"/>
      <c r="AI1261" s="38"/>
    </row>
    <row r="1262" ht="15.75" customHeight="1">
      <c r="A1262" s="35"/>
      <c r="C1262" s="442"/>
      <c r="P1262" s="235"/>
      <c r="AI1262" s="38"/>
    </row>
    <row r="1263" ht="15.75" customHeight="1">
      <c r="A1263" s="35"/>
      <c r="C1263" s="442"/>
      <c r="P1263" s="235"/>
      <c r="AI1263" s="38"/>
    </row>
    <row r="1264" ht="15.75" customHeight="1">
      <c r="A1264" s="35"/>
      <c r="C1264" s="442"/>
      <c r="P1264" s="235"/>
      <c r="AI1264" s="38"/>
    </row>
    <row r="1265" ht="15.75" customHeight="1">
      <c r="A1265" s="35"/>
      <c r="C1265" s="442"/>
      <c r="P1265" s="235"/>
      <c r="AI1265" s="38"/>
    </row>
    <row r="1266" ht="15.75" customHeight="1">
      <c r="A1266" s="35"/>
      <c r="C1266" s="442"/>
      <c r="P1266" s="235"/>
      <c r="AI1266" s="38"/>
    </row>
    <row r="1267" ht="15.75" customHeight="1">
      <c r="A1267" s="35"/>
      <c r="C1267" s="442"/>
      <c r="P1267" s="235"/>
      <c r="AI1267" s="38"/>
    </row>
    <row r="1268" ht="15.75" customHeight="1">
      <c r="A1268" s="35"/>
      <c r="C1268" s="442"/>
      <c r="P1268" s="235"/>
      <c r="AI1268" s="38"/>
    </row>
    <row r="1269" ht="15.75" customHeight="1">
      <c r="A1269" s="35"/>
      <c r="C1269" s="442"/>
      <c r="P1269" s="235"/>
      <c r="AI1269" s="38"/>
    </row>
    <row r="1270" ht="15.75" customHeight="1">
      <c r="A1270" s="35"/>
      <c r="C1270" s="442"/>
      <c r="P1270" s="235"/>
      <c r="AI1270" s="38"/>
    </row>
    <row r="1271" ht="15.75" customHeight="1">
      <c r="A1271" s="35"/>
      <c r="C1271" s="442"/>
      <c r="P1271" s="235"/>
      <c r="AI1271" s="38"/>
    </row>
    <row r="1272" ht="15.75" customHeight="1">
      <c r="A1272" s="35"/>
      <c r="C1272" s="442"/>
      <c r="P1272" s="235"/>
      <c r="AI1272" s="38"/>
    </row>
    <row r="1273" ht="15.75" customHeight="1">
      <c r="A1273" s="35"/>
      <c r="C1273" s="442"/>
      <c r="P1273" s="235"/>
      <c r="AI1273" s="38"/>
    </row>
    <row r="1274" ht="15.75" customHeight="1">
      <c r="A1274" s="35"/>
      <c r="C1274" s="442"/>
      <c r="P1274" s="235"/>
      <c r="AI1274" s="38"/>
    </row>
    <row r="1275" ht="15.75" customHeight="1">
      <c r="A1275" s="35"/>
      <c r="C1275" s="442"/>
      <c r="P1275" s="235"/>
      <c r="AI1275" s="38"/>
    </row>
    <row r="1276" ht="15.75" customHeight="1">
      <c r="A1276" s="35"/>
      <c r="C1276" s="442"/>
      <c r="P1276" s="235"/>
      <c r="AI1276" s="38"/>
    </row>
    <row r="1277" ht="15.75" customHeight="1">
      <c r="A1277" s="35"/>
      <c r="C1277" s="442"/>
      <c r="P1277" s="235"/>
      <c r="AI1277" s="38"/>
    </row>
    <row r="1278" ht="15.75" customHeight="1">
      <c r="A1278" s="35"/>
      <c r="C1278" s="442"/>
      <c r="P1278" s="235"/>
      <c r="AI1278" s="38"/>
    </row>
    <row r="1279" ht="15.75" customHeight="1">
      <c r="A1279" s="35"/>
      <c r="C1279" s="442"/>
      <c r="P1279" s="235"/>
      <c r="AI1279" s="38"/>
    </row>
    <row r="1280" ht="15.75" customHeight="1">
      <c r="A1280" s="35"/>
      <c r="C1280" s="442"/>
      <c r="P1280" s="235"/>
      <c r="AI1280" s="38"/>
    </row>
    <row r="1281" ht="15.75" customHeight="1">
      <c r="A1281" s="35"/>
      <c r="C1281" s="442"/>
      <c r="P1281" s="235"/>
      <c r="AI1281" s="38"/>
    </row>
    <row r="1282" ht="15.75" customHeight="1">
      <c r="A1282" s="35"/>
      <c r="C1282" s="442"/>
      <c r="P1282" s="235"/>
      <c r="AI1282" s="38"/>
    </row>
    <row r="1283" ht="15.75" customHeight="1">
      <c r="A1283" s="35"/>
      <c r="C1283" s="442"/>
      <c r="P1283" s="235"/>
      <c r="AI1283" s="38"/>
    </row>
    <row r="1284" ht="15.75" customHeight="1">
      <c r="A1284" s="35"/>
      <c r="C1284" s="442"/>
      <c r="P1284" s="235"/>
      <c r="AI1284" s="38"/>
    </row>
    <row r="1285" ht="15.75" customHeight="1">
      <c r="A1285" s="35"/>
      <c r="C1285" s="442"/>
      <c r="P1285" s="235"/>
      <c r="AI1285" s="38"/>
    </row>
    <row r="1286" ht="15.75" customHeight="1">
      <c r="A1286" s="35"/>
      <c r="C1286" s="442"/>
      <c r="P1286" s="235"/>
      <c r="AI1286" s="38"/>
    </row>
    <row r="1287" ht="15.75" customHeight="1">
      <c r="A1287" s="35"/>
      <c r="C1287" s="442"/>
      <c r="P1287" s="235"/>
      <c r="AI1287" s="38"/>
    </row>
    <row r="1288" ht="15.75" customHeight="1">
      <c r="A1288" s="35"/>
      <c r="C1288" s="442"/>
      <c r="P1288" s="235"/>
      <c r="AI1288" s="38"/>
    </row>
    <row r="1289" ht="15.75" customHeight="1">
      <c r="A1289" s="35"/>
      <c r="C1289" s="442"/>
      <c r="P1289" s="235"/>
      <c r="AI1289" s="38"/>
    </row>
    <row r="1290" ht="15.75" customHeight="1">
      <c r="A1290" s="35"/>
      <c r="C1290" s="442"/>
      <c r="P1290" s="235"/>
      <c r="AI1290" s="38"/>
    </row>
    <row r="1291" ht="15.75" customHeight="1">
      <c r="A1291" s="35"/>
      <c r="C1291" s="442"/>
      <c r="P1291" s="235"/>
      <c r="AI1291" s="38"/>
    </row>
    <row r="1292" ht="15.75" customHeight="1">
      <c r="A1292" s="35"/>
      <c r="C1292" s="442"/>
      <c r="P1292" s="235"/>
      <c r="AI1292" s="38"/>
    </row>
    <row r="1293" ht="15.75" customHeight="1">
      <c r="A1293" s="35"/>
      <c r="C1293" s="442"/>
      <c r="P1293" s="235"/>
      <c r="AI1293" s="38"/>
    </row>
    <row r="1294" ht="15.75" customHeight="1">
      <c r="A1294" s="35"/>
      <c r="C1294" s="442"/>
      <c r="P1294" s="235"/>
      <c r="AI1294" s="38"/>
    </row>
    <row r="1295" ht="15.75" customHeight="1">
      <c r="A1295" s="35"/>
      <c r="C1295" s="442"/>
      <c r="P1295" s="235"/>
      <c r="AI1295" s="38"/>
    </row>
    <row r="1296" ht="15.75" customHeight="1">
      <c r="A1296" s="35"/>
      <c r="C1296" s="442"/>
      <c r="P1296" s="235"/>
      <c r="AI1296" s="38"/>
    </row>
    <row r="1297" ht="15.75" customHeight="1">
      <c r="A1297" s="35"/>
      <c r="C1297" s="442"/>
      <c r="P1297" s="235"/>
      <c r="AI1297" s="38"/>
    </row>
    <row r="1298" ht="15.75" customHeight="1">
      <c r="A1298" s="35"/>
      <c r="C1298" s="442"/>
      <c r="P1298" s="235"/>
      <c r="AI1298" s="38"/>
    </row>
    <row r="1299" ht="15.75" customHeight="1">
      <c r="A1299" s="35"/>
      <c r="C1299" s="442"/>
      <c r="P1299" s="235"/>
      <c r="AI1299" s="38"/>
    </row>
    <row r="1300" ht="15.75" customHeight="1">
      <c r="A1300" s="35"/>
      <c r="C1300" s="442"/>
      <c r="P1300" s="235"/>
      <c r="AI1300" s="38"/>
    </row>
    <row r="1301" ht="15.75" customHeight="1">
      <c r="A1301" s="35"/>
      <c r="C1301" s="442"/>
      <c r="P1301" s="235"/>
      <c r="AI1301" s="38"/>
    </row>
    <row r="1302" ht="15.75" customHeight="1">
      <c r="A1302" s="35"/>
      <c r="C1302" s="442"/>
      <c r="P1302" s="235"/>
      <c r="AI1302" s="38"/>
    </row>
    <row r="1303" ht="15.75" customHeight="1">
      <c r="A1303" s="35"/>
      <c r="C1303" s="442"/>
      <c r="P1303" s="235"/>
      <c r="AI1303" s="38"/>
    </row>
    <row r="1304" ht="15.75" customHeight="1">
      <c r="A1304" s="35"/>
      <c r="C1304" s="442"/>
      <c r="P1304" s="235"/>
      <c r="AI1304" s="38"/>
    </row>
    <row r="1305" ht="15.75" customHeight="1">
      <c r="A1305" s="35"/>
      <c r="C1305" s="442"/>
      <c r="P1305" s="235"/>
      <c r="AI1305" s="38"/>
    </row>
    <row r="1306" ht="15.75" customHeight="1">
      <c r="A1306" s="35"/>
      <c r="C1306" s="442"/>
      <c r="P1306" s="235"/>
      <c r="AI1306" s="38"/>
    </row>
    <row r="1307" ht="15.75" customHeight="1">
      <c r="A1307" s="35"/>
      <c r="C1307" s="442"/>
      <c r="P1307" s="235"/>
      <c r="AI1307" s="38"/>
    </row>
    <row r="1308" ht="15.75" customHeight="1">
      <c r="A1308" s="35"/>
      <c r="C1308" s="442"/>
      <c r="P1308" s="235"/>
      <c r="AI1308" s="38"/>
    </row>
    <row r="1309" ht="15.75" customHeight="1">
      <c r="A1309" s="35"/>
      <c r="C1309" s="442"/>
      <c r="P1309" s="235"/>
      <c r="AI1309" s="38"/>
    </row>
    <row r="1310" ht="15.75" customHeight="1">
      <c r="A1310" s="35"/>
      <c r="C1310" s="442"/>
      <c r="P1310" s="235"/>
      <c r="AI1310" s="38"/>
    </row>
    <row r="1311" ht="15.75" customHeight="1">
      <c r="A1311" s="35"/>
      <c r="C1311" s="442"/>
      <c r="P1311" s="235"/>
      <c r="AI1311" s="38"/>
    </row>
    <row r="1312" ht="15.75" customHeight="1">
      <c r="A1312" s="35"/>
      <c r="C1312" s="442"/>
      <c r="P1312" s="235"/>
      <c r="AI1312" s="38"/>
    </row>
    <row r="1313" ht="15.75" customHeight="1">
      <c r="A1313" s="35"/>
      <c r="C1313" s="442"/>
      <c r="P1313" s="235"/>
      <c r="AI1313" s="38"/>
    </row>
    <row r="1314" ht="15.75" customHeight="1">
      <c r="A1314" s="35"/>
      <c r="C1314" s="442"/>
      <c r="P1314" s="235"/>
      <c r="AI1314" s="38"/>
    </row>
    <row r="1315" ht="15.75" customHeight="1">
      <c r="A1315" s="35"/>
      <c r="C1315" s="442"/>
      <c r="P1315" s="235"/>
      <c r="AI1315" s="38"/>
    </row>
    <row r="1316" ht="15.75" customHeight="1">
      <c r="A1316" s="35"/>
      <c r="C1316" s="442"/>
      <c r="P1316" s="235"/>
      <c r="AI1316" s="38"/>
    </row>
    <row r="1317" ht="15.75" customHeight="1">
      <c r="A1317" s="35"/>
      <c r="C1317" s="442"/>
      <c r="P1317" s="235"/>
      <c r="AI1317" s="38"/>
    </row>
    <row r="1318" ht="15.75" customHeight="1">
      <c r="A1318" s="35"/>
      <c r="C1318" s="442"/>
      <c r="P1318" s="235"/>
      <c r="AI1318" s="38"/>
    </row>
    <row r="1319" ht="15.75" customHeight="1">
      <c r="A1319" s="35"/>
      <c r="C1319" s="442"/>
      <c r="P1319" s="235"/>
      <c r="AI1319" s="38"/>
    </row>
    <row r="1320" ht="15.75" customHeight="1">
      <c r="A1320" s="35"/>
      <c r="C1320" s="442"/>
      <c r="P1320" s="235"/>
      <c r="AI1320" s="38"/>
    </row>
    <row r="1321" ht="15.75" customHeight="1">
      <c r="A1321" s="35"/>
      <c r="C1321" s="442"/>
      <c r="P1321" s="235"/>
      <c r="AI1321" s="38"/>
    </row>
    <row r="1322" ht="15.75" customHeight="1">
      <c r="A1322" s="35"/>
      <c r="C1322" s="442"/>
      <c r="P1322" s="235"/>
      <c r="AI1322" s="38"/>
    </row>
    <row r="1323" ht="15.75" customHeight="1">
      <c r="A1323" s="35"/>
      <c r="C1323" s="442"/>
      <c r="P1323" s="235"/>
      <c r="AI1323" s="38"/>
    </row>
    <row r="1324" ht="15.75" customHeight="1">
      <c r="A1324" s="35"/>
      <c r="C1324" s="442"/>
      <c r="P1324" s="235"/>
      <c r="AI1324" s="38"/>
    </row>
    <row r="1325" ht="15.75" customHeight="1">
      <c r="A1325" s="35"/>
      <c r="C1325" s="442"/>
      <c r="P1325" s="235"/>
      <c r="AI1325" s="38"/>
    </row>
    <row r="1326" ht="15.75" customHeight="1">
      <c r="A1326" s="35"/>
      <c r="C1326" s="442"/>
      <c r="P1326" s="235"/>
      <c r="AI1326" s="38"/>
    </row>
    <row r="1327" ht="15.75" customHeight="1">
      <c r="A1327" s="35"/>
      <c r="C1327" s="442"/>
      <c r="P1327" s="235"/>
      <c r="AI1327" s="38"/>
    </row>
    <row r="1328" ht="15.75" customHeight="1">
      <c r="A1328" s="35"/>
      <c r="C1328" s="442"/>
      <c r="P1328" s="235"/>
      <c r="AI1328" s="38"/>
    </row>
    <row r="1329" ht="15.75" customHeight="1">
      <c r="A1329" s="35"/>
      <c r="C1329" s="442"/>
      <c r="P1329" s="235"/>
      <c r="AI1329" s="38"/>
    </row>
    <row r="1330" ht="15.75" customHeight="1">
      <c r="A1330" s="35"/>
      <c r="C1330" s="442"/>
      <c r="P1330" s="235"/>
      <c r="AI1330" s="38"/>
    </row>
    <row r="1331" ht="15.75" customHeight="1">
      <c r="A1331" s="35"/>
      <c r="C1331" s="442"/>
      <c r="P1331" s="235"/>
      <c r="AI1331" s="38"/>
    </row>
    <row r="1332" ht="15.75" customHeight="1">
      <c r="A1332" s="35"/>
      <c r="C1332" s="442"/>
      <c r="P1332" s="235"/>
      <c r="AI1332" s="38"/>
    </row>
    <row r="1333" ht="15.75" customHeight="1">
      <c r="A1333" s="35"/>
      <c r="C1333" s="442"/>
      <c r="P1333" s="235"/>
      <c r="AI1333" s="38"/>
    </row>
    <row r="1334" ht="15.75" customHeight="1">
      <c r="A1334" s="35"/>
      <c r="C1334" s="442"/>
      <c r="P1334" s="235"/>
      <c r="AI1334" s="38"/>
    </row>
    <row r="1335" ht="15.75" customHeight="1">
      <c r="A1335" s="35"/>
      <c r="C1335" s="442"/>
      <c r="P1335" s="235"/>
      <c r="AI1335" s="38"/>
    </row>
    <row r="1336" ht="15.75" customHeight="1">
      <c r="A1336" s="35"/>
      <c r="C1336" s="442"/>
      <c r="P1336" s="235"/>
      <c r="AI1336" s="38"/>
    </row>
    <row r="1337" ht="15.75" customHeight="1">
      <c r="A1337" s="35"/>
      <c r="C1337" s="442"/>
      <c r="P1337" s="235"/>
      <c r="AI1337" s="38"/>
    </row>
    <row r="1338" ht="15.75" customHeight="1">
      <c r="A1338" s="35"/>
      <c r="C1338" s="442"/>
      <c r="P1338" s="235"/>
      <c r="AI1338" s="38"/>
    </row>
    <row r="1339" ht="15.75" customHeight="1">
      <c r="A1339" s="35"/>
      <c r="C1339" s="442"/>
      <c r="P1339" s="235"/>
      <c r="AI1339" s="38"/>
    </row>
    <row r="1340" ht="15.75" customHeight="1">
      <c r="A1340" s="35"/>
      <c r="C1340" s="442"/>
      <c r="P1340" s="235"/>
      <c r="AI1340" s="38"/>
    </row>
    <row r="1341" ht="15.75" customHeight="1">
      <c r="A1341" s="35"/>
      <c r="C1341" s="442"/>
      <c r="P1341" s="235"/>
      <c r="AI1341" s="38"/>
    </row>
    <row r="1342" ht="15.75" customHeight="1">
      <c r="A1342" s="35"/>
      <c r="C1342" s="442"/>
      <c r="P1342" s="235"/>
      <c r="AI1342" s="38"/>
    </row>
    <row r="1343" ht="15.75" customHeight="1">
      <c r="A1343" s="35"/>
      <c r="C1343" s="442"/>
      <c r="P1343" s="235"/>
      <c r="AI1343" s="38"/>
    </row>
    <row r="1344" ht="15.75" customHeight="1">
      <c r="A1344" s="35"/>
      <c r="C1344" s="442"/>
      <c r="P1344" s="235"/>
      <c r="AI1344" s="38"/>
    </row>
    <row r="1345" ht="15.75" customHeight="1">
      <c r="A1345" s="35"/>
      <c r="C1345" s="442"/>
      <c r="P1345" s="235"/>
      <c r="AI1345" s="38"/>
    </row>
    <row r="1346" ht="15.75" customHeight="1">
      <c r="A1346" s="35"/>
      <c r="C1346" s="442"/>
      <c r="P1346" s="235"/>
      <c r="AI1346" s="38"/>
    </row>
    <row r="1347" ht="15.75" customHeight="1">
      <c r="A1347" s="35"/>
      <c r="C1347" s="442"/>
      <c r="P1347" s="235"/>
      <c r="AI1347" s="38"/>
    </row>
    <row r="1348" ht="15.75" customHeight="1">
      <c r="A1348" s="35"/>
      <c r="C1348" s="442"/>
      <c r="P1348" s="235"/>
      <c r="AI1348" s="38"/>
    </row>
    <row r="1349" ht="15.75" customHeight="1">
      <c r="A1349" s="35"/>
      <c r="C1349" s="442"/>
      <c r="P1349" s="235"/>
      <c r="AI1349" s="38"/>
    </row>
    <row r="1350" ht="15.75" customHeight="1">
      <c r="A1350" s="35"/>
      <c r="C1350" s="442"/>
      <c r="P1350" s="235"/>
      <c r="AI1350" s="38"/>
    </row>
    <row r="1351" ht="15.75" customHeight="1">
      <c r="A1351" s="35"/>
      <c r="C1351" s="442"/>
      <c r="P1351" s="235"/>
      <c r="AI1351" s="38"/>
    </row>
    <row r="1352" ht="15.75" customHeight="1">
      <c r="A1352" s="35"/>
      <c r="C1352" s="442"/>
      <c r="P1352" s="235"/>
      <c r="AI1352" s="38"/>
    </row>
    <row r="1353" ht="15.75" customHeight="1">
      <c r="A1353" s="35"/>
      <c r="C1353" s="442"/>
      <c r="P1353" s="235"/>
      <c r="AI1353" s="38"/>
    </row>
    <row r="1354" ht="15.75" customHeight="1">
      <c r="A1354" s="35"/>
      <c r="C1354" s="442"/>
      <c r="P1354" s="235"/>
      <c r="AI1354" s="38"/>
    </row>
    <row r="1355" ht="15.75" customHeight="1">
      <c r="A1355" s="35"/>
      <c r="C1355" s="442"/>
      <c r="P1355" s="235"/>
      <c r="AI1355" s="38"/>
    </row>
    <row r="1356" ht="15.75" customHeight="1">
      <c r="A1356" s="35"/>
      <c r="C1356" s="442"/>
      <c r="P1356" s="235"/>
      <c r="AI1356" s="38"/>
    </row>
    <row r="1357" ht="15.75" customHeight="1">
      <c r="A1357" s="35"/>
      <c r="C1357" s="442"/>
      <c r="P1357" s="235"/>
      <c r="AI1357" s="38"/>
    </row>
    <row r="1358" ht="15.75" customHeight="1">
      <c r="A1358" s="35"/>
      <c r="C1358" s="442"/>
      <c r="P1358" s="235"/>
      <c r="AI1358" s="38"/>
    </row>
    <row r="1359" ht="15.75" customHeight="1">
      <c r="A1359" s="35"/>
      <c r="C1359" s="442"/>
      <c r="P1359" s="235"/>
      <c r="AI1359" s="38"/>
    </row>
    <row r="1360" ht="15.75" customHeight="1">
      <c r="A1360" s="35"/>
      <c r="C1360" s="442"/>
      <c r="P1360" s="235"/>
      <c r="AI1360" s="38"/>
    </row>
    <row r="1361" ht="15.75" customHeight="1">
      <c r="A1361" s="35"/>
      <c r="C1361" s="442"/>
      <c r="P1361" s="235"/>
      <c r="AI1361" s="38"/>
    </row>
    <row r="1362" ht="15.75" customHeight="1">
      <c r="A1362" s="35"/>
      <c r="C1362" s="442"/>
      <c r="P1362" s="235"/>
      <c r="AI1362" s="38"/>
    </row>
    <row r="1363" ht="15.75" customHeight="1">
      <c r="A1363" s="35"/>
      <c r="C1363" s="442"/>
      <c r="P1363" s="235"/>
      <c r="AI1363" s="38"/>
    </row>
    <row r="1364" ht="15.75" customHeight="1">
      <c r="A1364" s="35"/>
      <c r="C1364" s="442"/>
      <c r="P1364" s="235"/>
      <c r="AI1364" s="38"/>
    </row>
    <row r="1365" ht="15.75" customHeight="1">
      <c r="A1365" s="35"/>
      <c r="C1365" s="442"/>
      <c r="P1365" s="235"/>
      <c r="AI1365" s="38"/>
    </row>
    <row r="1366" ht="15.75" customHeight="1">
      <c r="A1366" s="35"/>
      <c r="C1366" s="442"/>
      <c r="P1366" s="235"/>
      <c r="AI1366" s="38"/>
    </row>
    <row r="1367" ht="15.75" customHeight="1">
      <c r="A1367" s="35"/>
      <c r="C1367" s="442"/>
      <c r="P1367" s="235"/>
      <c r="AI1367" s="38"/>
    </row>
    <row r="1368" ht="15.75" customHeight="1">
      <c r="A1368" s="35"/>
      <c r="C1368" s="442"/>
      <c r="P1368" s="235"/>
      <c r="AI1368" s="38"/>
    </row>
    <row r="1369" ht="15.75" customHeight="1">
      <c r="A1369" s="35"/>
      <c r="C1369" s="442"/>
      <c r="P1369" s="235"/>
      <c r="AI1369" s="38"/>
    </row>
    <row r="1370" ht="15.75" customHeight="1">
      <c r="A1370" s="35"/>
      <c r="C1370" s="442"/>
      <c r="P1370" s="235"/>
      <c r="AI1370" s="38"/>
    </row>
    <row r="1371" ht="15.75" customHeight="1">
      <c r="A1371" s="35"/>
      <c r="C1371" s="442"/>
      <c r="P1371" s="235"/>
      <c r="AI1371" s="38"/>
    </row>
    <row r="1372" ht="15.75" customHeight="1">
      <c r="A1372" s="35"/>
      <c r="C1372" s="442"/>
      <c r="P1372" s="235"/>
      <c r="AI1372" s="38"/>
    </row>
    <row r="1373" ht="15.75" customHeight="1">
      <c r="A1373" s="35"/>
      <c r="C1373" s="442"/>
      <c r="P1373" s="235"/>
      <c r="AI1373" s="38"/>
    </row>
    <row r="1374" ht="15.75" customHeight="1">
      <c r="A1374" s="35"/>
      <c r="C1374" s="442"/>
      <c r="P1374" s="235"/>
      <c r="AI1374" s="38"/>
    </row>
    <row r="1375" ht="15.75" customHeight="1">
      <c r="A1375" s="35"/>
      <c r="C1375" s="442"/>
      <c r="P1375" s="235"/>
      <c r="AI1375" s="38"/>
    </row>
    <row r="1376" ht="15.75" customHeight="1">
      <c r="A1376" s="35"/>
      <c r="C1376" s="442"/>
      <c r="P1376" s="235"/>
      <c r="AI1376" s="38"/>
    </row>
    <row r="1377" ht="15.75" customHeight="1">
      <c r="A1377" s="35"/>
      <c r="C1377" s="442"/>
      <c r="P1377" s="235"/>
      <c r="AI1377" s="38"/>
    </row>
    <row r="1378" ht="15.75" customHeight="1">
      <c r="A1378" s="35"/>
      <c r="C1378" s="442"/>
      <c r="P1378" s="235"/>
      <c r="AI1378" s="38"/>
    </row>
    <row r="1379" ht="15.75" customHeight="1">
      <c r="A1379" s="35"/>
      <c r="C1379" s="442"/>
      <c r="P1379" s="235"/>
      <c r="AI1379" s="38"/>
    </row>
    <row r="1380" ht="15.75" customHeight="1">
      <c r="A1380" s="35"/>
      <c r="C1380" s="442"/>
      <c r="P1380" s="235"/>
      <c r="AI1380" s="38"/>
    </row>
    <row r="1381" ht="15.75" customHeight="1">
      <c r="A1381" s="35"/>
      <c r="C1381" s="442"/>
      <c r="P1381" s="235"/>
      <c r="AI1381" s="38"/>
    </row>
    <row r="1382" ht="15.75" customHeight="1">
      <c r="A1382" s="35"/>
      <c r="C1382" s="442"/>
      <c r="P1382" s="235"/>
      <c r="AI1382" s="38"/>
    </row>
    <row r="1383" ht="15.75" customHeight="1">
      <c r="A1383" s="35"/>
      <c r="C1383" s="442"/>
      <c r="P1383" s="235"/>
      <c r="AI1383" s="38"/>
    </row>
    <row r="1384" ht="15.75" customHeight="1">
      <c r="A1384" s="35"/>
      <c r="C1384" s="442"/>
      <c r="P1384" s="235"/>
      <c r="AI1384" s="38"/>
    </row>
    <row r="1385" ht="15.75" customHeight="1">
      <c r="A1385" s="35"/>
      <c r="C1385" s="442"/>
      <c r="P1385" s="235"/>
      <c r="AI1385" s="38"/>
    </row>
    <row r="1386" ht="15.75" customHeight="1">
      <c r="A1386" s="35"/>
      <c r="C1386" s="442"/>
      <c r="P1386" s="235"/>
      <c r="AI1386" s="38"/>
    </row>
    <row r="1387" ht="15.75" customHeight="1">
      <c r="A1387" s="35"/>
      <c r="C1387" s="442"/>
      <c r="P1387" s="235"/>
      <c r="AI1387" s="38"/>
    </row>
    <row r="1388" ht="15.75" customHeight="1">
      <c r="A1388" s="35"/>
      <c r="C1388" s="442"/>
      <c r="P1388" s="235"/>
      <c r="AI1388" s="38"/>
    </row>
    <row r="1389" ht="15.75" customHeight="1">
      <c r="A1389" s="35"/>
      <c r="C1389" s="442"/>
      <c r="P1389" s="235"/>
      <c r="AI1389" s="38"/>
    </row>
    <row r="1390" ht="15.75" customHeight="1">
      <c r="A1390" s="35"/>
      <c r="C1390" s="442"/>
      <c r="P1390" s="235"/>
      <c r="AI1390" s="38"/>
    </row>
    <row r="1391" ht="15.75" customHeight="1">
      <c r="A1391" s="35"/>
      <c r="C1391" s="442"/>
      <c r="P1391" s="235"/>
      <c r="AI1391" s="38"/>
    </row>
    <row r="1392" ht="15.75" customHeight="1">
      <c r="A1392" s="35"/>
      <c r="C1392" s="442"/>
      <c r="P1392" s="235"/>
      <c r="AI1392" s="38"/>
    </row>
    <row r="1393" ht="15.75" customHeight="1">
      <c r="A1393" s="35"/>
      <c r="C1393" s="442"/>
      <c r="P1393" s="235"/>
      <c r="AI1393" s="38"/>
    </row>
    <row r="1394" ht="15.75" customHeight="1">
      <c r="A1394" s="35"/>
      <c r="C1394" s="442"/>
      <c r="P1394" s="235"/>
      <c r="AI1394" s="38"/>
    </row>
    <row r="1395" ht="15.75" customHeight="1">
      <c r="A1395" s="35"/>
      <c r="C1395" s="442"/>
      <c r="P1395" s="235"/>
      <c r="AI1395" s="38"/>
    </row>
    <row r="1396" ht="15.75" customHeight="1">
      <c r="A1396" s="35"/>
      <c r="C1396" s="442"/>
      <c r="P1396" s="235"/>
      <c r="AI1396" s="38"/>
    </row>
    <row r="1397" ht="15.75" customHeight="1">
      <c r="A1397" s="35"/>
      <c r="C1397" s="442"/>
      <c r="P1397" s="235"/>
      <c r="AI1397" s="38"/>
    </row>
    <row r="1398" ht="15.75" customHeight="1">
      <c r="A1398" s="35"/>
      <c r="C1398" s="442"/>
      <c r="P1398" s="235"/>
      <c r="AI1398" s="38"/>
    </row>
    <row r="1399" ht="15.75" customHeight="1">
      <c r="A1399" s="35"/>
      <c r="C1399" s="442"/>
      <c r="P1399" s="235"/>
      <c r="AI1399" s="38"/>
    </row>
    <row r="1400" ht="15.75" customHeight="1">
      <c r="A1400" s="35"/>
      <c r="C1400" s="442"/>
      <c r="P1400" s="235"/>
      <c r="AI1400" s="38"/>
    </row>
    <row r="1401" ht="15.75" customHeight="1">
      <c r="A1401" s="35"/>
      <c r="C1401" s="442"/>
      <c r="P1401" s="235"/>
      <c r="AI1401" s="38"/>
    </row>
    <row r="1402" ht="15.75" customHeight="1">
      <c r="A1402" s="35"/>
      <c r="C1402" s="442"/>
      <c r="P1402" s="235"/>
      <c r="AI1402" s="38"/>
    </row>
    <row r="1403" ht="15.75" customHeight="1">
      <c r="A1403" s="35"/>
      <c r="C1403" s="442"/>
      <c r="P1403" s="235"/>
      <c r="AI1403" s="38"/>
    </row>
    <row r="1404" ht="15.75" customHeight="1">
      <c r="A1404" s="35"/>
      <c r="C1404" s="442"/>
      <c r="P1404" s="235"/>
      <c r="AI1404" s="38"/>
    </row>
    <row r="1405" ht="15.75" customHeight="1">
      <c r="A1405" s="35"/>
      <c r="C1405" s="442"/>
      <c r="P1405" s="235"/>
      <c r="AI1405" s="38"/>
    </row>
    <row r="1406" ht="15.75" customHeight="1">
      <c r="A1406" s="35"/>
      <c r="C1406" s="442"/>
      <c r="P1406" s="235"/>
      <c r="AI1406" s="38"/>
    </row>
    <row r="1407" ht="15.75" customHeight="1">
      <c r="A1407" s="35"/>
      <c r="C1407" s="442"/>
      <c r="P1407" s="235"/>
      <c r="AI1407" s="38"/>
    </row>
    <row r="1408" ht="15.75" customHeight="1">
      <c r="A1408" s="35"/>
      <c r="C1408" s="442"/>
      <c r="P1408" s="235"/>
      <c r="AI1408" s="38"/>
    </row>
    <row r="1409" ht="15.75" customHeight="1">
      <c r="A1409" s="35"/>
      <c r="C1409" s="442"/>
      <c r="P1409" s="235"/>
      <c r="AI1409" s="38"/>
    </row>
    <row r="1410" ht="15.75" customHeight="1">
      <c r="A1410" s="35"/>
      <c r="C1410" s="442"/>
      <c r="P1410" s="235"/>
      <c r="AI1410" s="38"/>
    </row>
    <row r="1411" ht="15.75" customHeight="1">
      <c r="A1411" s="35"/>
      <c r="C1411" s="442"/>
      <c r="P1411" s="235"/>
      <c r="AI1411" s="38"/>
    </row>
    <row r="1412" ht="15.75" customHeight="1">
      <c r="A1412" s="35"/>
      <c r="C1412" s="442"/>
      <c r="P1412" s="235"/>
      <c r="AI1412" s="38"/>
    </row>
    <row r="1413" ht="15.75" customHeight="1">
      <c r="A1413" s="35"/>
      <c r="C1413" s="442"/>
      <c r="P1413" s="235"/>
      <c r="AI1413" s="38"/>
    </row>
    <row r="1414" ht="15.75" customHeight="1">
      <c r="A1414" s="35"/>
      <c r="C1414" s="442"/>
      <c r="P1414" s="235"/>
      <c r="AI1414" s="38"/>
    </row>
    <row r="1415" ht="15.75" customHeight="1">
      <c r="A1415" s="35"/>
      <c r="C1415" s="442"/>
      <c r="P1415" s="235"/>
      <c r="AI1415" s="38"/>
    </row>
    <row r="1416" ht="15.75" customHeight="1">
      <c r="A1416" s="35"/>
      <c r="C1416" s="442"/>
      <c r="P1416" s="235"/>
      <c r="AI1416" s="38"/>
    </row>
    <row r="1417" ht="15.75" customHeight="1">
      <c r="A1417" s="35"/>
      <c r="C1417" s="442"/>
      <c r="P1417" s="235"/>
      <c r="AI1417" s="38"/>
    </row>
    <row r="1418" ht="15.75" customHeight="1">
      <c r="A1418" s="35"/>
      <c r="C1418" s="442"/>
      <c r="P1418" s="235"/>
      <c r="AI1418" s="38"/>
    </row>
    <row r="1419" ht="15.75" customHeight="1">
      <c r="A1419" s="35"/>
      <c r="C1419" s="442"/>
      <c r="P1419" s="235"/>
      <c r="AI1419" s="38"/>
    </row>
    <row r="1420" ht="15.75" customHeight="1">
      <c r="A1420" s="35"/>
      <c r="C1420" s="442"/>
      <c r="P1420" s="235"/>
      <c r="AI1420" s="38"/>
    </row>
    <row r="1421" ht="15.75" customHeight="1">
      <c r="A1421" s="35"/>
      <c r="C1421" s="442"/>
      <c r="P1421" s="235"/>
      <c r="AI1421" s="38"/>
    </row>
    <row r="1422" ht="15.75" customHeight="1">
      <c r="A1422" s="35"/>
      <c r="C1422" s="442"/>
      <c r="P1422" s="235"/>
      <c r="AI1422" s="38"/>
    </row>
    <row r="1423" ht="15.75" customHeight="1">
      <c r="A1423" s="35"/>
      <c r="C1423" s="442"/>
      <c r="P1423" s="235"/>
      <c r="AI1423" s="38"/>
    </row>
    <row r="1424" ht="15.75" customHeight="1">
      <c r="A1424" s="35"/>
      <c r="C1424" s="442"/>
      <c r="P1424" s="235"/>
      <c r="AI1424" s="38"/>
    </row>
    <row r="1425" ht="15.75" customHeight="1">
      <c r="A1425" s="35"/>
      <c r="C1425" s="442"/>
      <c r="P1425" s="235"/>
      <c r="AI1425" s="38"/>
    </row>
    <row r="1426" ht="15.75" customHeight="1">
      <c r="A1426" s="35"/>
      <c r="C1426" s="442"/>
      <c r="P1426" s="235"/>
      <c r="AI1426" s="38"/>
    </row>
    <row r="1427" ht="15.75" customHeight="1">
      <c r="A1427" s="35"/>
      <c r="C1427" s="442"/>
      <c r="P1427" s="235"/>
      <c r="AI1427" s="38"/>
    </row>
    <row r="1428" ht="15.75" customHeight="1">
      <c r="A1428" s="35"/>
      <c r="C1428" s="442"/>
      <c r="P1428" s="235"/>
      <c r="AI1428" s="38"/>
    </row>
    <row r="1429" ht="15.75" customHeight="1">
      <c r="A1429" s="35"/>
      <c r="C1429" s="442"/>
      <c r="P1429" s="235"/>
      <c r="AI1429" s="38"/>
    </row>
    <row r="1430" ht="15.75" customHeight="1">
      <c r="A1430" s="35"/>
      <c r="C1430" s="442"/>
      <c r="P1430" s="235"/>
      <c r="AI1430" s="38"/>
    </row>
    <row r="1431" ht="15.75" customHeight="1">
      <c r="A1431" s="35"/>
      <c r="C1431" s="442"/>
      <c r="P1431" s="235"/>
      <c r="AI1431" s="38"/>
    </row>
    <row r="1432" ht="15.75" customHeight="1">
      <c r="A1432" s="35"/>
      <c r="C1432" s="442"/>
      <c r="P1432" s="235"/>
      <c r="AI1432" s="38"/>
    </row>
    <row r="1433" ht="15.75" customHeight="1">
      <c r="A1433" s="35"/>
      <c r="C1433" s="442"/>
      <c r="P1433" s="235"/>
      <c r="AI1433" s="38"/>
    </row>
    <row r="1434" ht="15.75" customHeight="1">
      <c r="A1434" s="35"/>
      <c r="C1434" s="442"/>
      <c r="P1434" s="235"/>
      <c r="AI1434" s="38"/>
    </row>
    <row r="1435" ht="15.75" customHeight="1">
      <c r="A1435" s="35"/>
      <c r="C1435" s="442"/>
      <c r="P1435" s="235"/>
      <c r="AI1435" s="38"/>
    </row>
    <row r="1436" ht="15.75" customHeight="1">
      <c r="A1436" s="35"/>
      <c r="C1436" s="442"/>
      <c r="P1436" s="235"/>
      <c r="AI1436" s="38"/>
    </row>
    <row r="1437" ht="15.75" customHeight="1">
      <c r="A1437" s="35"/>
      <c r="C1437" s="442"/>
      <c r="P1437" s="235"/>
      <c r="AI1437" s="38"/>
    </row>
    <row r="1438" ht="15.75" customHeight="1">
      <c r="A1438" s="35"/>
      <c r="C1438" s="442"/>
      <c r="P1438" s="235"/>
      <c r="AI1438" s="38"/>
    </row>
    <row r="1439" ht="15.75" customHeight="1">
      <c r="A1439" s="35"/>
      <c r="C1439" s="442"/>
      <c r="P1439" s="235"/>
      <c r="AI1439" s="38"/>
    </row>
    <row r="1440" ht="15.75" customHeight="1">
      <c r="A1440" s="35"/>
      <c r="C1440" s="442"/>
      <c r="P1440" s="235"/>
      <c r="AI1440" s="38"/>
    </row>
    <row r="1441" ht="15.75" customHeight="1">
      <c r="A1441" s="35"/>
      <c r="C1441" s="442"/>
      <c r="P1441" s="235"/>
      <c r="AI1441" s="38"/>
    </row>
    <row r="1442" ht="15.75" customHeight="1">
      <c r="A1442" s="35"/>
      <c r="C1442" s="442"/>
      <c r="P1442" s="235"/>
      <c r="AI1442" s="38"/>
    </row>
    <row r="1443" ht="15.75" customHeight="1">
      <c r="A1443" s="35"/>
      <c r="C1443" s="442"/>
      <c r="P1443" s="235"/>
      <c r="AI1443" s="38"/>
    </row>
    <row r="1444" ht="15.75" customHeight="1">
      <c r="A1444" s="35"/>
      <c r="C1444" s="442"/>
      <c r="P1444" s="235"/>
      <c r="AI1444" s="38"/>
    </row>
    <row r="1445" ht="15.75" customHeight="1">
      <c r="A1445" s="35"/>
      <c r="C1445" s="442"/>
      <c r="P1445" s="235"/>
      <c r="AI1445" s="38"/>
    </row>
    <row r="1446" ht="15.75" customHeight="1">
      <c r="A1446" s="35"/>
      <c r="C1446" s="442"/>
      <c r="P1446" s="235"/>
      <c r="AI1446" s="38"/>
    </row>
    <row r="1447" ht="15.75" customHeight="1">
      <c r="A1447" s="35"/>
      <c r="C1447" s="442"/>
      <c r="P1447" s="235"/>
      <c r="AI1447" s="38"/>
    </row>
    <row r="1448" ht="15.75" customHeight="1">
      <c r="A1448" s="35"/>
      <c r="C1448" s="442"/>
      <c r="P1448" s="235"/>
      <c r="AI1448" s="38"/>
    </row>
    <row r="1449" ht="15.75" customHeight="1">
      <c r="A1449" s="35"/>
      <c r="C1449" s="442"/>
      <c r="P1449" s="235"/>
      <c r="AI1449" s="38"/>
    </row>
    <row r="1450" ht="15.75" customHeight="1">
      <c r="A1450" s="35"/>
      <c r="C1450" s="442"/>
      <c r="P1450" s="235"/>
      <c r="AI1450" s="38"/>
    </row>
    <row r="1451" ht="15.75" customHeight="1">
      <c r="A1451" s="35"/>
      <c r="C1451" s="442"/>
      <c r="P1451" s="235"/>
      <c r="AI1451" s="38"/>
    </row>
    <row r="1452" ht="15.75" customHeight="1">
      <c r="A1452" s="35"/>
      <c r="C1452" s="442"/>
      <c r="P1452" s="235"/>
      <c r="AI1452" s="38"/>
    </row>
    <row r="1453" ht="15.75" customHeight="1">
      <c r="A1453" s="35"/>
      <c r="C1453" s="442"/>
      <c r="P1453" s="235"/>
      <c r="AI1453" s="38"/>
    </row>
    <row r="1454" ht="15.75" customHeight="1">
      <c r="A1454" s="35"/>
      <c r="C1454" s="442"/>
      <c r="P1454" s="235"/>
      <c r="AI1454" s="38"/>
    </row>
    <row r="1455" ht="15.75" customHeight="1">
      <c r="A1455" s="35"/>
      <c r="C1455" s="442"/>
      <c r="P1455" s="235"/>
      <c r="AI1455" s="38"/>
    </row>
    <row r="1456" ht="15.75" customHeight="1">
      <c r="A1456" s="35"/>
      <c r="C1456" s="442"/>
      <c r="P1456" s="235"/>
      <c r="AI1456" s="38"/>
    </row>
    <row r="1457" ht="15.75" customHeight="1">
      <c r="A1457" s="35"/>
      <c r="C1457" s="442"/>
      <c r="P1457" s="235"/>
      <c r="AI1457" s="38"/>
    </row>
    <row r="1458" ht="15.75" customHeight="1">
      <c r="A1458" s="35"/>
      <c r="C1458" s="442"/>
      <c r="P1458" s="235"/>
      <c r="AI1458" s="38"/>
    </row>
    <row r="1459" ht="15.75" customHeight="1">
      <c r="A1459" s="35"/>
      <c r="C1459" s="442"/>
      <c r="P1459" s="235"/>
      <c r="AI1459" s="38"/>
    </row>
    <row r="1460" ht="15.75" customHeight="1">
      <c r="A1460" s="35"/>
      <c r="C1460" s="442"/>
      <c r="P1460" s="235"/>
      <c r="AI1460" s="38"/>
    </row>
    <row r="1461" ht="15.75" customHeight="1">
      <c r="A1461" s="35"/>
      <c r="C1461" s="442"/>
      <c r="P1461" s="235"/>
      <c r="AI1461" s="38"/>
    </row>
    <row r="1462" ht="15.75" customHeight="1">
      <c r="A1462" s="35"/>
      <c r="C1462" s="442"/>
      <c r="P1462" s="235"/>
      <c r="AI1462" s="38"/>
    </row>
    <row r="1463" ht="15.75" customHeight="1">
      <c r="A1463" s="35"/>
      <c r="C1463" s="442"/>
      <c r="P1463" s="235"/>
      <c r="AI1463" s="38"/>
    </row>
    <row r="1464" ht="15.75" customHeight="1">
      <c r="A1464" s="35"/>
      <c r="C1464" s="442"/>
      <c r="P1464" s="235"/>
      <c r="AI1464" s="38"/>
    </row>
    <row r="1465" ht="15.75" customHeight="1">
      <c r="A1465" s="35"/>
      <c r="C1465" s="442"/>
      <c r="P1465" s="235"/>
      <c r="AI1465" s="38"/>
    </row>
    <row r="1466" ht="15.75" customHeight="1">
      <c r="A1466" s="35"/>
      <c r="C1466" s="442"/>
      <c r="P1466" s="235"/>
      <c r="AI1466" s="38"/>
    </row>
    <row r="1467" ht="15.75" customHeight="1">
      <c r="A1467" s="35"/>
      <c r="C1467" s="442"/>
      <c r="P1467" s="235"/>
      <c r="AI1467" s="38"/>
    </row>
    <row r="1468" ht="15.75" customHeight="1">
      <c r="A1468" s="35"/>
      <c r="C1468" s="442"/>
      <c r="P1468" s="235"/>
      <c r="AI1468" s="38"/>
    </row>
    <row r="1469" ht="15.75" customHeight="1">
      <c r="A1469" s="35"/>
      <c r="C1469" s="442"/>
      <c r="P1469" s="235"/>
      <c r="AI1469" s="38"/>
    </row>
    <row r="1470" ht="15.75" customHeight="1">
      <c r="A1470" s="35"/>
      <c r="C1470" s="442"/>
      <c r="P1470" s="235"/>
      <c r="AI1470" s="38"/>
    </row>
    <row r="1471" ht="15.75" customHeight="1">
      <c r="A1471" s="35"/>
      <c r="C1471" s="442"/>
      <c r="P1471" s="235"/>
      <c r="AI1471" s="38"/>
    </row>
    <row r="1472" ht="15.75" customHeight="1">
      <c r="A1472" s="35"/>
      <c r="C1472" s="442"/>
      <c r="P1472" s="235"/>
      <c r="AI1472" s="38"/>
    </row>
    <row r="1473" ht="15.75" customHeight="1">
      <c r="A1473" s="35"/>
      <c r="C1473" s="442"/>
      <c r="P1473" s="235"/>
      <c r="AI1473" s="38"/>
    </row>
    <row r="1474" ht="15.75" customHeight="1">
      <c r="A1474" s="35"/>
      <c r="C1474" s="442"/>
      <c r="P1474" s="235"/>
      <c r="AI1474" s="38"/>
    </row>
    <row r="1475" ht="15.75" customHeight="1">
      <c r="A1475" s="35"/>
      <c r="C1475" s="442"/>
      <c r="P1475" s="235"/>
      <c r="AI1475" s="38"/>
    </row>
    <row r="1476" ht="15.75" customHeight="1">
      <c r="A1476" s="35"/>
      <c r="C1476" s="442"/>
      <c r="P1476" s="235"/>
      <c r="AI1476" s="38"/>
    </row>
    <row r="1477" ht="15.75" customHeight="1">
      <c r="A1477" s="35"/>
      <c r="C1477" s="442"/>
      <c r="P1477" s="235"/>
      <c r="AI1477" s="38"/>
    </row>
    <row r="1478" ht="15.75" customHeight="1">
      <c r="A1478" s="35"/>
      <c r="C1478" s="442"/>
      <c r="P1478" s="235"/>
      <c r="AI1478" s="38"/>
    </row>
    <row r="1479" ht="15.75" customHeight="1">
      <c r="A1479" s="35"/>
      <c r="C1479" s="442"/>
      <c r="P1479" s="235"/>
      <c r="AI1479" s="38"/>
    </row>
    <row r="1480" ht="15.75" customHeight="1">
      <c r="A1480" s="35"/>
      <c r="C1480" s="442"/>
      <c r="P1480" s="235"/>
      <c r="AI1480" s="38"/>
    </row>
    <row r="1481" ht="15.75" customHeight="1">
      <c r="A1481" s="35"/>
      <c r="C1481" s="442"/>
      <c r="P1481" s="235"/>
      <c r="AI1481" s="38"/>
    </row>
    <row r="1482" ht="15.75" customHeight="1">
      <c r="A1482" s="35"/>
      <c r="C1482" s="442"/>
      <c r="P1482" s="235"/>
      <c r="AI1482" s="38"/>
    </row>
    <row r="1483" ht="15.75" customHeight="1">
      <c r="A1483" s="35"/>
      <c r="C1483" s="442"/>
      <c r="P1483" s="235"/>
      <c r="AI1483" s="38"/>
    </row>
    <row r="1484" ht="15.75" customHeight="1">
      <c r="A1484" s="35"/>
      <c r="C1484" s="442"/>
      <c r="P1484" s="235"/>
      <c r="AI1484" s="38"/>
    </row>
    <row r="1485" ht="15.75" customHeight="1">
      <c r="A1485" s="35"/>
      <c r="C1485" s="442"/>
      <c r="P1485" s="235"/>
      <c r="AI1485" s="38"/>
    </row>
    <row r="1486" ht="15.75" customHeight="1">
      <c r="A1486" s="35"/>
      <c r="C1486" s="442"/>
      <c r="P1486" s="235"/>
      <c r="AI1486" s="38"/>
    </row>
    <row r="1487" ht="15.75" customHeight="1">
      <c r="A1487" s="35"/>
      <c r="C1487" s="442"/>
      <c r="P1487" s="235"/>
      <c r="AI1487" s="38"/>
    </row>
    <row r="1488" ht="15.75" customHeight="1">
      <c r="A1488" s="35"/>
      <c r="C1488" s="442"/>
      <c r="P1488" s="235"/>
      <c r="AI1488" s="38"/>
    </row>
    <row r="1489" ht="15.75" customHeight="1">
      <c r="A1489" s="35"/>
      <c r="C1489" s="442"/>
      <c r="P1489" s="235"/>
      <c r="AI1489" s="38"/>
    </row>
    <row r="1490" ht="15.75" customHeight="1">
      <c r="A1490" s="35"/>
      <c r="C1490" s="442"/>
      <c r="P1490" s="235"/>
      <c r="AI1490" s="38"/>
    </row>
    <row r="1491" ht="15.75" customHeight="1">
      <c r="A1491" s="35"/>
      <c r="C1491" s="442"/>
      <c r="P1491" s="235"/>
      <c r="AI1491" s="38"/>
    </row>
    <row r="1492" ht="15.75" customHeight="1">
      <c r="A1492" s="35"/>
      <c r="C1492" s="442"/>
      <c r="P1492" s="235"/>
      <c r="AI1492" s="38"/>
    </row>
    <row r="1493" ht="15.75" customHeight="1">
      <c r="A1493" s="35"/>
      <c r="C1493" s="442"/>
      <c r="P1493" s="235"/>
      <c r="AI1493" s="38"/>
    </row>
    <row r="1494" ht="15.75" customHeight="1">
      <c r="A1494" s="35"/>
      <c r="C1494" s="442"/>
      <c r="P1494" s="235"/>
      <c r="AI1494" s="38"/>
    </row>
    <row r="1495" ht="15.75" customHeight="1">
      <c r="A1495" s="35"/>
      <c r="C1495" s="442"/>
      <c r="P1495" s="235"/>
      <c r="AI1495" s="38"/>
    </row>
    <row r="1496" ht="15.75" customHeight="1">
      <c r="A1496" s="35"/>
      <c r="C1496" s="442"/>
      <c r="P1496" s="235"/>
      <c r="AI1496" s="38"/>
    </row>
    <row r="1497" ht="15.75" customHeight="1">
      <c r="A1497" s="35"/>
      <c r="C1497" s="442"/>
      <c r="P1497" s="235"/>
      <c r="AI1497" s="38"/>
    </row>
    <row r="1498" ht="15.75" customHeight="1">
      <c r="A1498" s="35"/>
      <c r="C1498" s="442"/>
      <c r="P1498" s="235"/>
      <c r="AI1498" s="38"/>
    </row>
    <row r="1499" ht="15.75" customHeight="1">
      <c r="A1499" s="35"/>
      <c r="C1499" s="442"/>
      <c r="P1499" s="235"/>
      <c r="AI1499" s="38"/>
    </row>
    <row r="1500" ht="15.75" customHeight="1">
      <c r="A1500" s="35"/>
      <c r="C1500" s="442"/>
      <c r="P1500" s="235"/>
      <c r="AI1500" s="38"/>
    </row>
    <row r="1501" ht="15.75" customHeight="1">
      <c r="A1501" s="35"/>
      <c r="C1501" s="442"/>
      <c r="P1501" s="235"/>
      <c r="AI1501" s="38"/>
    </row>
    <row r="1502" ht="15.75" customHeight="1">
      <c r="A1502" s="35"/>
      <c r="C1502" s="442"/>
      <c r="P1502" s="235"/>
      <c r="AI1502" s="38"/>
    </row>
    <row r="1503" ht="15.75" customHeight="1">
      <c r="A1503" s="35"/>
      <c r="C1503" s="442"/>
      <c r="P1503" s="235"/>
      <c r="AI1503" s="38"/>
    </row>
    <row r="1504" ht="15.75" customHeight="1">
      <c r="A1504" s="35"/>
      <c r="C1504" s="442"/>
      <c r="P1504" s="235"/>
      <c r="AI1504" s="38"/>
    </row>
    <row r="1505" ht="15.75" customHeight="1">
      <c r="A1505" s="35"/>
      <c r="C1505" s="442"/>
      <c r="P1505" s="235"/>
      <c r="AI1505" s="38"/>
    </row>
    <row r="1506" ht="15.75" customHeight="1">
      <c r="A1506" s="35"/>
      <c r="C1506" s="442"/>
      <c r="P1506" s="235"/>
      <c r="AI1506" s="38"/>
    </row>
    <row r="1507" ht="15.75" customHeight="1">
      <c r="A1507" s="35"/>
      <c r="C1507" s="442"/>
      <c r="P1507" s="235"/>
      <c r="AI1507" s="38"/>
    </row>
    <row r="1508" ht="15.75" customHeight="1">
      <c r="A1508" s="35"/>
      <c r="C1508" s="442"/>
      <c r="P1508" s="235"/>
      <c r="AI1508" s="38"/>
    </row>
    <row r="1509" ht="15.75" customHeight="1">
      <c r="A1509" s="35"/>
      <c r="C1509" s="442"/>
      <c r="P1509" s="235"/>
      <c r="AI1509" s="38"/>
    </row>
    <row r="1510" ht="15.75" customHeight="1">
      <c r="A1510" s="35"/>
      <c r="C1510" s="442"/>
      <c r="P1510" s="235"/>
      <c r="AI1510" s="38"/>
    </row>
    <row r="1511" ht="15.75" customHeight="1">
      <c r="A1511" s="35"/>
      <c r="C1511" s="442"/>
      <c r="P1511" s="235"/>
      <c r="AI1511" s="38"/>
    </row>
    <row r="1512" ht="15.75" customHeight="1">
      <c r="A1512" s="35"/>
      <c r="C1512" s="442"/>
      <c r="P1512" s="235"/>
      <c r="AI1512" s="38"/>
    </row>
    <row r="1513" ht="15.75" customHeight="1">
      <c r="A1513" s="35"/>
      <c r="C1513" s="442"/>
      <c r="P1513" s="235"/>
      <c r="AI1513" s="38"/>
    </row>
    <row r="1514" ht="15.75" customHeight="1">
      <c r="A1514" s="35"/>
      <c r="C1514" s="442"/>
      <c r="P1514" s="235"/>
      <c r="AI1514" s="38"/>
    </row>
    <row r="1515" ht="15.75" customHeight="1">
      <c r="A1515" s="35"/>
      <c r="C1515" s="442"/>
      <c r="P1515" s="235"/>
      <c r="AI1515" s="38"/>
    </row>
    <row r="1516" ht="15.75" customHeight="1">
      <c r="A1516" s="35"/>
      <c r="C1516" s="442"/>
      <c r="P1516" s="235"/>
      <c r="AI1516" s="38"/>
    </row>
    <row r="1517" ht="15.75" customHeight="1">
      <c r="A1517" s="35"/>
      <c r="C1517" s="442"/>
      <c r="P1517" s="235"/>
      <c r="AI1517" s="38"/>
    </row>
    <row r="1518" ht="15.75" customHeight="1">
      <c r="A1518" s="35"/>
      <c r="C1518" s="442"/>
      <c r="P1518" s="235"/>
      <c r="AI1518" s="38"/>
    </row>
    <row r="1519" ht="15.75" customHeight="1">
      <c r="A1519" s="35"/>
      <c r="C1519" s="442"/>
      <c r="P1519" s="235"/>
      <c r="AI1519" s="38"/>
    </row>
    <row r="1520" ht="15.75" customHeight="1">
      <c r="A1520" s="35"/>
      <c r="C1520" s="442"/>
      <c r="P1520" s="235"/>
      <c r="AI1520" s="38"/>
    </row>
    <row r="1521" ht="15.75" customHeight="1">
      <c r="A1521" s="35"/>
      <c r="C1521" s="442"/>
      <c r="P1521" s="235"/>
      <c r="AI1521" s="38"/>
    </row>
    <row r="1522" ht="15.75" customHeight="1">
      <c r="A1522" s="35"/>
      <c r="C1522" s="442"/>
      <c r="P1522" s="235"/>
      <c r="AI1522" s="38"/>
    </row>
    <row r="1523" ht="15.75" customHeight="1">
      <c r="A1523" s="35"/>
      <c r="C1523" s="442"/>
      <c r="P1523" s="235"/>
      <c r="AI1523" s="38"/>
    </row>
    <row r="1524" ht="15.75" customHeight="1">
      <c r="A1524" s="35"/>
      <c r="C1524" s="442"/>
      <c r="P1524" s="235"/>
      <c r="AI1524" s="38"/>
    </row>
    <row r="1525" ht="15.75" customHeight="1">
      <c r="A1525" s="35"/>
      <c r="C1525" s="442"/>
      <c r="P1525" s="235"/>
      <c r="AI1525" s="38"/>
    </row>
    <row r="1526" ht="15.75" customHeight="1">
      <c r="A1526" s="35"/>
      <c r="C1526" s="442"/>
      <c r="P1526" s="235"/>
      <c r="AI1526" s="38"/>
    </row>
    <row r="1527" ht="15.75" customHeight="1">
      <c r="A1527" s="35"/>
      <c r="C1527" s="442"/>
      <c r="P1527" s="235"/>
      <c r="AI1527" s="38"/>
    </row>
    <row r="1528" ht="15.75" customHeight="1">
      <c r="A1528" s="35"/>
      <c r="C1528" s="442"/>
      <c r="P1528" s="235"/>
      <c r="AI1528" s="38"/>
    </row>
    <row r="1529" ht="15.75" customHeight="1">
      <c r="A1529" s="35"/>
      <c r="C1529" s="442"/>
      <c r="P1529" s="235"/>
      <c r="AI1529" s="38"/>
    </row>
    <row r="1530" ht="15.75" customHeight="1">
      <c r="A1530" s="35"/>
      <c r="C1530" s="442"/>
      <c r="P1530" s="235"/>
      <c r="AI1530" s="38"/>
    </row>
    <row r="1531" ht="15.75" customHeight="1">
      <c r="A1531" s="35"/>
      <c r="C1531" s="442"/>
      <c r="P1531" s="235"/>
      <c r="AI1531" s="38"/>
    </row>
    <row r="1532" ht="15.75" customHeight="1">
      <c r="A1532" s="35"/>
      <c r="C1532" s="442"/>
      <c r="P1532" s="235"/>
      <c r="AI1532" s="38"/>
    </row>
    <row r="1533" ht="15.75" customHeight="1">
      <c r="A1533" s="35"/>
      <c r="C1533" s="442"/>
      <c r="P1533" s="235"/>
      <c r="AI1533" s="38"/>
    </row>
    <row r="1534" ht="15.75" customHeight="1">
      <c r="A1534" s="35"/>
      <c r="C1534" s="442"/>
      <c r="P1534" s="235"/>
      <c r="AI1534" s="38"/>
    </row>
    <row r="1535" ht="15.75" customHeight="1">
      <c r="A1535" s="35"/>
      <c r="C1535" s="442"/>
      <c r="P1535" s="235"/>
      <c r="AI1535" s="38"/>
    </row>
    <row r="1536" ht="15.75" customHeight="1">
      <c r="A1536" s="35"/>
      <c r="C1536" s="442"/>
      <c r="P1536" s="235"/>
      <c r="AI1536" s="38"/>
    </row>
    <row r="1537" ht="15.75" customHeight="1">
      <c r="A1537" s="35"/>
      <c r="C1537" s="442"/>
      <c r="P1537" s="235"/>
      <c r="AI1537" s="38"/>
    </row>
    <row r="1538" ht="15.75" customHeight="1">
      <c r="A1538" s="35"/>
      <c r="C1538" s="442"/>
      <c r="P1538" s="235"/>
      <c r="AI1538" s="38"/>
    </row>
    <row r="1539" ht="15.75" customHeight="1">
      <c r="A1539" s="35"/>
      <c r="C1539" s="442"/>
      <c r="P1539" s="235"/>
      <c r="AI1539" s="38"/>
    </row>
    <row r="1540" ht="15.75" customHeight="1">
      <c r="A1540" s="35"/>
      <c r="C1540" s="442"/>
      <c r="P1540" s="235"/>
      <c r="AI1540" s="38"/>
    </row>
    <row r="1541" ht="15.75" customHeight="1">
      <c r="A1541" s="35"/>
      <c r="C1541" s="442"/>
      <c r="P1541" s="235"/>
      <c r="AI1541" s="38"/>
    </row>
    <row r="1542" ht="15.75" customHeight="1">
      <c r="A1542" s="35"/>
      <c r="C1542" s="442"/>
      <c r="P1542" s="235"/>
      <c r="AI1542" s="38"/>
    </row>
    <row r="1543" ht="15.75" customHeight="1">
      <c r="A1543" s="35"/>
      <c r="C1543" s="442"/>
      <c r="P1543" s="235"/>
      <c r="AI1543" s="38"/>
    </row>
    <row r="1544" ht="15.75" customHeight="1">
      <c r="A1544" s="35"/>
      <c r="C1544" s="442"/>
      <c r="P1544" s="235"/>
      <c r="AI1544" s="38"/>
    </row>
    <row r="1545" ht="15.75" customHeight="1">
      <c r="A1545" s="35"/>
      <c r="C1545" s="442"/>
      <c r="P1545" s="235"/>
      <c r="AI1545" s="38"/>
    </row>
    <row r="1546" ht="15.75" customHeight="1">
      <c r="A1546" s="35"/>
      <c r="C1546" s="442"/>
      <c r="P1546" s="235"/>
      <c r="AI1546" s="38"/>
    </row>
    <row r="1547" ht="15.75" customHeight="1">
      <c r="A1547" s="35"/>
      <c r="C1547" s="442"/>
      <c r="P1547" s="235"/>
      <c r="AI1547" s="38"/>
    </row>
    <row r="1548" ht="15.75" customHeight="1">
      <c r="A1548" s="35"/>
      <c r="C1548" s="442"/>
      <c r="P1548" s="235"/>
      <c r="AI1548" s="38"/>
    </row>
    <row r="1549" ht="15.75" customHeight="1">
      <c r="A1549" s="35"/>
      <c r="C1549" s="442"/>
      <c r="P1549" s="235"/>
      <c r="AI1549" s="38"/>
    </row>
    <row r="1550" ht="15.75" customHeight="1">
      <c r="A1550" s="35"/>
      <c r="C1550" s="442"/>
      <c r="P1550" s="235"/>
      <c r="AI1550" s="38"/>
    </row>
    <row r="1551" ht="15.75" customHeight="1">
      <c r="A1551" s="35"/>
      <c r="C1551" s="442"/>
      <c r="P1551" s="235"/>
      <c r="AI1551" s="38"/>
    </row>
    <row r="1552" ht="15.75" customHeight="1">
      <c r="A1552" s="35"/>
      <c r="C1552" s="442"/>
      <c r="P1552" s="235"/>
      <c r="AI1552" s="38"/>
    </row>
    <row r="1553" ht="15.75" customHeight="1">
      <c r="A1553" s="35"/>
      <c r="C1553" s="442"/>
      <c r="P1553" s="235"/>
      <c r="AI1553" s="38"/>
    </row>
    <row r="1554" ht="15.75" customHeight="1">
      <c r="A1554" s="35"/>
      <c r="C1554" s="442"/>
      <c r="P1554" s="235"/>
      <c r="AI1554" s="38"/>
    </row>
    <row r="1555" ht="15.75" customHeight="1">
      <c r="A1555" s="35"/>
      <c r="C1555" s="442"/>
      <c r="P1555" s="235"/>
      <c r="AI1555" s="38"/>
    </row>
    <row r="1556" ht="15.75" customHeight="1">
      <c r="A1556" s="35"/>
      <c r="C1556" s="442"/>
      <c r="P1556" s="235"/>
      <c r="AI1556" s="38"/>
    </row>
    <row r="1557" ht="15.75" customHeight="1">
      <c r="A1557" s="35"/>
      <c r="C1557" s="442"/>
      <c r="P1557" s="235"/>
      <c r="AI1557" s="38"/>
    </row>
    <row r="1558" ht="15.75" customHeight="1">
      <c r="A1558" s="35"/>
      <c r="C1558" s="442"/>
      <c r="P1558" s="235"/>
      <c r="AI1558" s="38"/>
    </row>
    <row r="1559" ht="15.75" customHeight="1">
      <c r="A1559" s="35"/>
      <c r="C1559" s="442"/>
      <c r="P1559" s="235"/>
      <c r="AI1559" s="38"/>
    </row>
    <row r="1560" ht="15.75" customHeight="1">
      <c r="A1560" s="35"/>
      <c r="C1560" s="442"/>
      <c r="P1560" s="235"/>
      <c r="AI1560" s="38"/>
    </row>
    <row r="1561" ht="15.75" customHeight="1">
      <c r="A1561" s="35"/>
      <c r="C1561" s="442"/>
      <c r="P1561" s="235"/>
      <c r="AI1561" s="38"/>
    </row>
    <row r="1562" ht="15.75" customHeight="1">
      <c r="A1562" s="35"/>
      <c r="C1562" s="442"/>
      <c r="P1562" s="235"/>
      <c r="AI1562" s="38"/>
    </row>
    <row r="1563" ht="15.75" customHeight="1">
      <c r="A1563" s="35"/>
      <c r="C1563" s="442"/>
      <c r="P1563" s="235"/>
      <c r="AI1563" s="38"/>
    </row>
    <row r="1564" ht="15.75" customHeight="1">
      <c r="A1564" s="35"/>
      <c r="C1564" s="442"/>
      <c r="P1564" s="235"/>
      <c r="AI1564" s="38"/>
    </row>
    <row r="1565" ht="15.75" customHeight="1">
      <c r="A1565" s="35"/>
      <c r="C1565" s="442"/>
      <c r="P1565" s="235"/>
      <c r="AI1565" s="38"/>
    </row>
    <row r="1566" ht="15.75" customHeight="1">
      <c r="A1566" s="35"/>
      <c r="C1566" s="442"/>
      <c r="P1566" s="235"/>
      <c r="AI1566" s="38"/>
    </row>
    <row r="1567" ht="15.75" customHeight="1">
      <c r="A1567" s="35"/>
      <c r="C1567" s="442"/>
      <c r="P1567" s="235"/>
      <c r="AI1567" s="38"/>
    </row>
    <row r="1568" ht="15.75" customHeight="1">
      <c r="A1568" s="35"/>
      <c r="C1568" s="442"/>
      <c r="P1568" s="235"/>
      <c r="AI1568" s="38"/>
    </row>
    <row r="1569" ht="15.75" customHeight="1">
      <c r="A1569" s="35"/>
      <c r="C1569" s="442"/>
      <c r="P1569" s="235"/>
      <c r="AI1569" s="38"/>
    </row>
    <row r="1570" ht="15.75" customHeight="1">
      <c r="A1570" s="35"/>
      <c r="C1570" s="442"/>
      <c r="P1570" s="235"/>
      <c r="AI1570" s="38"/>
    </row>
    <row r="1571" ht="15.75" customHeight="1">
      <c r="A1571" s="35"/>
      <c r="C1571" s="442"/>
      <c r="P1571" s="235"/>
      <c r="AI1571" s="38"/>
    </row>
    <row r="1572" ht="15.75" customHeight="1">
      <c r="A1572" s="35"/>
      <c r="C1572" s="442"/>
      <c r="P1572" s="235"/>
      <c r="AI1572" s="38"/>
    </row>
    <row r="1573" ht="15.75" customHeight="1">
      <c r="A1573" s="35"/>
      <c r="C1573" s="442"/>
      <c r="P1573" s="235"/>
      <c r="AI1573" s="38"/>
    </row>
    <row r="1574" ht="15.75" customHeight="1">
      <c r="A1574" s="35"/>
      <c r="C1574" s="442"/>
      <c r="P1574" s="235"/>
      <c r="AI1574" s="38"/>
    </row>
    <row r="1575" ht="15.75" customHeight="1">
      <c r="A1575" s="35"/>
      <c r="C1575" s="442"/>
      <c r="P1575" s="235"/>
      <c r="AI1575" s="38"/>
    </row>
    <row r="1576" ht="15.75" customHeight="1">
      <c r="A1576" s="35"/>
      <c r="C1576" s="442"/>
      <c r="P1576" s="235"/>
      <c r="AI1576" s="38"/>
    </row>
    <row r="1577" ht="15.75" customHeight="1">
      <c r="A1577" s="35"/>
      <c r="C1577" s="442"/>
      <c r="P1577" s="235"/>
      <c r="AI1577" s="38"/>
    </row>
    <row r="1578" ht="15.75" customHeight="1">
      <c r="A1578" s="35"/>
      <c r="C1578" s="442"/>
      <c r="P1578" s="235"/>
      <c r="AI1578" s="38"/>
    </row>
    <row r="1579" ht="15.75" customHeight="1">
      <c r="A1579" s="35"/>
      <c r="C1579" s="442"/>
      <c r="P1579" s="235"/>
      <c r="AI1579" s="38"/>
    </row>
    <row r="1580" ht="15.75" customHeight="1">
      <c r="A1580" s="35"/>
      <c r="C1580" s="442"/>
      <c r="P1580" s="235"/>
      <c r="AI1580" s="38"/>
    </row>
    <row r="1581" ht="15.75" customHeight="1">
      <c r="A1581" s="35"/>
      <c r="C1581" s="442"/>
      <c r="P1581" s="235"/>
      <c r="AI1581" s="38"/>
    </row>
    <row r="1582" ht="15.75" customHeight="1">
      <c r="A1582" s="35"/>
      <c r="C1582" s="442"/>
      <c r="P1582" s="235"/>
      <c r="AI1582" s="38"/>
    </row>
    <row r="1583" ht="15.75" customHeight="1">
      <c r="A1583" s="35"/>
      <c r="C1583" s="442"/>
      <c r="P1583" s="235"/>
      <c r="AI1583" s="38"/>
    </row>
    <row r="1584" ht="15.75" customHeight="1">
      <c r="A1584" s="35"/>
      <c r="C1584" s="442"/>
      <c r="P1584" s="235"/>
      <c r="AI1584" s="38"/>
    </row>
    <row r="1585" ht="15.75" customHeight="1">
      <c r="A1585" s="35"/>
      <c r="C1585" s="442"/>
      <c r="P1585" s="235"/>
      <c r="AI1585" s="38"/>
    </row>
    <row r="1586" ht="15.75" customHeight="1">
      <c r="A1586" s="35"/>
      <c r="C1586" s="442"/>
      <c r="P1586" s="235"/>
      <c r="AI1586" s="38"/>
    </row>
    <row r="1587" ht="15.75" customHeight="1">
      <c r="A1587" s="35"/>
      <c r="C1587" s="442"/>
      <c r="P1587" s="235"/>
      <c r="AI1587" s="38"/>
    </row>
    <row r="1588" ht="15.75" customHeight="1">
      <c r="A1588" s="35"/>
      <c r="C1588" s="442"/>
      <c r="P1588" s="235"/>
      <c r="AI1588" s="38"/>
    </row>
    <row r="1589" ht="15.75" customHeight="1">
      <c r="A1589" s="35"/>
      <c r="C1589" s="442"/>
      <c r="P1589" s="235"/>
      <c r="AI1589" s="38"/>
    </row>
    <row r="1590" ht="15.75" customHeight="1">
      <c r="A1590" s="35"/>
      <c r="C1590" s="442"/>
      <c r="P1590" s="235"/>
      <c r="AI1590" s="38"/>
    </row>
    <row r="1591" ht="15.75" customHeight="1">
      <c r="A1591" s="35"/>
      <c r="C1591" s="442"/>
      <c r="P1591" s="235"/>
      <c r="AI1591" s="38"/>
    </row>
    <row r="1592" ht="15.75" customHeight="1">
      <c r="A1592" s="35"/>
      <c r="C1592" s="442"/>
      <c r="P1592" s="235"/>
      <c r="AI1592" s="38"/>
    </row>
    <row r="1593" ht="15.75" customHeight="1">
      <c r="A1593" s="35"/>
      <c r="C1593" s="442"/>
      <c r="P1593" s="235"/>
      <c r="AI1593" s="38"/>
    </row>
    <row r="1594" ht="15.75" customHeight="1">
      <c r="A1594" s="35"/>
      <c r="C1594" s="442"/>
      <c r="P1594" s="235"/>
      <c r="AI1594" s="38"/>
    </row>
    <row r="1595" ht="15.75" customHeight="1">
      <c r="A1595" s="35"/>
      <c r="C1595" s="442"/>
      <c r="P1595" s="235"/>
      <c r="AI1595" s="38"/>
    </row>
    <row r="1596" ht="15.75" customHeight="1">
      <c r="A1596" s="35"/>
      <c r="C1596" s="442"/>
      <c r="P1596" s="235"/>
      <c r="AI1596" s="38"/>
    </row>
    <row r="1597" ht="15.75" customHeight="1">
      <c r="A1597" s="35"/>
      <c r="C1597" s="442"/>
      <c r="P1597" s="235"/>
      <c r="AI1597" s="38"/>
    </row>
    <row r="1598" ht="15.75" customHeight="1">
      <c r="A1598" s="35"/>
      <c r="C1598" s="442"/>
      <c r="P1598" s="235"/>
      <c r="AI1598" s="38"/>
    </row>
    <row r="1599" ht="15.75" customHeight="1">
      <c r="A1599" s="35"/>
      <c r="C1599" s="442"/>
      <c r="P1599" s="235"/>
      <c r="AI1599" s="38"/>
    </row>
    <row r="1600" ht="15.75" customHeight="1">
      <c r="A1600" s="35"/>
      <c r="C1600" s="442"/>
      <c r="P1600" s="235"/>
      <c r="AI1600" s="38"/>
    </row>
    <row r="1601" ht="15.75" customHeight="1">
      <c r="A1601" s="35"/>
      <c r="C1601" s="442"/>
      <c r="P1601" s="235"/>
      <c r="AI1601" s="38"/>
    </row>
    <row r="1602" ht="15.75" customHeight="1">
      <c r="A1602" s="35"/>
      <c r="C1602" s="442"/>
      <c r="P1602" s="235"/>
      <c r="AI1602" s="38"/>
    </row>
    <row r="1603" ht="15.75" customHeight="1">
      <c r="A1603" s="35"/>
      <c r="C1603" s="442"/>
      <c r="P1603" s="235"/>
      <c r="AI1603" s="38"/>
    </row>
    <row r="1604" ht="15.75" customHeight="1">
      <c r="A1604" s="35"/>
      <c r="C1604" s="442"/>
      <c r="P1604" s="235"/>
      <c r="AI1604" s="38"/>
    </row>
    <row r="1605" ht="15.75" customHeight="1">
      <c r="A1605" s="35"/>
      <c r="C1605" s="442"/>
      <c r="P1605" s="235"/>
      <c r="AI1605" s="38"/>
    </row>
    <row r="1606" ht="15.75" customHeight="1">
      <c r="A1606" s="35"/>
      <c r="C1606" s="442"/>
      <c r="P1606" s="235"/>
      <c r="AI1606" s="38"/>
    </row>
    <row r="1607" ht="15.75" customHeight="1">
      <c r="A1607" s="35"/>
      <c r="C1607" s="442"/>
      <c r="P1607" s="235"/>
      <c r="AI1607" s="38"/>
    </row>
    <row r="1608" ht="15.75" customHeight="1">
      <c r="A1608" s="35"/>
      <c r="C1608" s="442"/>
      <c r="P1608" s="235"/>
      <c r="AI1608" s="38"/>
    </row>
    <row r="1609" ht="15.75" customHeight="1">
      <c r="A1609" s="35"/>
      <c r="C1609" s="442"/>
      <c r="P1609" s="235"/>
      <c r="AI1609" s="38"/>
    </row>
    <row r="1610" ht="15.75" customHeight="1">
      <c r="A1610" s="35"/>
      <c r="C1610" s="442"/>
      <c r="P1610" s="235"/>
      <c r="AI1610" s="38"/>
    </row>
    <row r="1611" ht="15.75" customHeight="1">
      <c r="A1611" s="35"/>
      <c r="C1611" s="442"/>
      <c r="P1611" s="235"/>
      <c r="AI1611" s="38"/>
    </row>
    <row r="1612" ht="15.75" customHeight="1">
      <c r="A1612" s="35"/>
      <c r="C1612" s="442"/>
      <c r="P1612" s="235"/>
      <c r="AI1612" s="38"/>
    </row>
    <row r="1613" ht="15.75" customHeight="1">
      <c r="A1613" s="35"/>
      <c r="C1613" s="442"/>
      <c r="P1613" s="235"/>
      <c r="AI1613" s="38"/>
    </row>
    <row r="1614" ht="15.75" customHeight="1">
      <c r="A1614" s="35"/>
      <c r="C1614" s="442"/>
      <c r="P1614" s="235"/>
      <c r="AI1614" s="38"/>
    </row>
    <row r="1615" ht="15.75" customHeight="1">
      <c r="A1615" s="35"/>
      <c r="C1615" s="442"/>
      <c r="P1615" s="235"/>
      <c r="AI1615" s="38"/>
    </row>
    <row r="1616" ht="15.75" customHeight="1">
      <c r="A1616" s="35"/>
      <c r="C1616" s="442"/>
      <c r="P1616" s="235"/>
      <c r="AI1616" s="38"/>
    </row>
    <row r="1617" ht="15.75" customHeight="1">
      <c r="A1617" s="35"/>
      <c r="C1617" s="442"/>
      <c r="P1617" s="235"/>
      <c r="AI1617" s="38"/>
    </row>
    <row r="1618" ht="15.75" customHeight="1">
      <c r="A1618" s="35"/>
      <c r="C1618" s="442"/>
      <c r="P1618" s="235"/>
      <c r="AI1618" s="38"/>
    </row>
    <row r="1619" ht="15.75" customHeight="1">
      <c r="A1619" s="35"/>
      <c r="C1619" s="442"/>
      <c r="P1619" s="235"/>
      <c r="AI1619" s="38"/>
    </row>
    <row r="1620" ht="15.75" customHeight="1">
      <c r="A1620" s="35"/>
      <c r="C1620" s="442"/>
      <c r="P1620" s="235"/>
      <c r="AI1620" s="38"/>
    </row>
    <row r="1621" ht="15.75" customHeight="1">
      <c r="A1621" s="35"/>
      <c r="C1621" s="442"/>
      <c r="P1621" s="235"/>
      <c r="AI1621" s="38"/>
    </row>
    <row r="1622" ht="15.75" customHeight="1">
      <c r="A1622" s="35"/>
      <c r="C1622" s="442"/>
      <c r="P1622" s="235"/>
      <c r="AI1622" s="38"/>
    </row>
    <row r="1623" ht="15.75" customHeight="1">
      <c r="A1623" s="35"/>
      <c r="C1623" s="442"/>
      <c r="P1623" s="235"/>
      <c r="AI1623" s="38"/>
    </row>
    <row r="1624" ht="15.75" customHeight="1">
      <c r="A1624" s="35"/>
      <c r="C1624" s="442"/>
      <c r="P1624" s="235"/>
      <c r="AI1624" s="38"/>
    </row>
    <row r="1625" ht="15.75" customHeight="1">
      <c r="A1625" s="35"/>
      <c r="C1625" s="442"/>
      <c r="P1625" s="235"/>
      <c r="AI1625" s="38"/>
    </row>
    <row r="1626" ht="15.75" customHeight="1">
      <c r="A1626" s="35"/>
      <c r="C1626" s="442"/>
      <c r="P1626" s="235"/>
      <c r="AI1626" s="38"/>
    </row>
    <row r="1627" ht="15.75" customHeight="1">
      <c r="A1627" s="35"/>
      <c r="C1627" s="442"/>
      <c r="P1627" s="235"/>
      <c r="AI1627" s="38"/>
    </row>
    <row r="1628" ht="15.75" customHeight="1">
      <c r="A1628" s="35"/>
      <c r="C1628" s="442"/>
      <c r="P1628" s="235"/>
      <c r="AI1628" s="38"/>
    </row>
    <row r="1629" ht="15.75" customHeight="1">
      <c r="A1629" s="35"/>
      <c r="C1629" s="442"/>
      <c r="P1629" s="235"/>
      <c r="AI1629" s="38"/>
    </row>
    <row r="1630" ht="15.75" customHeight="1">
      <c r="A1630" s="35"/>
      <c r="C1630" s="442"/>
      <c r="P1630" s="235"/>
      <c r="AI1630" s="38"/>
    </row>
    <row r="1631" ht="15.75" customHeight="1">
      <c r="A1631" s="35"/>
      <c r="C1631" s="442"/>
      <c r="P1631" s="235"/>
      <c r="AI1631" s="38"/>
    </row>
    <row r="1632" ht="15.75" customHeight="1">
      <c r="A1632" s="35"/>
      <c r="C1632" s="442"/>
      <c r="P1632" s="235"/>
      <c r="AI1632" s="38"/>
    </row>
    <row r="1633" ht="15.75" customHeight="1">
      <c r="A1633" s="35"/>
      <c r="C1633" s="442"/>
      <c r="P1633" s="235"/>
      <c r="AI1633" s="38"/>
    </row>
    <row r="1634" ht="15.75" customHeight="1">
      <c r="A1634" s="35"/>
      <c r="C1634" s="442"/>
      <c r="P1634" s="235"/>
      <c r="AI1634" s="38"/>
    </row>
    <row r="1635" ht="15.75" customHeight="1">
      <c r="A1635" s="35"/>
      <c r="C1635" s="442"/>
      <c r="P1635" s="235"/>
      <c r="AI1635" s="38"/>
    </row>
    <row r="1636" ht="15.75" customHeight="1">
      <c r="A1636" s="35"/>
      <c r="C1636" s="442"/>
      <c r="P1636" s="235"/>
      <c r="AI1636" s="38"/>
    </row>
    <row r="1637" ht="15.75" customHeight="1">
      <c r="A1637" s="35"/>
      <c r="C1637" s="442"/>
      <c r="P1637" s="235"/>
      <c r="AI1637" s="38"/>
    </row>
    <row r="1638" ht="15.75" customHeight="1">
      <c r="A1638" s="35"/>
      <c r="C1638" s="442"/>
      <c r="P1638" s="235"/>
      <c r="AI1638" s="38"/>
    </row>
    <row r="1639" ht="15.75" customHeight="1">
      <c r="A1639" s="35"/>
      <c r="C1639" s="442"/>
      <c r="P1639" s="235"/>
      <c r="AI1639" s="38"/>
    </row>
    <row r="1640" ht="15.75" customHeight="1">
      <c r="A1640" s="35"/>
      <c r="C1640" s="442"/>
      <c r="P1640" s="235"/>
      <c r="AI1640" s="38"/>
    </row>
    <row r="1641" ht="15.75" customHeight="1">
      <c r="A1641" s="35"/>
      <c r="C1641" s="442"/>
      <c r="P1641" s="235"/>
      <c r="AI1641" s="38"/>
    </row>
    <row r="1642" ht="15.75" customHeight="1">
      <c r="A1642" s="35"/>
      <c r="C1642" s="442"/>
      <c r="P1642" s="235"/>
      <c r="AI1642" s="38"/>
    </row>
    <row r="1643" ht="15.75" customHeight="1">
      <c r="A1643" s="35"/>
      <c r="C1643" s="442"/>
      <c r="P1643" s="235"/>
      <c r="AI1643" s="38"/>
    </row>
    <row r="1644" ht="15.75" customHeight="1">
      <c r="A1644" s="35"/>
      <c r="C1644" s="442"/>
      <c r="P1644" s="235"/>
      <c r="AI1644" s="38"/>
    </row>
    <row r="1645" ht="15.75" customHeight="1">
      <c r="A1645" s="35"/>
      <c r="C1645" s="442"/>
      <c r="P1645" s="235"/>
      <c r="AI1645" s="38"/>
    </row>
    <row r="1646" ht="15.75" customHeight="1">
      <c r="A1646" s="35"/>
      <c r="C1646" s="442"/>
      <c r="P1646" s="235"/>
      <c r="AI1646" s="38"/>
    </row>
    <row r="1647" ht="15.75" customHeight="1">
      <c r="A1647" s="35"/>
      <c r="C1647" s="442"/>
      <c r="P1647" s="235"/>
      <c r="AI1647" s="38"/>
    </row>
    <row r="1648" ht="15.75" customHeight="1">
      <c r="A1648" s="35"/>
      <c r="C1648" s="442"/>
      <c r="P1648" s="235"/>
      <c r="AI1648" s="38"/>
    </row>
    <row r="1649" ht="15.75" customHeight="1">
      <c r="A1649" s="35"/>
      <c r="C1649" s="442"/>
      <c r="P1649" s="235"/>
      <c r="AI1649" s="38"/>
    </row>
    <row r="1650" ht="15.75" customHeight="1">
      <c r="A1650" s="35"/>
      <c r="C1650" s="442"/>
      <c r="P1650" s="235"/>
      <c r="AI1650" s="38"/>
    </row>
    <row r="1651" ht="15.75" customHeight="1">
      <c r="A1651" s="35"/>
      <c r="C1651" s="442"/>
      <c r="P1651" s="235"/>
      <c r="AI1651" s="38"/>
    </row>
    <row r="1652" ht="15.75" customHeight="1">
      <c r="A1652" s="35"/>
      <c r="C1652" s="442"/>
      <c r="P1652" s="235"/>
      <c r="AI1652" s="38"/>
    </row>
    <row r="1653" ht="15.75" customHeight="1">
      <c r="A1653" s="35"/>
      <c r="C1653" s="442"/>
      <c r="P1653" s="235"/>
      <c r="AI1653" s="38"/>
    </row>
    <row r="1654" ht="15.75" customHeight="1">
      <c r="A1654" s="35"/>
      <c r="C1654" s="442"/>
      <c r="P1654" s="235"/>
      <c r="AI1654" s="38"/>
    </row>
    <row r="1655" ht="15.75" customHeight="1">
      <c r="A1655" s="35"/>
      <c r="C1655" s="442"/>
      <c r="P1655" s="235"/>
      <c r="AI1655" s="38"/>
    </row>
    <row r="1656" ht="15.75" customHeight="1">
      <c r="A1656" s="35"/>
      <c r="C1656" s="442"/>
      <c r="P1656" s="235"/>
      <c r="AI1656" s="38"/>
    </row>
    <row r="1657" ht="15.75" customHeight="1">
      <c r="A1657" s="35"/>
      <c r="C1657" s="442"/>
      <c r="P1657" s="235"/>
      <c r="AI1657" s="38"/>
    </row>
    <row r="1658" ht="15.75" customHeight="1">
      <c r="A1658" s="35"/>
      <c r="C1658" s="442"/>
      <c r="P1658" s="235"/>
      <c r="AI1658" s="38"/>
    </row>
    <row r="1659" ht="15.75" customHeight="1">
      <c r="A1659" s="35"/>
      <c r="C1659" s="442"/>
      <c r="P1659" s="235"/>
      <c r="AI1659" s="38"/>
    </row>
    <row r="1660" ht="15.75" customHeight="1">
      <c r="A1660" s="35"/>
      <c r="C1660" s="442"/>
      <c r="P1660" s="235"/>
      <c r="AI1660" s="38"/>
    </row>
    <row r="1661" ht="15.75" customHeight="1">
      <c r="A1661" s="35"/>
      <c r="C1661" s="442"/>
      <c r="P1661" s="235"/>
      <c r="AI1661" s="38"/>
    </row>
    <row r="1662" ht="15.75" customHeight="1">
      <c r="A1662" s="35"/>
      <c r="C1662" s="442"/>
      <c r="P1662" s="235"/>
      <c r="AI1662" s="38"/>
    </row>
    <row r="1663" ht="15.75" customHeight="1">
      <c r="A1663" s="35"/>
      <c r="C1663" s="442"/>
      <c r="P1663" s="235"/>
      <c r="AI1663" s="38"/>
    </row>
    <row r="1664" ht="15.75" customHeight="1">
      <c r="A1664" s="35"/>
      <c r="C1664" s="442"/>
      <c r="P1664" s="235"/>
      <c r="AI1664" s="38"/>
    </row>
    <row r="1665" ht="15.75" customHeight="1">
      <c r="A1665" s="35"/>
      <c r="C1665" s="442"/>
      <c r="P1665" s="235"/>
      <c r="AI1665" s="38"/>
    </row>
    <row r="1666" ht="15.75" customHeight="1">
      <c r="A1666" s="35"/>
      <c r="C1666" s="442"/>
      <c r="P1666" s="235"/>
      <c r="AI1666" s="38"/>
    </row>
    <row r="1667" ht="15.75" customHeight="1">
      <c r="A1667" s="35"/>
      <c r="C1667" s="442"/>
      <c r="P1667" s="235"/>
      <c r="AI1667" s="38"/>
    </row>
    <row r="1668" ht="15.75" customHeight="1">
      <c r="A1668" s="35"/>
      <c r="C1668" s="442"/>
      <c r="P1668" s="235"/>
      <c r="AI1668" s="38"/>
    </row>
    <row r="1669" ht="15.75" customHeight="1">
      <c r="A1669" s="35"/>
      <c r="C1669" s="442"/>
      <c r="P1669" s="235"/>
      <c r="AI1669" s="38"/>
    </row>
    <row r="1670" ht="15.75" customHeight="1">
      <c r="A1670" s="35"/>
      <c r="C1670" s="442"/>
      <c r="P1670" s="235"/>
      <c r="AI1670" s="38"/>
    </row>
    <row r="1671" ht="15.75" customHeight="1">
      <c r="A1671" s="35"/>
      <c r="C1671" s="442"/>
      <c r="P1671" s="235"/>
      <c r="AI1671" s="38"/>
    </row>
    <row r="1672" ht="15.75" customHeight="1">
      <c r="A1672" s="35"/>
      <c r="C1672" s="442"/>
      <c r="P1672" s="235"/>
      <c r="AI1672" s="38"/>
    </row>
    <row r="1673" ht="15.75" customHeight="1">
      <c r="A1673" s="35"/>
      <c r="C1673" s="442"/>
      <c r="P1673" s="235"/>
      <c r="AI1673" s="38"/>
    </row>
    <row r="1674" ht="15.75" customHeight="1">
      <c r="A1674" s="35"/>
      <c r="C1674" s="442"/>
      <c r="P1674" s="235"/>
      <c r="AI1674" s="38"/>
    </row>
    <row r="1675" ht="15.75" customHeight="1">
      <c r="A1675" s="35"/>
      <c r="C1675" s="442"/>
      <c r="P1675" s="235"/>
      <c r="AI1675" s="38"/>
    </row>
    <row r="1676" ht="15.75" customHeight="1">
      <c r="A1676" s="35"/>
      <c r="C1676" s="442"/>
      <c r="P1676" s="235"/>
      <c r="AI1676" s="38"/>
    </row>
    <row r="1677" ht="15.75" customHeight="1">
      <c r="A1677" s="35"/>
      <c r="C1677" s="442"/>
      <c r="P1677" s="235"/>
      <c r="AI1677" s="38"/>
    </row>
    <row r="1678" ht="15.75" customHeight="1">
      <c r="A1678" s="35"/>
      <c r="C1678" s="442"/>
      <c r="P1678" s="235"/>
      <c r="AI1678" s="38"/>
    </row>
    <row r="1679" ht="15.75" customHeight="1">
      <c r="A1679" s="35"/>
      <c r="C1679" s="442"/>
      <c r="P1679" s="235"/>
      <c r="AI1679" s="38"/>
    </row>
    <row r="1680" ht="15.75" customHeight="1">
      <c r="A1680" s="35"/>
      <c r="C1680" s="442"/>
      <c r="P1680" s="235"/>
      <c r="AI1680" s="38"/>
    </row>
    <row r="1681" ht="15.75" customHeight="1">
      <c r="A1681" s="35"/>
      <c r="C1681" s="442"/>
      <c r="P1681" s="235"/>
      <c r="AI1681" s="38"/>
    </row>
    <row r="1682" ht="15.75" customHeight="1">
      <c r="A1682" s="35"/>
      <c r="C1682" s="442"/>
      <c r="P1682" s="235"/>
      <c r="AI1682" s="38"/>
    </row>
    <row r="1683" ht="15.75" customHeight="1">
      <c r="A1683" s="35"/>
      <c r="C1683" s="442"/>
      <c r="P1683" s="235"/>
      <c r="AI1683" s="38"/>
    </row>
    <row r="1684" ht="15.75" customHeight="1">
      <c r="A1684" s="35"/>
      <c r="C1684" s="442"/>
      <c r="P1684" s="235"/>
      <c r="AI1684" s="38"/>
    </row>
    <row r="1685" ht="15.75" customHeight="1">
      <c r="A1685" s="35"/>
      <c r="C1685" s="442"/>
      <c r="P1685" s="235"/>
      <c r="AI1685" s="38"/>
    </row>
    <row r="1686" ht="15.75" customHeight="1">
      <c r="A1686" s="35"/>
      <c r="C1686" s="442"/>
      <c r="P1686" s="235"/>
      <c r="AI1686" s="38"/>
    </row>
    <row r="1687" ht="15.75" customHeight="1">
      <c r="A1687" s="35"/>
      <c r="C1687" s="442"/>
      <c r="P1687" s="235"/>
      <c r="AI1687" s="38"/>
    </row>
    <row r="1688" ht="15.75" customHeight="1">
      <c r="A1688" s="35"/>
      <c r="C1688" s="442"/>
      <c r="P1688" s="235"/>
      <c r="AI1688" s="38"/>
    </row>
    <row r="1689" ht="15.75" customHeight="1">
      <c r="A1689" s="35"/>
      <c r="C1689" s="442"/>
      <c r="P1689" s="235"/>
      <c r="AI1689" s="38"/>
    </row>
    <row r="1690" ht="15.75" customHeight="1">
      <c r="A1690" s="35"/>
      <c r="C1690" s="442"/>
      <c r="P1690" s="235"/>
      <c r="AI1690" s="38"/>
    </row>
    <row r="1691" ht="15.75" customHeight="1">
      <c r="A1691" s="35"/>
      <c r="C1691" s="442"/>
      <c r="P1691" s="235"/>
      <c r="AI1691" s="38"/>
    </row>
    <row r="1692" ht="15.75" customHeight="1">
      <c r="A1692" s="35"/>
      <c r="C1692" s="442"/>
      <c r="P1692" s="235"/>
      <c r="AI1692" s="38"/>
    </row>
    <row r="1693" ht="15.75" customHeight="1">
      <c r="A1693" s="35"/>
      <c r="C1693" s="442"/>
      <c r="P1693" s="235"/>
      <c r="AI1693" s="38"/>
    </row>
    <row r="1694" ht="15.75" customHeight="1">
      <c r="A1694" s="35"/>
      <c r="C1694" s="442"/>
      <c r="P1694" s="235"/>
      <c r="AI1694" s="38"/>
    </row>
    <row r="1695" ht="15.75" customHeight="1">
      <c r="A1695" s="35"/>
      <c r="C1695" s="442"/>
      <c r="P1695" s="235"/>
      <c r="AI1695" s="38"/>
    </row>
    <row r="1696" ht="15.75" customHeight="1">
      <c r="A1696" s="35"/>
      <c r="C1696" s="442"/>
      <c r="P1696" s="235"/>
      <c r="AI1696" s="38"/>
    </row>
    <row r="1697" ht="15.75" customHeight="1">
      <c r="A1697" s="35"/>
      <c r="C1697" s="442"/>
      <c r="P1697" s="235"/>
      <c r="AI1697" s="38"/>
    </row>
    <row r="1698" ht="15.75" customHeight="1">
      <c r="A1698" s="35"/>
      <c r="C1698" s="442"/>
      <c r="P1698" s="235"/>
      <c r="AI1698" s="38"/>
    </row>
    <row r="1699" ht="15.75" customHeight="1">
      <c r="A1699" s="35"/>
      <c r="C1699" s="442"/>
      <c r="P1699" s="235"/>
      <c r="AI1699" s="38"/>
    </row>
    <row r="1700" ht="15.75" customHeight="1">
      <c r="A1700" s="35"/>
      <c r="C1700" s="442"/>
      <c r="P1700" s="235"/>
      <c r="AI1700" s="38"/>
    </row>
    <row r="1701" ht="15.75" customHeight="1">
      <c r="A1701" s="35"/>
      <c r="C1701" s="442"/>
      <c r="P1701" s="235"/>
      <c r="AI1701" s="38"/>
    </row>
    <row r="1702" ht="15.75" customHeight="1">
      <c r="A1702" s="35"/>
      <c r="C1702" s="442"/>
      <c r="P1702" s="235"/>
      <c r="AI1702" s="38"/>
    </row>
    <row r="1703" ht="15.75" customHeight="1">
      <c r="A1703" s="35"/>
      <c r="C1703" s="442"/>
      <c r="P1703" s="235"/>
      <c r="AI1703" s="38"/>
    </row>
    <row r="1704" ht="15.75" customHeight="1">
      <c r="A1704" s="35"/>
      <c r="C1704" s="442"/>
      <c r="P1704" s="235"/>
      <c r="AI1704" s="38"/>
    </row>
    <row r="1705" ht="15.75" customHeight="1">
      <c r="A1705" s="35"/>
      <c r="C1705" s="442"/>
      <c r="P1705" s="235"/>
      <c r="AI1705" s="38"/>
    </row>
    <row r="1706" ht="15.75" customHeight="1">
      <c r="A1706" s="35"/>
      <c r="C1706" s="442"/>
      <c r="P1706" s="235"/>
      <c r="AI1706" s="38"/>
    </row>
    <row r="1707" ht="15.75" customHeight="1">
      <c r="A1707" s="35"/>
      <c r="C1707" s="442"/>
      <c r="P1707" s="235"/>
      <c r="AI1707" s="38"/>
    </row>
    <row r="1708" ht="15.75" customHeight="1">
      <c r="A1708" s="35"/>
      <c r="C1708" s="442"/>
      <c r="P1708" s="235"/>
      <c r="AI1708" s="38"/>
    </row>
    <row r="1709" ht="15.75" customHeight="1">
      <c r="A1709" s="35"/>
      <c r="C1709" s="442"/>
      <c r="P1709" s="235"/>
      <c r="AI1709" s="38"/>
    </row>
    <row r="1710" ht="15.75" customHeight="1">
      <c r="A1710" s="35"/>
      <c r="C1710" s="442"/>
      <c r="P1710" s="235"/>
      <c r="AI1710" s="38"/>
    </row>
    <row r="1711" ht="15.75" customHeight="1">
      <c r="A1711" s="35"/>
      <c r="C1711" s="442"/>
      <c r="P1711" s="235"/>
      <c r="AI1711" s="38"/>
    </row>
    <row r="1712" ht="15.75" customHeight="1">
      <c r="A1712" s="35"/>
      <c r="C1712" s="442"/>
      <c r="P1712" s="235"/>
      <c r="AI1712" s="38"/>
    </row>
    <row r="1713" ht="15.75" customHeight="1">
      <c r="A1713" s="35"/>
      <c r="C1713" s="442"/>
      <c r="P1713" s="235"/>
      <c r="AI1713" s="38"/>
    </row>
    <row r="1714" ht="15.75" customHeight="1">
      <c r="A1714" s="35"/>
      <c r="C1714" s="442"/>
      <c r="P1714" s="235"/>
      <c r="AI1714" s="38"/>
    </row>
    <row r="1715" ht="15.75" customHeight="1">
      <c r="A1715" s="35"/>
      <c r="C1715" s="442"/>
      <c r="P1715" s="235"/>
      <c r="AI1715" s="38"/>
    </row>
    <row r="1716" ht="15.75" customHeight="1">
      <c r="A1716" s="35"/>
      <c r="C1716" s="442"/>
      <c r="P1716" s="235"/>
      <c r="AI1716" s="38"/>
    </row>
    <row r="1717" ht="15.75" customHeight="1">
      <c r="A1717" s="35"/>
      <c r="C1717" s="442"/>
      <c r="P1717" s="235"/>
      <c r="AI1717" s="38"/>
    </row>
    <row r="1718" ht="15.75" customHeight="1">
      <c r="A1718" s="35"/>
      <c r="C1718" s="442"/>
      <c r="P1718" s="235"/>
      <c r="AI1718" s="38"/>
    </row>
    <row r="1719" ht="15.75" customHeight="1">
      <c r="A1719" s="35"/>
      <c r="C1719" s="442"/>
      <c r="P1719" s="235"/>
      <c r="AI1719" s="38"/>
    </row>
    <row r="1720" ht="15.75" customHeight="1">
      <c r="A1720" s="35"/>
      <c r="C1720" s="442"/>
      <c r="P1720" s="235"/>
      <c r="AI1720" s="38"/>
    </row>
    <row r="1721" ht="15.75" customHeight="1">
      <c r="A1721" s="35"/>
      <c r="C1721" s="442"/>
      <c r="P1721" s="235"/>
      <c r="AI1721" s="38"/>
    </row>
    <row r="1722" ht="15.75" customHeight="1">
      <c r="A1722" s="35"/>
      <c r="C1722" s="442"/>
      <c r="P1722" s="235"/>
      <c r="AI1722" s="38"/>
    </row>
    <row r="1723" ht="15.75" customHeight="1">
      <c r="A1723" s="35"/>
      <c r="C1723" s="442"/>
      <c r="P1723" s="235"/>
      <c r="AI1723" s="38"/>
    </row>
    <row r="1724" ht="15.75" customHeight="1">
      <c r="A1724" s="35"/>
      <c r="C1724" s="442"/>
      <c r="P1724" s="235"/>
      <c r="AI1724" s="38"/>
    </row>
    <row r="1725" ht="15.75" customHeight="1">
      <c r="A1725" s="35"/>
      <c r="C1725" s="442"/>
      <c r="P1725" s="235"/>
      <c r="AI1725" s="38"/>
    </row>
    <row r="1726" ht="15.75" customHeight="1">
      <c r="A1726" s="35"/>
      <c r="C1726" s="442"/>
      <c r="P1726" s="235"/>
      <c r="AI1726" s="38"/>
    </row>
    <row r="1727" ht="15.75" customHeight="1">
      <c r="A1727" s="35"/>
      <c r="C1727" s="442"/>
      <c r="P1727" s="235"/>
      <c r="AI1727" s="38"/>
    </row>
    <row r="1728" ht="15.75" customHeight="1">
      <c r="A1728" s="35"/>
      <c r="C1728" s="442"/>
      <c r="P1728" s="235"/>
      <c r="AI1728" s="38"/>
    </row>
    <row r="1729" ht="15.75" customHeight="1">
      <c r="A1729" s="35"/>
      <c r="C1729" s="442"/>
      <c r="P1729" s="235"/>
      <c r="AI1729" s="38"/>
    </row>
    <row r="1730" ht="15.75" customHeight="1">
      <c r="A1730" s="35"/>
      <c r="C1730" s="442"/>
      <c r="P1730" s="235"/>
      <c r="AI1730" s="38"/>
    </row>
    <row r="1731" ht="15.75" customHeight="1">
      <c r="A1731" s="35"/>
      <c r="C1731" s="442"/>
      <c r="P1731" s="235"/>
      <c r="AI1731" s="38"/>
    </row>
    <row r="1732" ht="15.75" customHeight="1">
      <c r="A1732" s="35"/>
      <c r="C1732" s="442"/>
      <c r="P1732" s="235"/>
      <c r="AI1732" s="38"/>
    </row>
    <row r="1733" ht="15.75" customHeight="1">
      <c r="A1733" s="35"/>
      <c r="C1733" s="442"/>
      <c r="P1733" s="235"/>
      <c r="AI1733" s="38"/>
    </row>
    <row r="1734" ht="15.75" customHeight="1">
      <c r="A1734" s="35"/>
      <c r="C1734" s="442"/>
      <c r="P1734" s="235"/>
      <c r="AI1734" s="38"/>
    </row>
    <row r="1735" ht="15.75" customHeight="1">
      <c r="A1735" s="35"/>
      <c r="C1735" s="442"/>
      <c r="P1735" s="235"/>
      <c r="AI1735" s="38"/>
    </row>
    <row r="1736" ht="15.75" customHeight="1">
      <c r="A1736" s="35"/>
      <c r="C1736" s="442"/>
      <c r="P1736" s="235"/>
      <c r="AI1736" s="38"/>
    </row>
    <row r="1737" ht="15.75" customHeight="1">
      <c r="A1737" s="35"/>
      <c r="C1737" s="442"/>
      <c r="P1737" s="235"/>
      <c r="AI1737" s="38"/>
    </row>
    <row r="1738" ht="15.75" customHeight="1">
      <c r="A1738" s="35"/>
      <c r="C1738" s="442"/>
      <c r="P1738" s="235"/>
      <c r="AI1738" s="38"/>
    </row>
    <row r="1739" ht="15.75" customHeight="1">
      <c r="A1739" s="35"/>
      <c r="C1739" s="442"/>
      <c r="P1739" s="235"/>
      <c r="AI1739" s="38"/>
    </row>
    <row r="1740" ht="15.75" customHeight="1">
      <c r="A1740" s="35"/>
      <c r="C1740" s="442"/>
      <c r="P1740" s="235"/>
      <c r="AI1740" s="38"/>
    </row>
    <row r="1741" ht="15.75" customHeight="1">
      <c r="A1741" s="35"/>
      <c r="C1741" s="442"/>
      <c r="P1741" s="235"/>
      <c r="AI1741" s="38"/>
    </row>
    <row r="1742" ht="15.75" customHeight="1">
      <c r="A1742" s="35"/>
      <c r="C1742" s="442"/>
      <c r="P1742" s="235"/>
      <c r="AI1742" s="38"/>
    </row>
    <row r="1743" ht="15.75" customHeight="1">
      <c r="A1743" s="35"/>
      <c r="C1743" s="442"/>
      <c r="P1743" s="235"/>
      <c r="AI1743" s="38"/>
    </row>
    <row r="1744" ht="15.75" customHeight="1">
      <c r="A1744" s="35"/>
      <c r="C1744" s="442"/>
      <c r="P1744" s="235"/>
      <c r="AI1744" s="38"/>
    </row>
    <row r="1745" ht="15.75" customHeight="1">
      <c r="A1745" s="35"/>
      <c r="C1745" s="442"/>
      <c r="P1745" s="235"/>
      <c r="AI1745" s="38"/>
    </row>
    <row r="1746" ht="15.75" customHeight="1">
      <c r="A1746" s="35"/>
      <c r="C1746" s="442"/>
      <c r="P1746" s="235"/>
      <c r="AI1746" s="38"/>
    </row>
    <row r="1747" ht="15.75" customHeight="1">
      <c r="A1747" s="35"/>
      <c r="C1747" s="442"/>
      <c r="P1747" s="235"/>
      <c r="AI1747" s="38"/>
    </row>
    <row r="1748" ht="15.75" customHeight="1">
      <c r="A1748" s="35"/>
      <c r="C1748" s="442"/>
      <c r="P1748" s="235"/>
      <c r="AI1748" s="38"/>
    </row>
    <row r="1749" ht="15.75" customHeight="1">
      <c r="A1749" s="35"/>
      <c r="C1749" s="442"/>
      <c r="P1749" s="235"/>
      <c r="AI1749" s="38"/>
    </row>
    <row r="1750" ht="15.75" customHeight="1">
      <c r="A1750" s="35"/>
      <c r="C1750" s="442"/>
      <c r="P1750" s="235"/>
      <c r="AI1750" s="38"/>
    </row>
    <row r="1751" ht="15.75" customHeight="1">
      <c r="A1751" s="35"/>
      <c r="C1751" s="442"/>
      <c r="P1751" s="235"/>
      <c r="AI1751" s="38"/>
    </row>
    <row r="1752" ht="15.75" customHeight="1">
      <c r="A1752" s="35"/>
      <c r="C1752" s="442"/>
      <c r="P1752" s="235"/>
      <c r="AI1752" s="38"/>
    </row>
    <row r="1753" ht="15.75" customHeight="1">
      <c r="A1753" s="35"/>
      <c r="C1753" s="442"/>
      <c r="P1753" s="235"/>
      <c r="AI1753" s="38"/>
    </row>
    <row r="1754" ht="15.75" customHeight="1">
      <c r="A1754" s="35"/>
      <c r="C1754" s="442"/>
      <c r="P1754" s="235"/>
      <c r="AI1754" s="38"/>
    </row>
    <row r="1755" ht="15.75" customHeight="1">
      <c r="A1755" s="35"/>
      <c r="C1755" s="442"/>
      <c r="P1755" s="235"/>
      <c r="AI1755" s="38"/>
    </row>
    <row r="1756" ht="15.75" customHeight="1">
      <c r="A1756" s="35"/>
      <c r="C1756" s="442"/>
      <c r="P1756" s="235"/>
      <c r="AI1756" s="38"/>
    </row>
    <row r="1757" ht="15.75" customHeight="1">
      <c r="A1757" s="35"/>
      <c r="C1757" s="442"/>
      <c r="P1757" s="235"/>
      <c r="AI1757" s="38"/>
    </row>
    <row r="1758" ht="15.75" customHeight="1">
      <c r="A1758" s="35"/>
      <c r="C1758" s="442"/>
      <c r="P1758" s="235"/>
      <c r="AI1758" s="38"/>
    </row>
    <row r="1759" ht="15.75" customHeight="1">
      <c r="A1759" s="35"/>
      <c r="C1759" s="442"/>
      <c r="P1759" s="235"/>
      <c r="AI1759" s="38"/>
    </row>
    <row r="1760" ht="15.75" customHeight="1">
      <c r="A1760" s="35"/>
      <c r="C1760" s="442"/>
      <c r="P1760" s="235"/>
      <c r="AI1760" s="38"/>
    </row>
    <row r="1761" ht="15.75" customHeight="1">
      <c r="A1761" s="35"/>
      <c r="C1761" s="442"/>
      <c r="P1761" s="235"/>
      <c r="AI1761" s="38"/>
    </row>
    <row r="1762" ht="15.75" customHeight="1">
      <c r="A1762" s="35"/>
      <c r="C1762" s="442"/>
      <c r="P1762" s="235"/>
      <c r="AI1762" s="38"/>
    </row>
    <row r="1763" ht="15.75" customHeight="1">
      <c r="A1763" s="35"/>
      <c r="C1763" s="442"/>
      <c r="P1763" s="235"/>
      <c r="AI1763" s="38"/>
    </row>
    <row r="1764" ht="15.75" customHeight="1">
      <c r="A1764" s="35"/>
      <c r="C1764" s="442"/>
      <c r="P1764" s="235"/>
      <c r="AI1764" s="38"/>
    </row>
    <row r="1765" ht="15.75" customHeight="1">
      <c r="A1765" s="35"/>
      <c r="C1765" s="442"/>
      <c r="P1765" s="235"/>
      <c r="AI1765" s="38"/>
    </row>
    <row r="1766" ht="15.75" customHeight="1">
      <c r="A1766" s="35"/>
      <c r="C1766" s="442"/>
      <c r="P1766" s="235"/>
      <c r="AI1766" s="38"/>
    </row>
    <row r="1767" ht="15.75" customHeight="1">
      <c r="A1767" s="35"/>
      <c r="C1767" s="442"/>
      <c r="P1767" s="235"/>
      <c r="AI1767" s="38"/>
    </row>
    <row r="1768" ht="15.75" customHeight="1">
      <c r="A1768" s="35"/>
      <c r="C1768" s="442"/>
      <c r="P1768" s="235"/>
      <c r="AI1768" s="38"/>
    </row>
    <row r="1769" ht="15.75" customHeight="1">
      <c r="A1769" s="35"/>
      <c r="C1769" s="442"/>
      <c r="P1769" s="235"/>
      <c r="AI1769" s="38"/>
    </row>
    <row r="1770" ht="15.75" customHeight="1">
      <c r="A1770" s="35"/>
      <c r="C1770" s="442"/>
      <c r="P1770" s="235"/>
      <c r="AI1770" s="38"/>
    </row>
    <row r="1771" ht="15.75" customHeight="1">
      <c r="A1771" s="35"/>
      <c r="C1771" s="442"/>
      <c r="P1771" s="235"/>
      <c r="AI1771" s="38"/>
    </row>
    <row r="1772" ht="15.75" customHeight="1">
      <c r="A1772" s="35"/>
      <c r="C1772" s="442"/>
      <c r="P1772" s="235"/>
      <c r="AI1772" s="38"/>
    </row>
    <row r="1773" ht="15.75" customHeight="1">
      <c r="A1773" s="35"/>
      <c r="C1773" s="442"/>
      <c r="P1773" s="235"/>
      <c r="AI1773" s="38"/>
    </row>
    <row r="1774" ht="15.75" customHeight="1">
      <c r="A1774" s="35"/>
      <c r="C1774" s="442"/>
      <c r="P1774" s="235"/>
      <c r="AI1774" s="38"/>
    </row>
    <row r="1775" ht="15.75" customHeight="1">
      <c r="A1775" s="35"/>
      <c r="C1775" s="442"/>
      <c r="P1775" s="235"/>
      <c r="AI1775" s="38"/>
    </row>
    <row r="1776" ht="15.75" customHeight="1">
      <c r="A1776" s="35"/>
      <c r="C1776" s="442"/>
      <c r="P1776" s="235"/>
      <c r="AI1776" s="38"/>
    </row>
    <row r="1777" ht="15.75" customHeight="1">
      <c r="A1777" s="35"/>
      <c r="C1777" s="442"/>
      <c r="P1777" s="235"/>
      <c r="AI1777" s="38"/>
    </row>
    <row r="1778" ht="15.75" customHeight="1">
      <c r="A1778" s="35"/>
      <c r="C1778" s="442"/>
      <c r="P1778" s="235"/>
      <c r="AI1778" s="38"/>
    </row>
    <row r="1779" ht="15.75" customHeight="1">
      <c r="A1779" s="35"/>
      <c r="C1779" s="442"/>
      <c r="P1779" s="235"/>
      <c r="AI1779" s="38"/>
    </row>
    <row r="1780" ht="15.75" customHeight="1">
      <c r="A1780" s="35"/>
      <c r="C1780" s="442"/>
      <c r="P1780" s="235"/>
      <c r="AI1780" s="38"/>
    </row>
    <row r="1781" ht="15.75" customHeight="1">
      <c r="A1781" s="35"/>
      <c r="C1781" s="442"/>
      <c r="P1781" s="235"/>
      <c r="AI1781" s="38"/>
    </row>
    <row r="1782" ht="15.75" customHeight="1">
      <c r="A1782" s="35"/>
      <c r="C1782" s="442"/>
      <c r="P1782" s="235"/>
      <c r="AI1782" s="38"/>
    </row>
    <row r="1783" ht="15.75" customHeight="1">
      <c r="A1783" s="35"/>
      <c r="C1783" s="442"/>
      <c r="P1783" s="235"/>
      <c r="AI1783" s="38"/>
    </row>
    <row r="1784" ht="15.75" customHeight="1">
      <c r="A1784" s="35"/>
      <c r="C1784" s="442"/>
      <c r="P1784" s="235"/>
      <c r="AI1784" s="38"/>
    </row>
    <row r="1785" ht="15.75" customHeight="1">
      <c r="A1785" s="35"/>
      <c r="C1785" s="442"/>
      <c r="P1785" s="235"/>
      <c r="AI1785" s="38"/>
    </row>
    <row r="1786" ht="15.75" customHeight="1">
      <c r="A1786" s="35"/>
      <c r="C1786" s="442"/>
      <c r="P1786" s="235"/>
      <c r="AI1786" s="38"/>
    </row>
    <row r="1787" ht="15.75" customHeight="1">
      <c r="A1787" s="35"/>
      <c r="C1787" s="442"/>
      <c r="P1787" s="235"/>
      <c r="AI1787" s="38"/>
    </row>
    <row r="1788" ht="15.75" customHeight="1">
      <c r="A1788" s="35"/>
      <c r="C1788" s="442"/>
      <c r="P1788" s="235"/>
      <c r="AI1788" s="38"/>
    </row>
    <row r="1789" ht="15.75" customHeight="1">
      <c r="A1789" s="35"/>
      <c r="C1789" s="442"/>
      <c r="P1789" s="235"/>
      <c r="AI1789" s="38"/>
    </row>
    <row r="1790" ht="15.75" customHeight="1">
      <c r="A1790" s="35"/>
      <c r="C1790" s="442"/>
      <c r="P1790" s="235"/>
      <c r="AI1790" s="38"/>
    </row>
    <row r="1791" ht="15.75" customHeight="1">
      <c r="A1791" s="35"/>
      <c r="C1791" s="442"/>
      <c r="P1791" s="235"/>
      <c r="AI1791" s="38"/>
    </row>
    <row r="1792" ht="15.75" customHeight="1">
      <c r="A1792" s="35"/>
      <c r="C1792" s="442"/>
      <c r="P1792" s="235"/>
      <c r="AI1792" s="38"/>
    </row>
    <row r="1793" ht="15.75" customHeight="1">
      <c r="A1793" s="35"/>
      <c r="C1793" s="442"/>
      <c r="P1793" s="235"/>
      <c r="AI1793" s="38"/>
    </row>
    <row r="1794" ht="15.75" customHeight="1">
      <c r="A1794" s="35"/>
      <c r="C1794" s="442"/>
      <c r="P1794" s="235"/>
      <c r="AI1794" s="38"/>
    </row>
    <row r="1795" ht="15.75" customHeight="1">
      <c r="A1795" s="35"/>
      <c r="C1795" s="442"/>
      <c r="P1795" s="235"/>
      <c r="AI1795" s="38"/>
    </row>
    <row r="1796" ht="15.75" customHeight="1">
      <c r="A1796" s="35"/>
      <c r="C1796" s="442"/>
      <c r="P1796" s="235"/>
      <c r="AI1796" s="38"/>
    </row>
    <row r="1797" ht="15.75" customHeight="1">
      <c r="A1797" s="35"/>
      <c r="C1797" s="442"/>
      <c r="P1797" s="235"/>
      <c r="AI1797" s="38"/>
    </row>
    <row r="1798" ht="15.75" customHeight="1">
      <c r="A1798" s="35"/>
      <c r="C1798" s="442"/>
      <c r="P1798" s="235"/>
      <c r="AI1798" s="38"/>
    </row>
    <row r="1799" ht="15.75" customHeight="1">
      <c r="A1799" s="35"/>
      <c r="C1799" s="442"/>
      <c r="P1799" s="235"/>
      <c r="AI1799" s="38"/>
    </row>
    <row r="1800" ht="15.75" customHeight="1">
      <c r="A1800" s="35"/>
      <c r="C1800" s="442"/>
      <c r="P1800" s="235"/>
      <c r="AI1800" s="38"/>
    </row>
    <row r="1801" ht="15.75" customHeight="1">
      <c r="A1801" s="35"/>
      <c r="C1801" s="442"/>
      <c r="P1801" s="235"/>
      <c r="AI1801" s="38"/>
    </row>
    <row r="1802" ht="15.75" customHeight="1">
      <c r="A1802" s="35"/>
      <c r="C1802" s="442"/>
      <c r="P1802" s="235"/>
      <c r="AI1802" s="38"/>
    </row>
    <row r="1803" ht="15.75" customHeight="1">
      <c r="A1803" s="35"/>
      <c r="C1803" s="442"/>
      <c r="P1803" s="235"/>
      <c r="AI1803" s="38"/>
    </row>
    <row r="1804" ht="15.75" customHeight="1">
      <c r="A1804" s="35"/>
      <c r="C1804" s="442"/>
      <c r="P1804" s="235"/>
      <c r="AI1804" s="38"/>
    </row>
    <row r="1805" ht="15.75" customHeight="1">
      <c r="A1805" s="35"/>
      <c r="C1805" s="442"/>
      <c r="P1805" s="235"/>
      <c r="AI1805" s="38"/>
    </row>
    <row r="1806" ht="15.75" customHeight="1">
      <c r="A1806" s="35"/>
      <c r="C1806" s="442"/>
      <c r="P1806" s="235"/>
      <c r="AI1806" s="38"/>
    </row>
    <row r="1807" ht="15.75" customHeight="1">
      <c r="A1807" s="35"/>
      <c r="C1807" s="442"/>
      <c r="P1807" s="235"/>
      <c r="AI1807" s="38"/>
    </row>
    <row r="1808" ht="15.75" customHeight="1">
      <c r="A1808" s="35"/>
      <c r="C1808" s="442"/>
      <c r="P1808" s="235"/>
      <c r="AI1808" s="38"/>
    </row>
    <row r="1809" ht="15.75" customHeight="1">
      <c r="A1809" s="35"/>
      <c r="C1809" s="442"/>
      <c r="P1809" s="235"/>
      <c r="AI1809" s="38"/>
    </row>
    <row r="1810" ht="15.75" customHeight="1">
      <c r="A1810" s="35"/>
      <c r="C1810" s="442"/>
      <c r="P1810" s="235"/>
      <c r="AI1810" s="38"/>
    </row>
    <row r="1811" ht="15.75" customHeight="1">
      <c r="A1811" s="35"/>
      <c r="C1811" s="442"/>
      <c r="P1811" s="235"/>
      <c r="AI1811" s="38"/>
    </row>
    <row r="1812" ht="15.75" customHeight="1">
      <c r="A1812" s="35"/>
      <c r="C1812" s="442"/>
      <c r="P1812" s="235"/>
      <c r="AI1812" s="38"/>
    </row>
    <row r="1813" ht="15.75" customHeight="1">
      <c r="A1813" s="35"/>
      <c r="C1813" s="442"/>
      <c r="P1813" s="235"/>
      <c r="AI1813" s="38"/>
    </row>
    <row r="1814" ht="15.75" customHeight="1">
      <c r="A1814" s="35"/>
      <c r="C1814" s="442"/>
      <c r="P1814" s="235"/>
      <c r="AI1814" s="38"/>
    </row>
    <row r="1815" ht="15.75" customHeight="1">
      <c r="A1815" s="35"/>
      <c r="C1815" s="442"/>
      <c r="P1815" s="235"/>
      <c r="AI1815" s="38"/>
    </row>
    <row r="1816" ht="15.75" customHeight="1">
      <c r="A1816" s="35"/>
      <c r="C1816" s="442"/>
      <c r="P1816" s="235"/>
      <c r="AI1816" s="38"/>
    </row>
    <row r="1817" ht="15.75" customHeight="1">
      <c r="A1817" s="35"/>
      <c r="C1817" s="442"/>
      <c r="P1817" s="235"/>
      <c r="AI1817" s="38"/>
    </row>
    <row r="1818" ht="15.75" customHeight="1">
      <c r="A1818" s="35"/>
      <c r="C1818" s="442"/>
      <c r="P1818" s="235"/>
      <c r="AI1818" s="38"/>
    </row>
    <row r="1819" ht="15.75" customHeight="1">
      <c r="A1819" s="35"/>
      <c r="C1819" s="442"/>
      <c r="P1819" s="235"/>
      <c r="AI1819" s="38"/>
    </row>
    <row r="1820" ht="15.75" customHeight="1">
      <c r="A1820" s="35"/>
      <c r="C1820" s="442"/>
      <c r="P1820" s="235"/>
      <c r="AI1820" s="38"/>
    </row>
    <row r="1821" ht="15.75" customHeight="1">
      <c r="A1821" s="35"/>
      <c r="C1821" s="442"/>
      <c r="P1821" s="235"/>
      <c r="AI1821" s="38"/>
    </row>
    <row r="1822" ht="15.75" customHeight="1">
      <c r="A1822" s="35"/>
      <c r="C1822" s="442"/>
      <c r="P1822" s="235"/>
      <c r="AI1822" s="38"/>
    </row>
    <row r="1823" ht="15.75" customHeight="1">
      <c r="A1823" s="35"/>
      <c r="C1823" s="442"/>
      <c r="P1823" s="235"/>
      <c r="AI1823" s="38"/>
    </row>
    <row r="1824" ht="15.75" customHeight="1">
      <c r="A1824" s="35"/>
      <c r="C1824" s="442"/>
      <c r="P1824" s="235"/>
      <c r="AI1824" s="38"/>
    </row>
    <row r="1825" ht="15.75" customHeight="1">
      <c r="A1825" s="35"/>
      <c r="C1825" s="442"/>
      <c r="P1825" s="235"/>
      <c r="AI1825" s="38"/>
    </row>
    <row r="1826" ht="15.75" customHeight="1">
      <c r="A1826" s="35"/>
      <c r="C1826" s="442"/>
      <c r="P1826" s="235"/>
      <c r="AI1826" s="38"/>
    </row>
    <row r="1827" ht="15.75" customHeight="1">
      <c r="A1827" s="35"/>
      <c r="C1827" s="442"/>
      <c r="P1827" s="235"/>
      <c r="AI1827" s="38"/>
    </row>
    <row r="1828" ht="15.75" customHeight="1">
      <c r="A1828" s="35"/>
      <c r="C1828" s="442"/>
      <c r="P1828" s="235"/>
      <c r="AI1828" s="38"/>
    </row>
    <row r="1829" ht="15.75" customHeight="1">
      <c r="A1829" s="35"/>
      <c r="C1829" s="442"/>
      <c r="P1829" s="235"/>
      <c r="AI1829" s="38"/>
    </row>
    <row r="1830" ht="15.75" customHeight="1">
      <c r="A1830" s="35"/>
      <c r="C1830" s="442"/>
      <c r="P1830" s="235"/>
      <c r="AI1830" s="38"/>
    </row>
    <row r="1831" ht="15.75" customHeight="1">
      <c r="A1831" s="35"/>
      <c r="C1831" s="442"/>
      <c r="P1831" s="235"/>
      <c r="AI1831" s="38"/>
    </row>
    <row r="1832" ht="15.75" customHeight="1">
      <c r="A1832" s="35"/>
      <c r="C1832" s="442"/>
      <c r="P1832" s="235"/>
      <c r="AI1832" s="38"/>
    </row>
    <row r="1833" ht="15.75" customHeight="1">
      <c r="A1833" s="35"/>
      <c r="C1833" s="442"/>
      <c r="P1833" s="235"/>
      <c r="AI1833" s="38"/>
    </row>
    <row r="1834" ht="15.75" customHeight="1">
      <c r="A1834" s="35"/>
      <c r="C1834" s="442"/>
      <c r="P1834" s="235"/>
      <c r="AI1834" s="38"/>
    </row>
    <row r="1835" ht="15.75" customHeight="1">
      <c r="A1835" s="35"/>
      <c r="C1835" s="442"/>
      <c r="P1835" s="235"/>
      <c r="AI1835" s="38"/>
    </row>
    <row r="1836" ht="15.75" customHeight="1">
      <c r="A1836" s="35"/>
      <c r="C1836" s="442"/>
      <c r="P1836" s="235"/>
      <c r="AI1836" s="38"/>
    </row>
    <row r="1837" ht="15.75" customHeight="1">
      <c r="A1837" s="35"/>
      <c r="C1837" s="442"/>
      <c r="P1837" s="235"/>
      <c r="AI1837" s="38"/>
    </row>
    <row r="1838" ht="15.75" customHeight="1">
      <c r="A1838" s="35"/>
      <c r="C1838" s="442"/>
      <c r="P1838" s="235"/>
      <c r="AI1838" s="38"/>
    </row>
    <row r="1839" ht="15.75" customHeight="1">
      <c r="A1839" s="35"/>
      <c r="C1839" s="442"/>
      <c r="P1839" s="235"/>
      <c r="AI1839" s="38"/>
    </row>
    <row r="1840" ht="15.75" customHeight="1">
      <c r="A1840" s="35"/>
      <c r="C1840" s="442"/>
      <c r="P1840" s="235"/>
      <c r="AI1840" s="38"/>
    </row>
    <row r="1841" ht="15.75" customHeight="1">
      <c r="A1841" s="35"/>
      <c r="C1841" s="442"/>
      <c r="P1841" s="235"/>
      <c r="AI1841" s="38"/>
    </row>
    <row r="1842" ht="15.75" customHeight="1">
      <c r="A1842" s="35"/>
      <c r="C1842" s="442"/>
      <c r="P1842" s="235"/>
      <c r="AI1842" s="38"/>
    </row>
    <row r="1843" ht="15.75" customHeight="1">
      <c r="A1843" s="35"/>
      <c r="C1843" s="442"/>
      <c r="P1843" s="235"/>
      <c r="AI1843" s="38"/>
    </row>
    <row r="1844" ht="15.75" customHeight="1">
      <c r="A1844" s="35"/>
      <c r="C1844" s="442"/>
      <c r="P1844" s="235"/>
      <c r="AI1844" s="38"/>
    </row>
    <row r="1845" ht="15.75" customHeight="1">
      <c r="A1845" s="35"/>
      <c r="C1845" s="442"/>
      <c r="P1845" s="235"/>
      <c r="AI1845" s="38"/>
    </row>
    <row r="1846" ht="15.75" customHeight="1">
      <c r="A1846" s="35"/>
      <c r="C1846" s="442"/>
      <c r="P1846" s="235"/>
      <c r="AI1846" s="38"/>
    </row>
    <row r="1847" ht="15.75" customHeight="1">
      <c r="A1847" s="35"/>
      <c r="C1847" s="442"/>
      <c r="P1847" s="235"/>
      <c r="AI1847" s="38"/>
    </row>
    <row r="1848" ht="15.75" customHeight="1">
      <c r="A1848" s="35"/>
      <c r="C1848" s="442"/>
      <c r="P1848" s="235"/>
      <c r="AI1848" s="38"/>
    </row>
    <row r="1849" ht="15.75" customHeight="1">
      <c r="A1849" s="35"/>
      <c r="C1849" s="442"/>
      <c r="P1849" s="235"/>
      <c r="AI1849" s="38"/>
    </row>
    <row r="1850" ht="15.75" customHeight="1">
      <c r="A1850" s="35"/>
      <c r="C1850" s="442"/>
      <c r="P1850" s="235"/>
      <c r="AI1850" s="38"/>
    </row>
    <row r="1851" ht="15.75" customHeight="1">
      <c r="A1851" s="35"/>
      <c r="C1851" s="442"/>
      <c r="P1851" s="235"/>
      <c r="AI1851" s="38"/>
    </row>
    <row r="1852" ht="15.75" customHeight="1">
      <c r="A1852" s="35"/>
      <c r="C1852" s="442"/>
      <c r="P1852" s="235"/>
      <c r="AI1852" s="38"/>
    </row>
    <row r="1853" ht="15.75" customHeight="1">
      <c r="A1853" s="35"/>
      <c r="C1853" s="442"/>
      <c r="P1853" s="235"/>
      <c r="AI1853" s="38"/>
    </row>
    <row r="1854" ht="15.75" customHeight="1">
      <c r="A1854" s="35"/>
      <c r="C1854" s="442"/>
      <c r="P1854" s="235"/>
      <c r="AI1854" s="38"/>
    </row>
    <row r="1855" ht="15.75" customHeight="1">
      <c r="A1855" s="35"/>
      <c r="C1855" s="442"/>
      <c r="P1855" s="235"/>
      <c r="AI1855" s="38"/>
    </row>
    <row r="1856" ht="15.75" customHeight="1">
      <c r="A1856" s="35"/>
      <c r="C1856" s="442"/>
      <c r="P1856" s="235"/>
      <c r="AI1856" s="38"/>
    </row>
    <row r="1857" ht="15.75" customHeight="1">
      <c r="A1857" s="35"/>
      <c r="C1857" s="442"/>
      <c r="P1857" s="235"/>
      <c r="AI1857" s="38"/>
    </row>
    <row r="1858" ht="15.75" customHeight="1">
      <c r="A1858" s="35"/>
      <c r="C1858" s="442"/>
      <c r="P1858" s="235"/>
      <c r="AI1858" s="38"/>
    </row>
    <row r="1859" ht="15.75" customHeight="1">
      <c r="A1859" s="35"/>
      <c r="C1859" s="442"/>
      <c r="P1859" s="235"/>
      <c r="AI1859" s="38"/>
    </row>
    <row r="1860" ht="15.75" customHeight="1">
      <c r="A1860" s="35"/>
      <c r="C1860" s="442"/>
      <c r="P1860" s="235"/>
      <c r="AI1860" s="38"/>
    </row>
    <row r="1861" ht="15.75" customHeight="1">
      <c r="A1861" s="35"/>
      <c r="C1861" s="442"/>
      <c r="P1861" s="235"/>
      <c r="AI1861" s="38"/>
    </row>
    <row r="1862" ht="15.75" customHeight="1">
      <c r="A1862" s="35"/>
      <c r="C1862" s="442"/>
      <c r="P1862" s="235"/>
      <c r="AI1862" s="38"/>
    </row>
    <row r="1863" ht="15.75" customHeight="1">
      <c r="A1863" s="35"/>
      <c r="C1863" s="442"/>
      <c r="P1863" s="235"/>
      <c r="AI1863" s="38"/>
    </row>
    <row r="1864" ht="15.75" customHeight="1">
      <c r="A1864" s="35"/>
      <c r="C1864" s="442"/>
      <c r="P1864" s="235"/>
      <c r="AI1864" s="38"/>
    </row>
    <row r="1865" ht="15.75" customHeight="1">
      <c r="A1865" s="35"/>
      <c r="C1865" s="442"/>
      <c r="P1865" s="235"/>
      <c r="AI1865" s="38"/>
    </row>
    <row r="1866" ht="15.75" customHeight="1">
      <c r="A1866" s="35"/>
      <c r="C1866" s="442"/>
      <c r="P1866" s="235"/>
      <c r="AI1866" s="38"/>
    </row>
    <row r="1867" ht="15.75" customHeight="1">
      <c r="A1867" s="35"/>
      <c r="C1867" s="442"/>
      <c r="P1867" s="235"/>
      <c r="AI1867" s="38"/>
    </row>
    <row r="1868" ht="15.75" customHeight="1">
      <c r="A1868" s="35"/>
      <c r="C1868" s="442"/>
      <c r="P1868" s="235"/>
      <c r="AI1868" s="38"/>
    </row>
    <row r="1869" ht="15.75" customHeight="1">
      <c r="A1869" s="35"/>
      <c r="C1869" s="442"/>
      <c r="P1869" s="235"/>
      <c r="AI1869" s="38"/>
    </row>
    <row r="1870" ht="15.75" customHeight="1">
      <c r="A1870" s="35"/>
      <c r="C1870" s="442"/>
      <c r="P1870" s="235"/>
      <c r="AI1870" s="38"/>
    </row>
    <row r="1871" ht="15.75" customHeight="1">
      <c r="A1871" s="35"/>
      <c r="C1871" s="442"/>
      <c r="P1871" s="235"/>
      <c r="AI1871" s="38"/>
    </row>
    <row r="1872" ht="15.75" customHeight="1">
      <c r="A1872" s="35"/>
      <c r="C1872" s="442"/>
      <c r="P1872" s="235"/>
      <c r="AI1872" s="38"/>
    </row>
    <row r="1873" ht="15.75" customHeight="1">
      <c r="A1873" s="35"/>
      <c r="C1873" s="442"/>
      <c r="P1873" s="235"/>
      <c r="AI1873" s="38"/>
    </row>
    <row r="1874" ht="15.75" customHeight="1">
      <c r="A1874" s="35"/>
      <c r="C1874" s="442"/>
      <c r="P1874" s="235"/>
      <c r="AI1874" s="38"/>
    </row>
    <row r="1875" ht="15.75" customHeight="1">
      <c r="A1875" s="35"/>
      <c r="C1875" s="442"/>
      <c r="P1875" s="235"/>
      <c r="AI1875" s="38"/>
    </row>
    <row r="1876" ht="15.75" customHeight="1">
      <c r="A1876" s="35"/>
      <c r="C1876" s="442"/>
      <c r="P1876" s="235"/>
      <c r="AI1876" s="38"/>
    </row>
    <row r="1877" ht="15.75" customHeight="1">
      <c r="A1877" s="35"/>
      <c r="C1877" s="442"/>
      <c r="P1877" s="235"/>
      <c r="AI1877" s="38"/>
    </row>
    <row r="1878" ht="15.75" customHeight="1">
      <c r="A1878" s="35"/>
      <c r="C1878" s="442"/>
      <c r="P1878" s="235"/>
      <c r="AI1878" s="38"/>
    </row>
    <row r="1879" ht="15.75" customHeight="1">
      <c r="A1879" s="35"/>
      <c r="C1879" s="442"/>
      <c r="P1879" s="235"/>
      <c r="AI1879" s="38"/>
    </row>
    <row r="1880" ht="15.75" customHeight="1">
      <c r="A1880" s="35"/>
      <c r="C1880" s="442"/>
      <c r="P1880" s="235"/>
      <c r="AI1880" s="38"/>
    </row>
    <row r="1881" ht="15.75" customHeight="1">
      <c r="A1881" s="35"/>
      <c r="C1881" s="442"/>
      <c r="P1881" s="235"/>
      <c r="AI1881" s="38"/>
    </row>
    <row r="1882" ht="15.75" customHeight="1">
      <c r="A1882" s="35"/>
      <c r="C1882" s="442"/>
      <c r="P1882" s="235"/>
      <c r="AI1882" s="38"/>
    </row>
    <row r="1883" ht="15.75" customHeight="1">
      <c r="A1883" s="35"/>
      <c r="C1883" s="442"/>
      <c r="P1883" s="235"/>
      <c r="AI1883" s="38"/>
    </row>
    <row r="1884" ht="15.75" customHeight="1">
      <c r="A1884" s="35"/>
      <c r="C1884" s="442"/>
      <c r="P1884" s="235"/>
      <c r="AI1884" s="38"/>
    </row>
    <row r="1885" ht="15.75" customHeight="1">
      <c r="A1885" s="35"/>
      <c r="C1885" s="442"/>
      <c r="P1885" s="235"/>
      <c r="AI1885" s="38"/>
    </row>
    <row r="1886" ht="15.75" customHeight="1">
      <c r="A1886" s="35"/>
      <c r="C1886" s="442"/>
      <c r="P1886" s="235"/>
      <c r="AI1886" s="38"/>
    </row>
    <row r="1887" ht="15.75" customHeight="1">
      <c r="A1887" s="35"/>
      <c r="C1887" s="442"/>
      <c r="P1887" s="235"/>
      <c r="AI1887" s="38"/>
    </row>
    <row r="1888" ht="15.75" customHeight="1">
      <c r="A1888" s="35"/>
      <c r="C1888" s="442"/>
      <c r="P1888" s="235"/>
      <c r="AI1888" s="38"/>
    </row>
    <row r="1889" ht="15.75" customHeight="1">
      <c r="A1889" s="35"/>
      <c r="C1889" s="442"/>
      <c r="P1889" s="235"/>
      <c r="AI1889" s="38"/>
    </row>
    <row r="1890" ht="15.75" customHeight="1">
      <c r="A1890" s="35"/>
      <c r="C1890" s="442"/>
      <c r="P1890" s="235"/>
      <c r="AI1890" s="38"/>
    </row>
    <row r="1891" ht="15.75" customHeight="1">
      <c r="A1891" s="35"/>
      <c r="C1891" s="442"/>
      <c r="P1891" s="235"/>
      <c r="AI1891" s="38"/>
    </row>
    <row r="1892" ht="15.75" customHeight="1">
      <c r="A1892" s="35"/>
      <c r="C1892" s="442"/>
      <c r="P1892" s="235"/>
      <c r="AI1892" s="38"/>
    </row>
    <row r="1893" ht="15.75" customHeight="1">
      <c r="A1893" s="35"/>
      <c r="C1893" s="442"/>
      <c r="P1893" s="235"/>
      <c r="AI1893" s="38"/>
    </row>
    <row r="1894" ht="15.75" customHeight="1">
      <c r="A1894" s="35"/>
      <c r="C1894" s="442"/>
      <c r="P1894" s="235"/>
      <c r="AI1894" s="38"/>
    </row>
    <row r="1895" ht="15.75" customHeight="1">
      <c r="A1895" s="35"/>
      <c r="C1895" s="442"/>
      <c r="P1895" s="235"/>
      <c r="AI1895" s="38"/>
    </row>
    <row r="1896" ht="15.75" customHeight="1">
      <c r="A1896" s="35"/>
      <c r="C1896" s="442"/>
      <c r="P1896" s="235"/>
      <c r="AI1896" s="38"/>
    </row>
    <row r="1897" ht="15.75" customHeight="1">
      <c r="A1897" s="35"/>
      <c r="C1897" s="442"/>
      <c r="P1897" s="235"/>
      <c r="AI1897" s="38"/>
    </row>
    <row r="1898" ht="15.75" customHeight="1">
      <c r="A1898" s="35"/>
      <c r="C1898" s="442"/>
      <c r="P1898" s="235"/>
      <c r="AI1898" s="38"/>
    </row>
    <row r="1899" ht="15.75" customHeight="1">
      <c r="A1899" s="35"/>
      <c r="C1899" s="442"/>
      <c r="P1899" s="235"/>
      <c r="AI1899" s="38"/>
    </row>
    <row r="1900" ht="15.75" customHeight="1">
      <c r="A1900" s="35"/>
      <c r="C1900" s="442"/>
      <c r="P1900" s="235"/>
      <c r="AI1900" s="38"/>
    </row>
    <row r="1901" ht="15.75" customHeight="1">
      <c r="A1901" s="35"/>
      <c r="C1901" s="442"/>
      <c r="P1901" s="235"/>
      <c r="AI1901" s="38"/>
    </row>
    <row r="1902" ht="15.75" customHeight="1">
      <c r="A1902" s="35"/>
      <c r="C1902" s="442"/>
      <c r="P1902" s="235"/>
      <c r="AI1902" s="38"/>
    </row>
    <row r="1903" ht="15.75" customHeight="1">
      <c r="A1903" s="35"/>
      <c r="C1903" s="442"/>
      <c r="P1903" s="235"/>
      <c r="AI1903" s="38"/>
    </row>
    <row r="1904" ht="15.75" customHeight="1">
      <c r="A1904" s="35"/>
      <c r="C1904" s="442"/>
      <c r="P1904" s="235"/>
      <c r="AI1904" s="38"/>
    </row>
    <row r="1905" ht="15.75" customHeight="1">
      <c r="A1905" s="35"/>
      <c r="C1905" s="442"/>
      <c r="P1905" s="235"/>
      <c r="AI1905" s="38"/>
    </row>
    <row r="1906" ht="15.75" customHeight="1">
      <c r="A1906" s="35"/>
      <c r="C1906" s="442"/>
      <c r="P1906" s="235"/>
      <c r="AI1906" s="38"/>
    </row>
    <row r="1907" ht="15.75" customHeight="1">
      <c r="A1907" s="35"/>
      <c r="C1907" s="442"/>
      <c r="P1907" s="235"/>
      <c r="AI1907" s="38"/>
    </row>
    <row r="1908" ht="15.75" customHeight="1">
      <c r="A1908" s="35"/>
      <c r="C1908" s="442"/>
      <c r="P1908" s="235"/>
      <c r="AI1908" s="38"/>
    </row>
    <row r="1909" ht="15.75" customHeight="1">
      <c r="A1909" s="35"/>
      <c r="C1909" s="442"/>
      <c r="P1909" s="235"/>
      <c r="AI1909" s="38"/>
    </row>
    <row r="1910" ht="15.75" customHeight="1">
      <c r="A1910" s="35"/>
      <c r="C1910" s="442"/>
      <c r="P1910" s="235"/>
      <c r="AI1910" s="38"/>
    </row>
    <row r="1911" ht="15.75" customHeight="1">
      <c r="A1911" s="35"/>
      <c r="C1911" s="442"/>
      <c r="P1911" s="235"/>
      <c r="AI1911" s="38"/>
    </row>
    <row r="1912" ht="15.75" customHeight="1">
      <c r="A1912" s="35"/>
      <c r="C1912" s="442"/>
      <c r="P1912" s="235"/>
      <c r="AI1912" s="38"/>
    </row>
    <row r="1913" ht="15.75" customHeight="1">
      <c r="A1913" s="35"/>
      <c r="C1913" s="442"/>
      <c r="P1913" s="235"/>
      <c r="AI1913" s="38"/>
    </row>
    <row r="1914" ht="15.75" customHeight="1">
      <c r="A1914" s="35"/>
      <c r="C1914" s="442"/>
      <c r="P1914" s="235"/>
      <c r="AI1914" s="38"/>
    </row>
    <row r="1915" ht="15.75" customHeight="1">
      <c r="A1915" s="35"/>
      <c r="C1915" s="442"/>
      <c r="P1915" s="235"/>
      <c r="AI1915" s="38"/>
    </row>
    <row r="1916" ht="15.75" customHeight="1">
      <c r="A1916" s="35"/>
      <c r="C1916" s="442"/>
      <c r="P1916" s="235"/>
      <c r="AI1916" s="38"/>
    </row>
    <row r="1917" ht="15.75" customHeight="1">
      <c r="A1917" s="35"/>
      <c r="C1917" s="442"/>
      <c r="P1917" s="235"/>
      <c r="AI1917" s="38"/>
    </row>
    <row r="1918" ht="15.75" customHeight="1">
      <c r="A1918" s="35"/>
      <c r="C1918" s="442"/>
      <c r="P1918" s="235"/>
      <c r="AI1918" s="38"/>
    </row>
    <row r="1919" ht="15.75" customHeight="1">
      <c r="A1919" s="35"/>
      <c r="C1919" s="442"/>
      <c r="P1919" s="235"/>
      <c r="AI1919" s="38"/>
    </row>
    <row r="1920" ht="15.75" customHeight="1">
      <c r="A1920" s="35"/>
      <c r="C1920" s="442"/>
      <c r="P1920" s="235"/>
      <c r="AI1920" s="38"/>
    </row>
    <row r="1921" ht="15.75" customHeight="1">
      <c r="A1921" s="35"/>
      <c r="C1921" s="442"/>
      <c r="P1921" s="235"/>
      <c r="AI1921" s="38"/>
    </row>
    <row r="1922" ht="15.75" customHeight="1">
      <c r="A1922" s="35"/>
      <c r="C1922" s="442"/>
      <c r="P1922" s="235"/>
      <c r="AI1922" s="38"/>
    </row>
    <row r="1923" ht="15.75" customHeight="1">
      <c r="A1923" s="35"/>
      <c r="C1923" s="442"/>
      <c r="P1923" s="235"/>
      <c r="AI1923" s="38"/>
    </row>
    <row r="1924" ht="15.75" customHeight="1">
      <c r="A1924" s="35"/>
      <c r="C1924" s="442"/>
      <c r="P1924" s="235"/>
      <c r="AI1924" s="38"/>
    </row>
    <row r="1925" ht="15.75" customHeight="1">
      <c r="A1925" s="35"/>
      <c r="C1925" s="442"/>
      <c r="P1925" s="235"/>
      <c r="AI1925" s="38"/>
    </row>
    <row r="1926" ht="15.75" customHeight="1">
      <c r="A1926" s="35"/>
      <c r="C1926" s="442"/>
      <c r="P1926" s="235"/>
      <c r="AI1926" s="38"/>
    </row>
    <row r="1927" ht="15.75" customHeight="1">
      <c r="A1927" s="35"/>
      <c r="C1927" s="442"/>
      <c r="P1927" s="235"/>
      <c r="AI1927" s="38"/>
    </row>
    <row r="1928" ht="15.75" customHeight="1">
      <c r="A1928" s="35"/>
      <c r="C1928" s="442"/>
      <c r="P1928" s="235"/>
      <c r="AI1928" s="38"/>
    </row>
    <row r="1929" ht="15.75" customHeight="1">
      <c r="A1929" s="35"/>
      <c r="C1929" s="442"/>
      <c r="P1929" s="235"/>
      <c r="AI1929" s="38"/>
    </row>
    <row r="1930" ht="15.75" customHeight="1">
      <c r="A1930" s="35"/>
      <c r="C1930" s="442"/>
      <c r="P1930" s="235"/>
      <c r="AI1930" s="38"/>
    </row>
    <row r="1931" ht="15.75" customHeight="1">
      <c r="A1931" s="35"/>
      <c r="C1931" s="442"/>
      <c r="P1931" s="235"/>
      <c r="AI1931" s="38"/>
    </row>
    <row r="1932" ht="15.75" customHeight="1">
      <c r="A1932" s="35"/>
      <c r="C1932" s="442"/>
      <c r="P1932" s="235"/>
      <c r="AI1932" s="38"/>
    </row>
    <row r="1933" ht="15.75" customHeight="1">
      <c r="A1933" s="35"/>
      <c r="C1933" s="442"/>
      <c r="P1933" s="235"/>
      <c r="AI1933" s="38"/>
    </row>
    <row r="1934" ht="15.75" customHeight="1">
      <c r="A1934" s="35"/>
      <c r="C1934" s="442"/>
      <c r="P1934" s="235"/>
      <c r="AI1934" s="38"/>
    </row>
    <row r="1935" ht="15.75" customHeight="1">
      <c r="A1935" s="35"/>
      <c r="C1935" s="442"/>
      <c r="P1935" s="235"/>
      <c r="AI1935" s="38"/>
    </row>
    <row r="1936" ht="15.75" customHeight="1">
      <c r="A1936" s="35"/>
      <c r="C1936" s="442"/>
      <c r="P1936" s="235"/>
      <c r="AI1936" s="38"/>
    </row>
    <row r="1937" ht="15.75" customHeight="1">
      <c r="A1937" s="35"/>
      <c r="C1937" s="442"/>
      <c r="P1937" s="235"/>
      <c r="AI1937" s="38"/>
    </row>
    <row r="1938" ht="15.75" customHeight="1">
      <c r="A1938" s="35"/>
      <c r="C1938" s="442"/>
      <c r="P1938" s="235"/>
      <c r="AI1938" s="38"/>
    </row>
    <row r="1939" ht="15.75" customHeight="1">
      <c r="A1939" s="35"/>
      <c r="C1939" s="442"/>
      <c r="P1939" s="235"/>
      <c r="AI1939" s="38"/>
    </row>
    <row r="1940" ht="15.75" customHeight="1">
      <c r="A1940" s="35"/>
      <c r="C1940" s="442"/>
      <c r="P1940" s="235"/>
      <c r="AI1940" s="38"/>
    </row>
    <row r="1941" ht="15.75" customHeight="1">
      <c r="A1941" s="35"/>
      <c r="C1941" s="442"/>
      <c r="P1941" s="235"/>
      <c r="AI1941" s="38"/>
    </row>
    <row r="1942" ht="15.75" customHeight="1">
      <c r="A1942" s="35"/>
      <c r="C1942" s="442"/>
      <c r="P1942" s="235"/>
      <c r="AI1942" s="38"/>
    </row>
    <row r="1943" ht="15.75" customHeight="1">
      <c r="A1943" s="35"/>
      <c r="C1943" s="442"/>
      <c r="P1943" s="235"/>
      <c r="AI1943" s="38"/>
    </row>
    <row r="1944" ht="15.75" customHeight="1">
      <c r="A1944" s="35"/>
      <c r="C1944" s="442"/>
      <c r="P1944" s="235"/>
      <c r="AI1944" s="38"/>
    </row>
    <row r="1945" ht="15.75" customHeight="1">
      <c r="A1945" s="35"/>
      <c r="C1945" s="442"/>
      <c r="P1945" s="235"/>
      <c r="AI1945" s="38"/>
    </row>
    <row r="1946" ht="15.75" customHeight="1">
      <c r="A1946" s="35"/>
      <c r="C1946" s="442"/>
      <c r="P1946" s="235"/>
      <c r="AI1946" s="38"/>
    </row>
    <row r="1947" ht="15.75" customHeight="1">
      <c r="A1947" s="35"/>
      <c r="C1947" s="442"/>
      <c r="P1947" s="235"/>
      <c r="AI1947" s="38"/>
    </row>
    <row r="1948" ht="15.75" customHeight="1">
      <c r="A1948" s="35"/>
      <c r="C1948" s="442"/>
      <c r="P1948" s="235"/>
      <c r="AI1948" s="38"/>
    </row>
    <row r="1949" ht="15.75" customHeight="1">
      <c r="A1949" s="35"/>
      <c r="C1949" s="442"/>
      <c r="P1949" s="235"/>
      <c r="AI1949" s="38"/>
    </row>
    <row r="1950" ht="15.75" customHeight="1">
      <c r="A1950" s="35"/>
      <c r="C1950" s="442"/>
      <c r="P1950" s="235"/>
      <c r="AI1950" s="38"/>
    </row>
    <row r="1951" ht="15.75" customHeight="1">
      <c r="A1951" s="35"/>
      <c r="C1951" s="442"/>
      <c r="P1951" s="235"/>
      <c r="AI1951" s="38"/>
    </row>
    <row r="1952" ht="15.75" customHeight="1">
      <c r="A1952" s="35"/>
      <c r="C1952" s="442"/>
      <c r="P1952" s="235"/>
      <c r="AI1952" s="38"/>
    </row>
    <row r="1953" ht="15.75" customHeight="1">
      <c r="A1953" s="35"/>
      <c r="C1953" s="442"/>
      <c r="P1953" s="235"/>
      <c r="AI1953" s="38"/>
    </row>
    <row r="1954" ht="15.75" customHeight="1">
      <c r="A1954" s="35"/>
      <c r="C1954" s="442"/>
      <c r="P1954" s="235"/>
      <c r="AI1954" s="38"/>
    </row>
    <row r="1955" ht="15.75" customHeight="1">
      <c r="A1955" s="35"/>
      <c r="C1955" s="442"/>
      <c r="P1955" s="235"/>
      <c r="AI1955" s="38"/>
    </row>
    <row r="1956" ht="15.75" customHeight="1">
      <c r="A1956" s="35"/>
      <c r="C1956" s="442"/>
      <c r="P1956" s="235"/>
      <c r="AI1956" s="38"/>
    </row>
    <row r="1957" ht="15.75" customHeight="1">
      <c r="A1957" s="35"/>
      <c r="C1957" s="442"/>
      <c r="P1957" s="235"/>
      <c r="AI1957" s="38"/>
    </row>
    <row r="1958" ht="15.75" customHeight="1">
      <c r="A1958" s="35"/>
      <c r="C1958" s="442"/>
      <c r="P1958" s="235"/>
      <c r="AI1958" s="38"/>
    </row>
    <row r="1959" ht="15.75" customHeight="1">
      <c r="A1959" s="35"/>
      <c r="C1959" s="442"/>
      <c r="P1959" s="235"/>
      <c r="AI1959" s="38"/>
    </row>
    <row r="1960" ht="15.75" customHeight="1">
      <c r="A1960" s="35"/>
      <c r="C1960" s="442"/>
      <c r="P1960" s="235"/>
      <c r="AI1960" s="38"/>
    </row>
    <row r="1961" ht="15.75" customHeight="1">
      <c r="A1961" s="35"/>
      <c r="C1961" s="442"/>
      <c r="P1961" s="235"/>
      <c r="AI1961" s="38"/>
    </row>
    <row r="1962" ht="15.75" customHeight="1">
      <c r="A1962" s="35"/>
      <c r="C1962" s="442"/>
      <c r="P1962" s="235"/>
      <c r="AI1962" s="38"/>
    </row>
    <row r="1963" ht="15.75" customHeight="1">
      <c r="A1963" s="35"/>
      <c r="C1963" s="442"/>
      <c r="P1963" s="235"/>
      <c r="AI1963" s="38"/>
    </row>
    <row r="1964" ht="15.75" customHeight="1">
      <c r="A1964" s="35"/>
      <c r="C1964" s="442"/>
      <c r="P1964" s="235"/>
      <c r="AI1964" s="38"/>
    </row>
    <row r="1965" ht="15.75" customHeight="1">
      <c r="A1965" s="35"/>
      <c r="C1965" s="442"/>
      <c r="P1965" s="235"/>
      <c r="AI1965" s="38"/>
    </row>
    <row r="1966" ht="15.75" customHeight="1">
      <c r="A1966" s="35"/>
      <c r="C1966" s="442"/>
      <c r="P1966" s="235"/>
      <c r="AI1966" s="38"/>
    </row>
    <row r="1967" ht="15.75" customHeight="1">
      <c r="A1967" s="35"/>
      <c r="C1967" s="442"/>
      <c r="P1967" s="235"/>
      <c r="AI1967" s="38"/>
    </row>
    <row r="1968" ht="15.75" customHeight="1">
      <c r="A1968" s="35"/>
      <c r="C1968" s="442"/>
      <c r="P1968" s="235"/>
      <c r="AI1968" s="38"/>
    </row>
    <row r="1969" ht="15.75" customHeight="1">
      <c r="A1969" s="35"/>
      <c r="C1969" s="442"/>
      <c r="P1969" s="235"/>
      <c r="AI1969" s="38"/>
    </row>
    <row r="1970" ht="15.75" customHeight="1">
      <c r="A1970" s="35"/>
      <c r="C1970" s="442"/>
      <c r="P1970" s="235"/>
      <c r="AI1970" s="38"/>
    </row>
    <row r="1971" ht="15.75" customHeight="1">
      <c r="A1971" s="35"/>
      <c r="C1971" s="442"/>
      <c r="P1971" s="235"/>
      <c r="AI1971" s="38"/>
    </row>
    <row r="1972" ht="15.75" customHeight="1">
      <c r="A1972" s="35"/>
      <c r="C1972" s="442"/>
      <c r="P1972" s="235"/>
      <c r="AI1972" s="38"/>
    </row>
    <row r="1973" ht="15.75" customHeight="1">
      <c r="A1973" s="35"/>
      <c r="C1973" s="442"/>
      <c r="P1973" s="235"/>
      <c r="AI1973" s="38"/>
    </row>
    <row r="1974" ht="15.75" customHeight="1">
      <c r="A1974" s="35"/>
      <c r="C1974" s="442"/>
      <c r="P1974" s="235"/>
      <c r="AI1974" s="38"/>
    </row>
    <row r="1975" ht="15.75" customHeight="1">
      <c r="A1975" s="35"/>
      <c r="C1975" s="442"/>
      <c r="P1975" s="235"/>
      <c r="AI1975" s="38"/>
    </row>
    <row r="1976" ht="15.75" customHeight="1">
      <c r="A1976" s="35"/>
      <c r="C1976" s="442"/>
      <c r="P1976" s="235"/>
      <c r="AI1976" s="38"/>
    </row>
    <row r="1977" ht="15.75" customHeight="1">
      <c r="A1977" s="35"/>
      <c r="C1977" s="442"/>
      <c r="P1977" s="235"/>
      <c r="AI1977" s="38"/>
    </row>
    <row r="1978" ht="15.75" customHeight="1">
      <c r="A1978" s="35"/>
      <c r="C1978" s="442"/>
      <c r="P1978" s="235"/>
      <c r="AI1978" s="38"/>
    </row>
    <row r="1979" ht="15.75" customHeight="1">
      <c r="A1979" s="35"/>
      <c r="C1979" s="442"/>
      <c r="P1979" s="235"/>
      <c r="AI1979" s="38"/>
    </row>
    <row r="1980" ht="15.75" customHeight="1">
      <c r="A1980" s="35"/>
      <c r="C1980" s="442"/>
      <c r="P1980" s="235"/>
      <c r="AI1980" s="38"/>
    </row>
    <row r="1981" ht="15.75" customHeight="1">
      <c r="A1981" s="35"/>
      <c r="C1981" s="442"/>
      <c r="P1981" s="235"/>
      <c r="AI1981" s="38"/>
    </row>
    <row r="1982" ht="15.75" customHeight="1">
      <c r="A1982" s="35"/>
      <c r="C1982" s="442"/>
      <c r="P1982" s="235"/>
      <c r="AI1982" s="38"/>
    </row>
    <row r="1983" ht="15.75" customHeight="1">
      <c r="A1983" s="35"/>
      <c r="C1983" s="442"/>
      <c r="P1983" s="235"/>
      <c r="AI1983" s="38"/>
    </row>
    <row r="1984" ht="15.75" customHeight="1">
      <c r="A1984" s="35"/>
      <c r="C1984" s="442"/>
      <c r="P1984" s="235"/>
      <c r="AI1984" s="38"/>
    </row>
    <row r="1985" ht="15.75" customHeight="1">
      <c r="A1985" s="35"/>
      <c r="C1985" s="442"/>
      <c r="P1985" s="235"/>
      <c r="AI1985" s="38"/>
    </row>
    <row r="1986" ht="15.75" customHeight="1">
      <c r="A1986" s="35"/>
      <c r="C1986" s="442"/>
      <c r="P1986" s="235"/>
      <c r="AI1986" s="38"/>
    </row>
    <row r="1987" ht="15.75" customHeight="1">
      <c r="A1987" s="35"/>
      <c r="C1987" s="442"/>
      <c r="P1987" s="235"/>
      <c r="AI1987" s="38"/>
    </row>
    <row r="1988" ht="15.75" customHeight="1">
      <c r="A1988" s="35"/>
      <c r="C1988" s="442"/>
      <c r="P1988" s="235"/>
      <c r="AI1988" s="38"/>
    </row>
    <row r="1989" ht="15.75" customHeight="1">
      <c r="A1989" s="35"/>
      <c r="C1989" s="442"/>
      <c r="P1989" s="235"/>
      <c r="AI1989" s="38"/>
    </row>
    <row r="1990" ht="15.75" customHeight="1">
      <c r="A1990" s="35"/>
      <c r="C1990" s="442"/>
      <c r="P1990" s="235"/>
      <c r="AI1990" s="38"/>
    </row>
    <row r="1991" ht="15.75" customHeight="1">
      <c r="A1991" s="35"/>
      <c r="C1991" s="442"/>
      <c r="P1991" s="235"/>
      <c r="AI1991" s="38"/>
    </row>
    <row r="1992" ht="15.75" customHeight="1">
      <c r="A1992" s="35"/>
      <c r="C1992" s="442"/>
      <c r="P1992" s="235"/>
      <c r="AI1992" s="38"/>
    </row>
    <row r="1993" ht="15.75" customHeight="1">
      <c r="A1993" s="35"/>
      <c r="C1993" s="442"/>
      <c r="P1993" s="235"/>
      <c r="AI1993" s="38"/>
    </row>
    <row r="1994" ht="15.75" customHeight="1">
      <c r="A1994" s="35"/>
      <c r="C1994" s="442"/>
      <c r="P1994" s="235"/>
      <c r="AI1994" s="38"/>
    </row>
    <row r="1995" ht="15.75" customHeight="1">
      <c r="A1995" s="35"/>
      <c r="C1995" s="442"/>
      <c r="P1995" s="235"/>
      <c r="AI1995" s="38"/>
    </row>
    <row r="1996" ht="15.75" customHeight="1">
      <c r="A1996" s="35"/>
      <c r="C1996" s="442"/>
      <c r="P1996" s="235"/>
      <c r="AI1996" s="38"/>
    </row>
    <row r="1997" ht="15.75" customHeight="1">
      <c r="A1997" s="35"/>
      <c r="C1997" s="442"/>
      <c r="P1997" s="235"/>
      <c r="AI1997" s="38"/>
    </row>
    <row r="1998" ht="15.75" customHeight="1">
      <c r="A1998" s="35"/>
      <c r="C1998" s="442"/>
      <c r="P1998" s="235"/>
      <c r="AI1998" s="38"/>
    </row>
    <row r="1999" ht="15.75" customHeight="1">
      <c r="A1999" s="35"/>
      <c r="C1999" s="442"/>
      <c r="P1999" s="235"/>
      <c r="AI1999" s="38"/>
    </row>
    <row r="2000" ht="15.75" customHeight="1">
      <c r="A2000" s="35"/>
      <c r="C2000" s="442"/>
      <c r="P2000" s="235"/>
      <c r="AI2000" s="38"/>
    </row>
    <row r="2001" ht="15.75" customHeight="1">
      <c r="A2001" s="35"/>
      <c r="C2001" s="442"/>
      <c r="P2001" s="235"/>
      <c r="AI2001" s="38"/>
    </row>
    <row r="2002" ht="15.75" customHeight="1">
      <c r="A2002" s="35"/>
      <c r="C2002" s="442"/>
      <c r="P2002" s="235"/>
      <c r="AI2002" s="38"/>
    </row>
    <row r="2003" ht="15.75" customHeight="1">
      <c r="A2003" s="35"/>
      <c r="C2003" s="442"/>
      <c r="P2003" s="235"/>
      <c r="AI2003" s="38"/>
    </row>
    <row r="2004" ht="15.75" customHeight="1">
      <c r="A2004" s="35"/>
      <c r="C2004" s="442"/>
      <c r="P2004" s="235"/>
      <c r="AI2004" s="38"/>
    </row>
    <row r="2005" ht="15.75" customHeight="1">
      <c r="A2005" s="35"/>
      <c r="C2005" s="442"/>
      <c r="P2005" s="235"/>
      <c r="AI2005" s="38"/>
    </row>
    <row r="2006" ht="15.75" customHeight="1">
      <c r="A2006" s="35"/>
      <c r="C2006" s="442"/>
      <c r="P2006" s="235"/>
      <c r="AI2006" s="38"/>
    </row>
    <row r="2007" ht="15.75" customHeight="1">
      <c r="A2007" s="35"/>
      <c r="C2007" s="442"/>
      <c r="P2007" s="235"/>
      <c r="AI2007" s="38"/>
    </row>
    <row r="2008" ht="15.75" customHeight="1">
      <c r="A2008" s="35"/>
      <c r="C2008" s="442"/>
      <c r="P2008" s="235"/>
      <c r="AI2008" s="38"/>
    </row>
    <row r="2009" ht="15.75" customHeight="1">
      <c r="A2009" s="35"/>
      <c r="C2009" s="442"/>
      <c r="P2009" s="235"/>
      <c r="AI2009" s="38"/>
    </row>
    <row r="2010" ht="15.75" customHeight="1">
      <c r="A2010" s="35"/>
      <c r="C2010" s="442"/>
      <c r="P2010" s="235"/>
      <c r="AI2010" s="38"/>
    </row>
    <row r="2011" ht="15.75" customHeight="1">
      <c r="A2011" s="35"/>
      <c r="C2011" s="442"/>
      <c r="P2011" s="235"/>
      <c r="AI2011" s="38"/>
    </row>
    <row r="2012" ht="15.75" customHeight="1">
      <c r="A2012" s="35"/>
      <c r="C2012" s="442"/>
      <c r="P2012" s="235"/>
      <c r="AI2012" s="38"/>
    </row>
    <row r="2013" ht="15.75" customHeight="1">
      <c r="A2013" s="35"/>
      <c r="C2013" s="442"/>
      <c r="P2013" s="235"/>
      <c r="AI2013" s="38"/>
    </row>
    <row r="2014" ht="15.75" customHeight="1">
      <c r="A2014" s="35"/>
      <c r="C2014" s="442"/>
      <c r="P2014" s="235"/>
      <c r="AI2014" s="38"/>
    </row>
    <row r="2015" ht="15.75" customHeight="1">
      <c r="A2015" s="35"/>
      <c r="C2015" s="442"/>
      <c r="P2015" s="235"/>
      <c r="AI2015" s="38"/>
    </row>
    <row r="2016" ht="15.75" customHeight="1">
      <c r="A2016" s="35"/>
      <c r="C2016" s="442"/>
      <c r="P2016" s="235"/>
      <c r="AI2016" s="38"/>
    </row>
    <row r="2017" ht="15.75" customHeight="1">
      <c r="A2017" s="35"/>
      <c r="C2017" s="442"/>
      <c r="P2017" s="235"/>
      <c r="AI2017" s="38"/>
    </row>
    <row r="2018" ht="15.75" customHeight="1">
      <c r="A2018" s="35"/>
      <c r="C2018" s="442"/>
      <c r="P2018" s="235"/>
      <c r="AI2018" s="38"/>
    </row>
    <row r="2019" ht="15.75" customHeight="1">
      <c r="A2019" s="35"/>
      <c r="C2019" s="442"/>
      <c r="P2019" s="235"/>
      <c r="AI2019" s="38"/>
    </row>
    <row r="2020" ht="15.75" customHeight="1">
      <c r="A2020" s="35"/>
      <c r="C2020" s="442"/>
      <c r="P2020" s="235"/>
      <c r="AI2020" s="38"/>
    </row>
    <row r="2021" ht="15.75" customHeight="1">
      <c r="A2021" s="35"/>
      <c r="C2021" s="442"/>
      <c r="P2021" s="235"/>
      <c r="AI2021" s="38"/>
    </row>
    <row r="2022" ht="15.75" customHeight="1">
      <c r="A2022" s="35"/>
      <c r="C2022" s="442"/>
      <c r="P2022" s="235"/>
      <c r="AI2022" s="38"/>
    </row>
    <row r="2023" ht="15.75" customHeight="1">
      <c r="A2023" s="35"/>
      <c r="C2023" s="442"/>
      <c r="P2023" s="235"/>
      <c r="AI2023" s="38"/>
    </row>
    <row r="2024" ht="15.75" customHeight="1">
      <c r="A2024" s="35"/>
      <c r="C2024" s="442"/>
      <c r="P2024" s="235"/>
      <c r="AI2024" s="38"/>
    </row>
    <row r="2025" ht="15.75" customHeight="1">
      <c r="A2025" s="35"/>
      <c r="C2025" s="442"/>
      <c r="P2025" s="235"/>
      <c r="AI2025" s="38"/>
    </row>
    <row r="2026" ht="15.75" customHeight="1">
      <c r="A2026" s="35"/>
      <c r="C2026" s="442"/>
      <c r="P2026" s="235"/>
      <c r="AI2026" s="38"/>
    </row>
    <row r="2027" ht="15.75" customHeight="1">
      <c r="A2027" s="35"/>
      <c r="C2027" s="442"/>
      <c r="P2027" s="235"/>
      <c r="AI2027" s="38"/>
    </row>
    <row r="2028" ht="15.75" customHeight="1">
      <c r="A2028" s="35"/>
      <c r="C2028" s="442"/>
      <c r="P2028" s="235"/>
      <c r="AI2028" s="38"/>
    </row>
    <row r="2029" ht="15.75" customHeight="1">
      <c r="A2029" s="35"/>
      <c r="C2029" s="442"/>
      <c r="P2029" s="235"/>
      <c r="AI2029" s="38"/>
    </row>
    <row r="2030" ht="15.75" customHeight="1">
      <c r="A2030" s="35"/>
      <c r="C2030" s="442"/>
      <c r="P2030" s="235"/>
      <c r="AI2030" s="38"/>
    </row>
    <row r="2031" ht="15.75" customHeight="1">
      <c r="A2031" s="35"/>
      <c r="C2031" s="442"/>
      <c r="P2031" s="235"/>
      <c r="AI2031" s="38"/>
    </row>
    <row r="2032" ht="15.75" customHeight="1">
      <c r="A2032" s="35"/>
      <c r="C2032" s="442"/>
      <c r="P2032" s="235"/>
      <c r="AI2032" s="38"/>
    </row>
    <row r="2033" ht="15.75" customHeight="1">
      <c r="A2033" s="35"/>
      <c r="C2033" s="442"/>
      <c r="P2033" s="235"/>
      <c r="AI2033" s="38"/>
    </row>
    <row r="2034" ht="15.75" customHeight="1">
      <c r="A2034" s="35"/>
      <c r="C2034" s="442"/>
      <c r="P2034" s="235"/>
      <c r="AI2034" s="38"/>
    </row>
    <row r="2035" ht="15.75" customHeight="1">
      <c r="A2035" s="35"/>
      <c r="C2035" s="442"/>
      <c r="P2035" s="235"/>
      <c r="AI2035" s="38"/>
    </row>
    <row r="2036" ht="15.75" customHeight="1">
      <c r="A2036" s="35"/>
      <c r="C2036" s="442"/>
      <c r="P2036" s="235"/>
      <c r="AI2036" s="38"/>
    </row>
    <row r="2037" ht="15.75" customHeight="1">
      <c r="A2037" s="35"/>
      <c r="C2037" s="442"/>
      <c r="P2037" s="235"/>
      <c r="AI2037" s="38"/>
    </row>
    <row r="2038" ht="15.75" customHeight="1">
      <c r="A2038" s="35"/>
      <c r="C2038" s="442"/>
      <c r="P2038" s="235"/>
      <c r="AI2038" s="38"/>
    </row>
    <row r="2039" ht="15.75" customHeight="1">
      <c r="A2039" s="35"/>
      <c r="C2039" s="442"/>
      <c r="P2039" s="235"/>
      <c r="AI2039" s="38"/>
    </row>
    <row r="2040" ht="15.75" customHeight="1">
      <c r="A2040" s="35"/>
      <c r="C2040" s="442"/>
      <c r="P2040" s="235"/>
      <c r="AI2040" s="38"/>
    </row>
    <row r="2041" ht="15.75" customHeight="1">
      <c r="A2041" s="35"/>
      <c r="C2041" s="442"/>
      <c r="P2041" s="235"/>
      <c r="AI2041" s="38"/>
    </row>
    <row r="2042" ht="15.75" customHeight="1">
      <c r="A2042" s="35"/>
      <c r="C2042" s="442"/>
      <c r="P2042" s="235"/>
      <c r="AI2042" s="38"/>
    </row>
    <row r="2043" ht="15.75" customHeight="1">
      <c r="A2043" s="35"/>
      <c r="C2043" s="442"/>
      <c r="P2043" s="235"/>
      <c r="AI2043" s="38"/>
    </row>
    <row r="2044" ht="15.75" customHeight="1">
      <c r="A2044" s="35"/>
      <c r="C2044" s="442"/>
      <c r="P2044" s="235"/>
      <c r="AI2044" s="38"/>
    </row>
    <row r="2045" ht="15.75" customHeight="1">
      <c r="A2045" s="35"/>
      <c r="C2045" s="442"/>
      <c r="P2045" s="235"/>
      <c r="AI2045" s="38"/>
    </row>
    <row r="2046" ht="15.75" customHeight="1">
      <c r="A2046" s="35"/>
      <c r="C2046" s="442"/>
      <c r="P2046" s="235"/>
      <c r="AI2046" s="38"/>
    </row>
    <row r="2047" ht="15.75" customHeight="1">
      <c r="A2047" s="35"/>
      <c r="C2047" s="442"/>
      <c r="P2047" s="235"/>
      <c r="AI2047" s="38"/>
    </row>
    <row r="2048" ht="15.75" customHeight="1">
      <c r="A2048" s="35"/>
      <c r="C2048" s="442"/>
      <c r="P2048" s="235"/>
      <c r="AI2048" s="38"/>
    </row>
    <row r="2049" ht="15.75" customHeight="1">
      <c r="A2049" s="35"/>
      <c r="C2049" s="442"/>
      <c r="P2049" s="235"/>
      <c r="AI2049" s="38"/>
    </row>
    <row r="2050" ht="15.75" customHeight="1">
      <c r="A2050" s="35"/>
      <c r="C2050" s="442"/>
      <c r="P2050" s="235"/>
      <c r="AI2050" s="38"/>
    </row>
    <row r="2051" ht="15.75" customHeight="1">
      <c r="A2051" s="35"/>
      <c r="C2051" s="442"/>
      <c r="P2051" s="235"/>
      <c r="AI2051" s="38"/>
    </row>
    <row r="2052" ht="15.75" customHeight="1">
      <c r="A2052" s="35"/>
      <c r="C2052" s="442"/>
      <c r="P2052" s="235"/>
      <c r="AI2052" s="38"/>
    </row>
    <row r="2053" ht="15.75" customHeight="1">
      <c r="A2053" s="35"/>
      <c r="C2053" s="442"/>
      <c r="P2053" s="235"/>
      <c r="AI2053" s="38"/>
    </row>
    <row r="2054" ht="15.75" customHeight="1">
      <c r="A2054" s="35"/>
      <c r="C2054" s="442"/>
      <c r="P2054" s="235"/>
      <c r="AI2054" s="38"/>
    </row>
    <row r="2055" ht="15.75" customHeight="1">
      <c r="A2055" s="35"/>
      <c r="C2055" s="442"/>
      <c r="P2055" s="235"/>
      <c r="AI2055" s="38"/>
    </row>
    <row r="2056" ht="15.75" customHeight="1">
      <c r="A2056" s="35"/>
      <c r="C2056" s="442"/>
      <c r="P2056" s="235"/>
      <c r="AI2056" s="38"/>
    </row>
    <row r="2057" ht="15.75" customHeight="1">
      <c r="A2057" s="35"/>
      <c r="C2057" s="442"/>
      <c r="P2057" s="235"/>
      <c r="AI2057" s="38"/>
    </row>
    <row r="2058" ht="15.75" customHeight="1">
      <c r="A2058" s="35"/>
      <c r="C2058" s="442"/>
      <c r="P2058" s="235"/>
      <c r="AI2058" s="38"/>
    </row>
    <row r="2059" ht="15.75" customHeight="1">
      <c r="A2059" s="35"/>
      <c r="C2059" s="442"/>
      <c r="P2059" s="235"/>
      <c r="AI2059" s="38"/>
    </row>
    <row r="2060" ht="15.75" customHeight="1">
      <c r="A2060" s="35"/>
      <c r="C2060" s="442"/>
      <c r="P2060" s="235"/>
      <c r="AI2060" s="38"/>
    </row>
    <row r="2061" ht="15.75" customHeight="1">
      <c r="A2061" s="35"/>
      <c r="C2061" s="442"/>
      <c r="P2061" s="235"/>
      <c r="AI2061" s="38"/>
    </row>
    <row r="2062" ht="15.75" customHeight="1">
      <c r="A2062" s="35"/>
      <c r="C2062" s="442"/>
      <c r="P2062" s="235"/>
      <c r="AI2062" s="38"/>
    </row>
    <row r="2063" ht="15.75" customHeight="1">
      <c r="A2063" s="35"/>
      <c r="C2063" s="442"/>
      <c r="P2063" s="235"/>
      <c r="AI2063" s="38"/>
    </row>
    <row r="2064" ht="15.75" customHeight="1">
      <c r="A2064" s="35"/>
      <c r="C2064" s="442"/>
      <c r="P2064" s="235"/>
      <c r="AI2064" s="38"/>
    </row>
    <row r="2065" ht="15.75" customHeight="1">
      <c r="A2065" s="35"/>
      <c r="C2065" s="442"/>
      <c r="P2065" s="235"/>
      <c r="AI2065" s="38"/>
    </row>
    <row r="2066" ht="15.75" customHeight="1">
      <c r="A2066" s="35"/>
      <c r="C2066" s="442"/>
      <c r="P2066" s="235"/>
      <c r="AI2066" s="38"/>
    </row>
    <row r="2067" ht="15.75" customHeight="1">
      <c r="A2067" s="35"/>
      <c r="C2067" s="442"/>
      <c r="P2067" s="235"/>
      <c r="AI2067" s="38"/>
    </row>
    <row r="2068" ht="15.75" customHeight="1">
      <c r="A2068" s="35"/>
      <c r="C2068" s="442"/>
      <c r="P2068" s="235"/>
      <c r="AI2068" s="38"/>
    </row>
    <row r="2069" ht="15.75" customHeight="1">
      <c r="A2069" s="35"/>
      <c r="C2069" s="442"/>
      <c r="P2069" s="235"/>
      <c r="AI2069" s="38"/>
    </row>
    <row r="2070" ht="15.75" customHeight="1">
      <c r="A2070" s="35"/>
      <c r="C2070" s="442"/>
      <c r="P2070" s="235"/>
      <c r="AI2070" s="38"/>
    </row>
    <row r="2071" ht="15.75" customHeight="1">
      <c r="A2071" s="35"/>
      <c r="C2071" s="442"/>
      <c r="P2071" s="235"/>
      <c r="AI2071" s="38"/>
    </row>
    <row r="2072" ht="15.75" customHeight="1">
      <c r="A2072" s="35"/>
      <c r="C2072" s="442"/>
      <c r="P2072" s="235"/>
      <c r="AI2072" s="38"/>
    </row>
    <row r="2073" ht="15.75" customHeight="1">
      <c r="A2073" s="35"/>
      <c r="C2073" s="442"/>
      <c r="P2073" s="235"/>
      <c r="AI2073" s="38"/>
    </row>
    <row r="2074" ht="15.75" customHeight="1">
      <c r="A2074" s="35"/>
      <c r="C2074" s="442"/>
      <c r="P2074" s="235"/>
      <c r="AI2074" s="38"/>
    </row>
    <row r="2075" ht="15.75" customHeight="1">
      <c r="A2075" s="35"/>
      <c r="C2075" s="442"/>
      <c r="P2075" s="235"/>
      <c r="AI2075" s="38"/>
    </row>
    <row r="2076" ht="15.75" customHeight="1">
      <c r="A2076" s="35"/>
      <c r="C2076" s="442"/>
      <c r="P2076" s="235"/>
      <c r="AI2076" s="38"/>
    </row>
    <row r="2077" ht="15.75" customHeight="1">
      <c r="A2077" s="35"/>
      <c r="C2077" s="442"/>
      <c r="P2077" s="235"/>
      <c r="AI2077" s="38"/>
    </row>
    <row r="2078" ht="15.75" customHeight="1">
      <c r="A2078" s="35"/>
      <c r="C2078" s="442"/>
      <c r="P2078" s="235"/>
      <c r="AI2078" s="38"/>
    </row>
    <row r="2079" ht="15.75" customHeight="1">
      <c r="A2079" s="35"/>
      <c r="C2079" s="442"/>
      <c r="P2079" s="235"/>
      <c r="AI2079" s="38"/>
    </row>
    <row r="2080" ht="15.75" customHeight="1">
      <c r="A2080" s="35"/>
      <c r="C2080" s="442"/>
      <c r="P2080" s="235"/>
      <c r="AI2080" s="38"/>
    </row>
    <row r="2081" ht="15.75" customHeight="1">
      <c r="A2081" s="35"/>
      <c r="C2081" s="442"/>
      <c r="P2081" s="235"/>
      <c r="AI2081" s="38"/>
    </row>
    <row r="2082" ht="15.75" customHeight="1">
      <c r="A2082" s="35"/>
      <c r="C2082" s="442"/>
      <c r="P2082" s="235"/>
      <c r="AI2082" s="38"/>
    </row>
    <row r="2083" ht="15.75" customHeight="1">
      <c r="A2083" s="35"/>
      <c r="C2083" s="442"/>
      <c r="P2083" s="235"/>
      <c r="AI2083" s="38"/>
    </row>
    <row r="2084" ht="15.75" customHeight="1">
      <c r="A2084" s="35"/>
      <c r="C2084" s="442"/>
      <c r="P2084" s="235"/>
      <c r="AI2084" s="38"/>
    </row>
    <row r="2085" ht="15.75" customHeight="1">
      <c r="A2085" s="35"/>
      <c r="C2085" s="442"/>
      <c r="P2085" s="235"/>
      <c r="AI2085" s="38"/>
    </row>
    <row r="2086" ht="15.75" customHeight="1">
      <c r="A2086" s="35"/>
      <c r="C2086" s="442"/>
      <c r="P2086" s="235"/>
      <c r="AI2086" s="38"/>
    </row>
    <row r="2087" ht="15.75" customHeight="1">
      <c r="A2087" s="35"/>
      <c r="C2087" s="442"/>
      <c r="P2087" s="235"/>
      <c r="AI2087" s="38"/>
    </row>
    <row r="2088" ht="15.75" customHeight="1">
      <c r="A2088" s="35"/>
      <c r="C2088" s="442"/>
      <c r="P2088" s="235"/>
      <c r="AI2088" s="38"/>
    </row>
    <row r="2089" ht="15.75" customHeight="1">
      <c r="A2089" s="35"/>
      <c r="C2089" s="442"/>
      <c r="P2089" s="235"/>
      <c r="AI2089" s="38"/>
    </row>
    <row r="2090" ht="15.75" customHeight="1">
      <c r="A2090" s="35"/>
      <c r="C2090" s="442"/>
      <c r="P2090" s="235"/>
      <c r="AI2090" s="38"/>
    </row>
    <row r="2091" ht="15.75" customHeight="1">
      <c r="A2091" s="35"/>
      <c r="C2091" s="442"/>
      <c r="P2091" s="235"/>
      <c r="AI2091" s="38"/>
    </row>
    <row r="2092" ht="15.75" customHeight="1">
      <c r="A2092" s="35"/>
      <c r="C2092" s="442"/>
      <c r="P2092" s="235"/>
      <c r="AI2092" s="38"/>
    </row>
    <row r="2093" ht="15.75" customHeight="1">
      <c r="A2093" s="35"/>
      <c r="C2093" s="442"/>
      <c r="P2093" s="235"/>
      <c r="AI2093" s="38"/>
    </row>
    <row r="2094" ht="15.75" customHeight="1">
      <c r="A2094" s="35"/>
      <c r="C2094" s="442"/>
      <c r="P2094" s="235"/>
      <c r="AI2094" s="38"/>
    </row>
    <row r="2095" ht="15.75" customHeight="1">
      <c r="A2095" s="35"/>
      <c r="C2095" s="442"/>
      <c r="P2095" s="235"/>
      <c r="AI2095" s="38"/>
    </row>
    <row r="2096" ht="15.75" customHeight="1">
      <c r="A2096" s="35"/>
      <c r="C2096" s="442"/>
      <c r="P2096" s="235"/>
      <c r="AI2096" s="38"/>
    </row>
    <row r="2097" ht="15.75" customHeight="1">
      <c r="A2097" s="35"/>
      <c r="C2097" s="442"/>
      <c r="P2097" s="235"/>
      <c r="AI2097" s="38"/>
    </row>
    <row r="2098" ht="15.75" customHeight="1">
      <c r="A2098" s="35"/>
      <c r="C2098" s="442"/>
      <c r="P2098" s="235"/>
      <c r="AI2098" s="38"/>
    </row>
    <row r="2099" ht="15.75" customHeight="1">
      <c r="A2099" s="35"/>
      <c r="C2099" s="442"/>
      <c r="P2099" s="235"/>
      <c r="AI2099" s="38"/>
    </row>
    <row r="2100" ht="15.75" customHeight="1">
      <c r="A2100" s="35"/>
      <c r="C2100" s="442"/>
      <c r="P2100" s="235"/>
      <c r="AI2100" s="38"/>
    </row>
    <row r="2101" ht="15.75" customHeight="1">
      <c r="A2101" s="35"/>
      <c r="C2101" s="442"/>
      <c r="P2101" s="235"/>
      <c r="AI2101" s="38"/>
    </row>
    <row r="2102" ht="15.75" customHeight="1">
      <c r="A2102" s="35"/>
      <c r="C2102" s="442"/>
      <c r="P2102" s="235"/>
      <c r="AI2102" s="38"/>
    </row>
    <row r="2103" ht="15.75" customHeight="1">
      <c r="A2103" s="35"/>
      <c r="C2103" s="442"/>
      <c r="P2103" s="235"/>
      <c r="AI2103" s="38"/>
    </row>
    <row r="2104" ht="15.75" customHeight="1">
      <c r="A2104" s="35"/>
      <c r="C2104" s="442"/>
      <c r="P2104" s="235"/>
      <c r="AI2104" s="38"/>
    </row>
    <row r="2105" ht="15.75" customHeight="1">
      <c r="A2105" s="35"/>
      <c r="C2105" s="442"/>
      <c r="P2105" s="235"/>
      <c r="AI2105" s="38"/>
    </row>
    <row r="2106" ht="15.75" customHeight="1">
      <c r="A2106" s="35"/>
      <c r="C2106" s="442"/>
      <c r="P2106" s="235"/>
      <c r="AI2106" s="38"/>
    </row>
    <row r="2107" ht="15.75" customHeight="1">
      <c r="A2107" s="35"/>
      <c r="C2107" s="442"/>
      <c r="P2107" s="235"/>
      <c r="AI2107" s="38"/>
    </row>
    <row r="2108" ht="15.75" customHeight="1">
      <c r="A2108" s="35"/>
      <c r="C2108" s="442"/>
      <c r="P2108" s="235"/>
      <c r="AI2108" s="38"/>
    </row>
    <row r="2109" ht="15.75" customHeight="1">
      <c r="A2109" s="35"/>
      <c r="C2109" s="442"/>
      <c r="P2109" s="235"/>
      <c r="AI2109" s="38"/>
    </row>
    <row r="2110" ht="15.75" customHeight="1">
      <c r="A2110" s="35"/>
      <c r="C2110" s="442"/>
      <c r="P2110" s="235"/>
      <c r="AI2110" s="38"/>
    </row>
    <row r="2111" ht="15.75" customHeight="1">
      <c r="A2111" s="35"/>
      <c r="C2111" s="442"/>
      <c r="P2111" s="235"/>
      <c r="AI2111" s="38"/>
    </row>
    <row r="2112" ht="15.75" customHeight="1">
      <c r="A2112" s="35"/>
      <c r="C2112" s="442"/>
      <c r="P2112" s="235"/>
      <c r="AI2112" s="38"/>
    </row>
    <row r="2113" ht="15.75" customHeight="1">
      <c r="A2113" s="35"/>
      <c r="C2113" s="442"/>
      <c r="P2113" s="235"/>
      <c r="AI2113" s="38"/>
    </row>
    <row r="2114" ht="15.75" customHeight="1">
      <c r="A2114" s="35"/>
      <c r="C2114" s="442"/>
      <c r="P2114" s="235"/>
      <c r="AI2114" s="38"/>
    </row>
    <row r="2115" ht="15.75" customHeight="1">
      <c r="A2115" s="35"/>
      <c r="C2115" s="442"/>
      <c r="P2115" s="235"/>
      <c r="AI2115" s="38"/>
    </row>
    <row r="2116" ht="15.75" customHeight="1">
      <c r="A2116" s="35"/>
      <c r="C2116" s="442"/>
      <c r="P2116" s="235"/>
      <c r="AI2116" s="38"/>
    </row>
    <row r="2117" ht="15.75" customHeight="1">
      <c r="A2117" s="35"/>
      <c r="C2117" s="442"/>
      <c r="P2117" s="235"/>
      <c r="AI2117" s="38"/>
    </row>
    <row r="2118" ht="15.75" customHeight="1">
      <c r="A2118" s="35"/>
      <c r="C2118" s="442"/>
      <c r="P2118" s="235"/>
      <c r="AI2118" s="38"/>
    </row>
    <row r="2119" ht="15.75" customHeight="1">
      <c r="A2119" s="35"/>
      <c r="C2119" s="442"/>
      <c r="P2119" s="235"/>
      <c r="AI2119" s="38"/>
    </row>
    <row r="2120" ht="15.75" customHeight="1">
      <c r="A2120" s="35"/>
      <c r="C2120" s="442"/>
      <c r="P2120" s="235"/>
      <c r="AI2120" s="38"/>
    </row>
    <row r="2121" ht="15.75" customHeight="1">
      <c r="A2121" s="35"/>
      <c r="C2121" s="442"/>
      <c r="P2121" s="235"/>
      <c r="AI2121" s="38"/>
    </row>
    <row r="2122" ht="15.75" customHeight="1">
      <c r="A2122" s="35"/>
      <c r="C2122" s="442"/>
      <c r="P2122" s="235"/>
      <c r="AI2122" s="38"/>
    </row>
    <row r="2123" ht="15.75" customHeight="1">
      <c r="A2123" s="35"/>
      <c r="C2123" s="442"/>
      <c r="P2123" s="235"/>
      <c r="AI2123" s="38"/>
    </row>
    <row r="2124" ht="15.75" customHeight="1">
      <c r="A2124" s="35"/>
      <c r="C2124" s="442"/>
      <c r="P2124" s="235"/>
      <c r="AI2124" s="38"/>
    </row>
    <row r="2125" ht="15.75" customHeight="1">
      <c r="A2125" s="35"/>
      <c r="C2125" s="442"/>
      <c r="P2125" s="235"/>
      <c r="AI2125" s="38"/>
    </row>
    <row r="2126" ht="15.75" customHeight="1">
      <c r="A2126" s="35"/>
      <c r="C2126" s="442"/>
      <c r="P2126" s="235"/>
      <c r="AI2126" s="38"/>
    </row>
    <row r="2127" ht="15.75" customHeight="1">
      <c r="A2127" s="35"/>
      <c r="C2127" s="442"/>
      <c r="P2127" s="235"/>
      <c r="AI2127" s="38"/>
    </row>
    <row r="2128" ht="15.75" customHeight="1">
      <c r="A2128" s="35"/>
      <c r="C2128" s="442"/>
      <c r="P2128" s="235"/>
      <c r="AI2128" s="38"/>
    </row>
    <row r="2129" ht="15.75" customHeight="1">
      <c r="A2129" s="35"/>
      <c r="C2129" s="442"/>
      <c r="P2129" s="235"/>
      <c r="AI2129" s="38"/>
    </row>
    <row r="2130" ht="15.75" customHeight="1">
      <c r="A2130" s="35"/>
      <c r="C2130" s="442"/>
      <c r="P2130" s="235"/>
      <c r="AI2130" s="38"/>
    </row>
    <row r="2131" ht="15.75" customHeight="1">
      <c r="A2131" s="35"/>
      <c r="C2131" s="442"/>
      <c r="P2131" s="235"/>
      <c r="AI2131" s="38"/>
    </row>
    <row r="2132" ht="15.75" customHeight="1">
      <c r="A2132" s="35"/>
      <c r="C2132" s="442"/>
      <c r="P2132" s="235"/>
      <c r="AI2132" s="38"/>
    </row>
    <row r="2133" ht="15.75" customHeight="1">
      <c r="A2133" s="35"/>
      <c r="C2133" s="442"/>
      <c r="P2133" s="235"/>
      <c r="AI2133" s="38"/>
    </row>
    <row r="2134" ht="15.75" customHeight="1">
      <c r="A2134" s="35"/>
      <c r="C2134" s="442"/>
      <c r="P2134" s="235"/>
      <c r="AI2134" s="38"/>
    </row>
    <row r="2135" ht="15.75" customHeight="1">
      <c r="A2135" s="35"/>
      <c r="C2135" s="442"/>
      <c r="P2135" s="235"/>
      <c r="AI2135" s="38"/>
    </row>
    <row r="2136" ht="15.75" customHeight="1">
      <c r="A2136" s="35"/>
      <c r="C2136" s="442"/>
      <c r="P2136" s="235"/>
      <c r="AI2136" s="38"/>
    </row>
    <row r="2137" ht="15.75" customHeight="1">
      <c r="A2137" s="35"/>
      <c r="C2137" s="442"/>
      <c r="P2137" s="235"/>
      <c r="AI2137" s="38"/>
    </row>
    <row r="2138" ht="15.75" customHeight="1">
      <c r="A2138" s="35"/>
      <c r="C2138" s="442"/>
      <c r="P2138" s="235"/>
      <c r="AI2138" s="38"/>
    </row>
    <row r="2139" ht="15.75" customHeight="1">
      <c r="A2139" s="35"/>
      <c r="C2139" s="442"/>
      <c r="P2139" s="235"/>
      <c r="AI2139" s="38"/>
    </row>
    <row r="2140" ht="15.75" customHeight="1">
      <c r="A2140" s="35"/>
      <c r="C2140" s="442"/>
      <c r="P2140" s="235"/>
      <c r="AI2140" s="38"/>
    </row>
    <row r="2141" ht="15.75" customHeight="1">
      <c r="A2141" s="35"/>
      <c r="C2141" s="442"/>
      <c r="P2141" s="235"/>
      <c r="AI2141" s="38"/>
    </row>
    <row r="2142" ht="15.75" customHeight="1">
      <c r="A2142" s="35"/>
      <c r="C2142" s="442"/>
      <c r="P2142" s="235"/>
      <c r="AI2142" s="38"/>
    </row>
    <row r="2143" ht="15.75" customHeight="1">
      <c r="A2143" s="35"/>
      <c r="C2143" s="442"/>
      <c r="P2143" s="235"/>
      <c r="AI2143" s="38"/>
    </row>
    <row r="2144" ht="15.75" customHeight="1">
      <c r="A2144" s="35"/>
      <c r="C2144" s="442"/>
      <c r="P2144" s="235"/>
      <c r="AI2144" s="38"/>
    </row>
    <row r="2145" ht="15.75" customHeight="1">
      <c r="A2145" s="35"/>
      <c r="C2145" s="442"/>
      <c r="P2145" s="235"/>
      <c r="AI2145" s="38"/>
    </row>
    <row r="2146" ht="15.75" customHeight="1">
      <c r="A2146" s="35"/>
      <c r="C2146" s="442"/>
      <c r="P2146" s="235"/>
      <c r="AI2146" s="38"/>
    </row>
    <row r="2147" ht="15.75" customHeight="1">
      <c r="A2147" s="35"/>
      <c r="C2147" s="442"/>
      <c r="P2147" s="235"/>
      <c r="AI2147" s="38"/>
    </row>
    <row r="2148" ht="15.75" customHeight="1">
      <c r="A2148" s="35"/>
      <c r="C2148" s="442"/>
      <c r="P2148" s="235"/>
      <c r="AI2148" s="38"/>
    </row>
    <row r="2149" ht="15.75" customHeight="1">
      <c r="A2149" s="35"/>
      <c r="C2149" s="442"/>
      <c r="P2149" s="235"/>
      <c r="AI2149" s="38"/>
    </row>
    <row r="2150" ht="15.75" customHeight="1">
      <c r="A2150" s="35"/>
      <c r="C2150" s="442"/>
      <c r="P2150" s="235"/>
      <c r="AI2150" s="38"/>
    </row>
    <row r="2151" ht="15.75" customHeight="1">
      <c r="A2151" s="35"/>
      <c r="C2151" s="442"/>
      <c r="P2151" s="235"/>
      <c r="AI2151" s="38"/>
    </row>
    <row r="2152" ht="15.75" customHeight="1">
      <c r="A2152" s="35"/>
      <c r="C2152" s="442"/>
      <c r="P2152" s="235"/>
      <c r="AI2152" s="38"/>
    </row>
    <row r="2153" ht="15.75" customHeight="1">
      <c r="A2153" s="35"/>
      <c r="C2153" s="442"/>
      <c r="P2153" s="235"/>
      <c r="AI2153" s="38"/>
    </row>
    <row r="2154" ht="15.75" customHeight="1">
      <c r="A2154" s="35"/>
      <c r="C2154" s="442"/>
      <c r="P2154" s="235"/>
      <c r="AI2154" s="38"/>
    </row>
    <row r="2155" ht="15.75" customHeight="1">
      <c r="A2155" s="35"/>
      <c r="C2155" s="442"/>
      <c r="P2155" s="235"/>
      <c r="AI2155" s="38"/>
    </row>
    <row r="2156" ht="15.75" customHeight="1">
      <c r="A2156" s="35"/>
      <c r="C2156" s="442"/>
      <c r="P2156" s="235"/>
      <c r="AI2156" s="38"/>
    </row>
    <row r="2157" ht="15.75" customHeight="1">
      <c r="A2157" s="35"/>
      <c r="C2157" s="442"/>
      <c r="P2157" s="235"/>
      <c r="AI2157" s="38"/>
    </row>
    <row r="2158" ht="15.75" customHeight="1">
      <c r="A2158" s="35"/>
      <c r="C2158" s="442"/>
      <c r="P2158" s="235"/>
      <c r="AI2158" s="38"/>
    </row>
    <row r="2159" ht="15.75" customHeight="1">
      <c r="A2159" s="35"/>
      <c r="C2159" s="442"/>
      <c r="P2159" s="235"/>
      <c r="AI2159" s="38"/>
    </row>
    <row r="2160" ht="15.75" customHeight="1">
      <c r="A2160" s="35"/>
      <c r="C2160" s="442"/>
      <c r="P2160" s="235"/>
      <c r="AI2160" s="38"/>
    </row>
    <row r="2161" ht="15.75" customHeight="1">
      <c r="A2161" s="35"/>
      <c r="C2161" s="442"/>
      <c r="P2161" s="235"/>
      <c r="AI2161" s="38"/>
    </row>
    <row r="2162" ht="15.75" customHeight="1">
      <c r="A2162" s="35"/>
      <c r="C2162" s="442"/>
      <c r="P2162" s="235"/>
      <c r="AI2162" s="38"/>
    </row>
    <row r="2163" ht="15.75" customHeight="1">
      <c r="A2163" s="35"/>
      <c r="C2163" s="442"/>
      <c r="P2163" s="235"/>
      <c r="AI2163" s="38"/>
    </row>
    <row r="2164" ht="15.75" customHeight="1">
      <c r="A2164" s="35"/>
      <c r="C2164" s="442"/>
      <c r="P2164" s="235"/>
      <c r="AI2164" s="38"/>
    </row>
    <row r="2165" ht="15.75" customHeight="1">
      <c r="A2165" s="35"/>
      <c r="C2165" s="442"/>
      <c r="P2165" s="235"/>
      <c r="AI2165" s="38"/>
    </row>
    <row r="2166" ht="15.75" customHeight="1">
      <c r="A2166" s="35"/>
      <c r="C2166" s="442"/>
      <c r="P2166" s="235"/>
      <c r="AI2166" s="38"/>
    </row>
    <row r="2167" ht="15.75" customHeight="1">
      <c r="A2167" s="35"/>
      <c r="C2167" s="442"/>
      <c r="P2167" s="235"/>
      <c r="AI2167" s="38"/>
    </row>
    <row r="2168" ht="15.75" customHeight="1">
      <c r="A2168" s="35"/>
      <c r="C2168" s="442"/>
      <c r="P2168" s="235"/>
      <c r="AI2168" s="38"/>
    </row>
    <row r="2169" ht="15.75" customHeight="1">
      <c r="A2169" s="35"/>
      <c r="C2169" s="442"/>
      <c r="P2169" s="235"/>
      <c r="AI2169" s="38"/>
    </row>
    <row r="2170" ht="15.75" customHeight="1">
      <c r="A2170" s="35"/>
      <c r="C2170" s="442"/>
      <c r="P2170" s="235"/>
      <c r="AI2170" s="38"/>
    </row>
    <row r="2171" ht="15.75" customHeight="1">
      <c r="A2171" s="35"/>
      <c r="C2171" s="442"/>
      <c r="P2171" s="235"/>
      <c r="AI2171" s="38"/>
    </row>
    <row r="2172" ht="15.75" customHeight="1">
      <c r="A2172" s="35"/>
      <c r="C2172" s="442"/>
      <c r="P2172" s="235"/>
      <c r="AI2172" s="38"/>
    </row>
    <row r="2173" ht="15.75" customHeight="1">
      <c r="A2173" s="35"/>
      <c r="C2173" s="442"/>
      <c r="P2173" s="235"/>
      <c r="AI2173" s="38"/>
    </row>
    <row r="2174" ht="15.75" customHeight="1">
      <c r="A2174" s="35"/>
      <c r="C2174" s="442"/>
      <c r="P2174" s="235"/>
      <c r="AI2174" s="38"/>
    </row>
    <row r="2175" ht="15.75" customHeight="1">
      <c r="A2175" s="35"/>
      <c r="C2175" s="442"/>
      <c r="P2175" s="235"/>
      <c r="AI2175" s="38"/>
    </row>
    <row r="2176" ht="15.75" customHeight="1">
      <c r="A2176" s="35"/>
      <c r="C2176" s="442"/>
      <c r="P2176" s="235"/>
      <c r="AI2176" s="38"/>
    </row>
    <row r="2177" ht="15.75" customHeight="1">
      <c r="A2177" s="35"/>
      <c r="C2177" s="442"/>
      <c r="P2177" s="235"/>
      <c r="AI2177" s="38"/>
    </row>
    <row r="2178" ht="15.75" customHeight="1">
      <c r="A2178" s="35"/>
      <c r="C2178" s="442"/>
      <c r="P2178" s="235"/>
      <c r="AI2178" s="38"/>
    </row>
    <row r="2179" ht="15.75" customHeight="1">
      <c r="A2179" s="35"/>
      <c r="C2179" s="442"/>
      <c r="P2179" s="235"/>
      <c r="AI2179" s="38"/>
    </row>
    <row r="2180" ht="15.75" customHeight="1">
      <c r="A2180" s="35"/>
      <c r="C2180" s="442"/>
      <c r="P2180" s="235"/>
      <c r="AI2180" s="38"/>
    </row>
    <row r="2181" ht="15.75" customHeight="1">
      <c r="A2181" s="35"/>
      <c r="C2181" s="442"/>
      <c r="P2181" s="235"/>
      <c r="AI2181" s="38"/>
    </row>
    <row r="2182" ht="15.75" customHeight="1">
      <c r="A2182" s="35"/>
      <c r="C2182" s="442"/>
      <c r="P2182" s="235"/>
      <c r="AI2182" s="38"/>
    </row>
    <row r="2183" ht="15.75" customHeight="1">
      <c r="A2183" s="35"/>
      <c r="C2183" s="442"/>
      <c r="P2183" s="235"/>
      <c r="AI2183" s="38"/>
    </row>
    <row r="2184" ht="15.75" customHeight="1">
      <c r="A2184" s="35"/>
      <c r="C2184" s="442"/>
      <c r="P2184" s="235"/>
      <c r="AI2184" s="38"/>
    </row>
    <row r="2185" ht="15.75" customHeight="1">
      <c r="A2185" s="35"/>
      <c r="C2185" s="442"/>
      <c r="P2185" s="235"/>
      <c r="AI2185" s="38"/>
    </row>
    <row r="2186" ht="15.75" customHeight="1">
      <c r="A2186" s="35"/>
      <c r="C2186" s="442"/>
      <c r="P2186" s="235"/>
      <c r="AI2186" s="38"/>
    </row>
    <row r="2187" ht="15.75" customHeight="1">
      <c r="A2187" s="35"/>
      <c r="C2187" s="442"/>
      <c r="P2187" s="235"/>
      <c r="AI2187" s="38"/>
    </row>
    <row r="2188" ht="15.75" customHeight="1">
      <c r="A2188" s="35"/>
      <c r="C2188" s="442"/>
      <c r="P2188" s="235"/>
      <c r="AI2188" s="38"/>
    </row>
    <row r="2189" ht="15.75" customHeight="1">
      <c r="A2189" s="35"/>
      <c r="C2189" s="442"/>
      <c r="P2189" s="235"/>
      <c r="AI2189" s="38"/>
    </row>
    <row r="2190" ht="15.75" customHeight="1">
      <c r="A2190" s="35"/>
      <c r="C2190" s="442"/>
      <c r="P2190" s="235"/>
      <c r="AI2190" s="38"/>
    </row>
    <row r="2191" ht="15.75" customHeight="1">
      <c r="A2191" s="35"/>
      <c r="C2191" s="442"/>
      <c r="P2191" s="235"/>
      <c r="AI2191" s="38"/>
    </row>
    <row r="2192" ht="15.75" customHeight="1">
      <c r="A2192" s="35"/>
      <c r="C2192" s="442"/>
      <c r="P2192" s="235"/>
      <c r="AI2192" s="38"/>
    </row>
    <row r="2193" ht="15.75" customHeight="1">
      <c r="A2193" s="35"/>
      <c r="C2193" s="442"/>
      <c r="P2193" s="235"/>
      <c r="AI2193" s="38"/>
    </row>
    <row r="2194" ht="15.75" customHeight="1">
      <c r="A2194" s="35"/>
      <c r="C2194" s="442"/>
      <c r="P2194" s="235"/>
      <c r="AI2194" s="38"/>
    </row>
    <row r="2195" ht="15.75" customHeight="1">
      <c r="A2195" s="35"/>
      <c r="C2195" s="442"/>
      <c r="P2195" s="235"/>
      <c r="AI2195" s="38"/>
    </row>
    <row r="2196" ht="15.75" customHeight="1">
      <c r="A2196" s="35"/>
      <c r="C2196" s="442"/>
      <c r="P2196" s="235"/>
      <c r="AI2196" s="38"/>
    </row>
    <row r="2197" ht="15.75" customHeight="1">
      <c r="A2197" s="35"/>
      <c r="C2197" s="442"/>
      <c r="P2197" s="235"/>
      <c r="AI2197" s="38"/>
    </row>
    <row r="2198" ht="15.75" customHeight="1">
      <c r="A2198" s="35"/>
      <c r="C2198" s="442"/>
      <c r="P2198" s="235"/>
      <c r="AI2198" s="38"/>
    </row>
    <row r="2199" ht="15.75" customHeight="1">
      <c r="A2199" s="35"/>
      <c r="C2199" s="442"/>
      <c r="P2199" s="235"/>
      <c r="AI2199" s="38"/>
    </row>
    <row r="2200" ht="15.75" customHeight="1">
      <c r="A2200" s="35"/>
      <c r="C2200" s="442"/>
      <c r="P2200" s="235"/>
      <c r="AI2200" s="38"/>
    </row>
    <row r="2201" ht="15.75" customHeight="1">
      <c r="A2201" s="35"/>
      <c r="C2201" s="442"/>
      <c r="P2201" s="235"/>
      <c r="AI2201" s="38"/>
    </row>
    <row r="2202" ht="15.75" customHeight="1">
      <c r="A2202" s="35"/>
      <c r="C2202" s="442"/>
      <c r="P2202" s="235"/>
      <c r="AI2202" s="38"/>
    </row>
    <row r="2203" ht="15.75" customHeight="1">
      <c r="A2203" s="35"/>
      <c r="C2203" s="442"/>
      <c r="P2203" s="235"/>
      <c r="AI2203" s="38"/>
    </row>
    <row r="2204" ht="15.75" customHeight="1">
      <c r="A2204" s="35"/>
      <c r="C2204" s="442"/>
      <c r="P2204" s="235"/>
      <c r="AI2204" s="38"/>
    </row>
    <row r="2205" ht="15.75" customHeight="1">
      <c r="A2205" s="35"/>
      <c r="C2205" s="442"/>
      <c r="P2205" s="235"/>
      <c r="AI2205" s="38"/>
    </row>
    <row r="2206" ht="15.75" customHeight="1">
      <c r="A2206" s="35"/>
      <c r="C2206" s="442"/>
      <c r="P2206" s="235"/>
      <c r="AI2206" s="38"/>
    </row>
    <row r="2207" ht="15.75" customHeight="1">
      <c r="A2207" s="35"/>
      <c r="C2207" s="442"/>
      <c r="P2207" s="235"/>
      <c r="AI2207" s="38"/>
    </row>
    <row r="2208" ht="15.75" customHeight="1">
      <c r="A2208" s="35"/>
      <c r="C2208" s="442"/>
      <c r="P2208" s="235"/>
      <c r="AI2208" s="38"/>
    </row>
    <row r="2209" ht="15.75" customHeight="1">
      <c r="A2209" s="35"/>
      <c r="C2209" s="442"/>
      <c r="P2209" s="235"/>
      <c r="AI2209" s="38"/>
    </row>
    <row r="2210" ht="15.75" customHeight="1">
      <c r="A2210" s="35"/>
      <c r="C2210" s="442"/>
      <c r="P2210" s="235"/>
      <c r="AI2210" s="38"/>
    </row>
    <row r="2211" ht="15.75" customHeight="1">
      <c r="A2211" s="35"/>
      <c r="C2211" s="442"/>
      <c r="P2211" s="235"/>
      <c r="AI2211" s="38"/>
    </row>
    <row r="2212" ht="15.75" customHeight="1">
      <c r="A2212" s="35"/>
      <c r="C2212" s="442"/>
      <c r="P2212" s="235"/>
      <c r="AI2212" s="38"/>
    </row>
    <row r="2213" ht="15.75" customHeight="1">
      <c r="A2213" s="35"/>
      <c r="C2213" s="442"/>
      <c r="P2213" s="235"/>
      <c r="AI2213" s="38"/>
    </row>
    <row r="2214" ht="15.75" customHeight="1">
      <c r="A2214" s="35"/>
      <c r="C2214" s="442"/>
      <c r="P2214" s="235"/>
      <c r="AI2214" s="38"/>
    </row>
    <row r="2215" ht="15.75" customHeight="1">
      <c r="A2215" s="35"/>
      <c r="C2215" s="442"/>
      <c r="P2215" s="235"/>
      <c r="AI2215" s="38"/>
    </row>
    <row r="2216" ht="15.75" customHeight="1">
      <c r="A2216" s="35"/>
      <c r="C2216" s="442"/>
      <c r="P2216" s="235"/>
      <c r="AI2216" s="38"/>
    </row>
    <row r="2217" ht="15.75" customHeight="1">
      <c r="A2217" s="35"/>
      <c r="C2217" s="442"/>
      <c r="P2217" s="235"/>
      <c r="AI2217" s="38"/>
    </row>
    <row r="2218" ht="15.75" customHeight="1">
      <c r="A2218" s="35"/>
      <c r="C2218" s="442"/>
      <c r="P2218" s="235"/>
      <c r="AI2218" s="38"/>
    </row>
    <row r="2219" ht="15.75" customHeight="1">
      <c r="A2219" s="35"/>
      <c r="C2219" s="442"/>
      <c r="P2219" s="235"/>
      <c r="AI2219" s="38"/>
    </row>
    <row r="2220" ht="15.75" customHeight="1">
      <c r="A2220" s="35"/>
      <c r="C2220" s="442"/>
      <c r="P2220" s="235"/>
      <c r="AI2220" s="38"/>
    </row>
    <row r="2221" ht="15.75" customHeight="1">
      <c r="A2221" s="35"/>
      <c r="C2221" s="442"/>
      <c r="P2221" s="235"/>
      <c r="AI2221" s="38"/>
    </row>
    <row r="2222" ht="15.75" customHeight="1">
      <c r="A2222" s="35"/>
      <c r="C2222" s="442"/>
      <c r="P2222" s="235"/>
      <c r="AI2222" s="38"/>
    </row>
    <row r="2223" ht="15.75" customHeight="1">
      <c r="A2223" s="35"/>
      <c r="C2223" s="442"/>
      <c r="P2223" s="235"/>
      <c r="AI2223" s="38"/>
    </row>
    <row r="2224" ht="15.75" customHeight="1">
      <c r="A2224" s="35"/>
      <c r="C2224" s="442"/>
      <c r="P2224" s="235"/>
      <c r="AI2224" s="38"/>
    </row>
    <row r="2225" ht="15.75" customHeight="1">
      <c r="A2225" s="35"/>
      <c r="C2225" s="442"/>
      <c r="P2225" s="235"/>
      <c r="AI2225" s="38"/>
    </row>
    <row r="2226" ht="15.75" customHeight="1">
      <c r="A2226" s="35"/>
      <c r="C2226" s="442"/>
      <c r="P2226" s="235"/>
      <c r="AI2226" s="38"/>
    </row>
    <row r="2227" ht="15.75" customHeight="1">
      <c r="A2227" s="35"/>
      <c r="C2227" s="442"/>
      <c r="P2227" s="235"/>
      <c r="AI2227" s="38"/>
    </row>
    <row r="2228" ht="15.75" customHeight="1">
      <c r="A2228" s="35"/>
      <c r="C2228" s="442"/>
      <c r="P2228" s="235"/>
      <c r="AI2228" s="38"/>
    </row>
    <row r="2229" ht="15.75" customHeight="1">
      <c r="A2229" s="35"/>
      <c r="C2229" s="442"/>
      <c r="P2229" s="235"/>
      <c r="AI2229" s="38"/>
    </row>
    <row r="2230" ht="15.75" customHeight="1">
      <c r="A2230" s="35"/>
      <c r="C2230" s="442"/>
      <c r="P2230" s="235"/>
      <c r="AI2230" s="38"/>
    </row>
    <row r="2231" ht="15.75" customHeight="1">
      <c r="A2231" s="35"/>
      <c r="C2231" s="442"/>
      <c r="P2231" s="235"/>
      <c r="AI2231" s="38"/>
    </row>
    <row r="2232" ht="15.75" customHeight="1">
      <c r="A2232" s="35"/>
      <c r="C2232" s="442"/>
      <c r="P2232" s="235"/>
      <c r="AI2232" s="38"/>
    </row>
    <row r="2233" ht="15.75" customHeight="1">
      <c r="A2233" s="35"/>
      <c r="C2233" s="442"/>
      <c r="P2233" s="235"/>
      <c r="AI2233" s="38"/>
    </row>
    <row r="2234" ht="15.75" customHeight="1">
      <c r="A2234" s="35"/>
      <c r="C2234" s="442"/>
      <c r="P2234" s="235"/>
      <c r="AI2234" s="38"/>
    </row>
    <row r="2235" ht="15.75" customHeight="1">
      <c r="A2235" s="35"/>
      <c r="C2235" s="442"/>
      <c r="P2235" s="235"/>
      <c r="AI2235" s="38"/>
    </row>
    <row r="2236" ht="15.75" customHeight="1">
      <c r="A2236" s="35"/>
      <c r="C2236" s="442"/>
      <c r="P2236" s="235"/>
      <c r="AI2236" s="38"/>
    </row>
    <row r="2237" ht="15.75" customHeight="1">
      <c r="A2237" s="35"/>
      <c r="C2237" s="442"/>
      <c r="P2237" s="235"/>
      <c r="AI2237" s="38"/>
    </row>
    <row r="2238" ht="15.75" customHeight="1">
      <c r="A2238" s="35"/>
      <c r="C2238" s="442"/>
      <c r="P2238" s="235"/>
      <c r="AI2238" s="38"/>
    </row>
    <row r="2239" ht="15.75" customHeight="1">
      <c r="A2239" s="35"/>
      <c r="C2239" s="442"/>
      <c r="P2239" s="235"/>
      <c r="AI2239" s="38"/>
    </row>
    <row r="2240" ht="15.75" customHeight="1">
      <c r="A2240" s="35"/>
      <c r="C2240" s="442"/>
      <c r="P2240" s="235"/>
      <c r="AI2240" s="38"/>
    </row>
    <row r="2241" ht="15.75" customHeight="1">
      <c r="A2241" s="35"/>
      <c r="C2241" s="442"/>
      <c r="P2241" s="235"/>
      <c r="AI2241" s="38"/>
    </row>
    <row r="2242" ht="15.75" customHeight="1">
      <c r="A2242" s="35"/>
      <c r="C2242" s="442"/>
      <c r="P2242" s="235"/>
      <c r="AI2242" s="38"/>
    </row>
    <row r="2243" ht="15.75" customHeight="1">
      <c r="A2243" s="35"/>
      <c r="C2243" s="442"/>
      <c r="P2243" s="235"/>
      <c r="AI2243" s="38"/>
    </row>
    <row r="2244" ht="15.75" customHeight="1">
      <c r="A2244" s="35"/>
      <c r="C2244" s="442"/>
      <c r="P2244" s="235"/>
      <c r="AI2244" s="38"/>
    </row>
    <row r="2245" ht="15.75" customHeight="1">
      <c r="A2245" s="35"/>
      <c r="C2245" s="442"/>
      <c r="P2245" s="235"/>
      <c r="AI2245" s="38"/>
    </row>
    <row r="2246" ht="15.75" customHeight="1">
      <c r="A2246" s="35"/>
      <c r="C2246" s="442"/>
      <c r="P2246" s="235"/>
      <c r="AI2246" s="38"/>
    </row>
    <row r="2247" ht="15.75" customHeight="1">
      <c r="A2247" s="35"/>
      <c r="C2247" s="442"/>
      <c r="P2247" s="235"/>
      <c r="AI2247" s="38"/>
    </row>
    <row r="2248" ht="15.75" customHeight="1">
      <c r="A2248" s="35"/>
      <c r="C2248" s="442"/>
      <c r="P2248" s="235"/>
      <c r="AI2248" s="38"/>
    </row>
    <row r="2249" ht="15.75" customHeight="1">
      <c r="A2249" s="35"/>
      <c r="C2249" s="442"/>
      <c r="P2249" s="235"/>
      <c r="AI2249" s="38"/>
    </row>
    <row r="2250" ht="15.75" customHeight="1">
      <c r="A2250" s="35"/>
      <c r="C2250" s="442"/>
      <c r="P2250" s="235"/>
      <c r="AI2250" s="38"/>
    </row>
    <row r="2251" ht="15.75" customHeight="1">
      <c r="A2251" s="35"/>
      <c r="C2251" s="442"/>
      <c r="P2251" s="235"/>
      <c r="AI2251" s="38"/>
    </row>
    <row r="2252" ht="15.75" customHeight="1">
      <c r="A2252" s="35"/>
      <c r="C2252" s="442"/>
      <c r="P2252" s="235"/>
      <c r="AI2252" s="38"/>
    </row>
    <row r="2253" ht="15.75" customHeight="1">
      <c r="A2253" s="35"/>
      <c r="C2253" s="442"/>
      <c r="P2253" s="235"/>
      <c r="AI2253" s="38"/>
    </row>
    <row r="2254" ht="15.75" customHeight="1">
      <c r="A2254" s="35"/>
      <c r="C2254" s="442"/>
      <c r="P2254" s="235"/>
      <c r="AI2254" s="38"/>
    </row>
    <row r="2255" ht="15.75" customHeight="1">
      <c r="A2255" s="35"/>
      <c r="C2255" s="442"/>
      <c r="P2255" s="235"/>
      <c r="AI2255" s="38"/>
    </row>
    <row r="2256" ht="15.75" customHeight="1">
      <c r="A2256" s="35"/>
      <c r="C2256" s="442"/>
      <c r="P2256" s="235"/>
      <c r="AI2256" s="38"/>
    </row>
    <row r="2257" ht="15.75" customHeight="1">
      <c r="A2257" s="35"/>
      <c r="C2257" s="442"/>
      <c r="P2257" s="235"/>
      <c r="AI2257" s="38"/>
    </row>
    <row r="2258" ht="15.75" customHeight="1">
      <c r="A2258" s="35"/>
      <c r="C2258" s="442"/>
      <c r="P2258" s="235"/>
      <c r="AI2258" s="38"/>
    </row>
    <row r="2259" ht="15.75" customHeight="1">
      <c r="A2259" s="35"/>
      <c r="C2259" s="442"/>
      <c r="P2259" s="235"/>
      <c r="AI2259" s="38"/>
    </row>
    <row r="2260" ht="15.75" customHeight="1">
      <c r="A2260" s="35"/>
      <c r="C2260" s="442"/>
      <c r="P2260" s="235"/>
      <c r="AI2260" s="38"/>
    </row>
    <row r="2261" ht="15.75" customHeight="1">
      <c r="A2261" s="35"/>
      <c r="C2261" s="442"/>
      <c r="P2261" s="235"/>
      <c r="AI2261" s="38"/>
    </row>
    <row r="2262" ht="15.75" customHeight="1">
      <c r="A2262" s="35"/>
      <c r="C2262" s="442"/>
      <c r="P2262" s="235"/>
      <c r="AI2262" s="38"/>
    </row>
    <row r="2263" ht="15.75" customHeight="1">
      <c r="A2263" s="35"/>
      <c r="C2263" s="442"/>
      <c r="P2263" s="235"/>
      <c r="AI2263" s="38"/>
    </row>
    <row r="2264" ht="15.75" customHeight="1">
      <c r="A2264" s="35"/>
      <c r="C2264" s="442"/>
      <c r="P2264" s="235"/>
      <c r="AI2264" s="38"/>
    </row>
    <row r="2265" ht="15.75" customHeight="1">
      <c r="A2265" s="35"/>
      <c r="C2265" s="442"/>
      <c r="P2265" s="235"/>
      <c r="AI2265" s="38"/>
    </row>
    <row r="2266" ht="15.75" customHeight="1">
      <c r="A2266" s="35"/>
      <c r="C2266" s="442"/>
      <c r="P2266" s="235"/>
      <c r="AI2266" s="38"/>
    </row>
    <row r="2267" ht="15.75" customHeight="1">
      <c r="A2267" s="35"/>
      <c r="C2267" s="442"/>
      <c r="P2267" s="235"/>
      <c r="AI2267" s="38"/>
    </row>
    <row r="2268" ht="15.75" customHeight="1">
      <c r="A2268" s="35"/>
      <c r="C2268" s="442"/>
      <c r="P2268" s="235"/>
      <c r="AI2268" s="38"/>
    </row>
    <row r="2269" ht="15.75" customHeight="1">
      <c r="A2269" s="35"/>
      <c r="C2269" s="442"/>
      <c r="P2269" s="235"/>
      <c r="AI2269" s="38"/>
    </row>
    <row r="2270" ht="15.75" customHeight="1">
      <c r="A2270" s="35"/>
      <c r="C2270" s="442"/>
      <c r="P2270" s="235"/>
      <c r="AI2270" s="38"/>
    </row>
    <row r="2271" ht="15.75" customHeight="1">
      <c r="A2271" s="35"/>
      <c r="C2271" s="442"/>
      <c r="P2271" s="235"/>
      <c r="AI2271" s="38"/>
    </row>
    <row r="2272" ht="15.75" customHeight="1">
      <c r="A2272" s="35"/>
      <c r="C2272" s="442"/>
      <c r="P2272" s="235"/>
      <c r="AI2272" s="38"/>
    </row>
    <row r="2273" ht="15.75" customHeight="1">
      <c r="A2273" s="35"/>
      <c r="C2273" s="442"/>
      <c r="P2273" s="235"/>
      <c r="AI2273" s="38"/>
    </row>
    <row r="2274" ht="15.75" customHeight="1">
      <c r="A2274" s="35"/>
      <c r="C2274" s="442"/>
      <c r="P2274" s="235"/>
      <c r="AI2274" s="38"/>
    </row>
    <row r="2275" ht="15.75" customHeight="1">
      <c r="A2275" s="35"/>
      <c r="C2275" s="442"/>
      <c r="P2275" s="235"/>
      <c r="AI2275" s="38"/>
    </row>
    <row r="2276" ht="15.75" customHeight="1">
      <c r="A2276" s="35"/>
      <c r="C2276" s="442"/>
      <c r="P2276" s="235"/>
      <c r="AI2276" s="38"/>
    </row>
    <row r="2277" ht="15.75" customHeight="1">
      <c r="A2277" s="35"/>
      <c r="C2277" s="442"/>
      <c r="P2277" s="235"/>
      <c r="AI2277" s="38"/>
    </row>
    <row r="2278" ht="15.75" customHeight="1">
      <c r="A2278" s="35"/>
      <c r="C2278" s="442"/>
      <c r="P2278" s="235"/>
      <c r="AI2278" s="38"/>
    </row>
    <row r="2279" ht="15.75" customHeight="1">
      <c r="A2279" s="35"/>
      <c r="C2279" s="442"/>
      <c r="P2279" s="235"/>
      <c r="AI2279" s="38"/>
    </row>
    <row r="2280" ht="15.75" customHeight="1">
      <c r="A2280" s="35"/>
      <c r="C2280" s="442"/>
      <c r="P2280" s="235"/>
      <c r="AI2280" s="38"/>
    </row>
    <row r="2281" ht="15.75" customHeight="1">
      <c r="A2281" s="35"/>
      <c r="C2281" s="442"/>
      <c r="P2281" s="235"/>
      <c r="AI2281" s="38"/>
    </row>
    <row r="2282" ht="15.75" customHeight="1">
      <c r="A2282" s="35"/>
      <c r="C2282" s="442"/>
      <c r="P2282" s="235"/>
      <c r="AI2282" s="38"/>
    </row>
    <row r="2283" ht="15.75" customHeight="1">
      <c r="A2283" s="35"/>
      <c r="C2283" s="442"/>
      <c r="P2283" s="235"/>
      <c r="AI2283" s="38"/>
    </row>
    <row r="2284" ht="15.75" customHeight="1">
      <c r="A2284" s="35"/>
      <c r="C2284" s="442"/>
      <c r="P2284" s="235"/>
      <c r="AI2284" s="38"/>
    </row>
    <row r="2285" ht="15.75" customHeight="1">
      <c r="A2285" s="35"/>
      <c r="C2285" s="442"/>
      <c r="P2285" s="235"/>
      <c r="AI2285" s="38"/>
    </row>
    <row r="2286" ht="15.75" customHeight="1">
      <c r="A2286" s="35"/>
      <c r="C2286" s="442"/>
      <c r="P2286" s="235"/>
      <c r="AI2286" s="38"/>
    </row>
    <row r="2287" ht="15.75" customHeight="1">
      <c r="A2287" s="35"/>
      <c r="C2287" s="442"/>
      <c r="P2287" s="235"/>
      <c r="AI2287" s="38"/>
    </row>
    <row r="2288" ht="15.75" customHeight="1">
      <c r="A2288" s="35"/>
      <c r="C2288" s="442"/>
      <c r="P2288" s="235"/>
      <c r="AI2288" s="38"/>
    </row>
    <row r="2289" ht="15.75" customHeight="1">
      <c r="A2289" s="35"/>
      <c r="C2289" s="442"/>
      <c r="P2289" s="235"/>
      <c r="AI2289" s="38"/>
    </row>
    <row r="2290" ht="15.75" customHeight="1">
      <c r="A2290" s="35"/>
      <c r="C2290" s="442"/>
      <c r="P2290" s="235"/>
      <c r="AI2290" s="38"/>
    </row>
    <row r="2291" ht="15.75" customHeight="1">
      <c r="A2291" s="35"/>
      <c r="C2291" s="442"/>
      <c r="P2291" s="235"/>
      <c r="AI2291" s="38"/>
    </row>
    <row r="2292" ht="15.75" customHeight="1">
      <c r="A2292" s="35"/>
      <c r="C2292" s="442"/>
      <c r="P2292" s="235"/>
      <c r="AI2292" s="38"/>
    </row>
    <row r="2293" ht="15.75" customHeight="1">
      <c r="A2293" s="35"/>
      <c r="C2293" s="442"/>
      <c r="P2293" s="235"/>
      <c r="AI2293" s="38"/>
    </row>
    <row r="2294" ht="15.75" customHeight="1">
      <c r="A2294" s="35"/>
      <c r="C2294" s="442"/>
      <c r="P2294" s="235"/>
      <c r="AI2294" s="38"/>
    </row>
    <row r="2295" ht="15.75" customHeight="1">
      <c r="A2295" s="35"/>
      <c r="C2295" s="442"/>
      <c r="P2295" s="235"/>
      <c r="AI2295" s="38"/>
    </row>
    <row r="2296" ht="15.75" customHeight="1">
      <c r="A2296" s="35"/>
      <c r="C2296" s="442"/>
      <c r="P2296" s="235"/>
      <c r="AI2296" s="38"/>
    </row>
    <row r="2297" ht="15.75" customHeight="1">
      <c r="A2297" s="35"/>
      <c r="C2297" s="442"/>
      <c r="P2297" s="235"/>
      <c r="AI2297" s="38"/>
    </row>
    <row r="2298" ht="15.75" customHeight="1">
      <c r="A2298" s="35"/>
      <c r="C2298" s="442"/>
      <c r="P2298" s="235"/>
      <c r="AI2298" s="38"/>
    </row>
    <row r="2299" ht="15.75" customHeight="1">
      <c r="A2299" s="35"/>
      <c r="C2299" s="442"/>
      <c r="P2299" s="235"/>
      <c r="AI2299" s="38"/>
    </row>
    <row r="2300" ht="15.75" customHeight="1">
      <c r="A2300" s="35"/>
      <c r="C2300" s="442"/>
      <c r="P2300" s="235"/>
      <c r="AI2300" s="38"/>
    </row>
    <row r="2301" ht="15.75" customHeight="1">
      <c r="A2301" s="35"/>
      <c r="C2301" s="442"/>
      <c r="P2301" s="235"/>
      <c r="AI2301" s="38"/>
    </row>
    <row r="2302" ht="15.75" customHeight="1">
      <c r="A2302" s="35"/>
      <c r="C2302" s="442"/>
      <c r="P2302" s="235"/>
      <c r="AI2302" s="38"/>
    </row>
    <row r="2303" ht="15.75" customHeight="1">
      <c r="A2303" s="35"/>
      <c r="C2303" s="442"/>
      <c r="P2303" s="235"/>
      <c r="AI2303" s="38"/>
    </row>
    <row r="2304" ht="15.75" customHeight="1">
      <c r="A2304" s="35"/>
      <c r="C2304" s="442"/>
      <c r="P2304" s="235"/>
      <c r="AI2304" s="38"/>
    </row>
    <row r="2305" ht="15.75" customHeight="1">
      <c r="A2305" s="35"/>
      <c r="C2305" s="442"/>
      <c r="P2305" s="235"/>
      <c r="AI2305" s="38"/>
    </row>
    <row r="2306" ht="15.75" customHeight="1">
      <c r="A2306" s="35"/>
      <c r="C2306" s="442"/>
      <c r="P2306" s="235"/>
      <c r="AI2306" s="38"/>
    </row>
    <row r="2307" ht="15.75" customHeight="1">
      <c r="A2307" s="35"/>
      <c r="C2307" s="442"/>
      <c r="P2307" s="235"/>
      <c r="AI2307" s="38"/>
    </row>
    <row r="2308" ht="15.75" customHeight="1">
      <c r="A2308" s="35"/>
      <c r="C2308" s="442"/>
      <c r="P2308" s="235"/>
      <c r="AI2308" s="38"/>
    </row>
    <row r="2309" ht="15.75" customHeight="1">
      <c r="A2309" s="35"/>
      <c r="C2309" s="442"/>
      <c r="P2309" s="235"/>
      <c r="AI2309" s="38"/>
    </row>
    <row r="2310" ht="15.75" customHeight="1">
      <c r="A2310" s="35"/>
      <c r="C2310" s="442"/>
      <c r="P2310" s="235"/>
      <c r="AI2310" s="38"/>
    </row>
    <row r="2311" ht="15.75" customHeight="1">
      <c r="A2311" s="35"/>
      <c r="C2311" s="442"/>
      <c r="P2311" s="235"/>
      <c r="AI2311" s="38"/>
    </row>
    <row r="2312" ht="15.75" customHeight="1">
      <c r="A2312" s="35"/>
      <c r="C2312" s="442"/>
      <c r="P2312" s="235"/>
      <c r="AI2312" s="38"/>
    </row>
    <row r="2313" ht="15.75" customHeight="1">
      <c r="A2313" s="35"/>
      <c r="C2313" s="442"/>
      <c r="P2313" s="235"/>
      <c r="AI2313" s="38"/>
    </row>
    <row r="2314" ht="15.75" customHeight="1">
      <c r="A2314" s="35"/>
      <c r="C2314" s="442"/>
      <c r="P2314" s="235"/>
      <c r="AI2314" s="38"/>
    </row>
    <row r="2315" ht="15.75" customHeight="1">
      <c r="A2315" s="35"/>
      <c r="C2315" s="442"/>
      <c r="P2315" s="235"/>
      <c r="AI2315" s="38"/>
    </row>
    <row r="2316" ht="15.75" customHeight="1">
      <c r="A2316" s="35"/>
      <c r="C2316" s="442"/>
      <c r="P2316" s="235"/>
      <c r="AI2316" s="38"/>
    </row>
    <row r="2317" ht="15.75" customHeight="1">
      <c r="A2317" s="35"/>
      <c r="C2317" s="442"/>
      <c r="P2317" s="235"/>
      <c r="AI2317" s="38"/>
    </row>
    <row r="2318" ht="15.75" customHeight="1">
      <c r="A2318" s="35"/>
      <c r="C2318" s="442"/>
      <c r="P2318" s="235"/>
      <c r="AI2318" s="38"/>
    </row>
    <row r="2319" ht="15.75" customHeight="1">
      <c r="A2319" s="35"/>
      <c r="C2319" s="442"/>
      <c r="P2319" s="235"/>
      <c r="AI2319" s="38"/>
    </row>
    <row r="2320" ht="15.75" customHeight="1">
      <c r="A2320" s="35"/>
      <c r="C2320" s="442"/>
      <c r="P2320" s="235"/>
      <c r="AI2320" s="38"/>
    </row>
    <row r="2321" ht="15.75" customHeight="1">
      <c r="A2321" s="35"/>
      <c r="C2321" s="442"/>
      <c r="P2321" s="235"/>
      <c r="AI2321" s="38"/>
    </row>
    <row r="2322" ht="15.75" customHeight="1">
      <c r="A2322" s="35"/>
      <c r="C2322" s="442"/>
      <c r="P2322" s="235"/>
      <c r="AI2322" s="38"/>
    </row>
    <row r="2323" ht="15.75" customHeight="1">
      <c r="A2323" s="35"/>
      <c r="C2323" s="442"/>
      <c r="P2323" s="235"/>
      <c r="AI2323" s="38"/>
    </row>
    <row r="2324" ht="15.75" customHeight="1">
      <c r="A2324" s="35"/>
      <c r="C2324" s="442"/>
      <c r="P2324" s="235"/>
      <c r="AI2324" s="38"/>
    </row>
    <row r="2325" ht="15.75" customHeight="1">
      <c r="A2325" s="35"/>
      <c r="C2325" s="442"/>
      <c r="P2325" s="235"/>
      <c r="AI2325" s="38"/>
    </row>
    <row r="2326" ht="15.75" customHeight="1">
      <c r="A2326" s="35"/>
      <c r="C2326" s="442"/>
      <c r="P2326" s="235"/>
      <c r="AI2326" s="38"/>
    </row>
    <row r="2327" ht="15.75" customHeight="1">
      <c r="A2327" s="35"/>
      <c r="C2327" s="442"/>
      <c r="P2327" s="235"/>
      <c r="AI2327" s="38"/>
    </row>
    <row r="2328" ht="15.75" customHeight="1">
      <c r="A2328" s="35"/>
      <c r="C2328" s="442"/>
      <c r="P2328" s="235"/>
      <c r="AI2328" s="38"/>
    </row>
    <row r="2329" ht="15.75" customHeight="1">
      <c r="A2329" s="35"/>
      <c r="C2329" s="442"/>
      <c r="P2329" s="235"/>
      <c r="AI2329" s="38"/>
    </row>
    <row r="2330" ht="15.75" customHeight="1">
      <c r="A2330" s="35"/>
      <c r="C2330" s="442"/>
      <c r="P2330" s="235"/>
      <c r="AI2330" s="38"/>
    </row>
    <row r="2331" ht="15.75" customHeight="1">
      <c r="A2331" s="35"/>
      <c r="C2331" s="442"/>
      <c r="P2331" s="235"/>
      <c r="AI2331" s="38"/>
    </row>
    <row r="2332" ht="15.75" customHeight="1">
      <c r="A2332" s="35"/>
      <c r="C2332" s="442"/>
      <c r="P2332" s="235"/>
      <c r="AI2332" s="38"/>
    </row>
    <row r="2333" ht="15.75" customHeight="1">
      <c r="A2333" s="35"/>
      <c r="C2333" s="442"/>
      <c r="P2333" s="235"/>
      <c r="AI2333" s="38"/>
    </row>
    <row r="2334" ht="15.75" customHeight="1">
      <c r="A2334" s="35"/>
      <c r="C2334" s="442"/>
      <c r="P2334" s="235"/>
      <c r="AI2334" s="38"/>
    </row>
    <row r="2335" ht="15.75" customHeight="1">
      <c r="A2335" s="35"/>
      <c r="C2335" s="442"/>
      <c r="P2335" s="235"/>
      <c r="AI2335" s="38"/>
    </row>
    <row r="2336" ht="15.75" customHeight="1">
      <c r="A2336" s="35"/>
      <c r="C2336" s="442"/>
      <c r="P2336" s="235"/>
      <c r="AI2336" s="38"/>
    </row>
    <row r="2337" ht="15.75" customHeight="1">
      <c r="A2337" s="35"/>
      <c r="C2337" s="442"/>
      <c r="P2337" s="235"/>
      <c r="AI2337" s="38"/>
    </row>
    <row r="2338" ht="15.75" customHeight="1">
      <c r="A2338" s="35"/>
      <c r="C2338" s="442"/>
      <c r="P2338" s="235"/>
      <c r="AI2338" s="38"/>
    </row>
    <row r="2339" ht="15.75" customHeight="1">
      <c r="A2339" s="35"/>
      <c r="C2339" s="442"/>
      <c r="P2339" s="235"/>
      <c r="AI2339" s="38"/>
    </row>
    <row r="2340" ht="15.75" customHeight="1">
      <c r="A2340" s="35"/>
      <c r="C2340" s="442"/>
      <c r="P2340" s="235"/>
      <c r="AI2340" s="38"/>
    </row>
    <row r="2341" ht="15.75" customHeight="1">
      <c r="A2341" s="35"/>
      <c r="C2341" s="442"/>
      <c r="P2341" s="235"/>
      <c r="AI2341" s="38"/>
    </row>
    <row r="2342" ht="15.75" customHeight="1">
      <c r="A2342" s="35"/>
      <c r="C2342" s="442"/>
      <c r="P2342" s="235"/>
      <c r="AI2342" s="38"/>
    </row>
    <row r="2343" ht="15.75" customHeight="1">
      <c r="A2343" s="35"/>
      <c r="C2343" s="442"/>
      <c r="P2343" s="235"/>
      <c r="AI2343" s="38"/>
    </row>
    <row r="2344" ht="15.75" customHeight="1">
      <c r="A2344" s="35"/>
      <c r="C2344" s="442"/>
      <c r="P2344" s="235"/>
      <c r="AI2344" s="38"/>
    </row>
    <row r="2345" ht="15.75" customHeight="1">
      <c r="A2345" s="35"/>
      <c r="C2345" s="442"/>
      <c r="P2345" s="235"/>
      <c r="AI2345" s="38"/>
    </row>
    <row r="2346" ht="15.75" customHeight="1">
      <c r="A2346" s="35"/>
      <c r="C2346" s="442"/>
      <c r="P2346" s="235"/>
      <c r="AI2346" s="38"/>
    </row>
    <row r="2347" ht="15.75" customHeight="1">
      <c r="A2347" s="35"/>
      <c r="C2347" s="442"/>
      <c r="P2347" s="235"/>
      <c r="AI2347" s="38"/>
    </row>
    <row r="2348" ht="15.75" customHeight="1">
      <c r="A2348" s="35"/>
      <c r="C2348" s="442"/>
      <c r="P2348" s="235"/>
      <c r="AI2348" s="38"/>
    </row>
    <row r="2349" ht="15.75" customHeight="1">
      <c r="A2349" s="35"/>
      <c r="C2349" s="442"/>
      <c r="P2349" s="235"/>
      <c r="AI2349" s="38"/>
    </row>
    <row r="2350" ht="15.75" customHeight="1">
      <c r="A2350" s="35"/>
      <c r="C2350" s="442"/>
      <c r="P2350" s="235"/>
      <c r="AI2350" s="38"/>
    </row>
    <row r="2351" ht="15.75" customHeight="1">
      <c r="A2351" s="35"/>
      <c r="C2351" s="442"/>
      <c r="P2351" s="235"/>
      <c r="AI2351" s="38"/>
    </row>
    <row r="2352" ht="15.75" customHeight="1">
      <c r="A2352" s="35"/>
      <c r="C2352" s="442"/>
      <c r="P2352" s="235"/>
      <c r="AI2352" s="38"/>
    </row>
    <row r="2353" ht="15.75" customHeight="1">
      <c r="A2353" s="35"/>
      <c r="C2353" s="442"/>
      <c r="P2353" s="235"/>
      <c r="AI2353" s="38"/>
    </row>
    <row r="2354" ht="15.75" customHeight="1">
      <c r="A2354" s="35"/>
      <c r="C2354" s="442"/>
      <c r="P2354" s="235"/>
      <c r="AI2354" s="38"/>
    </row>
    <row r="2355" ht="15.75" customHeight="1">
      <c r="A2355" s="35"/>
      <c r="C2355" s="442"/>
      <c r="P2355" s="235"/>
      <c r="AI2355" s="38"/>
    </row>
    <row r="2356" ht="15.75" customHeight="1">
      <c r="A2356" s="35"/>
      <c r="C2356" s="442"/>
      <c r="P2356" s="235"/>
      <c r="AI2356" s="38"/>
    </row>
    <row r="2357" ht="15.75" customHeight="1">
      <c r="A2357" s="35"/>
      <c r="C2357" s="442"/>
      <c r="P2357" s="235"/>
      <c r="AI2357" s="38"/>
    </row>
    <row r="2358" ht="15.75" customHeight="1">
      <c r="A2358" s="35"/>
      <c r="C2358" s="442"/>
      <c r="P2358" s="235"/>
      <c r="AI2358" s="38"/>
    </row>
    <row r="2359" ht="15.75" customHeight="1">
      <c r="A2359" s="35"/>
      <c r="C2359" s="442"/>
      <c r="P2359" s="235"/>
      <c r="AI2359" s="38"/>
    </row>
    <row r="2360" ht="15.75" customHeight="1">
      <c r="A2360" s="35"/>
      <c r="C2360" s="442"/>
      <c r="P2360" s="235"/>
      <c r="AI2360" s="38"/>
    </row>
    <row r="2361" ht="15.75" customHeight="1">
      <c r="A2361" s="35"/>
      <c r="C2361" s="442"/>
      <c r="P2361" s="235"/>
      <c r="AI2361" s="38"/>
    </row>
    <row r="2362" ht="15.75" customHeight="1">
      <c r="A2362" s="35"/>
      <c r="C2362" s="442"/>
      <c r="P2362" s="235"/>
      <c r="AI2362" s="38"/>
    </row>
    <row r="2363" ht="15.75" customHeight="1">
      <c r="A2363" s="35"/>
      <c r="C2363" s="442"/>
      <c r="P2363" s="235"/>
      <c r="AI2363" s="38"/>
    </row>
    <row r="2364" ht="15.75" customHeight="1">
      <c r="A2364" s="35"/>
      <c r="C2364" s="442"/>
      <c r="P2364" s="235"/>
      <c r="AI2364" s="38"/>
    </row>
    <row r="2365" ht="15.75" customHeight="1">
      <c r="A2365" s="35"/>
      <c r="C2365" s="442"/>
      <c r="P2365" s="235"/>
      <c r="AI2365" s="38"/>
    </row>
    <row r="2366" ht="15.75" customHeight="1">
      <c r="A2366" s="35"/>
      <c r="C2366" s="442"/>
      <c r="P2366" s="235"/>
      <c r="AI2366" s="38"/>
    </row>
    <row r="2367" ht="15.75" customHeight="1">
      <c r="A2367" s="35"/>
      <c r="C2367" s="442"/>
      <c r="P2367" s="235"/>
      <c r="AI2367" s="38"/>
    </row>
    <row r="2368" ht="15.75" customHeight="1">
      <c r="A2368" s="35"/>
      <c r="C2368" s="442"/>
      <c r="P2368" s="235"/>
      <c r="AI2368" s="38"/>
    </row>
    <row r="2369" ht="15.75" customHeight="1">
      <c r="A2369" s="35"/>
      <c r="C2369" s="442"/>
      <c r="P2369" s="235"/>
      <c r="AI2369" s="38"/>
    </row>
    <row r="2370" ht="15.75" customHeight="1">
      <c r="A2370" s="35"/>
      <c r="C2370" s="442"/>
      <c r="P2370" s="235"/>
      <c r="AI2370" s="38"/>
    </row>
    <row r="2371" ht="15.75" customHeight="1">
      <c r="A2371" s="35"/>
      <c r="C2371" s="442"/>
      <c r="P2371" s="235"/>
      <c r="AI2371" s="38"/>
    </row>
    <row r="2372" ht="15.75" customHeight="1">
      <c r="A2372" s="35"/>
      <c r="C2372" s="442"/>
      <c r="P2372" s="235"/>
      <c r="AI2372" s="38"/>
    </row>
    <row r="2373" ht="15.75" customHeight="1">
      <c r="A2373" s="35"/>
      <c r="C2373" s="442"/>
      <c r="P2373" s="235"/>
      <c r="AI2373" s="38"/>
    </row>
    <row r="2374" ht="15.75" customHeight="1">
      <c r="A2374" s="35"/>
      <c r="C2374" s="442"/>
      <c r="P2374" s="235"/>
      <c r="AI2374" s="38"/>
    </row>
    <row r="2375" ht="15.75" customHeight="1">
      <c r="A2375" s="35"/>
      <c r="C2375" s="442"/>
      <c r="P2375" s="235"/>
      <c r="AI2375" s="38"/>
    </row>
    <row r="2376" ht="15.75" customHeight="1">
      <c r="A2376" s="35"/>
      <c r="C2376" s="442"/>
      <c r="P2376" s="235"/>
      <c r="AI2376" s="38"/>
    </row>
    <row r="2377" ht="15.75" customHeight="1">
      <c r="A2377" s="35"/>
      <c r="C2377" s="442"/>
      <c r="P2377" s="235"/>
      <c r="AI2377" s="38"/>
    </row>
    <row r="2378" ht="15.75" customHeight="1">
      <c r="A2378" s="35"/>
      <c r="C2378" s="442"/>
      <c r="P2378" s="235"/>
      <c r="AI2378" s="38"/>
    </row>
    <row r="2379" ht="15.75" customHeight="1">
      <c r="A2379" s="35"/>
      <c r="C2379" s="442"/>
      <c r="P2379" s="235"/>
      <c r="AI2379" s="38"/>
    </row>
    <row r="2380" ht="15.75" customHeight="1">
      <c r="A2380" s="35"/>
      <c r="C2380" s="442"/>
      <c r="P2380" s="235"/>
      <c r="AI2380" s="38"/>
    </row>
    <row r="2381" ht="15.75" customHeight="1">
      <c r="A2381" s="35"/>
      <c r="C2381" s="442"/>
      <c r="P2381" s="235"/>
      <c r="AI2381" s="38"/>
    </row>
    <row r="2382" ht="15.75" customHeight="1">
      <c r="A2382" s="35"/>
      <c r="C2382" s="442"/>
      <c r="P2382" s="235"/>
      <c r="AI2382" s="38"/>
    </row>
    <row r="2383" ht="15.75" customHeight="1">
      <c r="A2383" s="35"/>
      <c r="C2383" s="442"/>
      <c r="P2383" s="235"/>
      <c r="AI2383" s="38"/>
    </row>
    <row r="2384" ht="15.75" customHeight="1">
      <c r="A2384" s="35"/>
      <c r="C2384" s="442"/>
      <c r="P2384" s="235"/>
      <c r="AI2384" s="38"/>
    </row>
    <row r="2385" ht="15.75" customHeight="1">
      <c r="A2385" s="35"/>
      <c r="C2385" s="442"/>
      <c r="P2385" s="235"/>
      <c r="AI2385" s="38"/>
    </row>
    <row r="2386" ht="15.75" customHeight="1">
      <c r="A2386" s="35"/>
      <c r="C2386" s="442"/>
      <c r="P2386" s="235"/>
      <c r="AI2386" s="38"/>
    </row>
    <row r="2387" ht="15.75" customHeight="1">
      <c r="A2387" s="35"/>
      <c r="C2387" s="442"/>
      <c r="P2387" s="235"/>
      <c r="AI2387" s="38"/>
    </row>
    <row r="2388" ht="15.75" customHeight="1">
      <c r="A2388" s="35"/>
      <c r="C2388" s="442"/>
      <c r="P2388" s="235"/>
      <c r="AI2388" s="38"/>
    </row>
    <row r="2389" ht="15.75" customHeight="1">
      <c r="A2389" s="35"/>
      <c r="C2389" s="442"/>
      <c r="P2389" s="235"/>
      <c r="AI2389" s="38"/>
    </row>
    <row r="2390" ht="15.75" customHeight="1">
      <c r="A2390" s="35"/>
      <c r="C2390" s="442"/>
      <c r="P2390" s="235"/>
      <c r="AI2390" s="38"/>
    </row>
    <row r="2391" ht="15.75" customHeight="1">
      <c r="A2391" s="35"/>
      <c r="C2391" s="442"/>
      <c r="P2391" s="235"/>
      <c r="AI2391" s="38"/>
    </row>
    <row r="2392" ht="15.75" customHeight="1">
      <c r="A2392" s="35"/>
      <c r="C2392" s="442"/>
      <c r="P2392" s="235"/>
      <c r="AI2392" s="38"/>
    </row>
    <row r="2393" ht="15.75" customHeight="1">
      <c r="A2393" s="35"/>
      <c r="C2393" s="442"/>
      <c r="P2393" s="235"/>
      <c r="AI2393" s="38"/>
    </row>
    <row r="2394" ht="15.75" customHeight="1">
      <c r="A2394" s="35"/>
      <c r="C2394" s="442"/>
      <c r="P2394" s="235"/>
      <c r="AI2394" s="38"/>
    </row>
    <row r="2395" ht="15.75" customHeight="1">
      <c r="A2395" s="35"/>
      <c r="C2395" s="442"/>
      <c r="P2395" s="235"/>
      <c r="AI2395" s="38"/>
    </row>
    <row r="2396" ht="15.75" customHeight="1">
      <c r="A2396" s="35"/>
      <c r="C2396" s="442"/>
      <c r="P2396" s="235"/>
      <c r="AI2396" s="38"/>
    </row>
    <row r="2397" ht="15.75" customHeight="1">
      <c r="A2397" s="35"/>
      <c r="C2397" s="442"/>
      <c r="P2397" s="235"/>
      <c r="AI2397" s="38"/>
    </row>
    <row r="2398" ht="15.75" customHeight="1">
      <c r="A2398" s="35"/>
      <c r="C2398" s="442"/>
      <c r="P2398" s="235"/>
      <c r="AI2398" s="38"/>
    </row>
    <row r="2399" ht="15.75" customHeight="1">
      <c r="A2399" s="35"/>
      <c r="C2399" s="442"/>
      <c r="P2399" s="235"/>
      <c r="AI2399" s="38"/>
    </row>
    <row r="2400" ht="15.75" customHeight="1">
      <c r="A2400" s="35"/>
      <c r="C2400" s="442"/>
      <c r="P2400" s="235"/>
      <c r="AI2400" s="38"/>
    </row>
    <row r="2401" ht="15.75" customHeight="1">
      <c r="A2401" s="35"/>
      <c r="C2401" s="442"/>
      <c r="P2401" s="235"/>
      <c r="AI2401" s="38"/>
    </row>
    <row r="2402" ht="15.75" customHeight="1">
      <c r="A2402" s="35"/>
      <c r="C2402" s="442"/>
      <c r="P2402" s="235"/>
      <c r="AI2402" s="38"/>
    </row>
    <row r="2403" ht="15.75" customHeight="1">
      <c r="A2403" s="35"/>
      <c r="C2403" s="442"/>
      <c r="P2403" s="235"/>
      <c r="AI2403" s="38"/>
    </row>
    <row r="2404" ht="15.75" customHeight="1">
      <c r="A2404" s="35"/>
      <c r="C2404" s="442"/>
      <c r="P2404" s="235"/>
      <c r="AI2404" s="38"/>
    </row>
    <row r="2405" ht="15.75" customHeight="1">
      <c r="A2405" s="35"/>
      <c r="C2405" s="442"/>
      <c r="P2405" s="235"/>
      <c r="AI2405" s="38"/>
    </row>
    <row r="2406" ht="15.75" customHeight="1">
      <c r="A2406" s="35"/>
      <c r="C2406" s="442"/>
      <c r="P2406" s="235"/>
      <c r="AI2406" s="38"/>
    </row>
    <row r="2407" ht="15.75" customHeight="1">
      <c r="A2407" s="35"/>
      <c r="C2407" s="442"/>
      <c r="P2407" s="235"/>
      <c r="AI2407" s="38"/>
    </row>
    <row r="2408" ht="15.75" customHeight="1">
      <c r="A2408" s="35"/>
      <c r="C2408" s="442"/>
      <c r="P2408" s="235"/>
      <c r="AI2408" s="38"/>
    </row>
    <row r="2409" ht="15.75" customHeight="1">
      <c r="A2409" s="35"/>
      <c r="C2409" s="442"/>
      <c r="P2409" s="235"/>
      <c r="AI2409" s="38"/>
    </row>
    <row r="2410" ht="15.75" customHeight="1">
      <c r="A2410" s="35"/>
      <c r="C2410" s="442"/>
      <c r="P2410" s="235"/>
      <c r="AI2410" s="38"/>
    </row>
    <row r="2411" ht="15.75" customHeight="1">
      <c r="A2411" s="35"/>
      <c r="C2411" s="442"/>
      <c r="P2411" s="235"/>
      <c r="AI2411" s="38"/>
    </row>
    <row r="2412" ht="15.75" customHeight="1">
      <c r="A2412" s="35"/>
      <c r="C2412" s="442"/>
      <c r="P2412" s="235"/>
      <c r="AI2412" s="38"/>
    </row>
    <row r="2413" ht="15.75" customHeight="1">
      <c r="A2413" s="35"/>
      <c r="C2413" s="442"/>
      <c r="P2413" s="235"/>
      <c r="AI2413" s="38"/>
    </row>
    <row r="2414" ht="15.75" customHeight="1">
      <c r="A2414" s="35"/>
      <c r="C2414" s="442"/>
      <c r="P2414" s="235"/>
      <c r="AI2414" s="38"/>
    </row>
    <row r="2415" ht="15.75" customHeight="1">
      <c r="A2415" s="35"/>
      <c r="C2415" s="442"/>
      <c r="P2415" s="235"/>
      <c r="AI2415" s="38"/>
    </row>
    <row r="2416" ht="15.75" customHeight="1">
      <c r="A2416" s="35"/>
      <c r="C2416" s="442"/>
      <c r="P2416" s="235"/>
      <c r="AI2416" s="38"/>
    </row>
    <row r="2417" ht="15.75" customHeight="1">
      <c r="A2417" s="35"/>
      <c r="C2417" s="442"/>
      <c r="P2417" s="235"/>
      <c r="AI2417" s="38"/>
    </row>
    <row r="2418" ht="15.75" customHeight="1">
      <c r="A2418" s="35"/>
      <c r="C2418" s="442"/>
      <c r="P2418" s="235"/>
      <c r="AI2418" s="38"/>
    </row>
    <row r="2419" ht="15.75" customHeight="1">
      <c r="A2419" s="35"/>
      <c r="C2419" s="442"/>
      <c r="P2419" s="235"/>
      <c r="AI2419" s="38"/>
    </row>
    <row r="2420" ht="15.75" customHeight="1">
      <c r="A2420" s="35"/>
      <c r="C2420" s="442"/>
      <c r="P2420" s="235"/>
      <c r="AI2420" s="38"/>
    </row>
    <row r="2421" ht="15.75" customHeight="1">
      <c r="A2421" s="35"/>
      <c r="C2421" s="442"/>
      <c r="P2421" s="235"/>
      <c r="AI2421" s="38"/>
    </row>
    <row r="2422" ht="15.75" customHeight="1">
      <c r="A2422" s="35"/>
      <c r="C2422" s="442"/>
      <c r="P2422" s="235"/>
      <c r="AI2422" s="38"/>
    </row>
    <row r="2423" ht="15.75" customHeight="1">
      <c r="A2423" s="35"/>
      <c r="C2423" s="442"/>
      <c r="P2423" s="235"/>
      <c r="AI2423" s="38"/>
    </row>
    <row r="2424" ht="15.75" customHeight="1">
      <c r="A2424" s="35"/>
      <c r="C2424" s="442"/>
      <c r="P2424" s="235"/>
      <c r="AI2424" s="38"/>
    </row>
    <row r="2425" ht="15.75" customHeight="1">
      <c r="A2425" s="35"/>
      <c r="C2425" s="442"/>
      <c r="P2425" s="235"/>
      <c r="AI2425" s="38"/>
    </row>
    <row r="2426" ht="15.75" customHeight="1">
      <c r="A2426" s="35"/>
      <c r="C2426" s="442"/>
      <c r="P2426" s="235"/>
      <c r="AI2426" s="38"/>
    </row>
    <row r="2427" ht="15.75" customHeight="1">
      <c r="A2427" s="35"/>
      <c r="C2427" s="442"/>
      <c r="P2427" s="235"/>
      <c r="AI2427" s="38"/>
    </row>
    <row r="2428" ht="15.75" customHeight="1">
      <c r="A2428" s="35"/>
      <c r="C2428" s="442"/>
      <c r="P2428" s="235"/>
      <c r="AI2428" s="38"/>
    </row>
    <row r="2429" ht="15.75" customHeight="1">
      <c r="A2429" s="35"/>
      <c r="C2429" s="442"/>
      <c r="P2429" s="235"/>
      <c r="AI2429" s="38"/>
    </row>
    <row r="2430" ht="15.75" customHeight="1">
      <c r="A2430" s="35"/>
      <c r="C2430" s="442"/>
      <c r="P2430" s="235"/>
      <c r="AI2430" s="38"/>
    </row>
    <row r="2431" ht="15.75" customHeight="1">
      <c r="A2431" s="35"/>
      <c r="C2431" s="442"/>
      <c r="P2431" s="235"/>
      <c r="AI2431" s="38"/>
    </row>
    <row r="2432" ht="15.75" customHeight="1">
      <c r="A2432" s="35"/>
      <c r="C2432" s="442"/>
      <c r="P2432" s="235"/>
      <c r="AI2432" s="38"/>
    </row>
    <row r="2433" ht="15.75" customHeight="1">
      <c r="A2433" s="35"/>
      <c r="C2433" s="442"/>
      <c r="P2433" s="235"/>
      <c r="AI2433" s="38"/>
    </row>
    <row r="2434" ht="15.75" customHeight="1">
      <c r="A2434" s="35"/>
      <c r="C2434" s="442"/>
      <c r="P2434" s="235"/>
      <c r="AI2434" s="38"/>
    </row>
    <row r="2435" ht="15.75" customHeight="1">
      <c r="A2435" s="35"/>
      <c r="C2435" s="442"/>
      <c r="P2435" s="235"/>
      <c r="AI2435" s="38"/>
    </row>
    <row r="2436" ht="15.75" customHeight="1">
      <c r="A2436" s="35"/>
      <c r="C2436" s="442"/>
      <c r="P2436" s="235"/>
      <c r="AI2436" s="38"/>
    </row>
    <row r="2437" ht="15.75" customHeight="1">
      <c r="A2437" s="35"/>
      <c r="C2437" s="442"/>
      <c r="P2437" s="235"/>
      <c r="AI2437" s="38"/>
    </row>
    <row r="2438" ht="15.75" customHeight="1">
      <c r="A2438" s="35"/>
      <c r="C2438" s="442"/>
      <c r="P2438" s="235"/>
      <c r="AI2438" s="38"/>
    </row>
    <row r="2439" ht="15.75" customHeight="1">
      <c r="A2439" s="35"/>
      <c r="C2439" s="442"/>
      <c r="P2439" s="235"/>
      <c r="AI2439" s="38"/>
    </row>
    <row r="2440" ht="15.75" customHeight="1">
      <c r="A2440" s="35"/>
      <c r="C2440" s="442"/>
      <c r="P2440" s="235"/>
      <c r="AI2440" s="38"/>
    </row>
    <row r="2441" ht="15.75" customHeight="1">
      <c r="A2441" s="35"/>
      <c r="C2441" s="442"/>
      <c r="P2441" s="235"/>
      <c r="AI2441" s="38"/>
    </row>
    <row r="2442" ht="15.75" customHeight="1">
      <c r="A2442" s="35"/>
      <c r="C2442" s="442"/>
      <c r="P2442" s="235"/>
      <c r="AI2442" s="38"/>
    </row>
    <row r="2443" ht="15.75" customHeight="1">
      <c r="A2443" s="35"/>
      <c r="C2443" s="442"/>
      <c r="P2443" s="235"/>
      <c r="AI2443" s="38"/>
    </row>
    <row r="2444" ht="15.75" customHeight="1">
      <c r="A2444" s="35"/>
      <c r="C2444" s="442"/>
      <c r="P2444" s="235"/>
      <c r="AI2444" s="38"/>
    </row>
    <row r="2445" ht="15.75" customHeight="1">
      <c r="A2445" s="35"/>
      <c r="C2445" s="442"/>
      <c r="P2445" s="235"/>
      <c r="AI2445" s="38"/>
    </row>
    <row r="2446" ht="15.75" customHeight="1">
      <c r="A2446" s="35"/>
      <c r="C2446" s="442"/>
      <c r="P2446" s="235"/>
      <c r="AI2446" s="38"/>
    </row>
    <row r="2447" ht="15.75" customHeight="1">
      <c r="A2447" s="35"/>
      <c r="C2447" s="442"/>
      <c r="P2447" s="235"/>
      <c r="AI2447" s="38"/>
    </row>
    <row r="2448" ht="15.75" customHeight="1">
      <c r="A2448" s="35"/>
      <c r="C2448" s="442"/>
      <c r="P2448" s="235"/>
      <c r="AI2448" s="38"/>
    </row>
    <row r="2449" ht="15.75" customHeight="1">
      <c r="A2449" s="35"/>
      <c r="C2449" s="442"/>
      <c r="P2449" s="235"/>
      <c r="AI2449" s="38"/>
    </row>
    <row r="2450" ht="15.75" customHeight="1">
      <c r="A2450" s="35"/>
      <c r="C2450" s="442"/>
      <c r="P2450" s="235"/>
      <c r="AI2450" s="38"/>
    </row>
    <row r="2451" ht="15.75" customHeight="1">
      <c r="A2451" s="35"/>
      <c r="C2451" s="442"/>
      <c r="P2451" s="235"/>
      <c r="AI2451" s="38"/>
    </row>
    <row r="2452" ht="15.75" customHeight="1">
      <c r="A2452" s="35"/>
      <c r="C2452" s="442"/>
      <c r="P2452" s="235"/>
      <c r="AI2452" s="38"/>
    </row>
    <row r="2453" ht="15.75" customHeight="1">
      <c r="A2453" s="35"/>
      <c r="C2453" s="442"/>
      <c r="P2453" s="235"/>
      <c r="AI2453" s="38"/>
    </row>
    <row r="2454" ht="15.75" customHeight="1">
      <c r="A2454" s="35"/>
      <c r="C2454" s="442"/>
      <c r="P2454" s="235"/>
      <c r="AI2454" s="38"/>
    </row>
    <row r="2455" ht="15.75" customHeight="1">
      <c r="A2455" s="35"/>
      <c r="C2455" s="442"/>
      <c r="P2455" s="235"/>
      <c r="AI2455" s="38"/>
    </row>
    <row r="2456" ht="15.75" customHeight="1">
      <c r="A2456" s="35"/>
      <c r="C2456" s="442"/>
      <c r="P2456" s="235"/>
      <c r="AI2456" s="38"/>
    </row>
    <row r="2457" ht="15.75" customHeight="1">
      <c r="A2457" s="35"/>
      <c r="C2457" s="442"/>
      <c r="P2457" s="235"/>
      <c r="AI2457" s="38"/>
    </row>
    <row r="2458" ht="15.75" customHeight="1">
      <c r="A2458" s="35"/>
      <c r="C2458" s="442"/>
      <c r="P2458" s="235"/>
      <c r="AI2458" s="38"/>
    </row>
    <row r="2459" ht="15.75" customHeight="1">
      <c r="A2459" s="35"/>
      <c r="C2459" s="442"/>
      <c r="P2459" s="235"/>
      <c r="AI2459" s="38"/>
    </row>
    <row r="2460" ht="15.75" customHeight="1">
      <c r="A2460" s="35"/>
      <c r="C2460" s="442"/>
      <c r="P2460" s="235"/>
      <c r="AI2460" s="38"/>
    </row>
    <row r="2461" ht="15.75" customHeight="1">
      <c r="A2461" s="35"/>
      <c r="C2461" s="442"/>
      <c r="P2461" s="235"/>
      <c r="AI2461" s="38"/>
    </row>
    <row r="2462" ht="15.75" customHeight="1">
      <c r="A2462" s="35"/>
      <c r="C2462" s="442"/>
      <c r="P2462" s="235"/>
      <c r="AI2462" s="38"/>
    </row>
    <row r="2463" ht="15.75" customHeight="1">
      <c r="A2463" s="35"/>
      <c r="C2463" s="442"/>
      <c r="P2463" s="235"/>
      <c r="AI2463" s="38"/>
    </row>
    <row r="2464" ht="15.75" customHeight="1">
      <c r="A2464" s="35"/>
      <c r="C2464" s="442"/>
      <c r="P2464" s="235"/>
      <c r="AI2464" s="38"/>
    </row>
    <row r="2465" ht="15.75" customHeight="1">
      <c r="A2465" s="35"/>
      <c r="C2465" s="442"/>
      <c r="P2465" s="235"/>
      <c r="AI2465" s="38"/>
    </row>
    <row r="2466" ht="15.75" customHeight="1">
      <c r="A2466" s="35"/>
      <c r="C2466" s="442"/>
      <c r="P2466" s="235"/>
      <c r="AI2466" s="38"/>
    </row>
    <row r="2467" ht="15.75" customHeight="1">
      <c r="A2467" s="35"/>
      <c r="C2467" s="442"/>
      <c r="P2467" s="235"/>
      <c r="AI2467" s="38"/>
    </row>
    <row r="2468" ht="15.75" customHeight="1">
      <c r="A2468" s="35"/>
      <c r="C2468" s="442"/>
      <c r="P2468" s="235"/>
      <c r="AI2468" s="38"/>
    </row>
    <row r="2469" ht="15.75" customHeight="1">
      <c r="A2469" s="35"/>
      <c r="C2469" s="442"/>
      <c r="P2469" s="235"/>
      <c r="AI2469" s="38"/>
    </row>
    <row r="2470" ht="15.75" customHeight="1">
      <c r="A2470" s="35"/>
      <c r="C2470" s="442"/>
      <c r="P2470" s="235"/>
      <c r="AI2470" s="38"/>
    </row>
    <row r="2471" ht="15.75" customHeight="1">
      <c r="A2471" s="35"/>
      <c r="C2471" s="442"/>
      <c r="P2471" s="235"/>
      <c r="AI2471" s="38"/>
    </row>
    <row r="2472" ht="15.75" customHeight="1">
      <c r="A2472" s="35"/>
      <c r="C2472" s="442"/>
      <c r="P2472" s="235"/>
      <c r="AI2472" s="38"/>
    </row>
    <row r="2473" ht="15.75" customHeight="1">
      <c r="A2473" s="35"/>
      <c r="C2473" s="442"/>
      <c r="P2473" s="235"/>
      <c r="AI2473" s="38"/>
    </row>
    <row r="2474" ht="15.75" customHeight="1">
      <c r="A2474" s="35"/>
      <c r="C2474" s="442"/>
      <c r="P2474" s="235"/>
      <c r="AI2474" s="38"/>
    </row>
    <row r="2475" ht="15.75" customHeight="1">
      <c r="A2475" s="35"/>
      <c r="C2475" s="442"/>
      <c r="P2475" s="235"/>
      <c r="AI2475" s="38"/>
    </row>
    <row r="2476" ht="15.75" customHeight="1">
      <c r="A2476" s="35"/>
      <c r="C2476" s="442"/>
      <c r="P2476" s="235"/>
      <c r="AI2476" s="38"/>
    </row>
    <row r="2477" ht="15.75" customHeight="1">
      <c r="A2477" s="35"/>
      <c r="C2477" s="442"/>
      <c r="P2477" s="235"/>
      <c r="AI2477" s="38"/>
    </row>
    <row r="2478" ht="15.75" customHeight="1">
      <c r="A2478" s="35"/>
      <c r="C2478" s="442"/>
      <c r="P2478" s="235"/>
      <c r="AI2478" s="38"/>
    </row>
    <row r="2479" ht="15.75" customHeight="1">
      <c r="A2479" s="35"/>
      <c r="C2479" s="442"/>
      <c r="P2479" s="235"/>
      <c r="AI2479" s="38"/>
    </row>
    <row r="2480" ht="15.75" customHeight="1">
      <c r="A2480" s="35"/>
      <c r="C2480" s="442"/>
      <c r="P2480" s="235"/>
      <c r="AI2480" s="38"/>
    </row>
    <row r="2481" ht="15.75" customHeight="1">
      <c r="A2481" s="35"/>
      <c r="C2481" s="442"/>
      <c r="P2481" s="235"/>
      <c r="AI2481" s="38"/>
    </row>
    <row r="2482" ht="15.75" customHeight="1">
      <c r="A2482" s="35"/>
      <c r="C2482" s="442"/>
      <c r="P2482" s="235"/>
      <c r="AI2482" s="38"/>
    </row>
    <row r="2483" ht="15.75" customHeight="1">
      <c r="A2483" s="35"/>
      <c r="C2483" s="442"/>
      <c r="P2483" s="235"/>
      <c r="AI2483" s="38"/>
    </row>
    <row r="2484" ht="15.75" customHeight="1">
      <c r="A2484" s="35"/>
      <c r="C2484" s="442"/>
      <c r="P2484" s="235"/>
      <c r="AI2484" s="38"/>
    </row>
    <row r="2485" ht="15.75" customHeight="1">
      <c r="A2485" s="35"/>
      <c r="C2485" s="442"/>
      <c r="P2485" s="235"/>
      <c r="AI2485" s="38"/>
    </row>
    <row r="2486" ht="15.75" customHeight="1">
      <c r="A2486" s="35"/>
      <c r="C2486" s="442"/>
      <c r="P2486" s="235"/>
      <c r="AI2486" s="38"/>
    </row>
    <row r="2487" ht="15.75" customHeight="1">
      <c r="A2487" s="35"/>
      <c r="C2487" s="442"/>
      <c r="P2487" s="235"/>
      <c r="AI2487" s="38"/>
    </row>
    <row r="2488" ht="15.75" customHeight="1">
      <c r="A2488" s="35"/>
      <c r="C2488" s="442"/>
      <c r="P2488" s="235"/>
      <c r="AI2488" s="38"/>
    </row>
    <row r="2489" ht="15.75" customHeight="1">
      <c r="A2489" s="35"/>
      <c r="C2489" s="442"/>
      <c r="P2489" s="235"/>
      <c r="AI2489" s="38"/>
    </row>
    <row r="2490" ht="15.75" customHeight="1">
      <c r="A2490" s="35"/>
      <c r="C2490" s="442"/>
      <c r="P2490" s="235"/>
      <c r="AI2490" s="38"/>
    </row>
    <row r="2491" ht="15.75" customHeight="1">
      <c r="A2491" s="35"/>
      <c r="C2491" s="442"/>
      <c r="P2491" s="235"/>
      <c r="AI2491" s="38"/>
    </row>
    <row r="2492" ht="15.75" customHeight="1">
      <c r="A2492" s="35"/>
      <c r="C2492" s="442"/>
      <c r="P2492" s="235"/>
      <c r="AI2492" s="38"/>
    </row>
    <row r="2493" ht="15.75" customHeight="1">
      <c r="A2493" s="35"/>
      <c r="C2493" s="442"/>
      <c r="P2493" s="235"/>
      <c r="AI2493" s="38"/>
    </row>
    <row r="2494" ht="15.75" customHeight="1">
      <c r="A2494" s="35"/>
      <c r="C2494" s="442"/>
      <c r="P2494" s="235"/>
      <c r="AI2494" s="38"/>
    </row>
    <row r="2495" ht="15.75" customHeight="1">
      <c r="A2495" s="35"/>
      <c r="C2495" s="442"/>
      <c r="P2495" s="235"/>
      <c r="AI2495" s="38"/>
    </row>
    <row r="2496" ht="15.75" customHeight="1">
      <c r="A2496" s="35"/>
      <c r="C2496" s="442"/>
      <c r="P2496" s="235"/>
      <c r="AI2496" s="38"/>
    </row>
    <row r="2497" ht="15.75" customHeight="1">
      <c r="A2497" s="35"/>
      <c r="C2497" s="442"/>
      <c r="P2497" s="235"/>
      <c r="AI2497" s="38"/>
    </row>
    <row r="2498" ht="15.75" customHeight="1">
      <c r="A2498" s="35"/>
      <c r="C2498" s="442"/>
      <c r="P2498" s="235"/>
      <c r="AI2498" s="38"/>
    </row>
    <row r="2499" ht="15.75" customHeight="1">
      <c r="A2499" s="35"/>
      <c r="C2499" s="442"/>
      <c r="P2499" s="235"/>
      <c r="AI2499" s="38"/>
    </row>
    <row r="2500" ht="15.75" customHeight="1">
      <c r="A2500" s="35"/>
      <c r="C2500" s="442"/>
      <c r="P2500" s="235"/>
      <c r="AI2500" s="38"/>
    </row>
    <row r="2501" ht="15.75" customHeight="1">
      <c r="A2501" s="35"/>
      <c r="C2501" s="442"/>
      <c r="P2501" s="235"/>
      <c r="AI2501" s="38"/>
    </row>
    <row r="2502" ht="15.75" customHeight="1">
      <c r="A2502" s="35"/>
      <c r="C2502" s="442"/>
      <c r="P2502" s="235"/>
      <c r="AI2502" s="38"/>
    </row>
    <row r="2503" ht="15.75" customHeight="1">
      <c r="A2503" s="35"/>
      <c r="C2503" s="442"/>
      <c r="P2503" s="235"/>
      <c r="AI2503" s="38"/>
    </row>
    <row r="2504" ht="15.75" customHeight="1">
      <c r="A2504" s="35"/>
      <c r="C2504" s="442"/>
      <c r="P2504" s="235"/>
      <c r="AI2504" s="38"/>
    </row>
    <row r="2505" ht="15.75" customHeight="1">
      <c r="A2505" s="35"/>
      <c r="C2505" s="442"/>
      <c r="P2505" s="235"/>
      <c r="AI2505" s="38"/>
    </row>
    <row r="2506" ht="15.75" customHeight="1">
      <c r="A2506" s="35"/>
      <c r="C2506" s="442"/>
      <c r="P2506" s="235"/>
      <c r="AI2506" s="38"/>
    </row>
    <row r="2507" ht="15.75" customHeight="1">
      <c r="A2507" s="35"/>
      <c r="C2507" s="442"/>
      <c r="P2507" s="235"/>
      <c r="AI2507" s="38"/>
    </row>
    <row r="2508" ht="15.75" customHeight="1">
      <c r="A2508" s="35"/>
      <c r="C2508" s="442"/>
      <c r="P2508" s="235"/>
      <c r="AI2508" s="38"/>
    </row>
    <row r="2509" ht="15.75" customHeight="1">
      <c r="A2509" s="35"/>
      <c r="C2509" s="442"/>
      <c r="P2509" s="235"/>
      <c r="AI2509" s="38"/>
    </row>
    <row r="2510" ht="15.75" customHeight="1">
      <c r="A2510" s="35"/>
      <c r="C2510" s="442"/>
      <c r="P2510" s="235"/>
      <c r="AI2510" s="38"/>
    </row>
    <row r="2511" ht="15.75" customHeight="1">
      <c r="A2511" s="35"/>
      <c r="C2511" s="442"/>
      <c r="P2511" s="235"/>
      <c r="AI2511" s="38"/>
    </row>
    <row r="2512" ht="15.75" customHeight="1">
      <c r="A2512" s="35"/>
      <c r="C2512" s="442"/>
      <c r="P2512" s="235"/>
      <c r="AI2512" s="38"/>
    </row>
    <row r="2513" ht="15.75" customHeight="1">
      <c r="A2513" s="35"/>
      <c r="C2513" s="442"/>
      <c r="P2513" s="235"/>
      <c r="AI2513" s="38"/>
    </row>
    <row r="2514" ht="15.75" customHeight="1">
      <c r="A2514" s="35"/>
      <c r="C2514" s="442"/>
      <c r="P2514" s="235"/>
      <c r="AI2514" s="38"/>
    </row>
    <row r="2515" ht="15.75" customHeight="1">
      <c r="A2515" s="35"/>
      <c r="C2515" s="442"/>
      <c r="P2515" s="235"/>
      <c r="AI2515" s="38"/>
    </row>
    <row r="2516" ht="15.75" customHeight="1">
      <c r="A2516" s="35"/>
      <c r="C2516" s="442"/>
      <c r="P2516" s="235"/>
      <c r="AI2516" s="38"/>
    </row>
    <row r="2517" ht="15.75" customHeight="1">
      <c r="A2517" s="35"/>
      <c r="C2517" s="442"/>
      <c r="P2517" s="235"/>
      <c r="AI2517" s="38"/>
    </row>
    <row r="2518" ht="15.75" customHeight="1">
      <c r="A2518" s="35"/>
      <c r="C2518" s="442"/>
      <c r="P2518" s="235"/>
      <c r="AI2518" s="38"/>
    </row>
    <row r="2519" ht="15.75" customHeight="1">
      <c r="A2519" s="35"/>
      <c r="C2519" s="442"/>
      <c r="P2519" s="235"/>
      <c r="AI2519" s="38"/>
    </row>
    <row r="2520" ht="15.75" customHeight="1">
      <c r="A2520" s="35"/>
      <c r="C2520" s="442"/>
      <c r="P2520" s="235"/>
      <c r="AI2520" s="38"/>
    </row>
    <row r="2521" ht="15.75" customHeight="1">
      <c r="A2521" s="35"/>
      <c r="C2521" s="442"/>
      <c r="P2521" s="235"/>
      <c r="AI2521" s="38"/>
    </row>
    <row r="2522" ht="15.75" customHeight="1">
      <c r="A2522" s="35"/>
      <c r="C2522" s="442"/>
      <c r="P2522" s="235"/>
      <c r="AI2522" s="38"/>
    </row>
    <row r="2523" ht="15.75" customHeight="1">
      <c r="A2523" s="35"/>
      <c r="C2523" s="442"/>
      <c r="P2523" s="235"/>
      <c r="AI2523" s="38"/>
    </row>
    <row r="2524" ht="15.75" customHeight="1">
      <c r="A2524" s="35"/>
      <c r="C2524" s="442"/>
      <c r="P2524" s="235"/>
      <c r="AI2524" s="38"/>
    </row>
    <row r="2525" ht="15.75" customHeight="1">
      <c r="A2525" s="35"/>
      <c r="C2525" s="442"/>
      <c r="P2525" s="235"/>
      <c r="AI2525" s="38"/>
    </row>
    <row r="2526" ht="15.75" customHeight="1">
      <c r="A2526" s="35"/>
      <c r="C2526" s="442"/>
      <c r="P2526" s="235"/>
      <c r="AI2526" s="38"/>
    </row>
    <row r="2527" ht="15.75" customHeight="1">
      <c r="A2527" s="35"/>
      <c r="C2527" s="442"/>
      <c r="P2527" s="235"/>
      <c r="AI2527" s="38"/>
    </row>
    <row r="2528" ht="15.75" customHeight="1">
      <c r="A2528" s="35"/>
      <c r="C2528" s="442"/>
      <c r="P2528" s="235"/>
      <c r="AI2528" s="38"/>
    </row>
    <row r="2529" ht="15.75" customHeight="1">
      <c r="A2529" s="35"/>
      <c r="C2529" s="442"/>
      <c r="P2529" s="235"/>
      <c r="AI2529" s="38"/>
    </row>
    <row r="2530" ht="15.75" customHeight="1">
      <c r="A2530" s="35"/>
      <c r="C2530" s="442"/>
      <c r="P2530" s="235"/>
      <c r="AI2530" s="38"/>
    </row>
    <row r="2531" ht="15.75" customHeight="1">
      <c r="A2531" s="35"/>
      <c r="C2531" s="442"/>
      <c r="P2531" s="235"/>
      <c r="AI2531" s="38"/>
    </row>
    <row r="2532" ht="15.75" customHeight="1">
      <c r="A2532" s="35"/>
      <c r="C2532" s="442"/>
      <c r="P2532" s="235"/>
      <c r="AI2532" s="38"/>
    </row>
    <row r="2533" ht="15.75" customHeight="1">
      <c r="A2533" s="35"/>
      <c r="C2533" s="442"/>
      <c r="P2533" s="235"/>
      <c r="AI2533" s="38"/>
    </row>
    <row r="2534" ht="15.75" customHeight="1">
      <c r="A2534" s="35"/>
      <c r="C2534" s="442"/>
      <c r="P2534" s="235"/>
      <c r="AI2534" s="38"/>
    </row>
    <row r="2535" ht="15.75" customHeight="1">
      <c r="A2535" s="35"/>
      <c r="C2535" s="442"/>
      <c r="P2535" s="235"/>
      <c r="AI2535" s="38"/>
    </row>
    <row r="2536" ht="15.75" customHeight="1">
      <c r="A2536" s="35"/>
      <c r="C2536" s="442"/>
      <c r="P2536" s="235"/>
      <c r="AI2536" s="38"/>
    </row>
    <row r="2537" ht="15.75" customHeight="1">
      <c r="A2537" s="35"/>
      <c r="C2537" s="442"/>
      <c r="P2537" s="235"/>
      <c r="AI2537" s="38"/>
    </row>
    <row r="2538" ht="15.75" customHeight="1">
      <c r="A2538" s="35"/>
      <c r="C2538" s="442"/>
      <c r="P2538" s="235"/>
      <c r="AI2538" s="38"/>
    </row>
    <row r="2539" ht="15.75" customHeight="1">
      <c r="A2539" s="35"/>
      <c r="C2539" s="442"/>
      <c r="P2539" s="235"/>
      <c r="AI2539" s="38"/>
    </row>
    <row r="2540" ht="15.75" customHeight="1">
      <c r="A2540" s="35"/>
      <c r="C2540" s="442"/>
      <c r="P2540" s="235"/>
      <c r="AI2540" s="38"/>
    </row>
    <row r="2541" ht="15.75" customHeight="1">
      <c r="A2541" s="35"/>
      <c r="C2541" s="442"/>
      <c r="P2541" s="235"/>
      <c r="AI2541" s="38"/>
    </row>
    <row r="2542" ht="15.75" customHeight="1">
      <c r="A2542" s="35"/>
      <c r="C2542" s="442"/>
      <c r="P2542" s="235"/>
      <c r="AI2542" s="38"/>
    </row>
    <row r="2543" ht="15.75" customHeight="1">
      <c r="A2543" s="35"/>
      <c r="C2543" s="442"/>
      <c r="P2543" s="235"/>
      <c r="AI2543" s="38"/>
    </row>
    <row r="2544" ht="15.75" customHeight="1">
      <c r="A2544" s="35"/>
      <c r="C2544" s="442"/>
      <c r="P2544" s="235"/>
      <c r="AI2544" s="38"/>
    </row>
    <row r="2545" ht="15.75" customHeight="1">
      <c r="A2545" s="35"/>
      <c r="C2545" s="442"/>
      <c r="P2545" s="235"/>
      <c r="AI2545" s="38"/>
    </row>
    <row r="2546" ht="15.75" customHeight="1">
      <c r="A2546" s="35"/>
      <c r="C2546" s="442"/>
      <c r="P2546" s="235"/>
      <c r="AI2546" s="38"/>
    </row>
    <row r="2547" ht="15.75" customHeight="1">
      <c r="A2547" s="35"/>
      <c r="C2547" s="442"/>
      <c r="P2547" s="235"/>
      <c r="AI2547" s="38"/>
    </row>
    <row r="2548" ht="15.75" customHeight="1">
      <c r="A2548" s="35"/>
      <c r="C2548" s="442"/>
      <c r="P2548" s="235"/>
      <c r="AI2548" s="38"/>
    </row>
    <row r="2549" ht="15.75" customHeight="1">
      <c r="A2549" s="35"/>
      <c r="C2549" s="442"/>
      <c r="P2549" s="235"/>
      <c r="AI2549" s="38"/>
    </row>
    <row r="2550" ht="15.75" customHeight="1">
      <c r="A2550" s="35"/>
      <c r="C2550" s="442"/>
      <c r="P2550" s="235"/>
      <c r="AI2550" s="38"/>
    </row>
    <row r="2551" ht="15.75" customHeight="1">
      <c r="A2551" s="35"/>
      <c r="C2551" s="442"/>
      <c r="P2551" s="235"/>
      <c r="AI2551" s="38"/>
    </row>
    <row r="2552" ht="15.75" customHeight="1">
      <c r="A2552" s="35"/>
      <c r="C2552" s="442"/>
      <c r="P2552" s="235"/>
      <c r="AI2552" s="38"/>
    </row>
    <row r="2553" ht="15.75" customHeight="1">
      <c r="A2553" s="35"/>
      <c r="C2553" s="442"/>
      <c r="P2553" s="235"/>
      <c r="AI2553" s="38"/>
    </row>
    <row r="2554" ht="15.75" customHeight="1">
      <c r="A2554" s="35"/>
      <c r="C2554" s="442"/>
      <c r="P2554" s="235"/>
      <c r="AI2554" s="38"/>
    </row>
    <row r="2555" ht="15.75" customHeight="1">
      <c r="A2555" s="35"/>
      <c r="C2555" s="442"/>
      <c r="P2555" s="235"/>
      <c r="AI2555" s="38"/>
    </row>
    <row r="2556" ht="15.75" customHeight="1">
      <c r="A2556" s="35"/>
      <c r="C2556" s="442"/>
      <c r="P2556" s="235"/>
      <c r="AI2556" s="38"/>
    </row>
    <row r="2557" ht="15.75" customHeight="1">
      <c r="A2557" s="35"/>
      <c r="C2557" s="442"/>
      <c r="P2557" s="235"/>
      <c r="AI2557" s="38"/>
    </row>
    <row r="2558" ht="15.75" customHeight="1">
      <c r="A2558" s="35"/>
      <c r="C2558" s="442"/>
      <c r="P2558" s="235"/>
      <c r="AI2558" s="38"/>
    </row>
    <row r="2559" ht="15.75" customHeight="1">
      <c r="A2559" s="35"/>
      <c r="C2559" s="442"/>
      <c r="P2559" s="235"/>
      <c r="AI2559" s="38"/>
    </row>
    <row r="2560" ht="15.75" customHeight="1">
      <c r="A2560" s="35"/>
      <c r="C2560" s="442"/>
      <c r="P2560" s="235"/>
      <c r="AI2560" s="38"/>
    </row>
    <row r="2561" ht="15.75" customHeight="1">
      <c r="A2561" s="35"/>
      <c r="C2561" s="442"/>
      <c r="P2561" s="235"/>
      <c r="AI2561" s="38"/>
    </row>
    <row r="2562" ht="15.75" customHeight="1">
      <c r="A2562" s="35"/>
      <c r="C2562" s="442"/>
      <c r="P2562" s="235"/>
      <c r="AI2562" s="38"/>
    </row>
    <row r="2563" ht="15.75" customHeight="1">
      <c r="A2563" s="35"/>
      <c r="C2563" s="442"/>
      <c r="P2563" s="235"/>
      <c r="AI2563" s="38"/>
    </row>
    <row r="2564" ht="15.75" customHeight="1">
      <c r="A2564" s="35"/>
      <c r="C2564" s="442"/>
      <c r="P2564" s="235"/>
      <c r="AI2564" s="38"/>
    </row>
    <row r="2565" ht="15.75" customHeight="1">
      <c r="A2565" s="35"/>
      <c r="C2565" s="442"/>
      <c r="P2565" s="235"/>
      <c r="AI2565" s="38"/>
    </row>
    <row r="2566" ht="15.75" customHeight="1">
      <c r="A2566" s="35"/>
      <c r="C2566" s="442"/>
      <c r="P2566" s="235"/>
      <c r="AI2566" s="38"/>
    </row>
    <row r="2567" ht="15.75" customHeight="1">
      <c r="A2567" s="35"/>
      <c r="C2567" s="442"/>
      <c r="P2567" s="235"/>
      <c r="AI2567" s="38"/>
    </row>
    <row r="2568" ht="15.75" customHeight="1">
      <c r="A2568" s="35"/>
      <c r="C2568" s="442"/>
      <c r="P2568" s="235"/>
      <c r="AI2568" s="38"/>
    </row>
    <row r="2569" ht="15.75" customHeight="1">
      <c r="A2569" s="35"/>
      <c r="C2569" s="442"/>
      <c r="P2569" s="235"/>
      <c r="AI2569" s="38"/>
    </row>
    <row r="2570" ht="15.75" customHeight="1">
      <c r="A2570" s="35"/>
      <c r="C2570" s="442"/>
      <c r="P2570" s="235"/>
      <c r="AI2570" s="38"/>
    </row>
    <row r="2571" ht="15.75" customHeight="1">
      <c r="A2571" s="35"/>
      <c r="C2571" s="442"/>
      <c r="P2571" s="235"/>
      <c r="AI2571" s="38"/>
    </row>
    <row r="2572" ht="15.75" customHeight="1">
      <c r="A2572" s="35"/>
      <c r="C2572" s="442"/>
      <c r="P2572" s="235"/>
      <c r="AI2572" s="38"/>
    </row>
    <row r="2573" ht="15.75" customHeight="1">
      <c r="A2573" s="35"/>
      <c r="C2573" s="442"/>
      <c r="P2573" s="235"/>
      <c r="AI2573" s="38"/>
    </row>
    <row r="2574" ht="15.75" customHeight="1">
      <c r="A2574" s="35"/>
      <c r="C2574" s="442"/>
      <c r="P2574" s="235"/>
      <c r="AI2574" s="38"/>
    </row>
    <row r="2575" ht="15.75" customHeight="1">
      <c r="A2575" s="35"/>
      <c r="C2575" s="442"/>
      <c r="P2575" s="235"/>
      <c r="AI2575" s="38"/>
    </row>
    <row r="2576" ht="15.75" customHeight="1">
      <c r="A2576" s="35"/>
      <c r="C2576" s="442"/>
      <c r="P2576" s="235"/>
      <c r="AI2576" s="38"/>
    </row>
    <row r="2577" ht="15.75" customHeight="1">
      <c r="A2577" s="35"/>
      <c r="C2577" s="442"/>
      <c r="P2577" s="235"/>
      <c r="AI2577" s="38"/>
    </row>
    <row r="2578" ht="15.75" customHeight="1">
      <c r="A2578" s="35"/>
      <c r="C2578" s="442"/>
      <c r="P2578" s="235"/>
      <c r="AI2578" s="38"/>
    </row>
    <row r="2579" ht="15.75" customHeight="1">
      <c r="A2579" s="35"/>
      <c r="C2579" s="442"/>
      <c r="P2579" s="235"/>
      <c r="AI2579" s="38"/>
    </row>
    <row r="2580" ht="15.75" customHeight="1">
      <c r="A2580" s="35"/>
      <c r="C2580" s="442"/>
      <c r="P2580" s="235"/>
      <c r="AI2580" s="38"/>
    </row>
    <row r="2581" ht="15.75" customHeight="1">
      <c r="A2581" s="35"/>
      <c r="C2581" s="442"/>
      <c r="P2581" s="235"/>
      <c r="AI2581" s="38"/>
    </row>
    <row r="2582" ht="15.75" customHeight="1">
      <c r="A2582" s="35"/>
      <c r="C2582" s="442"/>
      <c r="P2582" s="235"/>
      <c r="AI2582" s="38"/>
    </row>
    <row r="2583" ht="15.75" customHeight="1">
      <c r="A2583" s="35"/>
      <c r="C2583" s="442"/>
      <c r="P2583" s="235"/>
      <c r="AI2583" s="38"/>
    </row>
    <row r="2584" ht="15.75" customHeight="1">
      <c r="A2584" s="35"/>
      <c r="C2584" s="442"/>
      <c r="P2584" s="235"/>
      <c r="AI2584" s="38"/>
    </row>
    <row r="2585" ht="15.75" customHeight="1">
      <c r="A2585" s="35"/>
      <c r="C2585" s="442"/>
      <c r="P2585" s="235"/>
      <c r="AI2585" s="38"/>
    </row>
    <row r="2586" ht="15.75" customHeight="1">
      <c r="A2586" s="35"/>
      <c r="C2586" s="442"/>
      <c r="P2586" s="235"/>
      <c r="AI2586" s="38"/>
    </row>
    <row r="2587" ht="15.75" customHeight="1">
      <c r="A2587" s="35"/>
      <c r="C2587" s="442"/>
      <c r="P2587" s="235"/>
      <c r="AI2587" s="38"/>
    </row>
    <row r="2588" ht="15.75" customHeight="1">
      <c r="A2588" s="35"/>
      <c r="C2588" s="442"/>
      <c r="P2588" s="235"/>
      <c r="AI2588" s="38"/>
    </row>
    <row r="2589" ht="15.75" customHeight="1">
      <c r="A2589" s="35"/>
      <c r="C2589" s="442"/>
      <c r="P2589" s="235"/>
      <c r="AI2589" s="38"/>
    </row>
    <row r="2590" ht="15.75" customHeight="1">
      <c r="A2590" s="35"/>
      <c r="C2590" s="442"/>
      <c r="P2590" s="235"/>
      <c r="AI2590" s="38"/>
    </row>
    <row r="2591" ht="15.75" customHeight="1">
      <c r="A2591" s="35"/>
      <c r="C2591" s="442"/>
      <c r="P2591" s="235"/>
      <c r="AI2591" s="38"/>
    </row>
    <row r="2592" ht="15.75" customHeight="1">
      <c r="A2592" s="35"/>
      <c r="C2592" s="442"/>
      <c r="P2592" s="235"/>
      <c r="AI2592" s="38"/>
    </row>
    <row r="2593" ht="15.75" customHeight="1">
      <c r="A2593" s="35"/>
      <c r="C2593" s="442"/>
      <c r="P2593" s="235"/>
      <c r="AI2593" s="38"/>
    </row>
    <row r="2594" ht="15.75" customHeight="1">
      <c r="A2594" s="35"/>
      <c r="C2594" s="442"/>
      <c r="P2594" s="235"/>
      <c r="AI2594" s="38"/>
    </row>
    <row r="2595" ht="15.75" customHeight="1">
      <c r="A2595" s="35"/>
      <c r="C2595" s="442"/>
      <c r="P2595" s="235"/>
      <c r="AI2595" s="38"/>
    </row>
    <row r="2596" ht="15.75" customHeight="1">
      <c r="A2596" s="35"/>
      <c r="C2596" s="442"/>
      <c r="P2596" s="235"/>
      <c r="AI2596" s="38"/>
    </row>
    <row r="2597" ht="15.75" customHeight="1">
      <c r="A2597" s="35"/>
      <c r="C2597" s="442"/>
      <c r="P2597" s="235"/>
      <c r="AI2597" s="38"/>
    </row>
    <row r="2598" ht="15.75" customHeight="1">
      <c r="A2598" s="35"/>
      <c r="C2598" s="442"/>
      <c r="P2598" s="235"/>
      <c r="AI2598" s="38"/>
    </row>
    <row r="2599" ht="15.75" customHeight="1">
      <c r="A2599" s="35"/>
      <c r="C2599" s="442"/>
      <c r="P2599" s="235"/>
      <c r="AI2599" s="38"/>
    </row>
    <row r="2600" ht="15.75" customHeight="1">
      <c r="A2600" s="35"/>
      <c r="C2600" s="442"/>
      <c r="P2600" s="235"/>
      <c r="AI2600" s="38"/>
    </row>
    <row r="2601" ht="15.75" customHeight="1">
      <c r="A2601" s="35"/>
      <c r="C2601" s="442"/>
      <c r="P2601" s="235"/>
      <c r="AI2601" s="38"/>
    </row>
    <row r="2602" ht="15.75" customHeight="1">
      <c r="A2602" s="35"/>
      <c r="C2602" s="442"/>
      <c r="P2602" s="235"/>
      <c r="AI2602" s="38"/>
    </row>
    <row r="2603" ht="15.75" customHeight="1">
      <c r="A2603" s="35"/>
      <c r="C2603" s="442"/>
      <c r="P2603" s="235"/>
      <c r="AI2603" s="38"/>
    </row>
    <row r="2604" ht="15.75" customHeight="1">
      <c r="A2604" s="35"/>
      <c r="C2604" s="442"/>
      <c r="P2604" s="235"/>
      <c r="AI2604" s="38"/>
    </row>
    <row r="2605" ht="15.75" customHeight="1">
      <c r="A2605" s="35"/>
      <c r="C2605" s="442"/>
      <c r="P2605" s="235"/>
      <c r="AI2605" s="38"/>
    </row>
    <row r="2606" ht="15.75" customHeight="1">
      <c r="A2606" s="35"/>
      <c r="C2606" s="442"/>
      <c r="P2606" s="235"/>
      <c r="AI2606" s="38"/>
    </row>
    <row r="2607" ht="15.75" customHeight="1">
      <c r="A2607" s="35"/>
      <c r="C2607" s="442"/>
      <c r="P2607" s="235"/>
      <c r="AI2607" s="38"/>
    </row>
    <row r="2608" ht="15.75" customHeight="1">
      <c r="A2608" s="35"/>
      <c r="C2608" s="442"/>
      <c r="P2608" s="235"/>
      <c r="AI2608" s="38"/>
    </row>
    <row r="2609" ht="15.75" customHeight="1">
      <c r="A2609" s="35"/>
      <c r="C2609" s="442"/>
      <c r="P2609" s="235"/>
      <c r="AI2609" s="38"/>
    </row>
    <row r="2610" ht="15.75" customHeight="1">
      <c r="A2610" s="35"/>
      <c r="C2610" s="442"/>
      <c r="P2610" s="235"/>
      <c r="AI2610" s="38"/>
    </row>
    <row r="2611" ht="15.75" customHeight="1">
      <c r="A2611" s="35"/>
      <c r="C2611" s="442"/>
      <c r="P2611" s="235"/>
      <c r="AI2611" s="38"/>
    </row>
    <row r="2612" ht="15.75" customHeight="1">
      <c r="A2612" s="35"/>
      <c r="C2612" s="442"/>
      <c r="P2612" s="235"/>
      <c r="AI2612" s="38"/>
    </row>
    <row r="2613" ht="15.75" customHeight="1">
      <c r="A2613" s="35"/>
      <c r="C2613" s="442"/>
      <c r="P2613" s="235"/>
      <c r="AI2613" s="38"/>
    </row>
    <row r="2614" ht="15.75" customHeight="1">
      <c r="A2614" s="35"/>
      <c r="C2614" s="442"/>
      <c r="P2614" s="235"/>
      <c r="AI2614" s="38"/>
    </row>
    <row r="2615" ht="15.75" customHeight="1">
      <c r="A2615" s="35"/>
      <c r="C2615" s="442"/>
      <c r="P2615" s="235"/>
      <c r="AI2615" s="38"/>
    </row>
    <row r="2616" ht="15.75" customHeight="1">
      <c r="A2616" s="35"/>
      <c r="C2616" s="442"/>
      <c r="P2616" s="235"/>
      <c r="AI2616" s="38"/>
    </row>
    <row r="2617" ht="15.75" customHeight="1">
      <c r="A2617" s="35"/>
      <c r="C2617" s="442"/>
      <c r="P2617" s="235"/>
      <c r="AI2617" s="38"/>
    </row>
    <row r="2618" ht="15.75" customHeight="1">
      <c r="A2618" s="35"/>
      <c r="C2618" s="442"/>
      <c r="P2618" s="235"/>
      <c r="AI2618" s="38"/>
    </row>
    <row r="2619" ht="15.75" customHeight="1">
      <c r="A2619" s="35"/>
      <c r="C2619" s="442"/>
      <c r="P2619" s="235"/>
      <c r="AI2619" s="38"/>
    </row>
    <row r="2620" ht="15.75" customHeight="1">
      <c r="A2620" s="35"/>
      <c r="C2620" s="442"/>
      <c r="P2620" s="235"/>
      <c r="AI2620" s="38"/>
    </row>
    <row r="2621" ht="15.75" customHeight="1">
      <c r="A2621" s="35"/>
      <c r="C2621" s="442"/>
      <c r="P2621" s="235"/>
      <c r="AI2621" s="38"/>
    </row>
    <row r="2622" ht="15.75" customHeight="1">
      <c r="A2622" s="35"/>
      <c r="C2622" s="442"/>
      <c r="P2622" s="235"/>
      <c r="AI2622" s="38"/>
    </row>
    <row r="2623" ht="15.75" customHeight="1">
      <c r="A2623" s="35"/>
      <c r="C2623" s="442"/>
      <c r="P2623" s="235"/>
      <c r="AI2623" s="38"/>
    </row>
    <row r="2624" ht="15.75" customHeight="1">
      <c r="A2624" s="35"/>
      <c r="C2624" s="442"/>
      <c r="P2624" s="235"/>
      <c r="AI2624" s="38"/>
    </row>
    <row r="2625" ht="15.75" customHeight="1">
      <c r="A2625" s="35"/>
      <c r="C2625" s="442"/>
      <c r="P2625" s="235"/>
      <c r="AI2625" s="38"/>
    </row>
    <row r="2626" ht="15.75" customHeight="1">
      <c r="A2626" s="35"/>
      <c r="C2626" s="442"/>
      <c r="P2626" s="235"/>
      <c r="AI2626" s="38"/>
    </row>
    <row r="2627" ht="15.75" customHeight="1">
      <c r="A2627" s="35"/>
      <c r="C2627" s="442"/>
      <c r="P2627" s="235"/>
      <c r="AI2627" s="38"/>
    </row>
    <row r="2628" ht="15.75" customHeight="1">
      <c r="A2628" s="35"/>
      <c r="C2628" s="442"/>
      <c r="P2628" s="235"/>
      <c r="AI2628" s="38"/>
    </row>
    <row r="2629" ht="15.75" customHeight="1">
      <c r="A2629" s="35"/>
      <c r="C2629" s="442"/>
      <c r="P2629" s="235"/>
      <c r="AI2629" s="38"/>
    </row>
    <row r="2630" ht="15.75" customHeight="1">
      <c r="A2630" s="35"/>
      <c r="C2630" s="442"/>
      <c r="P2630" s="235"/>
      <c r="AI2630" s="38"/>
    </row>
    <row r="2631" ht="15.75" customHeight="1">
      <c r="A2631" s="35"/>
      <c r="C2631" s="442"/>
      <c r="P2631" s="235"/>
      <c r="AI2631" s="38"/>
    </row>
    <row r="2632" ht="15.75" customHeight="1">
      <c r="A2632" s="35"/>
      <c r="C2632" s="442"/>
      <c r="P2632" s="235"/>
      <c r="AI2632" s="38"/>
    </row>
    <row r="2633" ht="15.75" customHeight="1">
      <c r="A2633" s="35"/>
      <c r="C2633" s="442"/>
      <c r="P2633" s="235"/>
      <c r="AI2633" s="38"/>
    </row>
    <row r="2634" ht="15.75" customHeight="1">
      <c r="A2634" s="35"/>
      <c r="C2634" s="442"/>
      <c r="P2634" s="235"/>
      <c r="AI2634" s="38"/>
    </row>
    <row r="2635" ht="15.75" customHeight="1">
      <c r="A2635" s="35"/>
      <c r="C2635" s="442"/>
      <c r="P2635" s="235"/>
      <c r="AI2635" s="38"/>
    </row>
    <row r="2636" ht="15.75" customHeight="1">
      <c r="A2636" s="35"/>
      <c r="C2636" s="442"/>
      <c r="P2636" s="235"/>
      <c r="AI2636" s="38"/>
    </row>
    <row r="2637" ht="15.75" customHeight="1">
      <c r="A2637" s="35"/>
      <c r="C2637" s="442"/>
      <c r="P2637" s="235"/>
      <c r="AI2637" s="38"/>
    </row>
    <row r="2638" ht="15.75" customHeight="1">
      <c r="A2638" s="35"/>
      <c r="C2638" s="442"/>
      <c r="P2638" s="235"/>
      <c r="AI2638" s="38"/>
    </row>
    <row r="2639" ht="15.75" customHeight="1">
      <c r="A2639" s="35"/>
      <c r="C2639" s="442"/>
      <c r="P2639" s="235"/>
      <c r="AI2639" s="38"/>
    </row>
    <row r="2640" ht="15.75" customHeight="1">
      <c r="A2640" s="35"/>
      <c r="C2640" s="442"/>
      <c r="P2640" s="235"/>
      <c r="AI2640" s="38"/>
    </row>
    <row r="2641" ht="15.75" customHeight="1">
      <c r="A2641" s="35"/>
      <c r="C2641" s="442"/>
      <c r="P2641" s="235"/>
      <c r="AI2641" s="38"/>
    </row>
    <row r="2642" ht="15.75" customHeight="1">
      <c r="A2642" s="35"/>
      <c r="C2642" s="442"/>
      <c r="P2642" s="235"/>
      <c r="AI2642" s="38"/>
    </row>
    <row r="2643" ht="15.75" customHeight="1">
      <c r="A2643" s="35"/>
      <c r="C2643" s="442"/>
      <c r="P2643" s="235"/>
      <c r="AI2643" s="38"/>
    </row>
    <row r="2644" ht="15.75" customHeight="1">
      <c r="A2644" s="35"/>
      <c r="C2644" s="442"/>
      <c r="P2644" s="235"/>
      <c r="AI2644" s="38"/>
    </row>
    <row r="2645" ht="15.75" customHeight="1">
      <c r="A2645" s="35"/>
      <c r="C2645" s="442"/>
      <c r="P2645" s="235"/>
      <c r="AI2645" s="38"/>
    </row>
    <row r="2646" ht="15.75" customHeight="1">
      <c r="A2646" s="35"/>
      <c r="C2646" s="442"/>
      <c r="P2646" s="235"/>
      <c r="AI2646" s="38"/>
    </row>
    <row r="2647" ht="15.75" customHeight="1">
      <c r="A2647" s="35"/>
      <c r="C2647" s="442"/>
      <c r="P2647" s="235"/>
      <c r="AI2647" s="38"/>
    </row>
    <row r="2648" ht="15.75" customHeight="1">
      <c r="A2648" s="35"/>
      <c r="C2648" s="442"/>
      <c r="P2648" s="235"/>
      <c r="AI2648" s="38"/>
    </row>
    <row r="2649" ht="15.75" customHeight="1">
      <c r="A2649" s="35"/>
      <c r="C2649" s="442"/>
      <c r="P2649" s="235"/>
      <c r="AI2649" s="38"/>
    </row>
    <row r="2650" ht="15.75" customHeight="1">
      <c r="A2650" s="35"/>
      <c r="C2650" s="442"/>
      <c r="P2650" s="235"/>
      <c r="AI2650" s="38"/>
    </row>
    <row r="2651" ht="15.75" customHeight="1">
      <c r="A2651" s="35"/>
      <c r="C2651" s="442"/>
      <c r="P2651" s="235"/>
      <c r="AI2651" s="38"/>
    </row>
    <row r="2652" ht="15.75" customHeight="1">
      <c r="A2652" s="35"/>
      <c r="C2652" s="442"/>
      <c r="P2652" s="235"/>
      <c r="AI2652" s="38"/>
    </row>
    <row r="2653" ht="15.75" customHeight="1">
      <c r="A2653" s="35"/>
      <c r="C2653" s="442"/>
      <c r="P2653" s="235"/>
      <c r="AI2653" s="38"/>
    </row>
    <row r="2654" ht="15.75" customHeight="1">
      <c r="A2654" s="35"/>
      <c r="C2654" s="442"/>
      <c r="P2654" s="235"/>
      <c r="AI2654" s="38"/>
    </row>
    <row r="2655" ht="15.75" customHeight="1">
      <c r="A2655" s="35"/>
      <c r="C2655" s="442"/>
      <c r="P2655" s="235"/>
      <c r="AI2655" s="38"/>
    </row>
    <row r="2656" ht="15.75" customHeight="1">
      <c r="A2656" s="35"/>
      <c r="C2656" s="442"/>
      <c r="P2656" s="235"/>
      <c r="AI2656" s="38"/>
    </row>
    <row r="2657" ht="15.75" customHeight="1">
      <c r="A2657" s="35"/>
      <c r="C2657" s="442"/>
      <c r="P2657" s="235"/>
      <c r="AI2657" s="38"/>
    </row>
    <row r="2658" ht="15.75" customHeight="1">
      <c r="A2658" s="35"/>
      <c r="C2658" s="442"/>
      <c r="P2658" s="235"/>
      <c r="AI2658" s="38"/>
    </row>
    <row r="2659" ht="15.75" customHeight="1">
      <c r="A2659" s="35"/>
      <c r="C2659" s="442"/>
      <c r="P2659" s="235"/>
      <c r="AI2659" s="38"/>
    </row>
    <row r="2660" ht="15.75" customHeight="1">
      <c r="A2660" s="35"/>
      <c r="C2660" s="442"/>
      <c r="P2660" s="235"/>
      <c r="AI2660" s="38"/>
    </row>
    <row r="2661" ht="15.75" customHeight="1">
      <c r="A2661" s="35"/>
      <c r="C2661" s="442"/>
      <c r="P2661" s="235"/>
      <c r="AI2661" s="38"/>
    </row>
    <row r="2662" ht="15.75" customHeight="1">
      <c r="A2662" s="35"/>
      <c r="C2662" s="442"/>
      <c r="P2662" s="235"/>
      <c r="AI2662" s="38"/>
    </row>
    <row r="2663" ht="15.75" customHeight="1">
      <c r="A2663" s="35"/>
      <c r="C2663" s="442"/>
      <c r="P2663" s="235"/>
      <c r="AI2663" s="38"/>
    </row>
    <row r="2664" ht="15.75" customHeight="1">
      <c r="A2664" s="35"/>
      <c r="C2664" s="442"/>
      <c r="P2664" s="235"/>
      <c r="AI2664" s="38"/>
    </row>
    <row r="2665" ht="15.75" customHeight="1">
      <c r="A2665" s="35"/>
      <c r="C2665" s="442"/>
      <c r="P2665" s="235"/>
      <c r="AI2665" s="38"/>
    </row>
    <row r="2666" ht="15.75" customHeight="1">
      <c r="A2666" s="35"/>
      <c r="C2666" s="442"/>
      <c r="P2666" s="235"/>
      <c r="AI2666" s="38"/>
    </row>
    <row r="2667" ht="15.75" customHeight="1">
      <c r="A2667" s="35"/>
      <c r="C2667" s="442"/>
      <c r="P2667" s="235"/>
      <c r="AI2667" s="38"/>
    </row>
    <row r="2668" ht="15.75" customHeight="1">
      <c r="A2668" s="35"/>
      <c r="C2668" s="442"/>
      <c r="P2668" s="235"/>
      <c r="AI2668" s="38"/>
    </row>
    <row r="2669" ht="15.75" customHeight="1">
      <c r="A2669" s="35"/>
      <c r="C2669" s="442"/>
      <c r="P2669" s="235"/>
      <c r="AI2669" s="38"/>
    </row>
    <row r="2670" ht="15.75" customHeight="1">
      <c r="A2670" s="35"/>
      <c r="C2670" s="442"/>
      <c r="P2670" s="235"/>
      <c r="AI2670" s="38"/>
    </row>
    <row r="2671" ht="15.75" customHeight="1">
      <c r="A2671" s="35"/>
      <c r="C2671" s="442"/>
      <c r="P2671" s="235"/>
      <c r="AI2671" s="38"/>
    </row>
    <row r="2672" ht="15.75" customHeight="1">
      <c r="A2672" s="35"/>
      <c r="C2672" s="442"/>
      <c r="P2672" s="235"/>
      <c r="AI2672" s="38"/>
    </row>
    <row r="2673" ht="15.75" customHeight="1">
      <c r="A2673" s="35"/>
      <c r="C2673" s="442"/>
      <c r="P2673" s="235"/>
      <c r="AI2673" s="38"/>
    </row>
    <row r="2674" ht="15.75" customHeight="1">
      <c r="A2674" s="35"/>
      <c r="C2674" s="442"/>
      <c r="P2674" s="235"/>
      <c r="AI2674" s="38"/>
    </row>
    <row r="2675" ht="15.75" customHeight="1">
      <c r="A2675" s="35"/>
      <c r="C2675" s="442"/>
      <c r="P2675" s="235"/>
      <c r="AI2675" s="38"/>
    </row>
    <row r="2676" ht="15.75" customHeight="1">
      <c r="A2676" s="35"/>
      <c r="C2676" s="442"/>
      <c r="P2676" s="235"/>
      <c r="AI2676" s="38"/>
    </row>
    <row r="2677" ht="15.75" customHeight="1">
      <c r="A2677" s="35"/>
      <c r="C2677" s="442"/>
      <c r="P2677" s="235"/>
      <c r="AI2677" s="38"/>
    </row>
    <row r="2678" ht="15.75" customHeight="1">
      <c r="A2678" s="35"/>
      <c r="C2678" s="442"/>
      <c r="P2678" s="235"/>
      <c r="AI2678" s="38"/>
    </row>
    <row r="2679" ht="15.75" customHeight="1">
      <c r="A2679" s="35"/>
      <c r="C2679" s="442"/>
      <c r="P2679" s="235"/>
      <c r="AI2679" s="38"/>
    </row>
    <row r="2680" ht="15.75" customHeight="1">
      <c r="A2680" s="35"/>
      <c r="C2680" s="442"/>
      <c r="P2680" s="235"/>
      <c r="AI2680" s="38"/>
    </row>
    <row r="2681" ht="15.75" customHeight="1">
      <c r="A2681" s="35"/>
      <c r="C2681" s="442"/>
      <c r="P2681" s="235"/>
      <c r="AI2681" s="38"/>
    </row>
    <row r="2682" ht="15.75" customHeight="1">
      <c r="A2682" s="35"/>
      <c r="C2682" s="442"/>
      <c r="P2682" s="235"/>
      <c r="AI2682" s="38"/>
    </row>
    <row r="2683" ht="15.75" customHeight="1">
      <c r="A2683" s="35"/>
      <c r="C2683" s="442"/>
      <c r="P2683" s="235"/>
      <c r="AI2683" s="38"/>
    </row>
    <row r="2684" ht="15.75" customHeight="1">
      <c r="A2684" s="35"/>
      <c r="C2684" s="442"/>
      <c r="P2684" s="235"/>
      <c r="AI2684" s="38"/>
    </row>
    <row r="2685" ht="15.75" customHeight="1">
      <c r="A2685" s="35"/>
      <c r="C2685" s="442"/>
      <c r="P2685" s="235"/>
      <c r="AI2685" s="38"/>
    </row>
    <row r="2686" ht="15.75" customHeight="1">
      <c r="A2686" s="35"/>
      <c r="C2686" s="442"/>
      <c r="P2686" s="235"/>
      <c r="AI2686" s="38"/>
    </row>
    <row r="2687" ht="15.75" customHeight="1">
      <c r="A2687" s="35"/>
      <c r="C2687" s="442"/>
      <c r="P2687" s="235"/>
      <c r="AI2687" s="38"/>
    </row>
    <row r="2688" ht="15.75" customHeight="1">
      <c r="A2688" s="35"/>
      <c r="C2688" s="442"/>
      <c r="P2688" s="235"/>
      <c r="AI2688" s="38"/>
    </row>
    <row r="2689" ht="15.75" customHeight="1">
      <c r="A2689" s="35"/>
      <c r="C2689" s="442"/>
      <c r="P2689" s="235"/>
      <c r="AI2689" s="38"/>
    </row>
    <row r="2690" ht="15.75" customHeight="1">
      <c r="A2690" s="35"/>
      <c r="C2690" s="442"/>
      <c r="P2690" s="235"/>
      <c r="AI2690" s="38"/>
    </row>
    <row r="2691" ht="15.75" customHeight="1">
      <c r="A2691" s="35"/>
      <c r="C2691" s="442"/>
      <c r="P2691" s="235"/>
      <c r="AI2691" s="38"/>
    </row>
    <row r="2692" ht="15.75" customHeight="1">
      <c r="A2692" s="35"/>
      <c r="C2692" s="442"/>
      <c r="P2692" s="235"/>
      <c r="AI2692" s="38"/>
    </row>
    <row r="2693" ht="15.75" customHeight="1">
      <c r="A2693" s="35"/>
      <c r="C2693" s="442"/>
      <c r="P2693" s="235"/>
      <c r="AI2693" s="38"/>
    </row>
    <row r="2694" ht="15.75" customHeight="1">
      <c r="A2694" s="35"/>
      <c r="C2694" s="442"/>
      <c r="P2694" s="235"/>
      <c r="AI2694" s="38"/>
    </row>
    <row r="2695" ht="15.75" customHeight="1">
      <c r="A2695" s="35"/>
      <c r="C2695" s="442"/>
      <c r="P2695" s="235"/>
      <c r="AI2695" s="38"/>
    </row>
    <row r="2696" ht="15.75" customHeight="1">
      <c r="A2696" s="35"/>
      <c r="C2696" s="442"/>
      <c r="P2696" s="235"/>
      <c r="AI2696" s="38"/>
    </row>
    <row r="2697" ht="15.75" customHeight="1">
      <c r="A2697" s="35"/>
      <c r="C2697" s="442"/>
      <c r="P2697" s="235"/>
      <c r="AI2697" s="38"/>
    </row>
    <row r="2698" ht="15.75" customHeight="1">
      <c r="A2698" s="35"/>
      <c r="C2698" s="442"/>
      <c r="P2698" s="235"/>
      <c r="AI2698" s="38"/>
    </row>
    <row r="2699" ht="15.75" customHeight="1">
      <c r="A2699" s="35"/>
      <c r="C2699" s="442"/>
      <c r="P2699" s="235"/>
      <c r="AI2699" s="38"/>
    </row>
    <row r="2700" ht="15.75" customHeight="1">
      <c r="A2700" s="35"/>
      <c r="C2700" s="442"/>
      <c r="P2700" s="235"/>
      <c r="AI2700" s="38"/>
    </row>
    <row r="2701" ht="15.75" customHeight="1">
      <c r="A2701" s="35"/>
      <c r="C2701" s="442"/>
      <c r="P2701" s="235"/>
      <c r="AI2701" s="38"/>
    </row>
    <row r="2702" ht="15.75" customHeight="1">
      <c r="A2702" s="35"/>
      <c r="C2702" s="442"/>
      <c r="P2702" s="235"/>
      <c r="AI2702" s="38"/>
    </row>
    <row r="2703" ht="15.75" customHeight="1">
      <c r="A2703" s="35"/>
      <c r="C2703" s="442"/>
      <c r="P2703" s="235"/>
      <c r="AI2703" s="38"/>
    </row>
    <row r="2704" ht="15.75" customHeight="1">
      <c r="A2704" s="35"/>
      <c r="C2704" s="442"/>
      <c r="P2704" s="235"/>
      <c r="AI2704" s="38"/>
    </row>
    <row r="2705" ht="15.75" customHeight="1">
      <c r="A2705" s="35"/>
      <c r="C2705" s="442"/>
      <c r="P2705" s="235"/>
      <c r="AI2705" s="38"/>
    </row>
    <row r="2706" ht="15.75" customHeight="1">
      <c r="A2706" s="35"/>
      <c r="C2706" s="442"/>
      <c r="P2706" s="235"/>
      <c r="AI2706" s="38"/>
    </row>
    <row r="2707" ht="15.75" customHeight="1">
      <c r="A2707" s="35"/>
      <c r="C2707" s="442"/>
      <c r="P2707" s="235"/>
      <c r="AI2707" s="38"/>
    </row>
    <row r="2708" ht="15.75" customHeight="1">
      <c r="A2708" s="35"/>
      <c r="C2708" s="442"/>
      <c r="P2708" s="235"/>
      <c r="AI2708" s="38"/>
    </row>
    <row r="2709" ht="15.75" customHeight="1">
      <c r="A2709" s="35"/>
      <c r="C2709" s="442"/>
      <c r="P2709" s="235"/>
      <c r="AI2709" s="38"/>
    </row>
    <row r="2710" ht="15.75" customHeight="1">
      <c r="A2710" s="35"/>
      <c r="C2710" s="442"/>
      <c r="P2710" s="235"/>
      <c r="AI2710" s="38"/>
    </row>
    <row r="2711" ht="15.75" customHeight="1">
      <c r="A2711" s="35"/>
      <c r="C2711" s="442"/>
      <c r="P2711" s="235"/>
      <c r="AI2711" s="38"/>
    </row>
    <row r="2712" ht="15.75" customHeight="1">
      <c r="A2712" s="35"/>
      <c r="C2712" s="442"/>
      <c r="P2712" s="235"/>
      <c r="AI2712" s="38"/>
    </row>
    <row r="2713" ht="15.75" customHeight="1">
      <c r="A2713" s="35"/>
      <c r="C2713" s="442"/>
      <c r="P2713" s="235"/>
      <c r="AI2713" s="38"/>
    </row>
    <row r="2714" ht="15.75" customHeight="1">
      <c r="A2714" s="35"/>
      <c r="C2714" s="442"/>
      <c r="P2714" s="235"/>
      <c r="AI2714" s="38"/>
    </row>
    <row r="2715" ht="15.75" customHeight="1">
      <c r="A2715" s="35"/>
      <c r="C2715" s="442"/>
      <c r="P2715" s="235"/>
      <c r="AI2715" s="38"/>
    </row>
    <row r="2716" ht="15.75" customHeight="1">
      <c r="A2716" s="35"/>
      <c r="C2716" s="442"/>
      <c r="P2716" s="235"/>
      <c r="AI2716" s="38"/>
    </row>
    <row r="2717" ht="15.75" customHeight="1">
      <c r="A2717" s="35"/>
      <c r="C2717" s="442"/>
      <c r="P2717" s="235"/>
      <c r="AI2717" s="38"/>
    </row>
    <row r="2718" ht="15.75" customHeight="1">
      <c r="A2718" s="35"/>
      <c r="C2718" s="442"/>
      <c r="P2718" s="235"/>
      <c r="AI2718" s="38"/>
    </row>
    <row r="2719" ht="15.75" customHeight="1">
      <c r="A2719" s="35"/>
      <c r="C2719" s="442"/>
      <c r="P2719" s="235"/>
      <c r="AI2719" s="38"/>
    </row>
    <row r="2720" ht="15.75" customHeight="1">
      <c r="A2720" s="35"/>
      <c r="C2720" s="442"/>
      <c r="P2720" s="235"/>
      <c r="AI2720" s="38"/>
    </row>
    <row r="2721" ht="15.75" customHeight="1">
      <c r="A2721" s="35"/>
      <c r="C2721" s="442"/>
      <c r="P2721" s="235"/>
      <c r="AI2721" s="38"/>
    </row>
    <row r="2722" ht="15.75" customHeight="1">
      <c r="A2722" s="35"/>
      <c r="C2722" s="442"/>
      <c r="P2722" s="235"/>
      <c r="AI2722" s="38"/>
    </row>
    <row r="2723" ht="15.75" customHeight="1">
      <c r="A2723" s="35"/>
      <c r="C2723" s="442"/>
      <c r="P2723" s="235"/>
      <c r="AI2723" s="38"/>
    </row>
    <row r="2724" ht="15.75" customHeight="1">
      <c r="A2724" s="35"/>
      <c r="C2724" s="442"/>
      <c r="P2724" s="235"/>
      <c r="AI2724" s="38"/>
    </row>
    <row r="2725" ht="15.75" customHeight="1">
      <c r="A2725" s="35"/>
      <c r="C2725" s="442"/>
      <c r="P2725" s="235"/>
      <c r="AI2725" s="38"/>
    </row>
    <row r="2726" ht="15.75" customHeight="1">
      <c r="A2726" s="35"/>
      <c r="C2726" s="442"/>
      <c r="P2726" s="235"/>
      <c r="AI2726" s="38"/>
    </row>
    <row r="2727" ht="15.75" customHeight="1">
      <c r="A2727" s="35"/>
      <c r="C2727" s="442"/>
      <c r="P2727" s="235"/>
      <c r="AI2727" s="38"/>
    </row>
    <row r="2728" ht="15.75" customHeight="1">
      <c r="A2728" s="35"/>
      <c r="C2728" s="442"/>
      <c r="P2728" s="235"/>
      <c r="AI2728" s="38"/>
    </row>
    <row r="2729" ht="15.75" customHeight="1">
      <c r="A2729" s="35"/>
      <c r="C2729" s="442"/>
      <c r="P2729" s="235"/>
      <c r="AI2729" s="38"/>
    </row>
    <row r="2730" ht="15.75" customHeight="1">
      <c r="A2730" s="35"/>
      <c r="C2730" s="442"/>
      <c r="P2730" s="235"/>
      <c r="AI2730" s="38"/>
    </row>
    <row r="2731" ht="15.75" customHeight="1">
      <c r="A2731" s="35"/>
      <c r="C2731" s="442"/>
      <c r="P2731" s="235"/>
      <c r="AI2731" s="38"/>
    </row>
    <row r="2732" ht="15.75" customHeight="1">
      <c r="A2732" s="35"/>
      <c r="C2732" s="442"/>
      <c r="P2732" s="235"/>
      <c r="AI2732" s="38"/>
    </row>
    <row r="2733" ht="15.75" customHeight="1">
      <c r="A2733" s="35"/>
      <c r="C2733" s="442"/>
      <c r="P2733" s="235"/>
      <c r="AI2733" s="38"/>
    </row>
    <row r="2734" ht="15.75" customHeight="1">
      <c r="A2734" s="35"/>
      <c r="C2734" s="442"/>
      <c r="P2734" s="235"/>
      <c r="AI2734" s="38"/>
    </row>
    <row r="2735" ht="15.75" customHeight="1">
      <c r="A2735" s="35"/>
      <c r="C2735" s="442"/>
      <c r="P2735" s="235"/>
      <c r="AI2735" s="38"/>
    </row>
    <row r="2736" ht="15.75" customHeight="1">
      <c r="A2736" s="35"/>
      <c r="C2736" s="442"/>
      <c r="P2736" s="235"/>
      <c r="AI2736" s="38"/>
    </row>
    <row r="2737" ht="15.75" customHeight="1">
      <c r="A2737" s="35"/>
      <c r="C2737" s="442"/>
      <c r="P2737" s="235"/>
      <c r="AI2737" s="38"/>
    </row>
    <row r="2738" ht="15.75" customHeight="1">
      <c r="A2738" s="35"/>
      <c r="C2738" s="442"/>
      <c r="P2738" s="235"/>
      <c r="AI2738" s="38"/>
    </row>
    <row r="2739" ht="15.75" customHeight="1">
      <c r="A2739" s="35"/>
      <c r="C2739" s="442"/>
      <c r="P2739" s="235"/>
      <c r="AI2739" s="38"/>
    </row>
    <row r="2740" ht="15.75" customHeight="1">
      <c r="A2740" s="35"/>
      <c r="C2740" s="442"/>
      <c r="P2740" s="235"/>
      <c r="AI2740" s="38"/>
    </row>
    <row r="2741" ht="15.75" customHeight="1">
      <c r="A2741" s="35"/>
      <c r="C2741" s="442"/>
      <c r="P2741" s="235"/>
      <c r="AI2741" s="38"/>
    </row>
    <row r="2742" ht="15.75" customHeight="1">
      <c r="A2742" s="35"/>
      <c r="C2742" s="442"/>
      <c r="P2742" s="235"/>
      <c r="AI2742" s="38"/>
    </row>
    <row r="2743" ht="15.75" customHeight="1">
      <c r="A2743" s="35"/>
      <c r="C2743" s="442"/>
      <c r="P2743" s="235"/>
      <c r="AI2743" s="38"/>
    </row>
    <row r="2744" ht="15.75" customHeight="1">
      <c r="A2744" s="35"/>
      <c r="C2744" s="442"/>
      <c r="P2744" s="235"/>
      <c r="AI2744" s="38"/>
    </row>
    <row r="2745" ht="15.75" customHeight="1">
      <c r="A2745" s="35"/>
      <c r="C2745" s="442"/>
      <c r="P2745" s="235"/>
      <c r="AI2745" s="38"/>
    </row>
    <row r="2746" ht="15.75" customHeight="1">
      <c r="A2746" s="35"/>
      <c r="C2746" s="442"/>
      <c r="P2746" s="235"/>
      <c r="AI2746" s="38"/>
    </row>
    <row r="2747" ht="15.75" customHeight="1">
      <c r="A2747" s="35"/>
      <c r="C2747" s="442"/>
      <c r="P2747" s="235"/>
      <c r="AI2747" s="38"/>
    </row>
    <row r="2748" ht="15.75" customHeight="1">
      <c r="A2748" s="35"/>
      <c r="C2748" s="442"/>
      <c r="P2748" s="235"/>
      <c r="AI2748" s="38"/>
    </row>
    <row r="2749" ht="15.75" customHeight="1">
      <c r="A2749" s="35"/>
      <c r="C2749" s="442"/>
      <c r="P2749" s="235"/>
      <c r="AI2749" s="38"/>
    </row>
    <row r="2750" ht="15.75" customHeight="1">
      <c r="A2750" s="35"/>
      <c r="C2750" s="442"/>
      <c r="P2750" s="235"/>
      <c r="AI2750" s="38"/>
    </row>
    <row r="2751" ht="15.75" customHeight="1">
      <c r="A2751" s="35"/>
      <c r="C2751" s="442"/>
      <c r="P2751" s="235"/>
      <c r="AI2751" s="38"/>
    </row>
    <row r="2752" ht="15.75" customHeight="1">
      <c r="A2752" s="35"/>
      <c r="C2752" s="442"/>
      <c r="P2752" s="235"/>
      <c r="AI2752" s="38"/>
    </row>
    <row r="2753" ht="15.75" customHeight="1">
      <c r="A2753" s="35"/>
      <c r="C2753" s="442"/>
      <c r="P2753" s="235"/>
      <c r="AI2753" s="38"/>
    </row>
    <row r="2754" ht="15.75" customHeight="1">
      <c r="A2754" s="35"/>
      <c r="C2754" s="442"/>
      <c r="P2754" s="235"/>
      <c r="AI2754" s="38"/>
    </row>
    <row r="2755" ht="15.75" customHeight="1">
      <c r="A2755" s="35"/>
      <c r="C2755" s="442"/>
      <c r="P2755" s="235"/>
      <c r="AI2755" s="38"/>
    </row>
    <row r="2756" ht="15.75" customHeight="1">
      <c r="A2756" s="35"/>
      <c r="C2756" s="442"/>
      <c r="P2756" s="235"/>
      <c r="AI2756" s="38"/>
    </row>
    <row r="2757" ht="15.75" customHeight="1">
      <c r="A2757" s="35"/>
      <c r="C2757" s="442"/>
      <c r="P2757" s="235"/>
      <c r="AI2757" s="38"/>
    </row>
    <row r="2758" ht="15.75" customHeight="1">
      <c r="A2758" s="35"/>
      <c r="C2758" s="442"/>
      <c r="P2758" s="235"/>
      <c r="AI2758" s="38"/>
    </row>
    <row r="2759" ht="15.75" customHeight="1">
      <c r="A2759" s="35"/>
      <c r="C2759" s="442"/>
      <c r="P2759" s="235"/>
      <c r="AI2759" s="38"/>
    </row>
    <row r="2760" ht="15.75" customHeight="1">
      <c r="A2760" s="35"/>
      <c r="C2760" s="442"/>
      <c r="P2760" s="235"/>
      <c r="AI2760" s="38"/>
    </row>
    <row r="2761" ht="15.75" customHeight="1">
      <c r="A2761" s="35"/>
      <c r="C2761" s="442"/>
      <c r="P2761" s="235"/>
      <c r="AI2761" s="38"/>
    </row>
    <row r="2762" ht="15.75" customHeight="1">
      <c r="A2762" s="35"/>
      <c r="C2762" s="442"/>
      <c r="P2762" s="235"/>
      <c r="AI2762" s="38"/>
    </row>
    <row r="2763" ht="15.75" customHeight="1">
      <c r="A2763" s="35"/>
      <c r="C2763" s="442"/>
      <c r="P2763" s="235"/>
      <c r="AI2763" s="38"/>
    </row>
    <row r="2764" ht="15.75" customHeight="1">
      <c r="A2764" s="35"/>
      <c r="C2764" s="442"/>
      <c r="P2764" s="235"/>
      <c r="AI2764" s="38"/>
    </row>
    <row r="2765" ht="15.75" customHeight="1">
      <c r="A2765" s="35"/>
      <c r="C2765" s="442"/>
      <c r="P2765" s="235"/>
      <c r="AI2765" s="38"/>
    </row>
    <row r="2766" ht="15.75" customHeight="1">
      <c r="A2766" s="35"/>
      <c r="C2766" s="442"/>
      <c r="P2766" s="235"/>
      <c r="AI2766" s="38"/>
    </row>
    <row r="2767" ht="15.75" customHeight="1">
      <c r="A2767" s="35"/>
      <c r="C2767" s="442"/>
      <c r="P2767" s="235"/>
      <c r="AI2767" s="38"/>
    </row>
    <row r="2768" ht="15.75" customHeight="1">
      <c r="A2768" s="35"/>
      <c r="C2768" s="442"/>
      <c r="P2768" s="235"/>
      <c r="AI2768" s="38"/>
    </row>
    <row r="2769" ht="15.75" customHeight="1">
      <c r="A2769" s="35"/>
      <c r="C2769" s="442"/>
      <c r="P2769" s="235"/>
      <c r="AI2769" s="38"/>
    </row>
    <row r="2770" ht="15.75" customHeight="1">
      <c r="A2770" s="35"/>
      <c r="C2770" s="442"/>
      <c r="P2770" s="235"/>
      <c r="AI2770" s="38"/>
    </row>
    <row r="2771" ht="15.75" customHeight="1">
      <c r="A2771" s="35"/>
      <c r="C2771" s="442"/>
      <c r="P2771" s="235"/>
      <c r="AI2771" s="38"/>
    </row>
    <row r="2772" ht="15.75" customHeight="1">
      <c r="A2772" s="35"/>
      <c r="C2772" s="442"/>
      <c r="P2772" s="235"/>
      <c r="AI2772" s="38"/>
    </row>
    <row r="2773" ht="15.75" customHeight="1">
      <c r="A2773" s="35"/>
      <c r="C2773" s="442"/>
      <c r="P2773" s="235"/>
      <c r="AI2773" s="38"/>
    </row>
    <row r="2774" ht="15.75" customHeight="1">
      <c r="A2774" s="35"/>
      <c r="C2774" s="442"/>
      <c r="P2774" s="235"/>
      <c r="AI2774" s="38"/>
    </row>
    <row r="2775" ht="15.75" customHeight="1">
      <c r="A2775" s="35"/>
      <c r="C2775" s="442"/>
      <c r="P2775" s="235"/>
      <c r="AI2775" s="38"/>
    </row>
    <row r="2776" ht="15.75" customHeight="1">
      <c r="A2776" s="35"/>
      <c r="C2776" s="442"/>
      <c r="P2776" s="235"/>
      <c r="AI2776" s="38"/>
    </row>
    <row r="2777" ht="15.75" customHeight="1">
      <c r="A2777" s="35"/>
      <c r="C2777" s="442"/>
      <c r="P2777" s="235"/>
      <c r="AI2777" s="38"/>
    </row>
    <row r="2778" ht="15.75" customHeight="1">
      <c r="A2778" s="35"/>
      <c r="C2778" s="442"/>
      <c r="P2778" s="235"/>
      <c r="AI2778" s="38"/>
    </row>
    <row r="2779" ht="15.75" customHeight="1">
      <c r="A2779" s="35"/>
      <c r="C2779" s="442"/>
      <c r="P2779" s="235"/>
      <c r="AI2779" s="38"/>
    </row>
    <row r="2780" ht="15.75" customHeight="1">
      <c r="A2780" s="35"/>
      <c r="C2780" s="442"/>
      <c r="P2780" s="235"/>
      <c r="AI2780" s="38"/>
    </row>
    <row r="2781" ht="15.75" customHeight="1">
      <c r="A2781" s="35"/>
      <c r="C2781" s="442"/>
      <c r="P2781" s="235"/>
      <c r="AI2781" s="38"/>
    </row>
    <row r="2782" ht="15.75" customHeight="1">
      <c r="A2782" s="35"/>
      <c r="C2782" s="442"/>
      <c r="P2782" s="235"/>
      <c r="AI2782" s="38"/>
    </row>
    <row r="2783" ht="15.75" customHeight="1">
      <c r="A2783" s="35"/>
      <c r="C2783" s="442"/>
      <c r="P2783" s="235"/>
      <c r="AI2783" s="38"/>
    </row>
    <row r="2784" ht="15.75" customHeight="1">
      <c r="A2784" s="35"/>
      <c r="C2784" s="442"/>
      <c r="P2784" s="235"/>
      <c r="AI2784" s="38"/>
    </row>
    <row r="2785" ht="15.75" customHeight="1">
      <c r="A2785" s="35"/>
      <c r="C2785" s="442"/>
      <c r="P2785" s="235"/>
      <c r="AI2785" s="38"/>
    </row>
    <row r="2786" ht="15.75" customHeight="1">
      <c r="A2786" s="35"/>
      <c r="C2786" s="442"/>
      <c r="P2786" s="235"/>
      <c r="AI2786" s="38"/>
    </row>
    <row r="2787" ht="15.75" customHeight="1">
      <c r="A2787" s="35"/>
      <c r="C2787" s="442"/>
      <c r="P2787" s="235"/>
      <c r="AI2787" s="38"/>
    </row>
    <row r="2788" ht="15.75" customHeight="1">
      <c r="A2788" s="35"/>
      <c r="C2788" s="442"/>
      <c r="P2788" s="235"/>
      <c r="AI2788" s="38"/>
    </row>
    <row r="2789" ht="15.75" customHeight="1">
      <c r="A2789" s="35"/>
      <c r="C2789" s="442"/>
      <c r="P2789" s="235"/>
      <c r="AI2789" s="38"/>
    </row>
    <row r="2790" ht="15.75" customHeight="1">
      <c r="A2790" s="35"/>
      <c r="C2790" s="442"/>
      <c r="P2790" s="235"/>
      <c r="AI2790" s="38"/>
    </row>
    <row r="2791" ht="15.75" customHeight="1">
      <c r="A2791" s="35"/>
      <c r="C2791" s="442"/>
      <c r="P2791" s="235"/>
      <c r="AI2791" s="38"/>
    </row>
    <row r="2792" ht="15.75" customHeight="1">
      <c r="A2792" s="35"/>
      <c r="C2792" s="442"/>
      <c r="P2792" s="235"/>
      <c r="AI2792" s="38"/>
    </row>
    <row r="2793" ht="15.75" customHeight="1">
      <c r="A2793" s="35"/>
      <c r="C2793" s="442"/>
      <c r="P2793" s="235"/>
      <c r="AI2793" s="38"/>
    </row>
    <row r="2794" ht="15.75" customHeight="1">
      <c r="A2794" s="35"/>
      <c r="C2794" s="442"/>
      <c r="P2794" s="235"/>
      <c r="AI2794" s="38"/>
    </row>
    <row r="2795" ht="15.75" customHeight="1">
      <c r="A2795" s="35"/>
      <c r="C2795" s="442"/>
      <c r="P2795" s="235"/>
      <c r="AI2795" s="38"/>
    </row>
    <row r="2796" ht="15.75" customHeight="1">
      <c r="A2796" s="35"/>
      <c r="C2796" s="442"/>
      <c r="P2796" s="235"/>
      <c r="AI2796" s="38"/>
    </row>
    <row r="2797" ht="15.75" customHeight="1">
      <c r="A2797" s="35"/>
      <c r="C2797" s="442"/>
      <c r="P2797" s="235"/>
      <c r="AI2797" s="38"/>
    </row>
    <row r="2798" ht="15.75" customHeight="1">
      <c r="A2798" s="35"/>
      <c r="C2798" s="442"/>
      <c r="P2798" s="235"/>
      <c r="AI2798" s="38"/>
    </row>
    <row r="2799" ht="15.75" customHeight="1">
      <c r="A2799" s="35"/>
      <c r="C2799" s="442"/>
      <c r="P2799" s="235"/>
      <c r="AI2799" s="38"/>
    </row>
    <row r="2800" ht="15.75" customHeight="1">
      <c r="A2800" s="35"/>
      <c r="C2800" s="442"/>
      <c r="P2800" s="235"/>
      <c r="AI2800" s="38"/>
    </row>
    <row r="2801" ht="15.75" customHeight="1">
      <c r="A2801" s="35"/>
      <c r="C2801" s="442"/>
      <c r="P2801" s="235"/>
      <c r="AI2801" s="38"/>
    </row>
    <row r="2802" ht="15.75" customHeight="1">
      <c r="A2802" s="35"/>
      <c r="C2802" s="442"/>
      <c r="P2802" s="235"/>
      <c r="AI2802" s="38"/>
    </row>
    <row r="2803" ht="15.75" customHeight="1">
      <c r="A2803" s="35"/>
      <c r="C2803" s="442"/>
      <c r="P2803" s="235"/>
      <c r="AI2803" s="38"/>
    </row>
    <row r="2804" ht="15.75" customHeight="1">
      <c r="A2804" s="35"/>
      <c r="C2804" s="442"/>
      <c r="P2804" s="235"/>
      <c r="AI2804" s="38"/>
    </row>
    <row r="2805" ht="15.75" customHeight="1">
      <c r="A2805" s="35"/>
      <c r="C2805" s="442"/>
      <c r="P2805" s="235"/>
      <c r="AI2805" s="38"/>
    </row>
    <row r="2806" ht="15.75" customHeight="1">
      <c r="A2806" s="35"/>
      <c r="C2806" s="442"/>
      <c r="P2806" s="235"/>
      <c r="AI2806" s="38"/>
    </row>
    <row r="2807" ht="15.75" customHeight="1">
      <c r="A2807" s="35"/>
      <c r="C2807" s="442"/>
      <c r="P2807" s="235"/>
      <c r="AI2807" s="38"/>
    </row>
    <row r="2808" ht="15.75" customHeight="1">
      <c r="A2808" s="35"/>
      <c r="C2808" s="442"/>
      <c r="P2808" s="235"/>
      <c r="AI2808" s="38"/>
    </row>
    <row r="2809" ht="15.75" customHeight="1">
      <c r="A2809" s="35"/>
      <c r="C2809" s="442"/>
      <c r="P2809" s="235"/>
      <c r="AI2809" s="38"/>
    </row>
    <row r="2810" ht="15.75" customHeight="1">
      <c r="A2810" s="35"/>
      <c r="C2810" s="442"/>
      <c r="P2810" s="235"/>
      <c r="AI2810" s="38"/>
    </row>
    <row r="2811" ht="15.75" customHeight="1">
      <c r="A2811" s="35"/>
      <c r="C2811" s="442"/>
      <c r="P2811" s="235"/>
      <c r="AI2811" s="38"/>
    </row>
    <row r="2812" ht="15.75" customHeight="1">
      <c r="A2812" s="35"/>
      <c r="C2812" s="442"/>
      <c r="P2812" s="235"/>
      <c r="AI2812" s="38"/>
    </row>
    <row r="2813" ht="15.75" customHeight="1">
      <c r="A2813" s="35"/>
      <c r="C2813" s="442"/>
      <c r="P2813" s="235"/>
      <c r="AI2813" s="38"/>
    </row>
    <row r="2814" ht="15.75" customHeight="1">
      <c r="A2814" s="35"/>
      <c r="C2814" s="442"/>
      <c r="P2814" s="235"/>
      <c r="AI2814" s="38"/>
    </row>
    <row r="2815" ht="15.75" customHeight="1">
      <c r="A2815" s="35"/>
      <c r="C2815" s="442"/>
      <c r="P2815" s="235"/>
      <c r="AI2815" s="38"/>
    </row>
    <row r="2816" ht="15.75" customHeight="1">
      <c r="A2816" s="35"/>
      <c r="C2816" s="442"/>
      <c r="P2816" s="235"/>
      <c r="AI2816" s="38"/>
    </row>
    <row r="2817" ht="15.75" customHeight="1">
      <c r="A2817" s="35"/>
      <c r="C2817" s="442"/>
      <c r="P2817" s="235"/>
      <c r="AI2817" s="38"/>
    </row>
    <row r="2818" ht="15.75" customHeight="1">
      <c r="A2818" s="35"/>
      <c r="C2818" s="442"/>
      <c r="P2818" s="235"/>
      <c r="AI2818" s="38"/>
    </row>
    <row r="2819" ht="15.75" customHeight="1">
      <c r="A2819" s="35"/>
      <c r="C2819" s="442"/>
      <c r="P2819" s="235"/>
      <c r="AI2819" s="38"/>
    </row>
    <row r="2820" ht="15.75" customHeight="1">
      <c r="A2820" s="35"/>
      <c r="C2820" s="442"/>
      <c r="P2820" s="235"/>
      <c r="AI2820" s="38"/>
    </row>
    <row r="2821" ht="15.75" customHeight="1">
      <c r="A2821" s="35"/>
      <c r="C2821" s="442"/>
      <c r="P2821" s="235"/>
      <c r="AI2821" s="38"/>
    </row>
    <row r="2822" ht="15.75" customHeight="1">
      <c r="A2822" s="35"/>
      <c r="C2822" s="442"/>
      <c r="P2822" s="235"/>
      <c r="AI2822" s="38"/>
    </row>
    <row r="2823" ht="15.75" customHeight="1">
      <c r="A2823" s="35"/>
      <c r="C2823" s="442"/>
      <c r="P2823" s="235"/>
      <c r="AI2823" s="38"/>
    </row>
    <row r="2824" ht="15.75" customHeight="1">
      <c r="A2824" s="35"/>
      <c r="C2824" s="442"/>
      <c r="P2824" s="235"/>
      <c r="AI2824" s="38"/>
    </row>
    <row r="2825" ht="15.75" customHeight="1">
      <c r="A2825" s="35"/>
      <c r="C2825" s="442"/>
      <c r="P2825" s="235"/>
      <c r="AI2825" s="38"/>
    </row>
    <row r="2826" ht="15.75" customHeight="1">
      <c r="A2826" s="35"/>
      <c r="C2826" s="442"/>
      <c r="P2826" s="235"/>
      <c r="AI2826" s="38"/>
    </row>
    <row r="2827" ht="15.75" customHeight="1">
      <c r="A2827" s="35"/>
      <c r="C2827" s="442"/>
      <c r="P2827" s="235"/>
      <c r="AI2827" s="38"/>
    </row>
    <row r="2828" ht="15.75" customHeight="1">
      <c r="A2828" s="35"/>
      <c r="C2828" s="442"/>
      <c r="P2828" s="235"/>
      <c r="AI2828" s="38"/>
    </row>
    <row r="2829" ht="15.75" customHeight="1">
      <c r="A2829" s="35"/>
      <c r="C2829" s="442"/>
      <c r="P2829" s="235"/>
      <c r="AI2829" s="38"/>
    </row>
    <row r="2830" ht="15.75" customHeight="1">
      <c r="A2830" s="35"/>
      <c r="C2830" s="442"/>
      <c r="P2830" s="235"/>
      <c r="AI2830" s="38"/>
    </row>
    <row r="2831" ht="15.75" customHeight="1">
      <c r="A2831" s="35"/>
      <c r="C2831" s="442"/>
      <c r="P2831" s="235"/>
      <c r="AI2831" s="38"/>
    </row>
    <row r="2832" ht="15.75" customHeight="1">
      <c r="A2832" s="35"/>
      <c r="C2832" s="442"/>
      <c r="P2832" s="235"/>
      <c r="AI2832" s="38"/>
    </row>
    <row r="2833" ht="15.75" customHeight="1">
      <c r="A2833" s="35"/>
      <c r="C2833" s="442"/>
      <c r="P2833" s="235"/>
      <c r="AI2833" s="38"/>
    </row>
    <row r="2834" ht="15.75" customHeight="1">
      <c r="A2834" s="35"/>
      <c r="C2834" s="442"/>
      <c r="P2834" s="235"/>
      <c r="AI2834" s="38"/>
    </row>
    <row r="2835" ht="15.75" customHeight="1">
      <c r="A2835" s="35"/>
      <c r="C2835" s="442"/>
      <c r="P2835" s="235"/>
      <c r="AI2835" s="38"/>
    </row>
    <row r="2836" ht="15.75" customHeight="1">
      <c r="A2836" s="35"/>
      <c r="C2836" s="442"/>
      <c r="P2836" s="235"/>
      <c r="AI2836" s="38"/>
    </row>
    <row r="2837" ht="15.75" customHeight="1">
      <c r="A2837" s="35"/>
      <c r="C2837" s="442"/>
      <c r="P2837" s="235"/>
      <c r="AI2837" s="38"/>
    </row>
    <row r="2838" ht="15.75" customHeight="1">
      <c r="A2838" s="35"/>
      <c r="C2838" s="442"/>
      <c r="P2838" s="235"/>
      <c r="AI2838" s="38"/>
    </row>
    <row r="2839" ht="15.75" customHeight="1">
      <c r="A2839" s="35"/>
      <c r="C2839" s="442"/>
      <c r="P2839" s="235"/>
      <c r="AI2839" s="38"/>
    </row>
    <row r="2840" ht="15.75" customHeight="1">
      <c r="A2840" s="35"/>
      <c r="C2840" s="442"/>
      <c r="P2840" s="235"/>
      <c r="AI2840" s="38"/>
    </row>
    <row r="2841" ht="15.75" customHeight="1">
      <c r="A2841" s="35"/>
      <c r="C2841" s="442"/>
      <c r="P2841" s="235"/>
      <c r="AI2841" s="38"/>
    </row>
    <row r="2842" ht="15.75" customHeight="1">
      <c r="A2842" s="35"/>
      <c r="C2842" s="442"/>
      <c r="P2842" s="235"/>
      <c r="AI2842" s="38"/>
    </row>
    <row r="2843" ht="15.75" customHeight="1">
      <c r="A2843" s="35"/>
      <c r="C2843" s="442"/>
      <c r="P2843" s="235"/>
      <c r="AI2843" s="38"/>
    </row>
    <row r="2844" ht="15.75" customHeight="1">
      <c r="A2844" s="35"/>
      <c r="C2844" s="442"/>
      <c r="P2844" s="235"/>
      <c r="AI2844" s="38"/>
    </row>
    <row r="2845" ht="15.75" customHeight="1">
      <c r="A2845" s="35"/>
      <c r="C2845" s="442"/>
      <c r="P2845" s="235"/>
      <c r="AI2845" s="38"/>
    </row>
    <row r="2846" ht="15.75" customHeight="1">
      <c r="A2846" s="35"/>
      <c r="C2846" s="442"/>
      <c r="P2846" s="235"/>
      <c r="AI2846" s="38"/>
    </row>
    <row r="2847" ht="15.75" customHeight="1">
      <c r="A2847" s="35"/>
      <c r="C2847" s="442"/>
      <c r="P2847" s="235"/>
      <c r="AI2847" s="38"/>
    </row>
    <row r="2848" ht="15.75" customHeight="1">
      <c r="A2848" s="35"/>
      <c r="C2848" s="442"/>
      <c r="P2848" s="235"/>
      <c r="AI2848" s="38"/>
    </row>
    <row r="2849" ht="15.75" customHeight="1">
      <c r="A2849" s="35"/>
      <c r="C2849" s="442"/>
      <c r="P2849" s="235"/>
      <c r="AI2849" s="38"/>
    </row>
    <row r="2850" ht="15.75" customHeight="1">
      <c r="A2850" s="35"/>
      <c r="C2850" s="442"/>
      <c r="P2850" s="235"/>
      <c r="AI2850" s="38"/>
    </row>
    <row r="2851" ht="15.75" customHeight="1">
      <c r="A2851" s="35"/>
      <c r="C2851" s="442"/>
      <c r="P2851" s="235"/>
      <c r="AI2851" s="38"/>
    </row>
    <row r="2852" ht="15.75" customHeight="1">
      <c r="A2852" s="35"/>
      <c r="C2852" s="442"/>
      <c r="P2852" s="235"/>
      <c r="AI2852" s="38"/>
    </row>
    <row r="2853" ht="15.75" customHeight="1">
      <c r="A2853" s="35"/>
      <c r="C2853" s="442"/>
      <c r="P2853" s="235"/>
      <c r="AI2853" s="38"/>
    </row>
    <row r="2854" ht="15.75" customHeight="1">
      <c r="A2854" s="35"/>
      <c r="C2854" s="442"/>
      <c r="P2854" s="235"/>
      <c r="AI2854" s="38"/>
    </row>
    <row r="2855" ht="15.75" customHeight="1">
      <c r="A2855" s="35"/>
      <c r="C2855" s="442"/>
      <c r="P2855" s="235"/>
      <c r="AI2855" s="38"/>
    </row>
    <row r="2856" ht="15.75" customHeight="1">
      <c r="A2856" s="35"/>
      <c r="C2856" s="442"/>
      <c r="P2856" s="235"/>
      <c r="AI2856" s="38"/>
    </row>
    <row r="2857" ht="15.75" customHeight="1">
      <c r="A2857" s="35"/>
      <c r="C2857" s="442"/>
      <c r="P2857" s="235"/>
      <c r="AI2857" s="38"/>
    </row>
    <row r="2858" ht="15.75" customHeight="1">
      <c r="A2858" s="35"/>
      <c r="C2858" s="442"/>
      <c r="P2858" s="235"/>
      <c r="AI2858" s="38"/>
    </row>
    <row r="2859" ht="15.75" customHeight="1">
      <c r="A2859" s="35"/>
      <c r="C2859" s="442"/>
      <c r="P2859" s="235"/>
      <c r="AI2859" s="38"/>
    </row>
    <row r="2860" ht="15.75" customHeight="1">
      <c r="A2860" s="35"/>
      <c r="C2860" s="442"/>
      <c r="P2860" s="235"/>
      <c r="AI2860" s="38"/>
    </row>
    <row r="2861" ht="15.75" customHeight="1">
      <c r="A2861" s="35"/>
      <c r="C2861" s="442"/>
      <c r="P2861" s="235"/>
      <c r="AI2861" s="38"/>
    </row>
    <row r="2862" ht="15.75" customHeight="1">
      <c r="A2862" s="35"/>
      <c r="C2862" s="442"/>
      <c r="P2862" s="235"/>
      <c r="AI2862" s="38"/>
    </row>
    <row r="2863" ht="15.75" customHeight="1">
      <c r="A2863" s="35"/>
      <c r="C2863" s="442"/>
      <c r="P2863" s="235"/>
      <c r="AI2863" s="38"/>
    </row>
    <row r="2864" ht="15.75" customHeight="1">
      <c r="A2864" s="35"/>
      <c r="C2864" s="442"/>
      <c r="P2864" s="235"/>
      <c r="AI2864" s="38"/>
    </row>
    <row r="2865" ht="15.75" customHeight="1">
      <c r="A2865" s="35"/>
      <c r="C2865" s="442"/>
      <c r="P2865" s="235"/>
      <c r="AI2865" s="38"/>
    </row>
    <row r="2866" ht="15.75" customHeight="1">
      <c r="A2866" s="35"/>
      <c r="C2866" s="442"/>
      <c r="P2866" s="235"/>
      <c r="AI2866" s="38"/>
    </row>
    <row r="2867" ht="15.75" customHeight="1">
      <c r="A2867" s="35"/>
      <c r="C2867" s="442"/>
      <c r="P2867" s="235"/>
      <c r="AI2867" s="38"/>
    </row>
    <row r="2868" ht="15.75" customHeight="1">
      <c r="A2868" s="35"/>
      <c r="C2868" s="442"/>
      <c r="P2868" s="235"/>
      <c r="AI2868" s="38"/>
    </row>
    <row r="2869" ht="15.75" customHeight="1">
      <c r="A2869" s="35"/>
      <c r="C2869" s="442"/>
      <c r="P2869" s="235"/>
      <c r="AI2869" s="38"/>
    </row>
    <row r="2870" ht="15.75" customHeight="1">
      <c r="A2870" s="35"/>
      <c r="C2870" s="442"/>
      <c r="P2870" s="235"/>
      <c r="AI2870" s="38"/>
    </row>
    <row r="2871" ht="15.75" customHeight="1">
      <c r="A2871" s="35"/>
      <c r="C2871" s="442"/>
      <c r="P2871" s="235"/>
      <c r="AI2871" s="38"/>
    </row>
    <row r="2872" ht="15.75" customHeight="1">
      <c r="A2872" s="35"/>
      <c r="C2872" s="442"/>
      <c r="P2872" s="235"/>
      <c r="AI2872" s="38"/>
    </row>
    <row r="2873" ht="15.75" customHeight="1">
      <c r="A2873" s="35"/>
      <c r="C2873" s="442"/>
      <c r="P2873" s="235"/>
      <c r="AI2873" s="38"/>
    </row>
    <row r="2874" ht="15.75" customHeight="1">
      <c r="A2874" s="35"/>
      <c r="C2874" s="442"/>
      <c r="P2874" s="235"/>
      <c r="AI2874" s="38"/>
    </row>
    <row r="2875" ht="15.75" customHeight="1">
      <c r="A2875" s="35"/>
      <c r="C2875" s="442"/>
      <c r="P2875" s="235"/>
      <c r="AI2875" s="38"/>
    </row>
    <row r="2876" ht="15.75" customHeight="1">
      <c r="A2876" s="35"/>
      <c r="C2876" s="442"/>
      <c r="P2876" s="235"/>
      <c r="AI2876" s="38"/>
    </row>
    <row r="2877" ht="15.75" customHeight="1">
      <c r="A2877" s="35"/>
      <c r="C2877" s="442"/>
      <c r="P2877" s="235"/>
      <c r="AI2877" s="38"/>
    </row>
    <row r="2878" ht="15.75" customHeight="1">
      <c r="A2878" s="35"/>
      <c r="C2878" s="442"/>
      <c r="P2878" s="235"/>
      <c r="AI2878" s="38"/>
    </row>
    <row r="2879" ht="15.75" customHeight="1">
      <c r="A2879" s="35"/>
      <c r="C2879" s="442"/>
      <c r="P2879" s="235"/>
      <c r="AI2879" s="38"/>
    </row>
    <row r="2880" ht="15.75" customHeight="1">
      <c r="A2880" s="35"/>
      <c r="C2880" s="442"/>
      <c r="P2880" s="235"/>
      <c r="AI2880" s="38"/>
    </row>
    <row r="2881" ht="15.75" customHeight="1">
      <c r="A2881" s="35"/>
      <c r="C2881" s="442"/>
      <c r="P2881" s="235"/>
      <c r="AI2881" s="38"/>
    </row>
    <row r="2882" ht="15.75" customHeight="1">
      <c r="A2882" s="35"/>
      <c r="C2882" s="442"/>
      <c r="P2882" s="235"/>
      <c r="AI2882" s="38"/>
    </row>
    <row r="2883" ht="15.75" customHeight="1">
      <c r="A2883" s="35"/>
      <c r="C2883" s="442"/>
      <c r="P2883" s="235"/>
      <c r="AI2883" s="38"/>
    </row>
    <row r="2884" ht="15.75" customHeight="1">
      <c r="A2884" s="35"/>
      <c r="C2884" s="442"/>
      <c r="P2884" s="235"/>
      <c r="AI2884" s="38"/>
    </row>
    <row r="2885" ht="15.75" customHeight="1">
      <c r="A2885" s="35"/>
      <c r="C2885" s="442"/>
      <c r="P2885" s="235"/>
      <c r="AI2885" s="38"/>
    </row>
    <row r="2886" ht="15.75" customHeight="1">
      <c r="A2886" s="35"/>
      <c r="C2886" s="442"/>
      <c r="P2886" s="235"/>
      <c r="AI2886" s="38"/>
    </row>
    <row r="2887" ht="15.75" customHeight="1">
      <c r="A2887" s="35"/>
      <c r="C2887" s="442"/>
      <c r="P2887" s="235"/>
      <c r="AI2887" s="38"/>
    </row>
    <row r="2888" ht="15.75" customHeight="1">
      <c r="A2888" s="35"/>
      <c r="C2888" s="442"/>
      <c r="P2888" s="235"/>
      <c r="AI2888" s="38"/>
    </row>
    <row r="2889" ht="15.75" customHeight="1">
      <c r="A2889" s="35"/>
      <c r="C2889" s="442"/>
      <c r="P2889" s="235"/>
      <c r="AI2889" s="38"/>
    </row>
    <row r="2890" ht="15.75" customHeight="1">
      <c r="A2890" s="35"/>
      <c r="C2890" s="442"/>
      <c r="P2890" s="235"/>
      <c r="AI2890" s="38"/>
    </row>
    <row r="2891" ht="15.75" customHeight="1">
      <c r="A2891" s="35"/>
      <c r="C2891" s="442"/>
      <c r="P2891" s="235"/>
      <c r="AI2891" s="38"/>
    </row>
    <row r="2892" ht="15.75" customHeight="1">
      <c r="A2892" s="35"/>
      <c r="C2892" s="442"/>
      <c r="P2892" s="235"/>
      <c r="AI2892" s="38"/>
    </row>
    <row r="2893" ht="15.75" customHeight="1">
      <c r="A2893" s="35"/>
      <c r="C2893" s="442"/>
      <c r="P2893" s="235"/>
      <c r="AI2893" s="38"/>
    </row>
    <row r="2894" ht="15.75" customHeight="1">
      <c r="A2894" s="35"/>
      <c r="C2894" s="442"/>
      <c r="P2894" s="235"/>
      <c r="AI2894" s="38"/>
    </row>
    <row r="2895" ht="15.75" customHeight="1">
      <c r="A2895" s="35"/>
      <c r="C2895" s="442"/>
      <c r="P2895" s="235"/>
      <c r="AI2895" s="38"/>
    </row>
    <row r="2896" ht="15.75" customHeight="1">
      <c r="A2896" s="35"/>
      <c r="C2896" s="442"/>
      <c r="P2896" s="235"/>
      <c r="AI2896" s="38"/>
    </row>
    <row r="2897" ht="15.75" customHeight="1">
      <c r="A2897" s="35"/>
      <c r="C2897" s="442"/>
      <c r="P2897" s="235"/>
      <c r="AI2897" s="38"/>
    </row>
    <row r="2898" ht="15.75" customHeight="1">
      <c r="A2898" s="35"/>
      <c r="C2898" s="442"/>
      <c r="P2898" s="235"/>
      <c r="AI2898" s="38"/>
    </row>
    <row r="2899" ht="15.75" customHeight="1">
      <c r="A2899" s="35"/>
      <c r="C2899" s="442"/>
      <c r="P2899" s="235"/>
      <c r="AI2899" s="38"/>
    </row>
    <row r="2900" ht="15.75" customHeight="1">
      <c r="A2900" s="35"/>
      <c r="C2900" s="442"/>
      <c r="P2900" s="235"/>
      <c r="AI2900" s="38"/>
    </row>
    <row r="2901" ht="15.75" customHeight="1">
      <c r="A2901" s="35"/>
      <c r="C2901" s="442"/>
      <c r="P2901" s="235"/>
      <c r="AI2901" s="38"/>
    </row>
    <row r="2902" ht="15.75" customHeight="1">
      <c r="A2902" s="35"/>
      <c r="C2902" s="442"/>
      <c r="P2902" s="235"/>
      <c r="AI2902" s="38"/>
    </row>
    <row r="2903" ht="15.75" customHeight="1">
      <c r="A2903" s="35"/>
      <c r="C2903" s="442"/>
      <c r="P2903" s="235"/>
      <c r="AI2903" s="38"/>
    </row>
    <row r="2904" ht="15.75" customHeight="1">
      <c r="A2904" s="35"/>
      <c r="C2904" s="442"/>
      <c r="P2904" s="235"/>
      <c r="AI2904" s="38"/>
    </row>
    <row r="2905" ht="15.75" customHeight="1">
      <c r="A2905" s="35"/>
      <c r="C2905" s="442"/>
      <c r="P2905" s="235"/>
      <c r="AI2905" s="38"/>
    </row>
    <row r="2906" ht="15.75" customHeight="1">
      <c r="A2906" s="35"/>
      <c r="C2906" s="442"/>
      <c r="P2906" s="235"/>
      <c r="AI2906" s="38"/>
    </row>
    <row r="2907" ht="15.75" customHeight="1">
      <c r="A2907" s="35"/>
      <c r="C2907" s="442"/>
      <c r="P2907" s="235"/>
      <c r="AI2907" s="38"/>
    </row>
    <row r="2908" ht="15.75" customHeight="1">
      <c r="A2908" s="35"/>
      <c r="C2908" s="442"/>
      <c r="P2908" s="235"/>
      <c r="AI2908" s="38"/>
    </row>
    <row r="2909" ht="15.75" customHeight="1">
      <c r="A2909" s="35"/>
      <c r="C2909" s="442"/>
      <c r="P2909" s="235"/>
      <c r="AI2909" s="38"/>
    </row>
    <row r="2910" ht="15.75" customHeight="1">
      <c r="A2910" s="35"/>
      <c r="C2910" s="442"/>
      <c r="P2910" s="235"/>
      <c r="AI2910" s="38"/>
    </row>
    <row r="2911" ht="15.75" customHeight="1">
      <c r="A2911" s="35"/>
      <c r="C2911" s="442"/>
      <c r="P2911" s="235"/>
      <c r="AI2911" s="38"/>
    </row>
    <row r="2912" ht="15.75" customHeight="1">
      <c r="A2912" s="35"/>
      <c r="C2912" s="442"/>
      <c r="P2912" s="235"/>
      <c r="AI2912" s="38"/>
    </row>
    <row r="2913" ht="15.75" customHeight="1">
      <c r="A2913" s="35"/>
      <c r="C2913" s="442"/>
      <c r="P2913" s="235"/>
      <c r="AI2913" s="38"/>
    </row>
    <row r="2914" ht="15.75" customHeight="1">
      <c r="A2914" s="35"/>
      <c r="C2914" s="442"/>
      <c r="P2914" s="235"/>
      <c r="AI2914" s="38"/>
    </row>
    <row r="2915" ht="15.75" customHeight="1">
      <c r="A2915" s="35"/>
      <c r="C2915" s="442"/>
      <c r="P2915" s="235"/>
      <c r="AI2915" s="38"/>
    </row>
    <row r="2916" ht="15.75" customHeight="1">
      <c r="A2916" s="35"/>
      <c r="C2916" s="442"/>
      <c r="P2916" s="235"/>
      <c r="AI2916" s="38"/>
    </row>
    <row r="2917" ht="15.75" customHeight="1">
      <c r="A2917" s="35"/>
      <c r="C2917" s="442"/>
      <c r="P2917" s="235"/>
      <c r="AI2917" s="38"/>
    </row>
    <row r="2918" ht="15.75" customHeight="1">
      <c r="A2918" s="35"/>
      <c r="C2918" s="442"/>
      <c r="P2918" s="235"/>
      <c r="AI2918" s="38"/>
    </row>
    <row r="2919" ht="15.75" customHeight="1">
      <c r="A2919" s="35"/>
      <c r="C2919" s="442"/>
      <c r="P2919" s="235"/>
      <c r="AI2919" s="38"/>
    </row>
    <row r="2920" ht="15.75" customHeight="1">
      <c r="A2920" s="35"/>
      <c r="C2920" s="442"/>
      <c r="P2920" s="235"/>
      <c r="AI2920" s="38"/>
    </row>
    <row r="2921" ht="15.75" customHeight="1">
      <c r="A2921" s="35"/>
      <c r="C2921" s="442"/>
      <c r="P2921" s="235"/>
      <c r="AI2921" s="38"/>
    </row>
    <row r="2922" ht="15.75" customHeight="1">
      <c r="A2922" s="35"/>
      <c r="C2922" s="442"/>
      <c r="P2922" s="235"/>
      <c r="AI2922" s="38"/>
    </row>
    <row r="2923" ht="15.75" customHeight="1">
      <c r="A2923" s="35"/>
      <c r="C2923" s="442"/>
      <c r="P2923" s="235"/>
      <c r="AI2923" s="38"/>
    </row>
    <row r="2924" ht="15.75" customHeight="1">
      <c r="A2924" s="35"/>
      <c r="C2924" s="442"/>
      <c r="P2924" s="235"/>
      <c r="AI2924" s="38"/>
    </row>
    <row r="2925" ht="15.75" customHeight="1">
      <c r="A2925" s="35"/>
      <c r="C2925" s="442"/>
      <c r="P2925" s="235"/>
      <c r="AI2925" s="38"/>
    </row>
    <row r="2926" ht="15.75" customHeight="1">
      <c r="A2926" s="35"/>
      <c r="C2926" s="442"/>
      <c r="P2926" s="235"/>
      <c r="AI2926" s="38"/>
    </row>
    <row r="2927" ht="15.75" customHeight="1">
      <c r="A2927" s="35"/>
      <c r="C2927" s="442"/>
      <c r="P2927" s="235"/>
      <c r="AI2927" s="38"/>
    </row>
    <row r="2928" ht="15.75" customHeight="1">
      <c r="A2928" s="35"/>
      <c r="C2928" s="442"/>
      <c r="P2928" s="235"/>
      <c r="AI2928" s="38"/>
    </row>
    <row r="2929" ht="15.75" customHeight="1">
      <c r="A2929" s="35"/>
      <c r="C2929" s="442"/>
      <c r="P2929" s="235"/>
      <c r="AI2929" s="38"/>
    </row>
    <row r="2930" ht="15.75" customHeight="1">
      <c r="A2930" s="35"/>
      <c r="C2930" s="442"/>
      <c r="P2930" s="235"/>
      <c r="AI2930" s="38"/>
    </row>
    <row r="2931" ht="15.75" customHeight="1">
      <c r="A2931" s="35"/>
      <c r="C2931" s="442"/>
      <c r="P2931" s="235"/>
      <c r="AI2931" s="38"/>
    </row>
    <row r="2932" ht="15.75" customHeight="1">
      <c r="A2932" s="35"/>
      <c r="C2932" s="442"/>
      <c r="P2932" s="235"/>
      <c r="AI2932" s="38"/>
    </row>
    <row r="2933" ht="15.75" customHeight="1">
      <c r="A2933" s="35"/>
      <c r="C2933" s="442"/>
      <c r="P2933" s="235"/>
      <c r="AI2933" s="38"/>
    </row>
    <row r="2934" ht="15.75" customHeight="1">
      <c r="A2934" s="35"/>
      <c r="C2934" s="442"/>
      <c r="P2934" s="235"/>
      <c r="AI2934" s="38"/>
    </row>
    <row r="2935" ht="15.75" customHeight="1">
      <c r="A2935" s="35"/>
      <c r="C2935" s="442"/>
      <c r="P2935" s="235"/>
      <c r="AI2935" s="38"/>
    </row>
    <row r="2936" ht="15.75" customHeight="1">
      <c r="A2936" s="35"/>
      <c r="C2936" s="442"/>
      <c r="P2936" s="235"/>
      <c r="AI2936" s="38"/>
    </row>
    <row r="2937" ht="15.75" customHeight="1">
      <c r="A2937" s="35"/>
      <c r="C2937" s="442"/>
      <c r="P2937" s="235"/>
      <c r="AI2937" s="38"/>
    </row>
    <row r="2938" ht="15.75" customHeight="1">
      <c r="A2938" s="35"/>
      <c r="C2938" s="442"/>
      <c r="P2938" s="235"/>
      <c r="AI2938" s="38"/>
    </row>
    <row r="2939" ht="15.75" customHeight="1">
      <c r="A2939" s="35"/>
      <c r="C2939" s="442"/>
      <c r="P2939" s="235"/>
      <c r="AI2939" s="38"/>
    </row>
    <row r="2940" ht="15.75" customHeight="1">
      <c r="A2940" s="35"/>
      <c r="C2940" s="442"/>
      <c r="P2940" s="235"/>
      <c r="AI2940" s="38"/>
    </row>
    <row r="2941" ht="15.75" customHeight="1">
      <c r="A2941" s="35"/>
      <c r="C2941" s="442"/>
      <c r="P2941" s="235"/>
      <c r="AI2941" s="38"/>
    </row>
    <row r="2942" ht="15.75" customHeight="1">
      <c r="A2942" s="35"/>
      <c r="C2942" s="442"/>
      <c r="P2942" s="235"/>
      <c r="AI2942" s="38"/>
    </row>
    <row r="2943" ht="15.75" customHeight="1">
      <c r="A2943" s="35"/>
      <c r="C2943" s="442"/>
      <c r="P2943" s="235"/>
      <c r="AI2943" s="38"/>
    </row>
    <row r="2944" ht="15.75" customHeight="1">
      <c r="A2944" s="35"/>
      <c r="C2944" s="442"/>
      <c r="P2944" s="235"/>
      <c r="AI2944" s="38"/>
    </row>
    <row r="2945" ht="15.75" customHeight="1">
      <c r="A2945" s="35"/>
      <c r="C2945" s="442"/>
      <c r="P2945" s="235"/>
      <c r="AI2945" s="38"/>
    </row>
    <row r="2946" ht="15.75" customHeight="1">
      <c r="A2946" s="35"/>
      <c r="C2946" s="442"/>
      <c r="P2946" s="235"/>
      <c r="AI2946" s="38"/>
    </row>
    <row r="2947" ht="15.75" customHeight="1">
      <c r="A2947" s="35"/>
      <c r="C2947" s="442"/>
      <c r="P2947" s="235"/>
      <c r="AI2947" s="38"/>
    </row>
    <row r="2948" ht="15.75" customHeight="1">
      <c r="A2948" s="35"/>
      <c r="C2948" s="442"/>
      <c r="P2948" s="235"/>
      <c r="AI2948" s="38"/>
    </row>
    <row r="2949" ht="15.75" customHeight="1">
      <c r="A2949" s="35"/>
      <c r="C2949" s="442"/>
      <c r="P2949" s="235"/>
      <c r="AI2949" s="38"/>
    </row>
    <row r="2950" ht="15.75" customHeight="1">
      <c r="A2950" s="35"/>
      <c r="C2950" s="442"/>
      <c r="P2950" s="235"/>
      <c r="AI2950" s="38"/>
    </row>
    <row r="2951" ht="15.75" customHeight="1">
      <c r="A2951" s="35"/>
      <c r="C2951" s="442"/>
      <c r="P2951" s="235"/>
      <c r="AI2951" s="38"/>
    </row>
    <row r="2952" ht="15.75" customHeight="1">
      <c r="A2952" s="35"/>
      <c r="C2952" s="442"/>
      <c r="P2952" s="235"/>
      <c r="AI2952" s="38"/>
    </row>
    <row r="2953" ht="15.75" customHeight="1">
      <c r="A2953" s="35"/>
      <c r="C2953" s="442"/>
      <c r="P2953" s="235"/>
      <c r="AI2953" s="38"/>
    </row>
    <row r="2954" ht="15.75" customHeight="1">
      <c r="A2954" s="35"/>
      <c r="C2954" s="442"/>
      <c r="P2954" s="235"/>
      <c r="AI2954" s="38"/>
    </row>
    <row r="2955" ht="15.75" customHeight="1">
      <c r="A2955" s="35"/>
      <c r="C2955" s="442"/>
      <c r="P2955" s="235"/>
      <c r="AI2955" s="38"/>
    </row>
    <row r="2956" ht="15.75" customHeight="1">
      <c r="A2956" s="35"/>
      <c r="C2956" s="442"/>
      <c r="P2956" s="235"/>
      <c r="AI2956" s="38"/>
    </row>
    <row r="2957" ht="15.75" customHeight="1">
      <c r="A2957" s="35"/>
      <c r="C2957" s="442"/>
      <c r="P2957" s="235"/>
      <c r="AI2957" s="38"/>
    </row>
    <row r="2958" ht="15.75" customHeight="1">
      <c r="A2958" s="35"/>
      <c r="C2958" s="442"/>
      <c r="P2958" s="235"/>
      <c r="AI2958" s="38"/>
    </row>
    <row r="2959" ht="15.75" customHeight="1">
      <c r="A2959" s="35"/>
      <c r="C2959" s="442"/>
      <c r="P2959" s="235"/>
      <c r="AI2959" s="38"/>
    </row>
    <row r="2960" ht="15.75" customHeight="1">
      <c r="A2960" s="35"/>
      <c r="C2960" s="442"/>
      <c r="P2960" s="235"/>
      <c r="AI2960" s="38"/>
    </row>
    <row r="2961" ht="15.75" customHeight="1">
      <c r="A2961" s="35"/>
      <c r="C2961" s="442"/>
      <c r="P2961" s="235"/>
      <c r="AI2961" s="38"/>
    </row>
    <row r="2962" ht="15.75" customHeight="1">
      <c r="A2962" s="35"/>
      <c r="C2962" s="442"/>
      <c r="P2962" s="235"/>
      <c r="AI2962" s="38"/>
    </row>
    <row r="2963" ht="15.75" customHeight="1">
      <c r="A2963" s="35"/>
      <c r="C2963" s="442"/>
      <c r="P2963" s="235"/>
      <c r="AI2963" s="38"/>
    </row>
    <row r="2964" ht="15.75" customHeight="1">
      <c r="A2964" s="35"/>
      <c r="C2964" s="442"/>
      <c r="P2964" s="235"/>
      <c r="AI2964" s="38"/>
    </row>
    <row r="2965" ht="15.75" customHeight="1">
      <c r="A2965" s="35"/>
      <c r="C2965" s="442"/>
      <c r="P2965" s="235"/>
      <c r="AI2965" s="38"/>
    </row>
    <row r="2966" ht="15.75" customHeight="1">
      <c r="A2966" s="35"/>
      <c r="C2966" s="442"/>
      <c r="P2966" s="235"/>
      <c r="AI2966" s="38"/>
    </row>
    <row r="2967" ht="15.75" customHeight="1">
      <c r="A2967" s="35"/>
      <c r="C2967" s="442"/>
      <c r="P2967" s="235"/>
      <c r="AI2967" s="38"/>
    </row>
    <row r="2968" ht="15.75" customHeight="1">
      <c r="A2968" s="35"/>
      <c r="C2968" s="442"/>
      <c r="P2968" s="235"/>
      <c r="AI2968" s="38"/>
    </row>
    <row r="2969" ht="15.75" customHeight="1">
      <c r="A2969" s="35"/>
      <c r="C2969" s="442"/>
      <c r="P2969" s="235"/>
      <c r="AI2969" s="38"/>
    </row>
    <row r="2970" ht="15.75" customHeight="1">
      <c r="A2970" s="35"/>
      <c r="C2970" s="442"/>
      <c r="P2970" s="235"/>
      <c r="AI2970" s="38"/>
    </row>
    <row r="2971" ht="15.75" customHeight="1">
      <c r="A2971" s="35"/>
      <c r="C2971" s="442"/>
      <c r="P2971" s="235"/>
      <c r="AI2971" s="38"/>
    </row>
    <row r="2972" ht="15.75" customHeight="1">
      <c r="A2972" s="35"/>
      <c r="C2972" s="442"/>
      <c r="P2972" s="235"/>
      <c r="AI2972" s="38"/>
    </row>
    <row r="2973" ht="15.75" customHeight="1">
      <c r="A2973" s="35"/>
      <c r="C2973" s="442"/>
      <c r="P2973" s="235"/>
      <c r="AI2973" s="38"/>
    </row>
    <row r="2974" ht="15.75" customHeight="1">
      <c r="A2974" s="35"/>
      <c r="C2974" s="442"/>
      <c r="P2974" s="235"/>
      <c r="AI2974" s="38"/>
    </row>
    <row r="2975" ht="15.75" customHeight="1">
      <c r="A2975" s="35"/>
      <c r="C2975" s="442"/>
      <c r="P2975" s="235"/>
      <c r="AI2975" s="38"/>
    </row>
    <row r="2976" ht="15.75" customHeight="1">
      <c r="A2976" s="35"/>
      <c r="C2976" s="442"/>
      <c r="P2976" s="235"/>
      <c r="AI2976" s="38"/>
    </row>
    <row r="2977" ht="15.75" customHeight="1">
      <c r="A2977" s="35"/>
      <c r="C2977" s="442"/>
      <c r="P2977" s="235"/>
      <c r="AI2977" s="38"/>
    </row>
    <row r="2978" ht="15.75" customHeight="1">
      <c r="A2978" s="35"/>
      <c r="C2978" s="442"/>
      <c r="P2978" s="235"/>
      <c r="AI2978" s="38"/>
    </row>
    <row r="2979" ht="15.75" customHeight="1">
      <c r="A2979" s="35"/>
      <c r="C2979" s="442"/>
      <c r="P2979" s="235"/>
      <c r="AI2979" s="38"/>
    </row>
    <row r="2980" ht="15.75" customHeight="1">
      <c r="A2980" s="35"/>
      <c r="C2980" s="442"/>
      <c r="P2980" s="235"/>
      <c r="AI2980" s="38"/>
    </row>
    <row r="2981" ht="15.75" customHeight="1">
      <c r="A2981" s="35"/>
      <c r="C2981" s="442"/>
      <c r="P2981" s="235"/>
      <c r="AI2981" s="38"/>
    </row>
    <row r="2982" ht="15.75" customHeight="1">
      <c r="A2982" s="35"/>
      <c r="C2982" s="442"/>
      <c r="P2982" s="235"/>
      <c r="AI2982" s="38"/>
    </row>
    <row r="2983" ht="15.75" customHeight="1">
      <c r="A2983" s="35"/>
      <c r="C2983" s="442"/>
      <c r="P2983" s="235"/>
      <c r="AI2983" s="38"/>
    </row>
    <row r="2984" ht="15.75" customHeight="1">
      <c r="A2984" s="35"/>
      <c r="C2984" s="442"/>
      <c r="P2984" s="235"/>
      <c r="AI2984" s="38"/>
    </row>
    <row r="2985" ht="15.75" customHeight="1">
      <c r="A2985" s="35"/>
      <c r="C2985" s="442"/>
      <c r="P2985" s="235"/>
      <c r="AI2985" s="38"/>
    </row>
    <row r="2986" ht="15.75" customHeight="1">
      <c r="A2986" s="35"/>
      <c r="C2986" s="442"/>
      <c r="P2986" s="235"/>
      <c r="AI2986" s="38"/>
    </row>
    <row r="2987" ht="15.75" customHeight="1">
      <c r="A2987" s="35"/>
      <c r="C2987" s="442"/>
      <c r="P2987" s="235"/>
      <c r="AI2987" s="38"/>
    </row>
    <row r="2988" ht="15.75" customHeight="1">
      <c r="A2988" s="35"/>
      <c r="C2988" s="442"/>
      <c r="P2988" s="235"/>
      <c r="AI2988" s="38"/>
    </row>
    <row r="2989" ht="15.75" customHeight="1">
      <c r="A2989" s="35"/>
      <c r="C2989" s="442"/>
      <c r="P2989" s="235"/>
      <c r="AI2989" s="38"/>
    </row>
    <row r="2990" ht="15.75" customHeight="1">
      <c r="A2990" s="35"/>
      <c r="C2990" s="442"/>
      <c r="P2990" s="235"/>
      <c r="AI2990" s="38"/>
    </row>
    <row r="2991" ht="15.75" customHeight="1">
      <c r="A2991" s="35"/>
      <c r="C2991" s="442"/>
      <c r="P2991" s="235"/>
      <c r="AI2991" s="38"/>
    </row>
    <row r="2992" ht="15.75" customHeight="1">
      <c r="A2992" s="35"/>
      <c r="C2992" s="442"/>
      <c r="P2992" s="235"/>
      <c r="AI2992" s="38"/>
    </row>
    <row r="2993" ht="15.75" customHeight="1">
      <c r="A2993" s="35"/>
      <c r="C2993" s="442"/>
      <c r="P2993" s="235"/>
      <c r="AI2993" s="38"/>
    </row>
    <row r="2994" ht="15.75" customHeight="1">
      <c r="A2994" s="35"/>
      <c r="C2994" s="442"/>
      <c r="P2994" s="235"/>
      <c r="AI2994" s="38"/>
    </row>
    <row r="2995" ht="15.75" customHeight="1">
      <c r="A2995" s="35"/>
      <c r="C2995" s="442"/>
      <c r="P2995" s="235"/>
      <c r="AI2995" s="38"/>
    </row>
    <row r="2996" ht="15.75" customHeight="1">
      <c r="A2996" s="35"/>
      <c r="C2996" s="442"/>
      <c r="P2996" s="235"/>
      <c r="AI2996" s="38"/>
    </row>
    <row r="2997" ht="15.75" customHeight="1">
      <c r="A2997" s="35"/>
      <c r="C2997" s="442"/>
      <c r="P2997" s="235"/>
      <c r="AI2997" s="38"/>
    </row>
    <row r="2998" ht="15.75" customHeight="1">
      <c r="A2998" s="35"/>
      <c r="C2998" s="442"/>
      <c r="P2998" s="235"/>
      <c r="AI2998" s="38"/>
    </row>
    <row r="2999" ht="15.75" customHeight="1">
      <c r="A2999" s="35"/>
      <c r="C2999" s="442"/>
      <c r="P2999" s="235"/>
      <c r="AI2999" s="38"/>
    </row>
    <row r="3000" ht="15.75" customHeight="1">
      <c r="A3000" s="35"/>
      <c r="C3000" s="442"/>
      <c r="P3000" s="235"/>
      <c r="AI3000" s="38"/>
    </row>
    <row r="3001" ht="15.75" customHeight="1">
      <c r="A3001" s="35"/>
      <c r="C3001" s="442"/>
      <c r="P3001" s="235"/>
      <c r="AI3001" s="38"/>
    </row>
    <row r="3002" ht="15.75" customHeight="1">
      <c r="A3002" s="35"/>
      <c r="C3002" s="442"/>
      <c r="P3002" s="235"/>
      <c r="AI3002" s="38"/>
    </row>
    <row r="3003" ht="15.75" customHeight="1">
      <c r="A3003" s="35"/>
      <c r="C3003" s="442"/>
      <c r="P3003" s="235"/>
      <c r="AI3003" s="38"/>
    </row>
    <row r="3004" ht="15.75" customHeight="1">
      <c r="A3004" s="35"/>
      <c r="C3004" s="442"/>
      <c r="P3004" s="235"/>
      <c r="AI3004" s="38"/>
    </row>
    <row r="3005" ht="15.75" customHeight="1">
      <c r="A3005" s="35"/>
      <c r="C3005" s="442"/>
      <c r="P3005" s="235"/>
      <c r="AI3005" s="38"/>
    </row>
    <row r="3006" ht="15.75" customHeight="1">
      <c r="A3006" s="35"/>
      <c r="C3006" s="442"/>
      <c r="P3006" s="235"/>
      <c r="AI3006" s="38"/>
    </row>
    <row r="3007" ht="15.75" customHeight="1">
      <c r="A3007" s="35"/>
      <c r="C3007" s="442"/>
      <c r="P3007" s="235"/>
      <c r="AI3007" s="38"/>
    </row>
    <row r="3008" ht="15.75" customHeight="1">
      <c r="A3008" s="35"/>
      <c r="C3008" s="442"/>
      <c r="P3008" s="235"/>
      <c r="AI3008" s="38"/>
    </row>
    <row r="3009" ht="15.75" customHeight="1">
      <c r="A3009" s="35"/>
      <c r="C3009" s="442"/>
      <c r="P3009" s="235"/>
      <c r="AI3009" s="38"/>
    </row>
    <row r="3010" ht="15.75" customHeight="1">
      <c r="A3010" s="35"/>
      <c r="C3010" s="442"/>
      <c r="P3010" s="235"/>
      <c r="AI3010" s="38"/>
    </row>
    <row r="3011" ht="15.75" customHeight="1">
      <c r="A3011" s="35"/>
      <c r="C3011" s="442"/>
      <c r="P3011" s="235"/>
      <c r="AI3011" s="38"/>
    </row>
    <row r="3012" ht="15.75" customHeight="1">
      <c r="A3012" s="35"/>
      <c r="C3012" s="442"/>
      <c r="P3012" s="235"/>
      <c r="AI3012" s="38"/>
    </row>
    <row r="3013" ht="15.75" customHeight="1">
      <c r="A3013" s="35"/>
      <c r="C3013" s="442"/>
      <c r="P3013" s="235"/>
      <c r="AI3013" s="38"/>
    </row>
    <row r="3014" ht="15.75" customHeight="1">
      <c r="A3014" s="35"/>
      <c r="C3014" s="442"/>
      <c r="P3014" s="235"/>
      <c r="AI3014" s="38"/>
    </row>
    <row r="3015" ht="15.75" customHeight="1">
      <c r="A3015" s="35"/>
      <c r="C3015" s="442"/>
      <c r="P3015" s="235"/>
      <c r="AI3015" s="38"/>
    </row>
    <row r="3016" ht="15.75" customHeight="1">
      <c r="A3016" s="35"/>
      <c r="C3016" s="442"/>
      <c r="P3016" s="235"/>
      <c r="AI3016" s="38"/>
    </row>
    <row r="3017" ht="15.75" customHeight="1">
      <c r="A3017" s="35"/>
      <c r="C3017" s="442"/>
      <c r="P3017" s="235"/>
      <c r="AI3017" s="38"/>
    </row>
    <row r="3018" ht="15.75" customHeight="1">
      <c r="A3018" s="35"/>
      <c r="C3018" s="442"/>
      <c r="P3018" s="235"/>
      <c r="AI3018" s="38"/>
    </row>
    <row r="3019" ht="15.75" customHeight="1">
      <c r="A3019" s="35"/>
      <c r="C3019" s="442"/>
      <c r="P3019" s="235"/>
      <c r="AI3019" s="38"/>
    </row>
    <row r="3020" ht="15.75" customHeight="1">
      <c r="A3020" s="35"/>
      <c r="C3020" s="442"/>
      <c r="P3020" s="235"/>
      <c r="AI3020" s="38"/>
    </row>
    <row r="3021" ht="15.75" customHeight="1">
      <c r="A3021" s="35"/>
      <c r="C3021" s="442"/>
      <c r="P3021" s="235"/>
      <c r="AI3021" s="38"/>
    </row>
    <row r="3022" ht="15.75" customHeight="1">
      <c r="A3022" s="35"/>
      <c r="C3022" s="442"/>
      <c r="P3022" s="235"/>
      <c r="AI3022" s="38"/>
    </row>
    <row r="3023" ht="15.75" customHeight="1">
      <c r="A3023" s="35"/>
      <c r="C3023" s="442"/>
      <c r="P3023" s="235"/>
      <c r="AI3023" s="38"/>
    </row>
    <row r="3024" ht="15.75" customHeight="1">
      <c r="A3024" s="35"/>
      <c r="C3024" s="442"/>
      <c r="P3024" s="235"/>
      <c r="AI3024" s="38"/>
    </row>
    <row r="3025" ht="15.75" customHeight="1">
      <c r="A3025" s="35"/>
      <c r="C3025" s="442"/>
      <c r="P3025" s="235"/>
      <c r="AI3025" s="38"/>
    </row>
    <row r="3026" ht="15.75" customHeight="1">
      <c r="A3026" s="35"/>
      <c r="C3026" s="442"/>
      <c r="P3026" s="235"/>
      <c r="AI3026" s="38"/>
    </row>
    <row r="3027" ht="15.75" customHeight="1">
      <c r="A3027" s="35"/>
      <c r="C3027" s="442"/>
      <c r="P3027" s="235"/>
      <c r="AI3027" s="38"/>
    </row>
    <row r="3028" ht="15.75" customHeight="1">
      <c r="A3028" s="35"/>
      <c r="C3028" s="442"/>
      <c r="P3028" s="235"/>
      <c r="AI3028" s="38"/>
    </row>
    <row r="3029" ht="15.75" customHeight="1">
      <c r="A3029" s="35"/>
      <c r="C3029" s="442"/>
      <c r="P3029" s="235"/>
      <c r="AI3029" s="38"/>
    </row>
    <row r="3030" ht="15.75" customHeight="1">
      <c r="A3030" s="35"/>
      <c r="C3030" s="442"/>
      <c r="P3030" s="235"/>
      <c r="AI3030" s="38"/>
    </row>
    <row r="3031" ht="15.75" customHeight="1">
      <c r="A3031" s="35"/>
      <c r="C3031" s="442"/>
      <c r="P3031" s="235"/>
      <c r="AI3031" s="38"/>
    </row>
    <row r="3032" ht="15.75" customHeight="1">
      <c r="A3032" s="35"/>
      <c r="C3032" s="442"/>
      <c r="P3032" s="235"/>
      <c r="AI3032" s="38"/>
    </row>
    <row r="3033" ht="15.75" customHeight="1">
      <c r="A3033" s="35"/>
      <c r="C3033" s="442"/>
      <c r="P3033" s="235"/>
      <c r="AI3033" s="38"/>
    </row>
    <row r="3034" ht="15.75" customHeight="1">
      <c r="A3034" s="35"/>
      <c r="C3034" s="442"/>
      <c r="P3034" s="235"/>
      <c r="AI3034" s="38"/>
    </row>
    <row r="3035" ht="15.75" customHeight="1">
      <c r="A3035" s="35"/>
      <c r="C3035" s="442"/>
      <c r="P3035" s="235"/>
      <c r="AI3035" s="38"/>
    </row>
    <row r="3036" ht="15.75" customHeight="1">
      <c r="A3036" s="35"/>
      <c r="C3036" s="442"/>
      <c r="P3036" s="235"/>
      <c r="AI3036" s="38"/>
    </row>
    <row r="3037" ht="15.75" customHeight="1">
      <c r="A3037" s="35"/>
      <c r="C3037" s="442"/>
      <c r="P3037" s="235"/>
      <c r="AI3037" s="38"/>
    </row>
    <row r="3038" ht="15.75" customHeight="1">
      <c r="A3038" s="35"/>
      <c r="C3038" s="442"/>
      <c r="P3038" s="235"/>
      <c r="AI3038" s="38"/>
    </row>
    <row r="3039" ht="15.75" customHeight="1">
      <c r="A3039" s="35"/>
      <c r="C3039" s="442"/>
      <c r="P3039" s="235"/>
      <c r="AI3039" s="38"/>
    </row>
    <row r="3040" ht="15.75" customHeight="1">
      <c r="A3040" s="35"/>
      <c r="C3040" s="442"/>
      <c r="P3040" s="235"/>
      <c r="AI3040" s="38"/>
    </row>
    <row r="3041" ht="15.75" customHeight="1">
      <c r="A3041" s="35"/>
      <c r="C3041" s="442"/>
      <c r="P3041" s="235"/>
      <c r="AI3041" s="38"/>
    </row>
    <row r="3042" ht="15.75" customHeight="1">
      <c r="A3042" s="35"/>
      <c r="C3042" s="442"/>
      <c r="P3042" s="235"/>
      <c r="AI3042" s="38"/>
    </row>
    <row r="3043" ht="15.75" customHeight="1">
      <c r="A3043" s="35"/>
      <c r="C3043" s="442"/>
      <c r="P3043" s="235"/>
      <c r="AI3043" s="38"/>
    </row>
    <row r="3044" ht="15.75" customHeight="1">
      <c r="A3044" s="35"/>
      <c r="C3044" s="442"/>
      <c r="P3044" s="235"/>
      <c r="AI3044" s="38"/>
    </row>
    <row r="3045" ht="15.75" customHeight="1">
      <c r="A3045" s="35"/>
      <c r="C3045" s="442"/>
      <c r="P3045" s="235"/>
      <c r="AI3045" s="38"/>
    </row>
    <row r="3046" ht="15.75" customHeight="1">
      <c r="A3046" s="35"/>
      <c r="C3046" s="442"/>
      <c r="P3046" s="235"/>
      <c r="AI3046" s="38"/>
    </row>
    <row r="3047" ht="15.75" customHeight="1">
      <c r="A3047" s="35"/>
      <c r="C3047" s="442"/>
      <c r="P3047" s="235"/>
      <c r="AI3047" s="38"/>
    </row>
    <row r="3048" ht="15.75" customHeight="1">
      <c r="A3048" s="35"/>
      <c r="C3048" s="442"/>
      <c r="P3048" s="235"/>
      <c r="AI3048" s="38"/>
    </row>
    <row r="3049" ht="15.75" customHeight="1">
      <c r="A3049" s="35"/>
      <c r="C3049" s="442"/>
      <c r="P3049" s="235"/>
      <c r="AI3049" s="38"/>
    </row>
    <row r="3050" ht="15.75" customHeight="1">
      <c r="A3050" s="35"/>
      <c r="C3050" s="442"/>
      <c r="P3050" s="235"/>
      <c r="AI3050" s="38"/>
    </row>
    <row r="3051" ht="15.75" customHeight="1">
      <c r="A3051" s="35"/>
      <c r="C3051" s="442"/>
      <c r="P3051" s="235"/>
      <c r="AI3051" s="38"/>
    </row>
    <row r="3052" ht="15.75" customHeight="1">
      <c r="A3052" s="35"/>
      <c r="C3052" s="442"/>
      <c r="P3052" s="235"/>
      <c r="AI3052" s="38"/>
    </row>
    <row r="3053" ht="15.75" customHeight="1">
      <c r="A3053" s="35"/>
      <c r="C3053" s="442"/>
      <c r="P3053" s="235"/>
      <c r="AI3053" s="38"/>
    </row>
    <row r="3054" ht="15.75" customHeight="1">
      <c r="A3054" s="35"/>
      <c r="C3054" s="442"/>
      <c r="P3054" s="235"/>
      <c r="AI3054" s="38"/>
    </row>
    <row r="3055" ht="15.75" customHeight="1">
      <c r="A3055" s="35"/>
      <c r="C3055" s="442"/>
      <c r="P3055" s="235"/>
      <c r="AI3055" s="38"/>
    </row>
    <row r="3056" ht="15.75" customHeight="1">
      <c r="A3056" s="35"/>
      <c r="C3056" s="442"/>
      <c r="P3056" s="235"/>
      <c r="AI3056" s="38"/>
    </row>
    <row r="3057" ht="15.75" customHeight="1">
      <c r="A3057" s="35"/>
      <c r="C3057" s="442"/>
      <c r="P3057" s="235"/>
      <c r="AI3057" s="38"/>
    </row>
    <row r="3058" ht="15.75" customHeight="1">
      <c r="A3058" s="35"/>
      <c r="C3058" s="442"/>
      <c r="P3058" s="235"/>
      <c r="AI3058" s="38"/>
    </row>
    <row r="3059" ht="15.75" customHeight="1">
      <c r="A3059" s="35"/>
      <c r="C3059" s="442"/>
      <c r="P3059" s="235"/>
      <c r="AI3059" s="38"/>
    </row>
    <row r="3060" ht="15.75" customHeight="1">
      <c r="A3060" s="35"/>
      <c r="C3060" s="442"/>
      <c r="P3060" s="235"/>
      <c r="AI3060" s="38"/>
    </row>
    <row r="3061" ht="15.75" customHeight="1">
      <c r="A3061" s="35"/>
      <c r="C3061" s="442"/>
      <c r="P3061" s="235"/>
      <c r="AI3061" s="38"/>
    </row>
    <row r="3062" ht="15.75" customHeight="1">
      <c r="A3062" s="35"/>
      <c r="C3062" s="442"/>
      <c r="P3062" s="235"/>
      <c r="AI3062" s="38"/>
    </row>
    <row r="3063" ht="15.75" customHeight="1">
      <c r="A3063" s="35"/>
      <c r="C3063" s="442"/>
      <c r="P3063" s="235"/>
      <c r="AI3063" s="38"/>
    </row>
    <row r="3064" ht="15.75" customHeight="1">
      <c r="A3064" s="35"/>
      <c r="C3064" s="442"/>
      <c r="P3064" s="235"/>
      <c r="AI3064" s="38"/>
    </row>
    <row r="3065" ht="15.75" customHeight="1">
      <c r="A3065" s="35"/>
      <c r="C3065" s="442"/>
      <c r="P3065" s="235"/>
      <c r="AI3065" s="38"/>
    </row>
    <row r="3066" ht="15.75" customHeight="1">
      <c r="A3066" s="35"/>
      <c r="C3066" s="442"/>
      <c r="P3066" s="235"/>
      <c r="AI3066" s="38"/>
    </row>
    <row r="3067" ht="15.75" customHeight="1">
      <c r="A3067" s="35"/>
      <c r="C3067" s="442"/>
      <c r="P3067" s="235"/>
      <c r="AI3067" s="38"/>
    </row>
    <row r="3068" ht="15.75" customHeight="1">
      <c r="A3068" s="35"/>
      <c r="C3068" s="442"/>
      <c r="P3068" s="235"/>
      <c r="AI3068" s="38"/>
    </row>
    <row r="3069" ht="15.75" customHeight="1">
      <c r="A3069" s="35"/>
      <c r="C3069" s="442"/>
      <c r="P3069" s="235"/>
      <c r="AI3069" s="38"/>
    </row>
    <row r="3070" ht="15.75" customHeight="1">
      <c r="A3070" s="35"/>
      <c r="C3070" s="442"/>
      <c r="P3070" s="235"/>
      <c r="AI3070" s="38"/>
    </row>
    <row r="3071" ht="15.75" customHeight="1">
      <c r="A3071" s="35"/>
      <c r="C3071" s="442"/>
      <c r="P3071" s="235"/>
      <c r="AI3071" s="38"/>
    </row>
    <row r="3072" ht="15.75" customHeight="1">
      <c r="A3072" s="35"/>
      <c r="C3072" s="442"/>
      <c r="P3072" s="235"/>
      <c r="AI3072" s="38"/>
    </row>
    <row r="3073" ht="15.75" customHeight="1">
      <c r="A3073" s="35"/>
      <c r="C3073" s="442"/>
      <c r="P3073" s="235"/>
      <c r="AI3073" s="38"/>
    </row>
    <row r="3074" ht="15.75" customHeight="1">
      <c r="A3074" s="35"/>
      <c r="C3074" s="442"/>
      <c r="P3074" s="235"/>
      <c r="AI3074" s="38"/>
    </row>
    <row r="3075" ht="15.75" customHeight="1">
      <c r="A3075" s="35"/>
      <c r="C3075" s="442"/>
      <c r="P3075" s="235"/>
      <c r="AI3075" s="38"/>
    </row>
    <row r="3076" ht="15.75" customHeight="1">
      <c r="A3076" s="35"/>
      <c r="C3076" s="442"/>
      <c r="P3076" s="235"/>
      <c r="AI3076" s="38"/>
    </row>
    <row r="3077" ht="15.75" customHeight="1">
      <c r="A3077" s="35"/>
      <c r="C3077" s="442"/>
      <c r="P3077" s="235"/>
      <c r="AI3077" s="38"/>
    </row>
    <row r="3078" ht="15.75" customHeight="1">
      <c r="A3078" s="35"/>
      <c r="C3078" s="442"/>
      <c r="P3078" s="235"/>
      <c r="AI3078" s="38"/>
    </row>
    <row r="3079" ht="15.75" customHeight="1">
      <c r="A3079" s="35"/>
      <c r="C3079" s="442"/>
      <c r="P3079" s="235"/>
      <c r="AI3079" s="38"/>
    </row>
    <row r="3080" ht="15.75" customHeight="1">
      <c r="A3080" s="35"/>
      <c r="C3080" s="442"/>
      <c r="P3080" s="235"/>
      <c r="AI3080" s="38"/>
    </row>
    <row r="3081" ht="15.75" customHeight="1">
      <c r="A3081" s="35"/>
      <c r="C3081" s="442"/>
      <c r="P3081" s="235"/>
      <c r="AI3081" s="38"/>
    </row>
    <row r="3082" ht="15.75" customHeight="1">
      <c r="A3082" s="35"/>
      <c r="C3082" s="442"/>
      <c r="P3082" s="235"/>
      <c r="AI3082" s="38"/>
    </row>
    <row r="3083" ht="15.75" customHeight="1">
      <c r="A3083" s="35"/>
      <c r="C3083" s="442"/>
      <c r="P3083" s="235"/>
      <c r="AI3083" s="38"/>
    </row>
    <row r="3084" ht="15.75" customHeight="1">
      <c r="A3084" s="35"/>
      <c r="C3084" s="442"/>
      <c r="P3084" s="235"/>
      <c r="AI3084" s="38"/>
    </row>
    <row r="3085" ht="15.75" customHeight="1">
      <c r="A3085" s="35"/>
      <c r="C3085" s="442"/>
      <c r="P3085" s="235"/>
      <c r="AI3085" s="38"/>
    </row>
    <row r="3086" ht="15.75" customHeight="1">
      <c r="A3086" s="35"/>
      <c r="C3086" s="442"/>
      <c r="P3086" s="235"/>
      <c r="AI3086" s="38"/>
    </row>
    <row r="3087" ht="15.75" customHeight="1">
      <c r="A3087" s="35"/>
      <c r="C3087" s="442"/>
      <c r="P3087" s="235"/>
      <c r="AI3087" s="38"/>
    </row>
    <row r="3088" ht="15.75" customHeight="1">
      <c r="A3088" s="35"/>
      <c r="C3088" s="442"/>
      <c r="P3088" s="235"/>
      <c r="AI3088" s="38"/>
    </row>
    <row r="3089" ht="15.75" customHeight="1">
      <c r="A3089" s="35"/>
      <c r="C3089" s="442"/>
      <c r="P3089" s="235"/>
      <c r="AI3089" s="38"/>
    </row>
    <row r="3090" ht="15.75" customHeight="1">
      <c r="A3090" s="35"/>
      <c r="C3090" s="442"/>
      <c r="P3090" s="235"/>
      <c r="AI3090" s="38"/>
    </row>
    <row r="3091" ht="15.75" customHeight="1">
      <c r="A3091" s="35"/>
      <c r="C3091" s="442"/>
      <c r="P3091" s="235"/>
      <c r="AI3091" s="38"/>
    </row>
    <row r="3092" ht="15.75" customHeight="1">
      <c r="A3092" s="35"/>
      <c r="C3092" s="442"/>
      <c r="P3092" s="235"/>
      <c r="AI3092" s="38"/>
    </row>
    <row r="3093" ht="15.75" customHeight="1">
      <c r="A3093" s="35"/>
      <c r="C3093" s="442"/>
      <c r="P3093" s="235"/>
      <c r="AI3093" s="38"/>
    </row>
    <row r="3094" ht="15.75" customHeight="1">
      <c r="A3094" s="35"/>
      <c r="C3094" s="442"/>
      <c r="P3094" s="235"/>
      <c r="AI3094" s="38"/>
    </row>
    <row r="3095" ht="15.75" customHeight="1">
      <c r="A3095" s="35"/>
      <c r="C3095" s="442"/>
      <c r="P3095" s="235"/>
      <c r="AI3095" s="38"/>
    </row>
    <row r="3096" ht="15.75" customHeight="1">
      <c r="A3096" s="35"/>
      <c r="C3096" s="442"/>
      <c r="P3096" s="235"/>
      <c r="AI3096" s="38"/>
    </row>
    <row r="3097" ht="15.75" customHeight="1">
      <c r="A3097" s="35"/>
      <c r="C3097" s="442"/>
      <c r="P3097" s="235"/>
      <c r="AI3097" s="38"/>
    </row>
    <row r="3098" ht="15.75" customHeight="1">
      <c r="A3098" s="35"/>
      <c r="C3098" s="442"/>
      <c r="P3098" s="235"/>
      <c r="AI3098" s="38"/>
    </row>
    <row r="3099" ht="15.75" customHeight="1">
      <c r="A3099" s="35"/>
      <c r="C3099" s="442"/>
      <c r="P3099" s="235"/>
      <c r="AI3099" s="38"/>
    </row>
    <row r="3100" ht="15.75" customHeight="1">
      <c r="A3100" s="35"/>
      <c r="C3100" s="442"/>
      <c r="P3100" s="235"/>
      <c r="AI3100" s="38"/>
    </row>
    <row r="3101" ht="15.75" customHeight="1">
      <c r="A3101" s="35"/>
      <c r="C3101" s="442"/>
      <c r="P3101" s="235"/>
      <c r="AI3101" s="38"/>
    </row>
    <row r="3102" ht="15.75" customHeight="1">
      <c r="A3102" s="35"/>
      <c r="C3102" s="442"/>
      <c r="P3102" s="235"/>
      <c r="AI3102" s="38"/>
    </row>
    <row r="3103" ht="15.75" customHeight="1">
      <c r="A3103" s="35"/>
      <c r="C3103" s="442"/>
      <c r="P3103" s="235"/>
      <c r="AI3103" s="38"/>
    </row>
    <row r="3104" ht="15.75" customHeight="1">
      <c r="A3104" s="35"/>
      <c r="C3104" s="442"/>
      <c r="P3104" s="235"/>
      <c r="AI3104" s="38"/>
    </row>
    <row r="3105" ht="15.75" customHeight="1">
      <c r="A3105" s="35"/>
      <c r="C3105" s="442"/>
      <c r="P3105" s="235"/>
      <c r="AI3105" s="38"/>
    </row>
    <row r="3106" ht="15.75" customHeight="1">
      <c r="A3106" s="35"/>
      <c r="C3106" s="442"/>
      <c r="P3106" s="235"/>
      <c r="AI3106" s="38"/>
    </row>
    <row r="3107" ht="15.75" customHeight="1">
      <c r="A3107" s="35"/>
      <c r="C3107" s="442"/>
      <c r="P3107" s="235"/>
      <c r="AI3107" s="38"/>
    </row>
    <row r="3108" ht="15.75" customHeight="1">
      <c r="A3108" s="35"/>
      <c r="C3108" s="442"/>
      <c r="P3108" s="235"/>
      <c r="AI3108" s="38"/>
    </row>
    <row r="3109" ht="15.75" customHeight="1">
      <c r="A3109" s="35"/>
      <c r="C3109" s="442"/>
      <c r="P3109" s="235"/>
      <c r="AI3109" s="38"/>
    </row>
    <row r="3110" ht="15.75" customHeight="1">
      <c r="A3110" s="35"/>
      <c r="C3110" s="442"/>
      <c r="P3110" s="235"/>
      <c r="AI3110" s="38"/>
    </row>
    <row r="3111" ht="15.75" customHeight="1">
      <c r="A3111" s="35"/>
      <c r="C3111" s="442"/>
      <c r="P3111" s="235"/>
      <c r="AI3111" s="38"/>
    </row>
    <row r="3112" ht="15.75" customHeight="1">
      <c r="A3112" s="35"/>
      <c r="C3112" s="442"/>
      <c r="P3112" s="235"/>
      <c r="AI3112" s="38"/>
    </row>
    <row r="3113" ht="15.75" customHeight="1">
      <c r="A3113" s="35"/>
      <c r="C3113" s="442"/>
      <c r="P3113" s="235"/>
      <c r="AI3113" s="38"/>
    </row>
    <row r="3114" ht="15.75" customHeight="1">
      <c r="A3114" s="35"/>
      <c r="C3114" s="442"/>
      <c r="P3114" s="235"/>
      <c r="AI3114" s="38"/>
    </row>
    <row r="3115" ht="15.75" customHeight="1">
      <c r="A3115" s="35"/>
      <c r="C3115" s="442"/>
      <c r="P3115" s="235"/>
      <c r="AI3115" s="38"/>
    </row>
    <row r="3116" ht="15.75" customHeight="1">
      <c r="A3116" s="35"/>
      <c r="C3116" s="442"/>
      <c r="P3116" s="235"/>
      <c r="AI3116" s="38"/>
    </row>
    <row r="3117" ht="15.75" customHeight="1">
      <c r="A3117" s="35"/>
      <c r="C3117" s="442"/>
      <c r="P3117" s="235"/>
      <c r="AI3117" s="38"/>
    </row>
    <row r="3118" ht="15.75" customHeight="1">
      <c r="A3118" s="35"/>
      <c r="C3118" s="442"/>
      <c r="P3118" s="235"/>
      <c r="AI3118" s="38"/>
    </row>
    <row r="3119" ht="15.75" customHeight="1">
      <c r="A3119" s="35"/>
      <c r="C3119" s="442"/>
      <c r="P3119" s="235"/>
      <c r="AI3119" s="38"/>
    </row>
    <row r="3120" ht="15.75" customHeight="1">
      <c r="A3120" s="35"/>
      <c r="C3120" s="442"/>
      <c r="P3120" s="235"/>
      <c r="AI3120" s="38"/>
    </row>
    <row r="3121" ht="15.75" customHeight="1">
      <c r="A3121" s="35"/>
      <c r="C3121" s="442"/>
      <c r="P3121" s="235"/>
      <c r="AI3121" s="38"/>
    </row>
    <row r="3122" ht="15.75" customHeight="1">
      <c r="A3122" s="35"/>
      <c r="C3122" s="442"/>
      <c r="P3122" s="235"/>
      <c r="AI3122" s="38"/>
    </row>
    <row r="3123" ht="15.75" customHeight="1">
      <c r="A3123" s="35"/>
      <c r="C3123" s="442"/>
      <c r="P3123" s="235"/>
      <c r="AI3123" s="38"/>
    </row>
    <row r="3124" ht="15.75" customHeight="1">
      <c r="A3124" s="35"/>
      <c r="C3124" s="442"/>
      <c r="P3124" s="235"/>
      <c r="AI3124" s="38"/>
    </row>
    <row r="3125" ht="15.75" customHeight="1">
      <c r="A3125" s="35"/>
      <c r="C3125" s="442"/>
      <c r="P3125" s="235"/>
      <c r="AI3125" s="38"/>
    </row>
    <row r="3126" ht="15.75" customHeight="1">
      <c r="A3126" s="35"/>
      <c r="C3126" s="442"/>
      <c r="P3126" s="235"/>
      <c r="AI3126" s="38"/>
    </row>
    <row r="3127" ht="15.75" customHeight="1">
      <c r="A3127" s="35"/>
      <c r="C3127" s="442"/>
      <c r="P3127" s="235"/>
      <c r="AI3127" s="38"/>
    </row>
    <row r="3128" ht="15.75" customHeight="1">
      <c r="A3128" s="35"/>
      <c r="C3128" s="442"/>
      <c r="P3128" s="235"/>
      <c r="AI3128" s="38"/>
    </row>
    <row r="3129" ht="15.75" customHeight="1">
      <c r="A3129" s="35"/>
      <c r="C3129" s="442"/>
      <c r="P3129" s="235"/>
      <c r="AI3129" s="38"/>
    </row>
    <row r="3130" ht="15.75" customHeight="1">
      <c r="A3130" s="35"/>
      <c r="C3130" s="442"/>
      <c r="P3130" s="235"/>
      <c r="AI3130" s="38"/>
    </row>
    <row r="3131" ht="15.75" customHeight="1">
      <c r="A3131" s="35"/>
      <c r="C3131" s="442"/>
      <c r="P3131" s="235"/>
      <c r="AI3131" s="38"/>
    </row>
    <row r="3132" ht="15.75" customHeight="1">
      <c r="A3132" s="35"/>
      <c r="C3132" s="442"/>
      <c r="P3132" s="235"/>
      <c r="AI3132" s="38"/>
    </row>
    <row r="3133" ht="15.75" customHeight="1">
      <c r="A3133" s="35"/>
      <c r="C3133" s="442"/>
      <c r="P3133" s="235"/>
      <c r="AI3133" s="38"/>
    </row>
    <row r="3134" ht="15.75" customHeight="1">
      <c r="A3134" s="35"/>
      <c r="C3134" s="442"/>
      <c r="P3134" s="235"/>
      <c r="AI3134" s="38"/>
    </row>
    <row r="3135" ht="15.75" customHeight="1">
      <c r="A3135" s="35"/>
      <c r="C3135" s="442"/>
      <c r="P3135" s="235"/>
      <c r="AI3135" s="38"/>
    </row>
    <row r="3136" ht="15.75" customHeight="1">
      <c r="A3136" s="35"/>
      <c r="C3136" s="442"/>
      <c r="P3136" s="235"/>
      <c r="AI3136" s="38"/>
    </row>
    <row r="3137" ht="15.75" customHeight="1">
      <c r="A3137" s="35"/>
      <c r="C3137" s="442"/>
      <c r="P3137" s="235"/>
      <c r="AI3137" s="38"/>
    </row>
    <row r="3138" ht="15.75" customHeight="1">
      <c r="A3138" s="35"/>
      <c r="C3138" s="442"/>
      <c r="P3138" s="235"/>
      <c r="AI3138" s="38"/>
    </row>
    <row r="3139" ht="15.75" customHeight="1">
      <c r="A3139" s="35"/>
      <c r="C3139" s="442"/>
      <c r="P3139" s="235"/>
      <c r="AI3139" s="38"/>
    </row>
    <row r="3140" ht="15.75" customHeight="1">
      <c r="A3140" s="35"/>
      <c r="C3140" s="442"/>
      <c r="P3140" s="235"/>
      <c r="AI3140" s="38"/>
    </row>
    <row r="3141" ht="15.75" customHeight="1">
      <c r="A3141" s="35"/>
      <c r="C3141" s="442"/>
      <c r="P3141" s="235"/>
      <c r="AI3141" s="38"/>
    </row>
    <row r="3142" ht="15.75" customHeight="1">
      <c r="A3142" s="35"/>
      <c r="C3142" s="442"/>
      <c r="P3142" s="235"/>
      <c r="AI3142" s="38"/>
    </row>
    <row r="3143" ht="15.75" customHeight="1">
      <c r="A3143" s="35"/>
      <c r="C3143" s="442"/>
      <c r="P3143" s="235"/>
      <c r="AI3143" s="38"/>
    </row>
    <row r="3144" ht="15.75" customHeight="1">
      <c r="A3144" s="35"/>
      <c r="C3144" s="442"/>
      <c r="P3144" s="235"/>
      <c r="AI3144" s="38"/>
    </row>
    <row r="3145" ht="15.75" customHeight="1">
      <c r="A3145" s="35"/>
      <c r="C3145" s="442"/>
      <c r="P3145" s="235"/>
      <c r="AI3145" s="38"/>
    </row>
    <row r="3146" ht="15.75" customHeight="1">
      <c r="A3146" s="35"/>
      <c r="C3146" s="442"/>
      <c r="P3146" s="235"/>
      <c r="AI3146" s="38"/>
    </row>
    <row r="3147" ht="15.75" customHeight="1">
      <c r="A3147" s="35"/>
      <c r="C3147" s="442"/>
      <c r="P3147" s="235"/>
      <c r="AI3147" s="38"/>
    </row>
    <row r="3148" ht="15.75" customHeight="1">
      <c r="A3148" s="35"/>
      <c r="C3148" s="442"/>
      <c r="P3148" s="235"/>
      <c r="AI3148" s="38"/>
    </row>
    <row r="3149" ht="15.75" customHeight="1">
      <c r="A3149" s="35"/>
      <c r="C3149" s="442"/>
      <c r="P3149" s="235"/>
      <c r="AI3149" s="38"/>
    </row>
    <row r="3150" ht="15.75" customHeight="1">
      <c r="A3150" s="35"/>
      <c r="C3150" s="442"/>
      <c r="P3150" s="235"/>
      <c r="AI3150" s="38"/>
    </row>
    <row r="3151" ht="15.75" customHeight="1">
      <c r="A3151" s="35"/>
      <c r="C3151" s="442"/>
      <c r="P3151" s="235"/>
      <c r="AI3151" s="38"/>
    </row>
    <row r="3152" ht="15.75" customHeight="1">
      <c r="A3152" s="35"/>
      <c r="C3152" s="442"/>
      <c r="P3152" s="235"/>
      <c r="AI3152" s="38"/>
    </row>
    <row r="3153" ht="15.75" customHeight="1">
      <c r="A3153" s="35"/>
      <c r="C3153" s="442"/>
      <c r="P3153" s="235"/>
      <c r="AI3153" s="38"/>
    </row>
    <row r="3154" ht="15.75" customHeight="1">
      <c r="A3154" s="35"/>
      <c r="C3154" s="442"/>
      <c r="P3154" s="235"/>
      <c r="AI3154" s="38"/>
    </row>
    <row r="3155" ht="15.75" customHeight="1">
      <c r="A3155" s="35"/>
      <c r="C3155" s="442"/>
      <c r="P3155" s="235"/>
      <c r="AI3155" s="38"/>
    </row>
    <row r="3156" ht="15.75" customHeight="1">
      <c r="A3156" s="35"/>
      <c r="C3156" s="442"/>
      <c r="P3156" s="235"/>
      <c r="AI3156" s="38"/>
    </row>
    <row r="3157" ht="15.75" customHeight="1">
      <c r="A3157" s="35"/>
      <c r="C3157" s="442"/>
      <c r="P3157" s="235"/>
      <c r="AI3157" s="38"/>
    </row>
    <row r="3158" ht="15.75" customHeight="1">
      <c r="A3158" s="35"/>
      <c r="C3158" s="442"/>
      <c r="P3158" s="235"/>
      <c r="AI3158" s="38"/>
    </row>
    <row r="3159" ht="15.75" customHeight="1">
      <c r="A3159" s="35"/>
      <c r="C3159" s="442"/>
      <c r="P3159" s="235"/>
      <c r="AI3159" s="38"/>
    </row>
    <row r="3160" ht="15.75" customHeight="1">
      <c r="A3160" s="35"/>
      <c r="C3160" s="442"/>
      <c r="P3160" s="235"/>
      <c r="AI3160" s="38"/>
    </row>
    <row r="3161" ht="15.75" customHeight="1">
      <c r="A3161" s="35"/>
      <c r="C3161" s="442"/>
      <c r="P3161" s="235"/>
      <c r="AI3161" s="38"/>
    </row>
    <row r="3162" ht="15.75" customHeight="1">
      <c r="A3162" s="35"/>
      <c r="C3162" s="442"/>
      <c r="P3162" s="235"/>
      <c r="AI3162" s="38"/>
    </row>
    <row r="3163" ht="15.75" customHeight="1">
      <c r="A3163" s="35"/>
      <c r="C3163" s="442"/>
      <c r="P3163" s="235"/>
      <c r="AI3163" s="38"/>
    </row>
    <row r="3164" ht="15.75" customHeight="1">
      <c r="A3164" s="35"/>
      <c r="C3164" s="442"/>
      <c r="P3164" s="235"/>
      <c r="AI3164" s="38"/>
    </row>
    <row r="3165" ht="15.75" customHeight="1">
      <c r="A3165" s="35"/>
      <c r="C3165" s="442"/>
      <c r="P3165" s="235"/>
      <c r="AI3165" s="38"/>
    </row>
    <row r="3166" ht="15.75" customHeight="1">
      <c r="A3166" s="35"/>
      <c r="C3166" s="442"/>
      <c r="P3166" s="235"/>
      <c r="AI3166" s="38"/>
    </row>
    <row r="3167" ht="15.75" customHeight="1">
      <c r="A3167" s="35"/>
      <c r="C3167" s="442"/>
      <c r="P3167" s="235"/>
      <c r="AI3167" s="38"/>
    </row>
    <row r="3168" ht="15.75" customHeight="1">
      <c r="A3168" s="35"/>
      <c r="C3168" s="442"/>
      <c r="P3168" s="235"/>
      <c r="AI3168" s="38"/>
    </row>
    <row r="3169" ht="15.75" customHeight="1">
      <c r="A3169" s="35"/>
      <c r="C3169" s="442"/>
      <c r="P3169" s="235"/>
      <c r="AI3169" s="38"/>
    </row>
    <row r="3170" ht="15.75" customHeight="1">
      <c r="A3170" s="35"/>
      <c r="C3170" s="442"/>
      <c r="P3170" s="235"/>
      <c r="AI3170" s="38"/>
    </row>
    <row r="3171" ht="15.75" customHeight="1">
      <c r="A3171" s="35"/>
      <c r="C3171" s="442"/>
      <c r="P3171" s="235"/>
      <c r="AI3171" s="38"/>
    </row>
    <row r="3172" ht="15.75" customHeight="1">
      <c r="A3172" s="35"/>
      <c r="C3172" s="442"/>
      <c r="P3172" s="235"/>
      <c r="AI3172" s="38"/>
    </row>
    <row r="3173" ht="15.75" customHeight="1">
      <c r="A3173" s="35"/>
      <c r="C3173" s="442"/>
      <c r="P3173" s="235"/>
      <c r="AI3173" s="38"/>
    </row>
    <row r="3174" ht="15.75" customHeight="1">
      <c r="A3174" s="35"/>
      <c r="C3174" s="442"/>
      <c r="P3174" s="235"/>
      <c r="AI3174" s="38"/>
    </row>
    <row r="3175" ht="15.75" customHeight="1">
      <c r="A3175" s="35"/>
      <c r="C3175" s="442"/>
      <c r="P3175" s="235"/>
      <c r="AI3175" s="38"/>
    </row>
    <row r="3176" ht="15.75" customHeight="1">
      <c r="A3176" s="35"/>
      <c r="C3176" s="442"/>
      <c r="P3176" s="235"/>
      <c r="AI3176" s="38"/>
    </row>
    <row r="3177" ht="15.75" customHeight="1">
      <c r="A3177" s="35"/>
      <c r="C3177" s="442"/>
      <c r="P3177" s="235"/>
      <c r="AI3177" s="38"/>
    </row>
    <row r="3178" ht="15.75" customHeight="1">
      <c r="A3178" s="35"/>
      <c r="C3178" s="442"/>
      <c r="P3178" s="235"/>
      <c r="AI3178" s="38"/>
    </row>
    <row r="3179" ht="15.75" customHeight="1">
      <c r="A3179" s="35"/>
      <c r="C3179" s="442"/>
      <c r="P3179" s="235"/>
      <c r="AI3179" s="38"/>
    </row>
    <row r="3180" ht="15.75" customHeight="1">
      <c r="A3180" s="35"/>
      <c r="C3180" s="442"/>
      <c r="P3180" s="235"/>
      <c r="AI3180" s="38"/>
    </row>
    <row r="3181" ht="15.75" customHeight="1">
      <c r="A3181" s="35"/>
      <c r="C3181" s="442"/>
      <c r="P3181" s="235"/>
      <c r="AI3181" s="38"/>
    </row>
    <row r="3182" ht="15.75" customHeight="1">
      <c r="A3182" s="35"/>
      <c r="C3182" s="442"/>
      <c r="P3182" s="235"/>
      <c r="AI3182" s="38"/>
    </row>
    <row r="3183" ht="15.75" customHeight="1">
      <c r="A3183" s="35"/>
      <c r="C3183" s="442"/>
      <c r="P3183" s="235"/>
      <c r="AI3183" s="38"/>
    </row>
    <row r="3184" ht="15.75" customHeight="1">
      <c r="A3184" s="35"/>
      <c r="C3184" s="442"/>
      <c r="P3184" s="235"/>
      <c r="AI3184" s="38"/>
    </row>
    <row r="3185" ht="15.75" customHeight="1">
      <c r="A3185" s="35"/>
      <c r="C3185" s="442"/>
      <c r="P3185" s="235"/>
      <c r="AI3185" s="38"/>
    </row>
    <row r="3186" ht="15.75" customHeight="1">
      <c r="A3186" s="35"/>
      <c r="C3186" s="442"/>
      <c r="P3186" s="235"/>
      <c r="AI3186" s="38"/>
    </row>
    <row r="3187" ht="15.75" customHeight="1">
      <c r="A3187" s="35"/>
      <c r="C3187" s="442"/>
      <c r="P3187" s="235"/>
      <c r="AI3187" s="38"/>
    </row>
    <row r="3188" ht="15.75" customHeight="1">
      <c r="A3188" s="35"/>
      <c r="C3188" s="442"/>
      <c r="P3188" s="235"/>
      <c r="AI3188" s="38"/>
    </row>
    <row r="3189" ht="15.75" customHeight="1">
      <c r="A3189" s="35"/>
      <c r="C3189" s="442"/>
      <c r="P3189" s="235"/>
      <c r="AI3189" s="38"/>
    </row>
    <row r="3190" ht="15.75" customHeight="1">
      <c r="A3190" s="35"/>
      <c r="C3190" s="442"/>
      <c r="P3190" s="235"/>
      <c r="AI3190" s="38"/>
    </row>
    <row r="3191" ht="15.75" customHeight="1">
      <c r="A3191" s="35"/>
      <c r="C3191" s="442"/>
      <c r="P3191" s="235"/>
      <c r="AI3191" s="38"/>
    </row>
    <row r="3192" ht="15.75" customHeight="1">
      <c r="A3192" s="35"/>
      <c r="C3192" s="442"/>
      <c r="P3192" s="235"/>
      <c r="AI3192" s="38"/>
    </row>
    <row r="3193" ht="15.75" customHeight="1">
      <c r="A3193" s="35"/>
      <c r="C3193" s="442"/>
      <c r="P3193" s="235"/>
      <c r="AI3193" s="38"/>
    </row>
    <row r="3194" ht="15.75" customHeight="1">
      <c r="A3194" s="35"/>
      <c r="C3194" s="442"/>
      <c r="P3194" s="235"/>
      <c r="AI3194" s="38"/>
    </row>
    <row r="3195" ht="15.75" customHeight="1">
      <c r="A3195" s="35"/>
      <c r="C3195" s="442"/>
      <c r="P3195" s="235"/>
      <c r="AI3195" s="38"/>
    </row>
    <row r="3196" ht="15.75" customHeight="1">
      <c r="A3196" s="35"/>
      <c r="C3196" s="442"/>
      <c r="P3196" s="235"/>
      <c r="AI3196" s="38"/>
    </row>
    <row r="3197" ht="15.75" customHeight="1">
      <c r="A3197" s="35"/>
      <c r="C3197" s="442"/>
      <c r="P3197" s="235"/>
      <c r="AI3197" s="38"/>
    </row>
    <row r="3198" ht="15.75" customHeight="1">
      <c r="A3198" s="35"/>
      <c r="C3198" s="442"/>
      <c r="P3198" s="235"/>
      <c r="AI3198" s="38"/>
    </row>
    <row r="3199" ht="15.75" customHeight="1">
      <c r="A3199" s="35"/>
      <c r="C3199" s="442"/>
      <c r="P3199" s="235"/>
      <c r="AI3199" s="38"/>
    </row>
    <row r="3200" ht="15.75" customHeight="1">
      <c r="A3200" s="35"/>
      <c r="C3200" s="442"/>
      <c r="P3200" s="235"/>
      <c r="AI3200" s="38"/>
    </row>
    <row r="3201" ht="15.75" customHeight="1">
      <c r="A3201" s="35"/>
      <c r="C3201" s="442"/>
      <c r="P3201" s="235"/>
      <c r="AI3201" s="38"/>
    </row>
    <row r="3202" ht="15.75" customHeight="1">
      <c r="A3202" s="35"/>
      <c r="C3202" s="442"/>
      <c r="P3202" s="235"/>
      <c r="AI3202" s="38"/>
    </row>
    <row r="3203" ht="15.75" customHeight="1">
      <c r="A3203" s="35"/>
      <c r="C3203" s="442"/>
      <c r="P3203" s="235"/>
      <c r="AI3203" s="38"/>
    </row>
    <row r="3204" ht="15.75" customHeight="1">
      <c r="A3204" s="35"/>
      <c r="C3204" s="442"/>
      <c r="P3204" s="235"/>
      <c r="AI3204" s="38"/>
    </row>
    <row r="3205" ht="15.75" customHeight="1">
      <c r="A3205" s="35"/>
      <c r="C3205" s="442"/>
      <c r="P3205" s="235"/>
      <c r="AI3205" s="38"/>
    </row>
    <row r="3206" ht="15.75" customHeight="1">
      <c r="A3206" s="35"/>
      <c r="C3206" s="442"/>
      <c r="P3206" s="235"/>
      <c r="AI3206" s="38"/>
    </row>
    <row r="3207" ht="15.75" customHeight="1">
      <c r="A3207" s="35"/>
      <c r="C3207" s="442"/>
      <c r="P3207" s="235"/>
      <c r="AI3207" s="38"/>
    </row>
    <row r="3208" ht="15.75" customHeight="1">
      <c r="A3208" s="35"/>
      <c r="C3208" s="442"/>
      <c r="P3208" s="235"/>
      <c r="AI3208" s="38"/>
    </row>
    <row r="3209" ht="15.75" customHeight="1">
      <c r="A3209" s="35"/>
      <c r="C3209" s="442"/>
      <c r="P3209" s="235"/>
      <c r="AI3209" s="38"/>
    </row>
    <row r="3210" ht="15.75" customHeight="1">
      <c r="A3210" s="35"/>
      <c r="C3210" s="442"/>
      <c r="P3210" s="235"/>
      <c r="AI3210" s="38"/>
    </row>
    <row r="3211" ht="15.75" customHeight="1">
      <c r="A3211" s="35"/>
      <c r="C3211" s="442"/>
      <c r="P3211" s="235"/>
      <c r="AI3211" s="38"/>
    </row>
    <row r="3212" ht="15.75" customHeight="1">
      <c r="A3212" s="35"/>
      <c r="C3212" s="442"/>
      <c r="P3212" s="235"/>
      <c r="AI3212" s="38"/>
    </row>
    <row r="3213" ht="15.75" customHeight="1">
      <c r="A3213" s="35"/>
      <c r="C3213" s="442"/>
      <c r="P3213" s="235"/>
      <c r="AI3213" s="38"/>
    </row>
    <row r="3214" ht="15.75" customHeight="1">
      <c r="A3214" s="35"/>
      <c r="C3214" s="442"/>
      <c r="P3214" s="235"/>
      <c r="AI3214" s="38"/>
    </row>
    <row r="3215" ht="15.75" customHeight="1">
      <c r="A3215" s="35"/>
      <c r="C3215" s="442"/>
      <c r="P3215" s="235"/>
      <c r="AI3215" s="38"/>
    </row>
    <row r="3216" ht="15.75" customHeight="1">
      <c r="A3216" s="35"/>
      <c r="C3216" s="442"/>
      <c r="P3216" s="235"/>
      <c r="AI3216" s="38"/>
    </row>
    <row r="3217" ht="15.75" customHeight="1">
      <c r="A3217" s="35"/>
      <c r="C3217" s="442"/>
      <c r="P3217" s="235"/>
      <c r="AI3217" s="38"/>
    </row>
    <row r="3218" ht="15.75" customHeight="1">
      <c r="A3218" s="35"/>
      <c r="C3218" s="442"/>
      <c r="P3218" s="235"/>
      <c r="AI3218" s="38"/>
    </row>
    <row r="3219" ht="15.75" customHeight="1">
      <c r="A3219" s="35"/>
      <c r="C3219" s="442"/>
      <c r="P3219" s="235"/>
      <c r="AI3219" s="38"/>
    </row>
    <row r="3220" ht="15.75" customHeight="1">
      <c r="A3220" s="35"/>
      <c r="C3220" s="442"/>
      <c r="P3220" s="235"/>
      <c r="AI3220" s="38"/>
    </row>
    <row r="3221" ht="15.75" customHeight="1">
      <c r="A3221" s="35"/>
      <c r="C3221" s="442"/>
      <c r="P3221" s="235"/>
      <c r="AI3221" s="38"/>
    </row>
    <row r="3222" ht="15.75" customHeight="1">
      <c r="A3222" s="35"/>
      <c r="C3222" s="442"/>
      <c r="P3222" s="235"/>
      <c r="AI3222" s="38"/>
    </row>
    <row r="3223" ht="15.75" customHeight="1">
      <c r="A3223" s="35"/>
      <c r="C3223" s="442"/>
      <c r="P3223" s="235"/>
      <c r="AI3223" s="38"/>
    </row>
    <row r="3224" ht="15.75" customHeight="1">
      <c r="A3224" s="35"/>
      <c r="C3224" s="442"/>
      <c r="P3224" s="235"/>
      <c r="AI3224" s="38"/>
    </row>
    <row r="3225" ht="15.75" customHeight="1">
      <c r="A3225" s="35"/>
      <c r="C3225" s="442"/>
      <c r="P3225" s="235"/>
      <c r="AI3225" s="38"/>
    </row>
    <row r="3226" ht="15.75" customHeight="1">
      <c r="A3226" s="35"/>
      <c r="C3226" s="442"/>
      <c r="P3226" s="235"/>
      <c r="AI3226" s="38"/>
    </row>
    <row r="3227" ht="15.75" customHeight="1">
      <c r="A3227" s="35"/>
      <c r="C3227" s="442"/>
      <c r="P3227" s="235"/>
      <c r="AI3227" s="38"/>
    </row>
    <row r="3228" ht="15.75" customHeight="1">
      <c r="A3228" s="35"/>
      <c r="C3228" s="442"/>
      <c r="P3228" s="235"/>
      <c r="AI3228" s="38"/>
    </row>
    <row r="3229" ht="15.75" customHeight="1">
      <c r="A3229" s="35"/>
      <c r="C3229" s="442"/>
      <c r="P3229" s="235"/>
      <c r="AI3229" s="38"/>
    </row>
    <row r="3230" ht="15.75" customHeight="1">
      <c r="A3230" s="35"/>
      <c r="C3230" s="442"/>
      <c r="P3230" s="235"/>
      <c r="AI3230" s="38"/>
    </row>
    <row r="3231" ht="15.75" customHeight="1">
      <c r="A3231" s="35"/>
      <c r="C3231" s="442"/>
      <c r="P3231" s="235"/>
      <c r="AI3231" s="38"/>
    </row>
    <row r="3232" ht="15.75" customHeight="1">
      <c r="A3232" s="35"/>
      <c r="C3232" s="442"/>
      <c r="P3232" s="235"/>
      <c r="AI3232" s="38"/>
    </row>
    <row r="3233" ht="15.75" customHeight="1">
      <c r="A3233" s="35"/>
      <c r="C3233" s="442"/>
      <c r="P3233" s="235"/>
      <c r="AI3233" s="38"/>
    </row>
    <row r="3234" ht="15.75" customHeight="1">
      <c r="A3234" s="35"/>
      <c r="C3234" s="442"/>
      <c r="P3234" s="235"/>
      <c r="AI3234" s="38"/>
    </row>
    <row r="3235" ht="15.75" customHeight="1">
      <c r="A3235" s="35"/>
      <c r="C3235" s="442"/>
      <c r="P3235" s="235"/>
      <c r="AI3235" s="38"/>
    </row>
    <row r="3236" ht="15.75" customHeight="1">
      <c r="A3236" s="35"/>
      <c r="C3236" s="442"/>
      <c r="P3236" s="235"/>
      <c r="AI3236" s="38"/>
    </row>
    <row r="3237" ht="15.75" customHeight="1">
      <c r="A3237" s="35"/>
      <c r="C3237" s="442"/>
      <c r="P3237" s="235"/>
      <c r="AI3237" s="38"/>
    </row>
    <row r="3238" ht="15.75" customHeight="1">
      <c r="A3238" s="35"/>
      <c r="C3238" s="442"/>
      <c r="P3238" s="235"/>
      <c r="AI3238" s="38"/>
    </row>
    <row r="3239" ht="15.75" customHeight="1">
      <c r="A3239" s="35"/>
      <c r="C3239" s="442"/>
      <c r="P3239" s="235"/>
      <c r="AI3239" s="38"/>
    </row>
    <row r="3240" ht="15.75" customHeight="1">
      <c r="A3240" s="35"/>
      <c r="C3240" s="442"/>
      <c r="P3240" s="235"/>
      <c r="AI3240" s="38"/>
    </row>
    <row r="3241" ht="15.75" customHeight="1">
      <c r="A3241" s="35"/>
      <c r="C3241" s="442"/>
      <c r="P3241" s="235"/>
      <c r="AI3241" s="38"/>
    </row>
    <row r="3242" ht="15.75" customHeight="1">
      <c r="A3242" s="35"/>
      <c r="C3242" s="442"/>
      <c r="P3242" s="235"/>
      <c r="AI3242" s="38"/>
    </row>
    <row r="3243" ht="15.75" customHeight="1">
      <c r="A3243" s="35"/>
      <c r="C3243" s="442"/>
      <c r="P3243" s="235"/>
      <c r="AI3243" s="38"/>
    </row>
    <row r="3244" ht="15.75" customHeight="1">
      <c r="A3244" s="35"/>
      <c r="C3244" s="442"/>
      <c r="P3244" s="235"/>
      <c r="AI3244" s="38"/>
    </row>
    <row r="3245" ht="15.75" customHeight="1">
      <c r="A3245" s="35"/>
      <c r="C3245" s="442"/>
      <c r="P3245" s="235"/>
      <c r="AI3245" s="38"/>
    </row>
    <row r="3246" ht="15.75" customHeight="1">
      <c r="A3246" s="35"/>
      <c r="C3246" s="442"/>
      <c r="P3246" s="235"/>
      <c r="AI3246" s="38"/>
    </row>
    <row r="3247" ht="15.75" customHeight="1">
      <c r="A3247" s="35"/>
      <c r="C3247" s="442"/>
      <c r="P3247" s="235"/>
      <c r="AI3247" s="38"/>
    </row>
    <row r="3248" ht="15.75" customHeight="1">
      <c r="A3248" s="35"/>
      <c r="C3248" s="442"/>
      <c r="P3248" s="235"/>
      <c r="AI3248" s="38"/>
    </row>
    <row r="3249" ht="15.75" customHeight="1">
      <c r="A3249" s="35"/>
      <c r="C3249" s="442"/>
      <c r="P3249" s="235"/>
      <c r="AI3249" s="38"/>
    </row>
    <row r="3250" ht="15.75" customHeight="1">
      <c r="A3250" s="35"/>
      <c r="C3250" s="442"/>
      <c r="P3250" s="235"/>
      <c r="AI3250" s="38"/>
    </row>
    <row r="3251" ht="15.75" customHeight="1">
      <c r="A3251" s="35"/>
      <c r="C3251" s="442"/>
      <c r="P3251" s="235"/>
      <c r="AI3251" s="38"/>
    </row>
    <row r="3252" ht="15.75" customHeight="1">
      <c r="A3252" s="35"/>
      <c r="C3252" s="442"/>
      <c r="P3252" s="235"/>
      <c r="AI3252" s="38"/>
    </row>
    <row r="3253" ht="15.75" customHeight="1">
      <c r="A3253" s="35"/>
      <c r="C3253" s="442"/>
      <c r="P3253" s="235"/>
      <c r="AI3253" s="38"/>
    </row>
    <row r="3254" ht="15.75" customHeight="1">
      <c r="A3254" s="35"/>
      <c r="C3254" s="442"/>
      <c r="P3254" s="235"/>
      <c r="AI3254" s="38"/>
    </row>
    <row r="3255" ht="15.75" customHeight="1">
      <c r="A3255" s="35"/>
      <c r="C3255" s="442"/>
      <c r="P3255" s="235"/>
      <c r="AI3255" s="38"/>
    </row>
    <row r="3256" ht="15.75" customHeight="1">
      <c r="A3256" s="35"/>
      <c r="C3256" s="442"/>
      <c r="P3256" s="235"/>
      <c r="AI3256" s="38"/>
    </row>
    <row r="3257" ht="15.75" customHeight="1">
      <c r="A3257" s="35"/>
      <c r="C3257" s="442"/>
      <c r="P3257" s="235"/>
      <c r="AI3257" s="38"/>
    </row>
    <row r="3258" ht="15.75" customHeight="1">
      <c r="A3258" s="35"/>
      <c r="C3258" s="442"/>
      <c r="P3258" s="235"/>
      <c r="AI3258" s="38"/>
    </row>
    <row r="3259" ht="15.75" customHeight="1">
      <c r="A3259" s="35"/>
      <c r="C3259" s="442"/>
      <c r="P3259" s="235"/>
      <c r="AI3259" s="38"/>
    </row>
    <row r="3260" ht="15.75" customHeight="1">
      <c r="A3260" s="35"/>
      <c r="C3260" s="442"/>
      <c r="P3260" s="235"/>
      <c r="AI3260" s="38"/>
    </row>
    <row r="3261" ht="15.75" customHeight="1">
      <c r="A3261" s="35"/>
      <c r="C3261" s="442"/>
      <c r="P3261" s="235"/>
      <c r="AI3261" s="38"/>
    </row>
    <row r="3262" ht="15.75" customHeight="1">
      <c r="A3262" s="35"/>
      <c r="C3262" s="442"/>
      <c r="P3262" s="235"/>
      <c r="AI3262" s="38"/>
    </row>
    <row r="3263" ht="15.75" customHeight="1">
      <c r="A3263" s="35"/>
      <c r="C3263" s="442"/>
      <c r="P3263" s="235"/>
      <c r="AI3263" s="38"/>
    </row>
    <row r="3264" ht="15.75" customHeight="1">
      <c r="A3264" s="35"/>
      <c r="C3264" s="442"/>
      <c r="P3264" s="235"/>
      <c r="AI3264" s="38"/>
    </row>
    <row r="3265" ht="15.75" customHeight="1">
      <c r="A3265" s="35"/>
      <c r="C3265" s="442"/>
      <c r="P3265" s="235"/>
      <c r="AI3265" s="38"/>
    </row>
    <row r="3266" ht="15.75" customHeight="1">
      <c r="A3266" s="35"/>
      <c r="C3266" s="442"/>
      <c r="P3266" s="235"/>
      <c r="AI3266" s="38"/>
    </row>
    <row r="3267" ht="15.75" customHeight="1">
      <c r="A3267" s="35"/>
      <c r="C3267" s="442"/>
      <c r="P3267" s="235"/>
      <c r="AI3267" s="38"/>
    </row>
    <row r="3268" ht="15.75" customHeight="1">
      <c r="A3268" s="35"/>
      <c r="C3268" s="442"/>
      <c r="P3268" s="235"/>
      <c r="AI3268" s="38"/>
    </row>
    <row r="3269" ht="15.75" customHeight="1">
      <c r="A3269" s="35"/>
      <c r="C3269" s="442"/>
      <c r="P3269" s="235"/>
      <c r="AI3269" s="38"/>
    </row>
    <row r="3270" ht="15.75" customHeight="1">
      <c r="A3270" s="35"/>
      <c r="C3270" s="442"/>
      <c r="P3270" s="235"/>
      <c r="AI3270" s="38"/>
    </row>
    <row r="3271" ht="15.75" customHeight="1">
      <c r="A3271" s="35"/>
      <c r="C3271" s="442"/>
      <c r="P3271" s="235"/>
      <c r="AI3271" s="38"/>
    </row>
    <row r="3272" ht="15.75" customHeight="1">
      <c r="A3272" s="35"/>
      <c r="C3272" s="442"/>
      <c r="P3272" s="235"/>
      <c r="AI3272" s="38"/>
    </row>
    <row r="3273" ht="15.75" customHeight="1">
      <c r="A3273" s="35"/>
      <c r="C3273" s="442"/>
      <c r="P3273" s="235"/>
      <c r="AI3273" s="38"/>
    </row>
    <row r="3274" ht="15.75" customHeight="1">
      <c r="A3274" s="35"/>
      <c r="C3274" s="442"/>
      <c r="P3274" s="235"/>
      <c r="AI3274" s="38"/>
    </row>
    <row r="3275" ht="15.75" customHeight="1">
      <c r="A3275" s="35"/>
      <c r="C3275" s="442"/>
      <c r="P3275" s="235"/>
      <c r="AI3275" s="38"/>
    </row>
    <row r="3276" ht="15.75" customHeight="1">
      <c r="A3276" s="35"/>
      <c r="C3276" s="442"/>
      <c r="P3276" s="235"/>
      <c r="AI3276" s="38"/>
    </row>
    <row r="3277" ht="15.75" customHeight="1">
      <c r="A3277" s="35"/>
      <c r="C3277" s="442"/>
      <c r="P3277" s="235"/>
      <c r="AI3277" s="38"/>
    </row>
    <row r="3278" ht="15.75" customHeight="1">
      <c r="A3278" s="35"/>
      <c r="C3278" s="442"/>
      <c r="P3278" s="235"/>
      <c r="AI3278" s="38"/>
    </row>
    <row r="3279" ht="15.75" customHeight="1">
      <c r="A3279" s="35"/>
      <c r="C3279" s="442"/>
      <c r="P3279" s="235"/>
      <c r="AI3279" s="38"/>
    </row>
    <row r="3280" ht="15.75" customHeight="1">
      <c r="A3280" s="35"/>
      <c r="C3280" s="442"/>
      <c r="P3280" s="235"/>
      <c r="AI3280" s="38"/>
    </row>
    <row r="3281" ht="15.75" customHeight="1">
      <c r="A3281" s="35"/>
      <c r="C3281" s="442"/>
      <c r="P3281" s="235"/>
      <c r="AI3281" s="38"/>
    </row>
    <row r="3282" ht="15.75" customHeight="1">
      <c r="A3282" s="35"/>
      <c r="C3282" s="442"/>
      <c r="P3282" s="235"/>
      <c r="AI3282" s="38"/>
    </row>
    <row r="3283" ht="15.75" customHeight="1">
      <c r="A3283" s="35"/>
      <c r="C3283" s="442"/>
      <c r="P3283" s="235"/>
      <c r="AI3283" s="38"/>
    </row>
    <row r="3284" ht="15.75" customHeight="1">
      <c r="A3284" s="35"/>
      <c r="C3284" s="442"/>
      <c r="P3284" s="235"/>
      <c r="AI3284" s="38"/>
    </row>
    <row r="3285" ht="15.75" customHeight="1">
      <c r="A3285" s="35"/>
      <c r="C3285" s="442"/>
      <c r="P3285" s="235"/>
      <c r="AI3285" s="38"/>
    </row>
    <row r="3286" ht="15.75" customHeight="1">
      <c r="A3286" s="35"/>
      <c r="C3286" s="442"/>
      <c r="P3286" s="235"/>
      <c r="AI3286" s="38"/>
    </row>
    <row r="3287" ht="15.75" customHeight="1">
      <c r="A3287" s="35"/>
      <c r="C3287" s="442"/>
      <c r="P3287" s="235"/>
      <c r="AI3287" s="38"/>
    </row>
    <row r="3288" ht="15.75" customHeight="1">
      <c r="A3288" s="35"/>
      <c r="C3288" s="442"/>
      <c r="P3288" s="235"/>
      <c r="AI3288" s="38"/>
    </row>
    <row r="3289" ht="15.75" customHeight="1">
      <c r="A3289" s="35"/>
      <c r="C3289" s="442"/>
      <c r="P3289" s="235"/>
      <c r="AI3289" s="38"/>
    </row>
    <row r="3290" ht="15.75" customHeight="1">
      <c r="A3290" s="35"/>
      <c r="C3290" s="442"/>
      <c r="P3290" s="235"/>
      <c r="AI3290" s="38"/>
    </row>
    <row r="3291" ht="15.75" customHeight="1">
      <c r="A3291" s="35"/>
      <c r="C3291" s="442"/>
      <c r="P3291" s="235"/>
      <c r="AI3291" s="38"/>
    </row>
    <row r="3292" ht="15.75" customHeight="1">
      <c r="A3292" s="35"/>
      <c r="C3292" s="442"/>
      <c r="P3292" s="235"/>
      <c r="AI3292" s="38"/>
    </row>
    <row r="3293" ht="15.75" customHeight="1">
      <c r="A3293" s="35"/>
      <c r="C3293" s="442"/>
      <c r="P3293" s="235"/>
      <c r="AI3293" s="38"/>
    </row>
    <row r="3294" ht="15.75" customHeight="1">
      <c r="A3294" s="35"/>
      <c r="C3294" s="442"/>
      <c r="P3294" s="235"/>
      <c r="AI3294" s="38"/>
    </row>
    <row r="3295" ht="15.75" customHeight="1">
      <c r="A3295" s="35"/>
      <c r="C3295" s="442"/>
      <c r="P3295" s="235"/>
      <c r="AI3295" s="38"/>
    </row>
    <row r="3296" ht="15.75" customHeight="1">
      <c r="A3296" s="35"/>
      <c r="C3296" s="442"/>
      <c r="P3296" s="235"/>
      <c r="AI3296" s="38"/>
    </row>
    <row r="3297" ht="15.75" customHeight="1">
      <c r="A3297" s="35"/>
      <c r="C3297" s="442"/>
      <c r="P3297" s="235"/>
      <c r="AI3297" s="38"/>
    </row>
    <row r="3298" ht="15.75" customHeight="1">
      <c r="A3298" s="35"/>
      <c r="C3298" s="442"/>
      <c r="P3298" s="235"/>
      <c r="AI3298" s="38"/>
    </row>
    <row r="3299" ht="15.75" customHeight="1">
      <c r="A3299" s="35"/>
      <c r="C3299" s="442"/>
      <c r="P3299" s="235"/>
      <c r="AI3299" s="38"/>
    </row>
    <row r="3300" ht="15.75" customHeight="1">
      <c r="A3300" s="35"/>
      <c r="C3300" s="442"/>
      <c r="P3300" s="235"/>
      <c r="AI3300" s="38"/>
    </row>
    <row r="3301" ht="15.75" customHeight="1">
      <c r="A3301" s="35"/>
      <c r="C3301" s="442"/>
      <c r="P3301" s="235"/>
      <c r="AI3301" s="38"/>
    </row>
    <row r="3302" ht="15.75" customHeight="1">
      <c r="A3302" s="35"/>
      <c r="C3302" s="442"/>
      <c r="P3302" s="235"/>
      <c r="AI3302" s="38"/>
    </row>
    <row r="3303" ht="15.75" customHeight="1">
      <c r="A3303" s="35"/>
      <c r="C3303" s="442"/>
      <c r="P3303" s="235"/>
      <c r="AI3303" s="38"/>
    </row>
    <row r="3304" ht="15.75" customHeight="1">
      <c r="A3304" s="35"/>
      <c r="C3304" s="442"/>
      <c r="P3304" s="235"/>
      <c r="AI3304" s="38"/>
    </row>
    <row r="3305" ht="15.75" customHeight="1">
      <c r="A3305" s="35"/>
      <c r="C3305" s="442"/>
      <c r="P3305" s="235"/>
      <c r="AI3305" s="38"/>
    </row>
    <row r="3306" ht="15.75" customHeight="1">
      <c r="A3306" s="35"/>
      <c r="C3306" s="442"/>
      <c r="P3306" s="235"/>
      <c r="AI3306" s="38"/>
    </row>
    <row r="3307" ht="15.75" customHeight="1">
      <c r="A3307" s="35"/>
      <c r="C3307" s="442"/>
      <c r="P3307" s="235"/>
      <c r="AI3307" s="38"/>
    </row>
    <row r="3308" ht="15.75" customHeight="1">
      <c r="A3308" s="35"/>
      <c r="C3308" s="442"/>
      <c r="P3308" s="235"/>
      <c r="AI3308" s="38"/>
    </row>
    <row r="3309" ht="15.75" customHeight="1">
      <c r="A3309" s="35"/>
      <c r="C3309" s="442"/>
      <c r="P3309" s="235"/>
      <c r="AI3309" s="38"/>
    </row>
    <row r="3310" ht="15.75" customHeight="1">
      <c r="A3310" s="35"/>
      <c r="C3310" s="442"/>
      <c r="P3310" s="235"/>
      <c r="AI3310" s="38"/>
    </row>
    <row r="3311" ht="15.75" customHeight="1">
      <c r="A3311" s="35"/>
      <c r="C3311" s="442"/>
      <c r="P3311" s="235"/>
      <c r="AI3311" s="38"/>
    </row>
    <row r="3312" ht="15.75" customHeight="1">
      <c r="A3312" s="35"/>
      <c r="C3312" s="442"/>
      <c r="P3312" s="235"/>
      <c r="AI3312" s="38"/>
    </row>
    <row r="3313" ht="15.75" customHeight="1">
      <c r="A3313" s="35"/>
      <c r="C3313" s="442"/>
      <c r="P3313" s="235"/>
      <c r="AI3313" s="38"/>
    </row>
    <row r="3314" ht="15.75" customHeight="1">
      <c r="A3314" s="35"/>
      <c r="C3314" s="442"/>
      <c r="P3314" s="235"/>
      <c r="AI3314" s="38"/>
    </row>
    <row r="3315" ht="15.75" customHeight="1">
      <c r="A3315" s="35"/>
      <c r="C3315" s="442"/>
      <c r="P3315" s="235"/>
      <c r="AI3315" s="38"/>
    </row>
    <row r="3316" ht="15.75" customHeight="1">
      <c r="A3316" s="35"/>
      <c r="C3316" s="442"/>
      <c r="P3316" s="235"/>
      <c r="AI3316" s="38"/>
    </row>
    <row r="3317" ht="15.75" customHeight="1">
      <c r="A3317" s="35"/>
      <c r="C3317" s="442"/>
      <c r="P3317" s="235"/>
      <c r="AI3317" s="38"/>
    </row>
    <row r="3318" ht="15.75" customHeight="1">
      <c r="A3318" s="35"/>
      <c r="C3318" s="442"/>
      <c r="P3318" s="235"/>
      <c r="AI3318" s="38"/>
    </row>
    <row r="3319" ht="15.75" customHeight="1">
      <c r="A3319" s="35"/>
      <c r="C3319" s="442"/>
      <c r="P3319" s="235"/>
      <c r="AI3319" s="38"/>
    </row>
    <row r="3320" ht="15.75" customHeight="1">
      <c r="A3320" s="35"/>
      <c r="C3320" s="442"/>
      <c r="P3320" s="235"/>
      <c r="AI3320" s="38"/>
    </row>
    <row r="3321" ht="15.75" customHeight="1">
      <c r="A3321" s="35"/>
      <c r="C3321" s="442"/>
      <c r="P3321" s="235"/>
      <c r="AI3321" s="38"/>
    </row>
    <row r="3322" ht="15.75" customHeight="1">
      <c r="A3322" s="35"/>
      <c r="C3322" s="442"/>
      <c r="P3322" s="235"/>
      <c r="AI3322" s="38"/>
    </row>
    <row r="3323" ht="15.75" customHeight="1">
      <c r="A3323" s="35"/>
      <c r="C3323" s="442"/>
      <c r="P3323" s="235"/>
      <c r="AI3323" s="38"/>
    </row>
    <row r="3324" ht="15.75" customHeight="1">
      <c r="A3324" s="35"/>
      <c r="C3324" s="442"/>
      <c r="P3324" s="235"/>
      <c r="AI3324" s="38"/>
    </row>
    <row r="3325" ht="15.75" customHeight="1">
      <c r="A3325" s="35"/>
      <c r="C3325" s="442"/>
      <c r="P3325" s="235"/>
      <c r="AI3325" s="38"/>
    </row>
    <row r="3326" ht="15.75" customHeight="1">
      <c r="A3326" s="35"/>
      <c r="C3326" s="442"/>
      <c r="P3326" s="235"/>
      <c r="AI3326" s="38"/>
    </row>
    <row r="3327" ht="15.75" customHeight="1">
      <c r="A3327" s="35"/>
      <c r="C3327" s="442"/>
      <c r="P3327" s="235"/>
      <c r="AI3327" s="38"/>
    </row>
    <row r="3328" ht="15.75" customHeight="1">
      <c r="A3328" s="35"/>
      <c r="C3328" s="442"/>
      <c r="P3328" s="235"/>
      <c r="AI3328" s="38"/>
    </row>
    <row r="3329" ht="15.75" customHeight="1">
      <c r="A3329" s="35"/>
      <c r="C3329" s="442"/>
      <c r="P3329" s="235"/>
      <c r="AI3329" s="38"/>
    </row>
    <row r="3330" ht="15.75" customHeight="1">
      <c r="A3330" s="35"/>
      <c r="C3330" s="442"/>
      <c r="P3330" s="235"/>
      <c r="AI3330" s="38"/>
    </row>
    <row r="3331" ht="15.75" customHeight="1">
      <c r="A3331" s="35"/>
      <c r="C3331" s="442"/>
      <c r="P3331" s="235"/>
      <c r="AI3331" s="38"/>
    </row>
    <row r="3332" ht="15.75" customHeight="1">
      <c r="A3332" s="35"/>
      <c r="C3332" s="442"/>
      <c r="P3332" s="235"/>
      <c r="AI3332" s="38"/>
    </row>
    <row r="3333" ht="15.75" customHeight="1">
      <c r="A3333" s="35"/>
      <c r="C3333" s="442"/>
      <c r="P3333" s="235"/>
      <c r="AI3333" s="38"/>
    </row>
    <row r="3334" ht="15.75" customHeight="1">
      <c r="A3334" s="35"/>
      <c r="C3334" s="442"/>
      <c r="P3334" s="235"/>
      <c r="AI3334" s="38"/>
    </row>
    <row r="3335" ht="15.75" customHeight="1">
      <c r="A3335" s="35"/>
      <c r="C3335" s="442"/>
      <c r="P3335" s="235"/>
      <c r="AI3335" s="38"/>
    </row>
    <row r="3336" ht="15.75" customHeight="1">
      <c r="A3336" s="35"/>
      <c r="C3336" s="442"/>
      <c r="P3336" s="235"/>
      <c r="AI3336" s="38"/>
    </row>
    <row r="3337" ht="15.75" customHeight="1">
      <c r="A3337" s="35"/>
      <c r="C3337" s="442"/>
      <c r="P3337" s="235"/>
      <c r="AI3337" s="38"/>
    </row>
    <row r="3338" ht="15.75" customHeight="1">
      <c r="A3338" s="35"/>
      <c r="C3338" s="442"/>
      <c r="P3338" s="235"/>
      <c r="AI3338" s="38"/>
    </row>
    <row r="3339" ht="15.75" customHeight="1">
      <c r="A3339" s="35"/>
      <c r="C3339" s="442"/>
      <c r="P3339" s="235"/>
      <c r="AI3339" s="38"/>
    </row>
    <row r="3340" ht="15.75" customHeight="1">
      <c r="A3340" s="35"/>
      <c r="C3340" s="442"/>
      <c r="P3340" s="235"/>
      <c r="AI3340" s="38"/>
    </row>
    <row r="3341" ht="15.75" customHeight="1">
      <c r="A3341" s="35"/>
      <c r="C3341" s="442"/>
      <c r="P3341" s="235"/>
      <c r="AI3341" s="38"/>
    </row>
    <row r="3342" ht="15.75" customHeight="1">
      <c r="A3342" s="35"/>
      <c r="C3342" s="442"/>
      <c r="P3342" s="235"/>
      <c r="AI3342" s="38"/>
    </row>
    <row r="3343" ht="15.75" customHeight="1">
      <c r="A3343" s="35"/>
      <c r="C3343" s="442"/>
      <c r="P3343" s="235"/>
      <c r="AI3343" s="38"/>
    </row>
    <row r="3344" ht="15.75" customHeight="1">
      <c r="A3344" s="35"/>
      <c r="C3344" s="442"/>
      <c r="P3344" s="235"/>
      <c r="AI3344" s="38"/>
    </row>
    <row r="3345" ht="15.75" customHeight="1">
      <c r="A3345" s="35"/>
      <c r="C3345" s="442"/>
      <c r="P3345" s="235"/>
      <c r="AI3345" s="38"/>
    </row>
    <row r="3346" ht="15.75" customHeight="1">
      <c r="A3346" s="35"/>
      <c r="C3346" s="442"/>
      <c r="P3346" s="235"/>
      <c r="AI3346" s="38"/>
    </row>
    <row r="3347" ht="15.75" customHeight="1">
      <c r="A3347" s="35"/>
      <c r="C3347" s="442"/>
      <c r="P3347" s="235"/>
      <c r="AI3347" s="38"/>
    </row>
    <row r="3348" ht="15.75" customHeight="1">
      <c r="A3348" s="35"/>
      <c r="C3348" s="442"/>
      <c r="P3348" s="235"/>
      <c r="AI3348" s="38"/>
    </row>
    <row r="3349" ht="15.75" customHeight="1">
      <c r="A3349" s="35"/>
      <c r="C3349" s="442"/>
      <c r="P3349" s="235"/>
      <c r="AI3349" s="38"/>
    </row>
    <row r="3350" ht="15.75" customHeight="1">
      <c r="A3350" s="35"/>
      <c r="C3350" s="442"/>
      <c r="P3350" s="235"/>
      <c r="AI3350" s="38"/>
    </row>
    <row r="3351" ht="15.75" customHeight="1">
      <c r="A3351" s="35"/>
      <c r="C3351" s="442"/>
      <c r="P3351" s="235"/>
      <c r="AI3351" s="38"/>
    </row>
    <row r="3352" ht="15.75" customHeight="1">
      <c r="A3352" s="35"/>
      <c r="C3352" s="442"/>
      <c r="P3352" s="235"/>
      <c r="AI3352" s="38"/>
    </row>
    <row r="3353" ht="15.75" customHeight="1">
      <c r="A3353" s="35"/>
      <c r="C3353" s="442"/>
      <c r="P3353" s="235"/>
      <c r="AI3353" s="38"/>
    </row>
    <row r="3354" ht="15.75" customHeight="1">
      <c r="A3354" s="35"/>
      <c r="C3354" s="442"/>
      <c r="P3354" s="235"/>
      <c r="AI3354" s="38"/>
    </row>
    <row r="3355" ht="15.75" customHeight="1">
      <c r="A3355" s="35"/>
      <c r="C3355" s="442"/>
      <c r="P3355" s="235"/>
      <c r="AI3355" s="38"/>
    </row>
    <row r="3356" ht="15.75" customHeight="1">
      <c r="A3356" s="35"/>
      <c r="C3356" s="442"/>
      <c r="P3356" s="235"/>
      <c r="AI3356" s="38"/>
    </row>
    <row r="3357" ht="15.75" customHeight="1">
      <c r="A3357" s="35"/>
      <c r="C3357" s="442"/>
      <c r="P3357" s="235"/>
      <c r="AI3357" s="38"/>
    </row>
    <row r="3358" ht="15.75" customHeight="1">
      <c r="A3358" s="35"/>
      <c r="C3358" s="442"/>
      <c r="P3358" s="235"/>
      <c r="AI3358" s="38"/>
    </row>
    <row r="3359" ht="15.75" customHeight="1">
      <c r="A3359" s="35"/>
      <c r="C3359" s="442"/>
      <c r="P3359" s="235"/>
      <c r="AI3359" s="38"/>
    </row>
    <row r="3360" ht="15.75" customHeight="1">
      <c r="A3360" s="35"/>
      <c r="C3360" s="442"/>
      <c r="P3360" s="235"/>
      <c r="AI3360" s="38"/>
    </row>
    <row r="3361" ht="15.75" customHeight="1">
      <c r="A3361" s="35"/>
      <c r="C3361" s="442"/>
      <c r="P3361" s="235"/>
      <c r="AI3361" s="38"/>
    </row>
    <row r="3362" ht="15.75" customHeight="1">
      <c r="A3362" s="35"/>
      <c r="C3362" s="442"/>
      <c r="P3362" s="235"/>
      <c r="AI3362" s="38"/>
    </row>
    <row r="3363" ht="15.75" customHeight="1">
      <c r="A3363" s="35"/>
      <c r="C3363" s="442"/>
      <c r="P3363" s="235"/>
      <c r="AI3363" s="38"/>
    </row>
    <row r="3364" ht="15.75" customHeight="1">
      <c r="A3364" s="35"/>
      <c r="C3364" s="442"/>
      <c r="P3364" s="235"/>
      <c r="AI3364" s="38"/>
    </row>
    <row r="3365" ht="15.75" customHeight="1">
      <c r="A3365" s="35"/>
      <c r="C3365" s="442"/>
      <c r="P3365" s="235"/>
      <c r="AI3365" s="38"/>
    </row>
    <row r="3366" ht="15.75" customHeight="1">
      <c r="A3366" s="35"/>
      <c r="C3366" s="442"/>
      <c r="P3366" s="235"/>
      <c r="AI3366" s="38"/>
    </row>
    <row r="3367" ht="15.75" customHeight="1">
      <c r="A3367" s="35"/>
      <c r="C3367" s="442"/>
      <c r="P3367" s="235"/>
      <c r="AI3367" s="38"/>
    </row>
    <row r="3368" ht="15.75" customHeight="1">
      <c r="A3368" s="35"/>
      <c r="C3368" s="442"/>
      <c r="P3368" s="235"/>
      <c r="AI3368" s="38"/>
    </row>
    <row r="3369" ht="15.75" customHeight="1">
      <c r="A3369" s="35"/>
      <c r="C3369" s="442"/>
      <c r="P3369" s="235"/>
      <c r="AI3369" s="38"/>
    </row>
    <row r="3370" ht="15.75" customHeight="1">
      <c r="A3370" s="35"/>
      <c r="C3370" s="442"/>
      <c r="P3370" s="235"/>
      <c r="AI3370" s="38"/>
    </row>
    <row r="3371" ht="15.75" customHeight="1">
      <c r="A3371" s="35"/>
      <c r="C3371" s="442"/>
      <c r="P3371" s="235"/>
      <c r="AI3371" s="38"/>
    </row>
    <row r="3372" ht="15.75" customHeight="1">
      <c r="A3372" s="35"/>
      <c r="C3372" s="442"/>
      <c r="P3372" s="235"/>
      <c r="AI3372" s="38"/>
    </row>
    <row r="3373" ht="15.75" customHeight="1">
      <c r="A3373" s="35"/>
      <c r="C3373" s="442"/>
      <c r="P3373" s="235"/>
      <c r="AI3373" s="38"/>
    </row>
    <row r="3374" ht="15.75" customHeight="1">
      <c r="A3374" s="35"/>
      <c r="C3374" s="442"/>
      <c r="P3374" s="235"/>
      <c r="AI3374" s="38"/>
    </row>
    <row r="3375" ht="15.75" customHeight="1">
      <c r="A3375" s="35"/>
      <c r="C3375" s="442"/>
      <c r="P3375" s="235"/>
      <c r="AI3375" s="38"/>
    </row>
    <row r="3376" ht="15.75" customHeight="1">
      <c r="A3376" s="35"/>
      <c r="C3376" s="442"/>
      <c r="P3376" s="235"/>
      <c r="AI3376" s="38"/>
    </row>
    <row r="3377" ht="15.75" customHeight="1">
      <c r="A3377" s="35"/>
      <c r="C3377" s="442"/>
      <c r="P3377" s="235"/>
      <c r="AI3377" s="38"/>
    </row>
    <row r="3378" ht="15.75" customHeight="1">
      <c r="A3378" s="35"/>
      <c r="C3378" s="442"/>
      <c r="P3378" s="235"/>
      <c r="AI3378" s="38"/>
    </row>
    <row r="3379" ht="15.75" customHeight="1">
      <c r="A3379" s="35"/>
      <c r="C3379" s="442"/>
      <c r="P3379" s="235"/>
      <c r="AI3379" s="38"/>
    </row>
    <row r="3380" ht="15.75" customHeight="1">
      <c r="A3380" s="35"/>
      <c r="C3380" s="442"/>
      <c r="P3380" s="235"/>
      <c r="AI3380" s="38"/>
    </row>
    <row r="3381" ht="15.75" customHeight="1">
      <c r="A3381" s="35"/>
      <c r="C3381" s="442"/>
      <c r="P3381" s="235"/>
      <c r="AI3381" s="38"/>
    </row>
    <row r="3382" ht="15.75" customHeight="1">
      <c r="A3382" s="35"/>
      <c r="C3382" s="442"/>
      <c r="P3382" s="235"/>
      <c r="AI3382" s="38"/>
    </row>
    <row r="3383" ht="15.75" customHeight="1">
      <c r="A3383" s="35"/>
      <c r="C3383" s="442"/>
      <c r="P3383" s="235"/>
      <c r="AI3383" s="38"/>
    </row>
    <row r="3384" ht="15.75" customHeight="1">
      <c r="A3384" s="35"/>
      <c r="C3384" s="442"/>
      <c r="P3384" s="235"/>
      <c r="AI3384" s="38"/>
    </row>
    <row r="3385" ht="15.75" customHeight="1">
      <c r="A3385" s="35"/>
      <c r="C3385" s="442"/>
      <c r="P3385" s="235"/>
      <c r="AI3385" s="38"/>
    </row>
    <row r="3386" ht="15.75" customHeight="1">
      <c r="A3386" s="35"/>
      <c r="C3386" s="442"/>
      <c r="P3386" s="235"/>
      <c r="AI3386" s="38"/>
    </row>
    <row r="3387" ht="15.75" customHeight="1">
      <c r="A3387" s="35"/>
      <c r="C3387" s="442"/>
      <c r="P3387" s="235"/>
      <c r="AI3387" s="38"/>
    </row>
    <row r="3388" ht="15.75" customHeight="1">
      <c r="A3388" s="35"/>
      <c r="C3388" s="442"/>
      <c r="P3388" s="235"/>
      <c r="AI3388" s="38"/>
    </row>
    <row r="3389" ht="15.75" customHeight="1">
      <c r="A3389" s="35"/>
      <c r="C3389" s="442"/>
      <c r="P3389" s="235"/>
      <c r="AI3389" s="38"/>
    </row>
    <row r="3390" ht="15.75" customHeight="1">
      <c r="A3390" s="35"/>
      <c r="C3390" s="442"/>
      <c r="P3390" s="235"/>
      <c r="AI3390" s="38"/>
    </row>
    <row r="3391" ht="15.75" customHeight="1">
      <c r="A3391" s="35"/>
      <c r="C3391" s="442"/>
      <c r="P3391" s="235"/>
      <c r="AI3391" s="38"/>
    </row>
    <row r="3392" ht="15.75" customHeight="1">
      <c r="A3392" s="35"/>
      <c r="C3392" s="442"/>
      <c r="P3392" s="235"/>
      <c r="AI3392" s="38"/>
    </row>
    <row r="3393" ht="15.75" customHeight="1">
      <c r="A3393" s="35"/>
      <c r="C3393" s="442"/>
      <c r="P3393" s="235"/>
      <c r="AI3393" s="38"/>
    </row>
    <row r="3394" ht="15.75" customHeight="1">
      <c r="A3394" s="35"/>
      <c r="C3394" s="442"/>
      <c r="P3394" s="235"/>
      <c r="AI3394" s="38"/>
    </row>
    <row r="3395" ht="15.75" customHeight="1">
      <c r="A3395" s="35"/>
      <c r="C3395" s="442"/>
      <c r="P3395" s="235"/>
      <c r="AI3395" s="38"/>
    </row>
    <row r="3396" ht="15.75" customHeight="1">
      <c r="A3396" s="35"/>
      <c r="C3396" s="442"/>
      <c r="P3396" s="235"/>
      <c r="AI3396" s="38"/>
    </row>
    <row r="3397" ht="15.75" customHeight="1">
      <c r="A3397" s="35"/>
      <c r="C3397" s="442"/>
      <c r="P3397" s="235"/>
      <c r="AI3397" s="38"/>
    </row>
    <row r="3398" ht="15.75" customHeight="1">
      <c r="A3398" s="35"/>
      <c r="C3398" s="442"/>
      <c r="P3398" s="235"/>
      <c r="AI3398" s="38"/>
    </row>
    <row r="3399" ht="15.75" customHeight="1">
      <c r="A3399" s="35"/>
      <c r="C3399" s="442"/>
      <c r="P3399" s="235"/>
      <c r="AI3399" s="38"/>
    </row>
    <row r="3400" ht="15.75" customHeight="1">
      <c r="A3400" s="35"/>
      <c r="C3400" s="442"/>
      <c r="P3400" s="235"/>
      <c r="AI3400" s="38"/>
    </row>
    <row r="3401" ht="15.75" customHeight="1">
      <c r="A3401" s="35"/>
      <c r="C3401" s="442"/>
      <c r="P3401" s="235"/>
      <c r="AI3401" s="38"/>
    </row>
    <row r="3402" ht="15.75" customHeight="1">
      <c r="A3402" s="35"/>
      <c r="C3402" s="442"/>
      <c r="P3402" s="235"/>
      <c r="AI3402" s="38"/>
    </row>
    <row r="3403" ht="15.75" customHeight="1">
      <c r="A3403" s="35"/>
      <c r="C3403" s="442"/>
      <c r="P3403" s="235"/>
      <c r="AI3403" s="38"/>
    </row>
    <row r="3404" ht="15.75" customHeight="1">
      <c r="A3404" s="35"/>
      <c r="C3404" s="442"/>
      <c r="P3404" s="235"/>
      <c r="AI3404" s="38"/>
    </row>
    <row r="3405" ht="15.75" customHeight="1">
      <c r="A3405" s="35"/>
      <c r="C3405" s="442"/>
      <c r="P3405" s="235"/>
      <c r="AI3405" s="38"/>
    </row>
    <row r="3406" ht="15.75" customHeight="1">
      <c r="A3406" s="35"/>
      <c r="C3406" s="442"/>
      <c r="P3406" s="235"/>
      <c r="AI3406" s="38"/>
    </row>
    <row r="3407" ht="15.75" customHeight="1">
      <c r="A3407" s="35"/>
      <c r="C3407" s="442"/>
      <c r="P3407" s="235"/>
      <c r="AI3407" s="38"/>
    </row>
    <row r="3408" ht="15.75" customHeight="1">
      <c r="A3408" s="35"/>
      <c r="C3408" s="442"/>
      <c r="P3408" s="235"/>
      <c r="AI3408" s="38"/>
    </row>
    <row r="3409" ht="15.75" customHeight="1">
      <c r="A3409" s="35"/>
      <c r="C3409" s="442"/>
      <c r="P3409" s="235"/>
      <c r="AI3409" s="38"/>
    </row>
    <row r="3410" ht="15.75" customHeight="1">
      <c r="A3410" s="35"/>
      <c r="C3410" s="442"/>
      <c r="P3410" s="235"/>
      <c r="AI3410" s="38"/>
    </row>
    <row r="3411" ht="15.75" customHeight="1">
      <c r="A3411" s="35"/>
      <c r="C3411" s="442"/>
      <c r="P3411" s="235"/>
      <c r="AI3411" s="38"/>
    </row>
    <row r="3412" ht="15.75" customHeight="1">
      <c r="A3412" s="35"/>
      <c r="C3412" s="442"/>
      <c r="P3412" s="235"/>
      <c r="AI3412" s="38"/>
    </row>
    <row r="3413" ht="15.75" customHeight="1">
      <c r="A3413" s="35"/>
      <c r="C3413" s="442"/>
      <c r="P3413" s="235"/>
      <c r="AI3413" s="38"/>
    </row>
    <row r="3414" ht="15.75" customHeight="1">
      <c r="A3414" s="35"/>
      <c r="C3414" s="442"/>
      <c r="P3414" s="235"/>
      <c r="AI3414" s="38"/>
    </row>
    <row r="3415" ht="15.75" customHeight="1">
      <c r="A3415" s="35"/>
      <c r="C3415" s="442"/>
      <c r="P3415" s="235"/>
      <c r="AI3415" s="38"/>
    </row>
    <row r="3416" ht="15.75" customHeight="1">
      <c r="A3416" s="35"/>
      <c r="C3416" s="442"/>
      <c r="P3416" s="235"/>
      <c r="AI3416" s="38"/>
    </row>
    <row r="3417" ht="15.75" customHeight="1">
      <c r="A3417" s="35"/>
      <c r="C3417" s="442"/>
      <c r="P3417" s="235"/>
      <c r="AI3417" s="38"/>
    </row>
    <row r="3418" ht="15.75" customHeight="1">
      <c r="A3418" s="35"/>
      <c r="C3418" s="442"/>
      <c r="P3418" s="235"/>
      <c r="AI3418" s="38"/>
    </row>
    <row r="3419" ht="15.75" customHeight="1">
      <c r="A3419" s="35"/>
      <c r="C3419" s="442"/>
      <c r="P3419" s="235"/>
      <c r="AI3419" s="38"/>
    </row>
    <row r="3420" ht="15.75" customHeight="1">
      <c r="A3420" s="35"/>
      <c r="C3420" s="442"/>
      <c r="P3420" s="235"/>
      <c r="AI3420" s="38"/>
    </row>
    <row r="3421" ht="15.75" customHeight="1">
      <c r="A3421" s="35"/>
      <c r="C3421" s="442"/>
      <c r="P3421" s="235"/>
      <c r="AI3421" s="38"/>
    </row>
    <row r="3422" ht="15.75" customHeight="1">
      <c r="A3422" s="35"/>
      <c r="C3422" s="442"/>
      <c r="P3422" s="235"/>
      <c r="AI3422" s="38"/>
    </row>
    <row r="3423" ht="15.75" customHeight="1">
      <c r="A3423" s="35"/>
      <c r="C3423" s="442"/>
      <c r="P3423" s="235"/>
      <c r="AI3423" s="38"/>
    </row>
    <row r="3424" ht="15.75" customHeight="1">
      <c r="A3424" s="35"/>
      <c r="C3424" s="442"/>
      <c r="P3424" s="235"/>
      <c r="AI3424" s="38"/>
    </row>
    <row r="3425" ht="15.75" customHeight="1">
      <c r="A3425" s="35"/>
      <c r="C3425" s="442"/>
      <c r="P3425" s="235"/>
      <c r="AI3425" s="38"/>
    </row>
    <row r="3426" ht="15.75" customHeight="1">
      <c r="A3426" s="35"/>
      <c r="C3426" s="442"/>
      <c r="P3426" s="235"/>
      <c r="AI3426" s="38"/>
    </row>
    <row r="3427" ht="15.75" customHeight="1">
      <c r="A3427" s="35"/>
      <c r="C3427" s="442"/>
      <c r="P3427" s="235"/>
      <c r="AI3427" s="38"/>
    </row>
    <row r="3428" ht="15.75" customHeight="1">
      <c r="A3428" s="35"/>
      <c r="C3428" s="442"/>
      <c r="P3428" s="235"/>
      <c r="AI3428" s="38"/>
    </row>
    <row r="3429" ht="15.75" customHeight="1">
      <c r="A3429" s="35"/>
      <c r="C3429" s="442"/>
      <c r="P3429" s="235"/>
      <c r="AI3429" s="38"/>
    </row>
    <row r="3430" ht="15.75" customHeight="1">
      <c r="A3430" s="35"/>
      <c r="C3430" s="442"/>
      <c r="P3430" s="235"/>
      <c r="AI3430" s="38"/>
    </row>
    <row r="3431" ht="15.75" customHeight="1">
      <c r="A3431" s="35"/>
      <c r="C3431" s="442"/>
      <c r="P3431" s="235"/>
      <c r="AI3431" s="38"/>
    </row>
    <row r="3432" ht="15.75" customHeight="1">
      <c r="A3432" s="35"/>
      <c r="C3432" s="442"/>
      <c r="P3432" s="235"/>
      <c r="AI3432" s="38"/>
    </row>
    <row r="3433" ht="15.75" customHeight="1">
      <c r="A3433" s="35"/>
      <c r="C3433" s="442"/>
      <c r="P3433" s="235"/>
      <c r="AI3433" s="38"/>
    </row>
    <row r="3434" ht="15.75" customHeight="1">
      <c r="A3434" s="35"/>
      <c r="C3434" s="442"/>
      <c r="P3434" s="235"/>
      <c r="AI3434" s="38"/>
    </row>
    <row r="3435" ht="15.75" customHeight="1">
      <c r="A3435" s="35"/>
      <c r="C3435" s="442"/>
      <c r="P3435" s="235"/>
      <c r="AI3435" s="38"/>
    </row>
    <row r="3436" ht="15.75" customHeight="1">
      <c r="A3436" s="35"/>
      <c r="C3436" s="442"/>
      <c r="P3436" s="235"/>
      <c r="AI3436" s="38"/>
    </row>
    <row r="3437" ht="15.75" customHeight="1">
      <c r="A3437" s="35"/>
      <c r="C3437" s="442"/>
      <c r="P3437" s="235"/>
      <c r="AI3437" s="38"/>
    </row>
    <row r="3438" ht="15.75" customHeight="1">
      <c r="A3438" s="35"/>
      <c r="C3438" s="442"/>
      <c r="P3438" s="235"/>
      <c r="AI3438" s="38"/>
    </row>
    <row r="3439" ht="15.75" customHeight="1">
      <c r="A3439" s="35"/>
      <c r="C3439" s="442"/>
      <c r="P3439" s="235"/>
      <c r="AI3439" s="38"/>
    </row>
    <row r="3440" ht="15.75" customHeight="1">
      <c r="A3440" s="35"/>
      <c r="C3440" s="442"/>
      <c r="P3440" s="235"/>
      <c r="AI3440" s="38"/>
    </row>
    <row r="3441" ht="15.75" customHeight="1">
      <c r="A3441" s="35"/>
      <c r="C3441" s="442"/>
      <c r="P3441" s="235"/>
      <c r="AI3441" s="38"/>
    </row>
    <row r="3442" ht="15.75" customHeight="1">
      <c r="A3442" s="35"/>
      <c r="C3442" s="442"/>
      <c r="P3442" s="235"/>
      <c r="AI3442" s="38"/>
    </row>
    <row r="3443" ht="15.75" customHeight="1">
      <c r="A3443" s="35"/>
      <c r="C3443" s="442"/>
      <c r="P3443" s="235"/>
      <c r="AI3443" s="38"/>
    </row>
    <row r="3444" ht="15.75" customHeight="1">
      <c r="A3444" s="35"/>
      <c r="C3444" s="442"/>
      <c r="P3444" s="235"/>
      <c r="AI3444" s="38"/>
    </row>
    <row r="3445" ht="15.75" customHeight="1">
      <c r="A3445" s="35"/>
      <c r="C3445" s="442"/>
      <c r="P3445" s="235"/>
      <c r="AI3445" s="38"/>
    </row>
    <row r="3446" ht="15.75" customHeight="1">
      <c r="A3446" s="35"/>
      <c r="C3446" s="442"/>
      <c r="P3446" s="235"/>
      <c r="AI3446" s="38"/>
    </row>
    <row r="3447" ht="15.75" customHeight="1">
      <c r="A3447" s="35"/>
      <c r="C3447" s="442"/>
      <c r="P3447" s="235"/>
      <c r="AI3447" s="38"/>
    </row>
    <row r="3448" ht="15.75" customHeight="1">
      <c r="A3448" s="35"/>
      <c r="C3448" s="442"/>
      <c r="P3448" s="235"/>
      <c r="AI3448" s="38"/>
    </row>
    <row r="3449" ht="15.75" customHeight="1">
      <c r="A3449" s="35"/>
      <c r="C3449" s="442"/>
      <c r="P3449" s="235"/>
      <c r="AI3449" s="38"/>
    </row>
    <row r="3450" ht="15.75" customHeight="1">
      <c r="A3450" s="35"/>
      <c r="C3450" s="442"/>
      <c r="P3450" s="235"/>
      <c r="AI3450" s="38"/>
    </row>
    <row r="3451" ht="15.75" customHeight="1">
      <c r="A3451" s="35"/>
      <c r="C3451" s="442"/>
      <c r="P3451" s="235"/>
      <c r="AI3451" s="38"/>
    </row>
    <row r="3452" ht="15.75" customHeight="1">
      <c r="A3452" s="35"/>
      <c r="C3452" s="442"/>
      <c r="P3452" s="235"/>
      <c r="AI3452" s="38"/>
    </row>
    <row r="3453" ht="15.75" customHeight="1">
      <c r="A3453" s="35"/>
      <c r="C3453" s="442"/>
      <c r="P3453" s="235"/>
      <c r="AI3453" s="38"/>
    </row>
    <row r="3454" ht="15.75" customHeight="1">
      <c r="A3454" s="35"/>
      <c r="C3454" s="442"/>
      <c r="P3454" s="235"/>
      <c r="AI3454" s="38"/>
    </row>
    <row r="3455" ht="15.75" customHeight="1">
      <c r="A3455" s="35"/>
      <c r="C3455" s="442"/>
      <c r="P3455" s="235"/>
      <c r="AI3455" s="38"/>
    </row>
    <row r="3456" ht="15.75" customHeight="1">
      <c r="A3456" s="35"/>
      <c r="C3456" s="442"/>
      <c r="P3456" s="235"/>
      <c r="AI3456" s="38"/>
    </row>
    <row r="3457" ht="15.75" customHeight="1">
      <c r="A3457" s="35"/>
      <c r="C3457" s="442"/>
      <c r="P3457" s="235"/>
      <c r="AI3457" s="38"/>
    </row>
    <row r="3458" ht="15.75" customHeight="1">
      <c r="A3458" s="35"/>
      <c r="C3458" s="442"/>
      <c r="P3458" s="235"/>
      <c r="AI3458" s="38"/>
    </row>
    <row r="3459" ht="15.75" customHeight="1">
      <c r="A3459" s="35"/>
      <c r="C3459" s="442"/>
      <c r="P3459" s="235"/>
      <c r="AI3459" s="38"/>
    </row>
    <row r="3460" ht="15.75" customHeight="1">
      <c r="A3460" s="35"/>
      <c r="C3460" s="442"/>
      <c r="P3460" s="235"/>
      <c r="AI3460" s="38"/>
    </row>
    <row r="3461" ht="15.75" customHeight="1">
      <c r="A3461" s="35"/>
      <c r="C3461" s="442"/>
      <c r="P3461" s="235"/>
      <c r="AI3461" s="38"/>
    </row>
    <row r="3462" ht="15.75" customHeight="1">
      <c r="A3462" s="35"/>
      <c r="C3462" s="442"/>
      <c r="P3462" s="235"/>
      <c r="AI3462" s="38"/>
    </row>
    <row r="3463" ht="15.75" customHeight="1">
      <c r="A3463" s="35"/>
      <c r="C3463" s="442"/>
      <c r="P3463" s="235"/>
      <c r="AI3463" s="38"/>
    </row>
    <row r="3464" ht="15.75" customHeight="1">
      <c r="A3464" s="35"/>
      <c r="C3464" s="442"/>
      <c r="P3464" s="235"/>
      <c r="AI3464" s="38"/>
    </row>
    <row r="3465" ht="15.75" customHeight="1">
      <c r="A3465" s="35"/>
      <c r="C3465" s="442"/>
      <c r="P3465" s="235"/>
      <c r="AI3465" s="38"/>
    </row>
    <row r="3466" ht="15.75" customHeight="1">
      <c r="A3466" s="35"/>
      <c r="C3466" s="442"/>
      <c r="P3466" s="235"/>
      <c r="AI3466" s="38"/>
    </row>
    <row r="3467" ht="15.75" customHeight="1">
      <c r="A3467" s="35"/>
      <c r="C3467" s="442"/>
      <c r="P3467" s="235"/>
      <c r="AI3467" s="38"/>
    </row>
    <row r="3468" ht="15.75" customHeight="1">
      <c r="A3468" s="35"/>
      <c r="C3468" s="442"/>
      <c r="P3468" s="235"/>
      <c r="AI3468" s="38"/>
    </row>
    <row r="3469" ht="15.75" customHeight="1">
      <c r="A3469" s="35"/>
      <c r="C3469" s="442"/>
      <c r="P3469" s="235"/>
      <c r="AI3469" s="38"/>
    </row>
    <row r="3470" ht="15.75" customHeight="1">
      <c r="A3470" s="35"/>
      <c r="C3470" s="442"/>
      <c r="P3470" s="235"/>
      <c r="AI3470" s="38"/>
    </row>
    <row r="3471" ht="15.75" customHeight="1">
      <c r="A3471" s="35"/>
      <c r="C3471" s="442"/>
      <c r="P3471" s="235"/>
      <c r="AI3471" s="38"/>
    </row>
    <row r="3472" ht="15.75" customHeight="1">
      <c r="A3472" s="35"/>
      <c r="C3472" s="442"/>
      <c r="P3472" s="235"/>
      <c r="AI3472" s="38"/>
    </row>
    <row r="3473" ht="15.75" customHeight="1">
      <c r="A3473" s="35"/>
      <c r="C3473" s="442"/>
      <c r="P3473" s="235"/>
      <c r="AI3473" s="38"/>
    </row>
    <row r="3474" ht="15.75" customHeight="1">
      <c r="A3474" s="35"/>
      <c r="C3474" s="442"/>
      <c r="P3474" s="235"/>
      <c r="AI3474" s="38"/>
    </row>
    <row r="3475" ht="15.75" customHeight="1">
      <c r="A3475" s="35"/>
      <c r="C3475" s="442"/>
      <c r="P3475" s="235"/>
      <c r="AI3475" s="38"/>
    </row>
    <row r="3476" ht="15.75" customHeight="1">
      <c r="A3476" s="35"/>
      <c r="C3476" s="442"/>
      <c r="P3476" s="235"/>
      <c r="AI3476" s="38"/>
    </row>
    <row r="3477" ht="15.75" customHeight="1">
      <c r="A3477" s="35"/>
      <c r="C3477" s="442"/>
      <c r="P3477" s="235"/>
      <c r="AI3477" s="38"/>
    </row>
    <row r="3478" ht="15.75" customHeight="1">
      <c r="A3478" s="35"/>
      <c r="C3478" s="442"/>
      <c r="P3478" s="235"/>
      <c r="AI3478" s="38"/>
    </row>
    <row r="3479" ht="15.75" customHeight="1">
      <c r="A3479" s="35"/>
      <c r="C3479" s="442"/>
      <c r="P3479" s="235"/>
      <c r="AI3479" s="38"/>
    </row>
    <row r="3480" ht="15.75" customHeight="1">
      <c r="A3480" s="35"/>
      <c r="C3480" s="442"/>
      <c r="P3480" s="235"/>
      <c r="AI3480" s="38"/>
    </row>
    <row r="3481" ht="15.75" customHeight="1">
      <c r="A3481" s="35"/>
      <c r="C3481" s="442"/>
      <c r="P3481" s="235"/>
      <c r="AI3481" s="38"/>
    </row>
    <row r="3482" ht="15.75" customHeight="1">
      <c r="A3482" s="35"/>
      <c r="C3482" s="442"/>
      <c r="P3482" s="235"/>
      <c r="AI3482" s="38"/>
    </row>
    <row r="3483" ht="15.75" customHeight="1">
      <c r="A3483" s="35"/>
      <c r="C3483" s="442"/>
      <c r="P3483" s="235"/>
      <c r="AI3483" s="38"/>
    </row>
    <row r="3484" ht="15.75" customHeight="1">
      <c r="A3484" s="35"/>
      <c r="C3484" s="442"/>
      <c r="P3484" s="235"/>
      <c r="AI3484" s="38"/>
    </row>
    <row r="3485" ht="15.75" customHeight="1">
      <c r="A3485" s="35"/>
      <c r="C3485" s="442"/>
      <c r="P3485" s="235"/>
      <c r="AI3485" s="38"/>
    </row>
    <row r="3486" ht="15.75" customHeight="1">
      <c r="A3486" s="35"/>
      <c r="C3486" s="442"/>
      <c r="P3486" s="235"/>
      <c r="AI3486" s="38"/>
    </row>
    <row r="3487" ht="15.75" customHeight="1">
      <c r="A3487" s="35"/>
      <c r="C3487" s="442"/>
      <c r="P3487" s="235"/>
      <c r="AI3487" s="38"/>
    </row>
    <row r="3488" ht="15.75" customHeight="1">
      <c r="A3488" s="35"/>
      <c r="C3488" s="442"/>
      <c r="P3488" s="235"/>
      <c r="AI3488" s="38"/>
    </row>
    <row r="3489" ht="15.75" customHeight="1">
      <c r="A3489" s="35"/>
      <c r="C3489" s="442"/>
      <c r="P3489" s="235"/>
      <c r="AI3489" s="38"/>
    </row>
    <row r="3490" ht="15.75" customHeight="1">
      <c r="A3490" s="35"/>
      <c r="C3490" s="442"/>
      <c r="P3490" s="235"/>
      <c r="AI3490" s="38"/>
    </row>
    <row r="3491" ht="15.75" customHeight="1">
      <c r="A3491" s="35"/>
      <c r="C3491" s="442"/>
      <c r="P3491" s="235"/>
      <c r="AI3491" s="38"/>
    </row>
    <row r="3492" ht="15.75" customHeight="1">
      <c r="A3492" s="35"/>
      <c r="C3492" s="442"/>
      <c r="P3492" s="235"/>
      <c r="AI3492" s="38"/>
    </row>
    <row r="3493" ht="15.75" customHeight="1">
      <c r="A3493" s="35"/>
      <c r="C3493" s="442"/>
      <c r="P3493" s="235"/>
      <c r="AI3493" s="38"/>
    </row>
    <row r="3494" ht="15.75" customHeight="1">
      <c r="A3494" s="35"/>
      <c r="C3494" s="442"/>
      <c r="P3494" s="235"/>
      <c r="AI3494" s="38"/>
    </row>
    <row r="3495" ht="15.75" customHeight="1">
      <c r="A3495" s="35"/>
      <c r="C3495" s="442"/>
      <c r="P3495" s="235"/>
      <c r="AI3495" s="38"/>
    </row>
    <row r="3496" ht="15.75" customHeight="1">
      <c r="A3496" s="35"/>
      <c r="C3496" s="442"/>
      <c r="P3496" s="235"/>
      <c r="AI3496" s="38"/>
    </row>
    <row r="3497" ht="15.75" customHeight="1">
      <c r="A3497" s="35"/>
      <c r="C3497" s="442"/>
      <c r="P3497" s="235"/>
      <c r="AI3497" s="38"/>
    </row>
    <row r="3498" ht="15.75" customHeight="1">
      <c r="A3498" s="35"/>
      <c r="C3498" s="442"/>
      <c r="P3498" s="235"/>
      <c r="AI3498" s="38"/>
    </row>
    <row r="3499" ht="15.75" customHeight="1">
      <c r="A3499" s="35"/>
      <c r="C3499" s="442"/>
      <c r="P3499" s="235"/>
      <c r="AI3499" s="38"/>
    </row>
    <row r="3500" ht="15.75" customHeight="1">
      <c r="A3500" s="35"/>
      <c r="C3500" s="442"/>
      <c r="P3500" s="235"/>
      <c r="AI3500" s="38"/>
    </row>
    <row r="3501" ht="15.75" customHeight="1">
      <c r="A3501" s="35"/>
      <c r="C3501" s="442"/>
      <c r="P3501" s="235"/>
      <c r="AI3501" s="38"/>
    </row>
    <row r="3502" ht="15.75" customHeight="1">
      <c r="A3502" s="35"/>
      <c r="C3502" s="442"/>
      <c r="P3502" s="235"/>
      <c r="AI3502" s="38"/>
    </row>
    <row r="3503" ht="15.75" customHeight="1">
      <c r="A3503" s="35"/>
      <c r="C3503" s="442"/>
      <c r="P3503" s="235"/>
      <c r="AI3503" s="38"/>
    </row>
    <row r="3504" ht="15.75" customHeight="1">
      <c r="A3504" s="35"/>
      <c r="C3504" s="442"/>
      <c r="P3504" s="235"/>
      <c r="AI3504" s="38"/>
    </row>
    <row r="3505" ht="15.75" customHeight="1">
      <c r="A3505" s="35"/>
      <c r="C3505" s="442"/>
      <c r="P3505" s="235"/>
      <c r="AI3505" s="38"/>
    </row>
    <row r="3506" ht="15.75" customHeight="1">
      <c r="A3506" s="35"/>
      <c r="C3506" s="442"/>
      <c r="P3506" s="235"/>
      <c r="AI3506" s="38"/>
    </row>
    <row r="3507" ht="15.75" customHeight="1">
      <c r="A3507" s="35"/>
      <c r="C3507" s="442"/>
      <c r="P3507" s="235"/>
      <c r="AI3507" s="38"/>
    </row>
    <row r="3508" ht="15.75" customHeight="1">
      <c r="A3508" s="35"/>
      <c r="C3508" s="442"/>
      <c r="P3508" s="235"/>
      <c r="AI3508" s="38"/>
    </row>
    <row r="3509" ht="15.75" customHeight="1">
      <c r="A3509" s="35"/>
      <c r="C3509" s="442"/>
      <c r="P3509" s="235"/>
      <c r="AI3509" s="38"/>
    </row>
    <row r="3510" ht="15.75" customHeight="1">
      <c r="A3510" s="35"/>
      <c r="C3510" s="442"/>
      <c r="P3510" s="235"/>
      <c r="AI3510" s="38"/>
    </row>
    <row r="3511" ht="15.75" customHeight="1">
      <c r="A3511" s="35"/>
      <c r="C3511" s="442"/>
      <c r="P3511" s="235"/>
      <c r="AI3511" s="38"/>
    </row>
    <row r="3512" ht="15.75" customHeight="1">
      <c r="A3512" s="35"/>
      <c r="C3512" s="442"/>
      <c r="P3512" s="235"/>
      <c r="AI3512" s="38"/>
    </row>
    <row r="3513" ht="15.75" customHeight="1">
      <c r="A3513" s="35"/>
      <c r="C3513" s="442"/>
      <c r="P3513" s="235"/>
      <c r="AI3513" s="38"/>
    </row>
    <row r="3514" ht="15.75" customHeight="1">
      <c r="A3514" s="35"/>
      <c r="C3514" s="442"/>
      <c r="P3514" s="235"/>
      <c r="AI3514" s="38"/>
    </row>
    <row r="3515" ht="15.75" customHeight="1">
      <c r="A3515" s="35"/>
      <c r="C3515" s="442"/>
      <c r="P3515" s="235"/>
      <c r="AI3515" s="38"/>
    </row>
    <row r="3516" ht="15.75" customHeight="1">
      <c r="A3516" s="35"/>
      <c r="C3516" s="442"/>
      <c r="P3516" s="235"/>
      <c r="AI3516" s="38"/>
    </row>
    <row r="3517" ht="15.75" customHeight="1">
      <c r="A3517" s="35"/>
      <c r="C3517" s="442"/>
      <c r="P3517" s="235"/>
      <c r="AI3517" s="38"/>
    </row>
    <row r="3518" ht="15.75" customHeight="1">
      <c r="A3518" s="35"/>
      <c r="C3518" s="442"/>
      <c r="P3518" s="235"/>
      <c r="AI3518" s="38"/>
    </row>
    <row r="3519" ht="15.75" customHeight="1">
      <c r="A3519" s="35"/>
      <c r="C3519" s="442"/>
      <c r="P3519" s="235"/>
      <c r="AI3519" s="38"/>
    </row>
    <row r="3520" ht="15.75" customHeight="1">
      <c r="A3520" s="35"/>
      <c r="C3520" s="442"/>
      <c r="P3520" s="235"/>
      <c r="AI3520" s="38"/>
    </row>
    <row r="3521" ht="15.75" customHeight="1">
      <c r="A3521" s="35"/>
      <c r="C3521" s="442"/>
      <c r="P3521" s="235"/>
      <c r="AI3521" s="38"/>
    </row>
    <row r="3522" ht="15.75" customHeight="1">
      <c r="A3522" s="35"/>
      <c r="C3522" s="442"/>
      <c r="P3522" s="235"/>
      <c r="AI3522" s="38"/>
    </row>
    <row r="3523" ht="15.75" customHeight="1">
      <c r="A3523" s="35"/>
      <c r="C3523" s="442"/>
      <c r="P3523" s="235"/>
      <c r="AI3523" s="38"/>
    </row>
    <row r="3524" ht="15.75" customHeight="1">
      <c r="A3524" s="35"/>
      <c r="C3524" s="442"/>
      <c r="P3524" s="235"/>
      <c r="AI3524" s="38"/>
    </row>
    <row r="3525" ht="15.75" customHeight="1">
      <c r="A3525" s="35"/>
      <c r="C3525" s="442"/>
      <c r="P3525" s="235"/>
      <c r="AI3525" s="38"/>
    </row>
    <row r="3526" ht="15.75" customHeight="1">
      <c r="A3526" s="35"/>
      <c r="C3526" s="442"/>
      <c r="P3526" s="235"/>
      <c r="AI3526" s="38"/>
    </row>
    <row r="3527" ht="15.75" customHeight="1">
      <c r="A3527" s="35"/>
      <c r="C3527" s="442"/>
      <c r="P3527" s="235"/>
      <c r="AI3527" s="38"/>
    </row>
    <row r="3528" ht="15.75" customHeight="1">
      <c r="A3528" s="35"/>
      <c r="C3528" s="442"/>
      <c r="P3528" s="235"/>
      <c r="AI3528" s="38"/>
    </row>
    <row r="3529" ht="15.75" customHeight="1">
      <c r="A3529" s="35"/>
      <c r="C3529" s="442"/>
      <c r="P3529" s="235"/>
      <c r="AI3529" s="38"/>
    </row>
    <row r="3530" ht="15.75" customHeight="1">
      <c r="A3530" s="35"/>
      <c r="C3530" s="442"/>
      <c r="P3530" s="235"/>
      <c r="AI3530" s="38"/>
    </row>
    <row r="3531" ht="15.75" customHeight="1">
      <c r="A3531" s="35"/>
      <c r="C3531" s="442"/>
      <c r="P3531" s="235"/>
      <c r="AI3531" s="38"/>
    </row>
    <row r="3532" ht="15.75" customHeight="1">
      <c r="A3532" s="35"/>
      <c r="C3532" s="442"/>
      <c r="P3532" s="235"/>
      <c r="AI3532" s="38"/>
    </row>
    <row r="3533" ht="15.75" customHeight="1">
      <c r="A3533" s="35"/>
      <c r="C3533" s="442"/>
      <c r="P3533" s="235"/>
      <c r="AI3533" s="38"/>
    </row>
    <row r="3534" ht="15.75" customHeight="1">
      <c r="A3534" s="35"/>
      <c r="C3534" s="442"/>
      <c r="P3534" s="235"/>
      <c r="AI3534" s="38"/>
    </row>
    <row r="3535" ht="15.75" customHeight="1">
      <c r="A3535" s="35"/>
      <c r="C3535" s="442"/>
      <c r="P3535" s="235"/>
      <c r="AI3535" s="38"/>
    </row>
    <row r="3536" ht="15.75" customHeight="1">
      <c r="A3536" s="35"/>
      <c r="C3536" s="442"/>
      <c r="P3536" s="235"/>
      <c r="AI3536" s="38"/>
    </row>
    <row r="3537" ht="15.75" customHeight="1">
      <c r="A3537" s="35"/>
      <c r="C3537" s="442"/>
      <c r="P3537" s="235"/>
      <c r="AI3537" s="38"/>
    </row>
    <row r="3538" ht="15.75" customHeight="1">
      <c r="A3538" s="35"/>
      <c r="C3538" s="442"/>
      <c r="P3538" s="235"/>
      <c r="AI3538" s="38"/>
    </row>
    <row r="3539" ht="15.75" customHeight="1">
      <c r="A3539" s="35"/>
      <c r="C3539" s="442"/>
      <c r="P3539" s="235"/>
      <c r="AI3539" s="38"/>
    </row>
    <row r="3540" ht="15.75" customHeight="1">
      <c r="A3540" s="35"/>
      <c r="C3540" s="442"/>
      <c r="P3540" s="235"/>
      <c r="AI3540" s="38"/>
    </row>
    <row r="3541" ht="15.75" customHeight="1">
      <c r="A3541" s="35"/>
      <c r="C3541" s="442"/>
      <c r="P3541" s="235"/>
      <c r="AI3541" s="38"/>
    </row>
    <row r="3542" ht="15.75" customHeight="1">
      <c r="A3542" s="35"/>
      <c r="C3542" s="442"/>
      <c r="P3542" s="235"/>
      <c r="AI3542" s="38"/>
    </row>
    <row r="3543" ht="15.75" customHeight="1">
      <c r="A3543" s="35"/>
      <c r="C3543" s="442"/>
      <c r="P3543" s="235"/>
      <c r="AI3543" s="38"/>
    </row>
    <row r="3544" ht="15.75" customHeight="1">
      <c r="A3544" s="35"/>
      <c r="C3544" s="442"/>
      <c r="P3544" s="235"/>
      <c r="AI3544" s="38"/>
    </row>
    <row r="3545" ht="15.75" customHeight="1">
      <c r="A3545" s="35"/>
      <c r="C3545" s="442"/>
      <c r="P3545" s="235"/>
      <c r="AI3545" s="38"/>
    </row>
    <row r="3546" ht="15.75" customHeight="1">
      <c r="A3546" s="35"/>
      <c r="C3546" s="442"/>
      <c r="P3546" s="235"/>
      <c r="AI3546" s="38"/>
    </row>
    <row r="3547" ht="15.75" customHeight="1">
      <c r="A3547" s="35"/>
      <c r="C3547" s="442"/>
      <c r="P3547" s="235"/>
      <c r="AI3547" s="38"/>
    </row>
    <row r="3548" ht="15.75" customHeight="1">
      <c r="A3548" s="35"/>
      <c r="C3548" s="442"/>
      <c r="P3548" s="235"/>
      <c r="AI3548" s="38"/>
    </row>
    <row r="3549" ht="15.75" customHeight="1">
      <c r="A3549" s="35"/>
      <c r="C3549" s="442"/>
      <c r="P3549" s="235"/>
      <c r="AI3549" s="38"/>
    </row>
    <row r="3550" ht="15.75" customHeight="1">
      <c r="A3550" s="35"/>
      <c r="C3550" s="442"/>
      <c r="P3550" s="235"/>
      <c r="AI3550" s="38"/>
    </row>
    <row r="3551" ht="15.75" customHeight="1">
      <c r="A3551" s="35"/>
      <c r="C3551" s="442"/>
      <c r="P3551" s="235"/>
      <c r="AI3551" s="38"/>
    </row>
    <row r="3552" ht="15.75" customHeight="1">
      <c r="A3552" s="35"/>
      <c r="C3552" s="442"/>
      <c r="P3552" s="235"/>
      <c r="AI3552" s="38"/>
    </row>
    <row r="3553" ht="15.75" customHeight="1">
      <c r="A3553" s="35"/>
      <c r="C3553" s="442"/>
      <c r="P3553" s="235"/>
      <c r="AI3553" s="38"/>
    </row>
    <row r="3554" ht="15.75" customHeight="1">
      <c r="A3554" s="35"/>
      <c r="C3554" s="442"/>
      <c r="P3554" s="235"/>
      <c r="AI3554" s="38"/>
    </row>
    <row r="3555" ht="15.75" customHeight="1">
      <c r="A3555" s="35"/>
      <c r="C3555" s="442"/>
      <c r="P3555" s="235"/>
      <c r="AI3555" s="38"/>
    </row>
    <row r="3556" ht="15.75" customHeight="1">
      <c r="A3556" s="35"/>
      <c r="C3556" s="442"/>
      <c r="P3556" s="235"/>
      <c r="AI3556" s="38"/>
    </row>
    <row r="3557" ht="15.75" customHeight="1">
      <c r="A3557" s="35"/>
      <c r="C3557" s="442"/>
      <c r="P3557" s="235"/>
      <c r="AI3557" s="38"/>
    </row>
    <row r="3558" ht="15.75" customHeight="1">
      <c r="A3558" s="35"/>
      <c r="C3558" s="442"/>
      <c r="P3558" s="235"/>
      <c r="AI3558" s="38"/>
    </row>
    <row r="3559" ht="15.75" customHeight="1">
      <c r="A3559" s="35"/>
      <c r="C3559" s="442"/>
      <c r="P3559" s="235"/>
      <c r="AI3559" s="38"/>
    </row>
    <row r="3560" ht="15.75" customHeight="1">
      <c r="A3560" s="35"/>
      <c r="C3560" s="442"/>
      <c r="P3560" s="235"/>
      <c r="AI3560" s="38"/>
    </row>
    <row r="3561" ht="15.75" customHeight="1">
      <c r="A3561" s="35"/>
      <c r="C3561" s="442"/>
      <c r="P3561" s="235"/>
      <c r="AI3561" s="38"/>
    </row>
    <row r="3562" ht="15.75" customHeight="1">
      <c r="A3562" s="35"/>
      <c r="C3562" s="442"/>
      <c r="P3562" s="235"/>
      <c r="AI3562" s="38"/>
    </row>
    <row r="3563" ht="15.75" customHeight="1">
      <c r="A3563" s="35"/>
      <c r="C3563" s="442"/>
      <c r="P3563" s="235"/>
      <c r="AI3563" s="38"/>
    </row>
    <row r="3564" ht="15.75" customHeight="1">
      <c r="A3564" s="35"/>
      <c r="C3564" s="442"/>
      <c r="P3564" s="235"/>
      <c r="AI3564" s="38"/>
    </row>
    <row r="3565" ht="15.75" customHeight="1">
      <c r="A3565" s="35"/>
      <c r="C3565" s="442"/>
      <c r="P3565" s="235"/>
      <c r="AI3565" s="38"/>
    </row>
    <row r="3566" ht="15.75" customHeight="1">
      <c r="A3566" s="35"/>
      <c r="C3566" s="442"/>
      <c r="P3566" s="235"/>
      <c r="AI3566" s="38"/>
    </row>
    <row r="3567" ht="15.75" customHeight="1">
      <c r="A3567" s="35"/>
      <c r="C3567" s="442"/>
      <c r="P3567" s="235"/>
      <c r="AI3567" s="38"/>
    </row>
    <row r="3568" ht="15.75" customHeight="1">
      <c r="A3568" s="35"/>
      <c r="C3568" s="442"/>
      <c r="P3568" s="235"/>
      <c r="AI3568" s="38"/>
    </row>
    <row r="3569" ht="15.75" customHeight="1">
      <c r="A3569" s="35"/>
      <c r="C3569" s="442"/>
      <c r="P3569" s="235"/>
      <c r="AI3569" s="38"/>
    </row>
    <row r="3570" ht="15.75" customHeight="1">
      <c r="A3570" s="35"/>
      <c r="C3570" s="442"/>
      <c r="P3570" s="235"/>
      <c r="AI3570" s="38"/>
    </row>
    <row r="3571" ht="15.75" customHeight="1">
      <c r="A3571" s="35"/>
      <c r="C3571" s="442"/>
      <c r="P3571" s="235"/>
      <c r="AI3571" s="38"/>
    </row>
    <row r="3572" ht="15.75" customHeight="1">
      <c r="A3572" s="35"/>
      <c r="C3572" s="442"/>
      <c r="P3572" s="235"/>
      <c r="AI3572" s="38"/>
    </row>
    <row r="3573" ht="15.75" customHeight="1">
      <c r="A3573" s="35"/>
      <c r="C3573" s="442"/>
      <c r="P3573" s="235"/>
      <c r="AI3573" s="38"/>
    </row>
    <row r="3574" ht="15.75" customHeight="1">
      <c r="A3574" s="35"/>
      <c r="C3574" s="442"/>
      <c r="P3574" s="235"/>
      <c r="AI3574" s="38"/>
    </row>
    <row r="3575" ht="15.75" customHeight="1">
      <c r="A3575" s="35"/>
      <c r="C3575" s="442"/>
      <c r="P3575" s="235"/>
      <c r="AI3575" s="38"/>
    </row>
    <row r="3576" ht="15.75" customHeight="1">
      <c r="A3576" s="35"/>
      <c r="C3576" s="442"/>
      <c r="P3576" s="235"/>
      <c r="AI3576" s="38"/>
    </row>
    <row r="3577" ht="15.75" customHeight="1">
      <c r="A3577" s="35"/>
      <c r="C3577" s="442"/>
      <c r="P3577" s="235"/>
      <c r="AI3577" s="38"/>
    </row>
    <row r="3578" ht="15.75" customHeight="1">
      <c r="A3578" s="35"/>
      <c r="C3578" s="442"/>
      <c r="P3578" s="235"/>
      <c r="AI3578" s="38"/>
    </row>
    <row r="3579" ht="15.75" customHeight="1">
      <c r="A3579" s="35"/>
      <c r="C3579" s="442"/>
      <c r="P3579" s="235"/>
      <c r="AI3579" s="38"/>
    </row>
    <row r="3580" ht="15.75" customHeight="1">
      <c r="A3580" s="35"/>
      <c r="C3580" s="442"/>
      <c r="P3580" s="235"/>
      <c r="AI3580" s="38"/>
    </row>
    <row r="3581" ht="15.75" customHeight="1">
      <c r="A3581" s="35"/>
      <c r="C3581" s="442"/>
      <c r="P3581" s="235"/>
      <c r="AI3581" s="38"/>
    </row>
    <row r="3582" ht="15.75" customHeight="1">
      <c r="A3582" s="35"/>
      <c r="C3582" s="442"/>
      <c r="P3582" s="235"/>
      <c r="AI3582" s="38"/>
    </row>
    <row r="3583" ht="15.75" customHeight="1">
      <c r="A3583" s="35"/>
      <c r="C3583" s="442"/>
      <c r="P3583" s="235"/>
      <c r="AI3583" s="38"/>
    </row>
    <row r="3584" ht="15.75" customHeight="1">
      <c r="A3584" s="35"/>
      <c r="C3584" s="442"/>
      <c r="P3584" s="235"/>
      <c r="AI3584" s="38"/>
    </row>
    <row r="3585" ht="15.75" customHeight="1">
      <c r="A3585" s="35"/>
      <c r="C3585" s="442"/>
      <c r="P3585" s="235"/>
      <c r="AI3585" s="38"/>
    </row>
    <row r="3586" ht="15.75" customHeight="1">
      <c r="A3586" s="35"/>
      <c r="C3586" s="442"/>
      <c r="P3586" s="235"/>
      <c r="AI3586" s="38"/>
    </row>
    <row r="3587" ht="15.75" customHeight="1">
      <c r="A3587" s="35"/>
      <c r="C3587" s="442"/>
      <c r="P3587" s="235"/>
      <c r="AI3587" s="38"/>
    </row>
    <row r="3588" ht="15.75" customHeight="1">
      <c r="A3588" s="35"/>
      <c r="C3588" s="442"/>
      <c r="P3588" s="235"/>
      <c r="AI3588" s="38"/>
    </row>
    <row r="3589" ht="15.75" customHeight="1">
      <c r="A3589" s="35"/>
      <c r="C3589" s="442"/>
      <c r="P3589" s="235"/>
      <c r="AI3589" s="38"/>
    </row>
    <row r="3590" ht="15.75" customHeight="1">
      <c r="A3590" s="35"/>
      <c r="C3590" s="442"/>
      <c r="P3590" s="235"/>
      <c r="AI3590" s="38"/>
    </row>
    <row r="3591" ht="15.75" customHeight="1">
      <c r="A3591" s="35"/>
      <c r="C3591" s="442"/>
      <c r="P3591" s="235"/>
      <c r="AI3591" s="38"/>
    </row>
    <row r="3592" ht="15.75" customHeight="1">
      <c r="A3592" s="35"/>
      <c r="C3592" s="442"/>
      <c r="P3592" s="235"/>
      <c r="AI3592" s="38"/>
    </row>
    <row r="3593" ht="15.75" customHeight="1">
      <c r="A3593" s="35"/>
      <c r="C3593" s="442"/>
      <c r="P3593" s="235"/>
      <c r="AI3593" s="38"/>
    </row>
    <row r="3594" ht="15.75" customHeight="1">
      <c r="A3594" s="35"/>
      <c r="C3594" s="442"/>
      <c r="P3594" s="235"/>
      <c r="AI3594" s="38"/>
    </row>
    <row r="3595" ht="15.75" customHeight="1">
      <c r="A3595" s="35"/>
      <c r="C3595" s="442"/>
      <c r="P3595" s="235"/>
      <c r="AI3595" s="38"/>
    </row>
    <row r="3596" ht="15.75" customHeight="1">
      <c r="A3596" s="35"/>
      <c r="C3596" s="442"/>
      <c r="P3596" s="235"/>
      <c r="AI3596" s="38"/>
    </row>
    <row r="3597" ht="15.75" customHeight="1">
      <c r="A3597" s="35"/>
      <c r="C3597" s="442"/>
      <c r="P3597" s="235"/>
      <c r="AI3597" s="38"/>
    </row>
    <row r="3598" ht="15.75" customHeight="1">
      <c r="A3598" s="35"/>
      <c r="C3598" s="442"/>
      <c r="P3598" s="235"/>
      <c r="AI3598" s="38"/>
    </row>
    <row r="3599" ht="15.75" customHeight="1">
      <c r="A3599" s="35"/>
      <c r="C3599" s="442"/>
      <c r="P3599" s="235"/>
      <c r="AI3599" s="38"/>
    </row>
    <row r="3600" ht="15.75" customHeight="1">
      <c r="A3600" s="35"/>
      <c r="C3600" s="442"/>
      <c r="P3600" s="235"/>
      <c r="AI3600" s="38"/>
    </row>
    <row r="3601" ht="15.75" customHeight="1">
      <c r="A3601" s="35"/>
      <c r="C3601" s="442"/>
      <c r="P3601" s="235"/>
      <c r="AI3601" s="38"/>
    </row>
    <row r="3602" ht="15.75" customHeight="1">
      <c r="A3602" s="35"/>
      <c r="C3602" s="442"/>
      <c r="P3602" s="235"/>
      <c r="AI3602" s="38"/>
    </row>
    <row r="3603" ht="15.75" customHeight="1">
      <c r="A3603" s="35"/>
      <c r="C3603" s="442"/>
      <c r="P3603" s="235"/>
      <c r="AI3603" s="38"/>
    </row>
    <row r="3604" ht="15.75" customHeight="1">
      <c r="A3604" s="35"/>
      <c r="C3604" s="442"/>
      <c r="P3604" s="235"/>
      <c r="AI3604" s="38"/>
    </row>
    <row r="3605" ht="15.75" customHeight="1">
      <c r="A3605" s="35"/>
      <c r="C3605" s="442"/>
      <c r="P3605" s="235"/>
      <c r="AI3605" s="38"/>
    </row>
    <row r="3606" ht="15.75" customHeight="1">
      <c r="A3606" s="35"/>
      <c r="C3606" s="442"/>
      <c r="P3606" s="235"/>
      <c r="AI3606" s="38"/>
    </row>
    <row r="3607" ht="15.75" customHeight="1">
      <c r="A3607" s="35"/>
      <c r="C3607" s="442"/>
      <c r="P3607" s="235"/>
      <c r="AI3607" s="38"/>
    </row>
    <row r="3608" ht="15.75" customHeight="1">
      <c r="A3608" s="35"/>
      <c r="C3608" s="442"/>
      <c r="P3608" s="235"/>
      <c r="AI3608" s="38"/>
    </row>
    <row r="3609" ht="15.75" customHeight="1">
      <c r="A3609" s="35"/>
      <c r="C3609" s="442"/>
      <c r="P3609" s="235"/>
      <c r="AI3609" s="38"/>
    </row>
    <row r="3610" ht="15.75" customHeight="1">
      <c r="A3610" s="35"/>
      <c r="C3610" s="442"/>
      <c r="P3610" s="235"/>
      <c r="AI3610" s="38"/>
    </row>
    <row r="3611" ht="15.75" customHeight="1">
      <c r="A3611" s="35"/>
      <c r="C3611" s="442"/>
      <c r="P3611" s="235"/>
      <c r="AI3611" s="38"/>
    </row>
    <row r="3612" ht="15.75" customHeight="1">
      <c r="A3612" s="35"/>
      <c r="C3612" s="442"/>
      <c r="P3612" s="235"/>
      <c r="AI3612" s="38"/>
    </row>
    <row r="3613" ht="15.75" customHeight="1">
      <c r="A3613" s="35"/>
      <c r="C3613" s="442"/>
      <c r="P3613" s="235"/>
      <c r="AI3613" s="38"/>
    </row>
    <row r="3614" ht="15.75" customHeight="1">
      <c r="A3614" s="35"/>
      <c r="C3614" s="442"/>
      <c r="P3614" s="235"/>
      <c r="AI3614" s="38"/>
    </row>
    <row r="3615" ht="15.75" customHeight="1">
      <c r="A3615" s="35"/>
      <c r="C3615" s="442"/>
      <c r="P3615" s="235"/>
      <c r="AI3615" s="38"/>
    </row>
    <row r="3616" ht="15.75" customHeight="1">
      <c r="A3616" s="35"/>
      <c r="C3616" s="442"/>
      <c r="P3616" s="235"/>
      <c r="AI3616" s="38"/>
    </row>
    <row r="3617" ht="15.75" customHeight="1">
      <c r="A3617" s="35"/>
      <c r="C3617" s="442"/>
      <c r="P3617" s="235"/>
      <c r="AI3617" s="38"/>
    </row>
    <row r="3618" ht="15.75" customHeight="1">
      <c r="A3618" s="35"/>
      <c r="C3618" s="442"/>
      <c r="P3618" s="235"/>
      <c r="AI3618" s="38"/>
    </row>
    <row r="3619" ht="15.75" customHeight="1">
      <c r="A3619" s="35"/>
      <c r="C3619" s="442"/>
      <c r="P3619" s="235"/>
      <c r="AI3619" s="38"/>
    </row>
    <row r="3620" ht="15.75" customHeight="1">
      <c r="A3620" s="35"/>
      <c r="C3620" s="442"/>
      <c r="P3620" s="235"/>
      <c r="AI3620" s="38"/>
    </row>
    <row r="3621" ht="15.75" customHeight="1">
      <c r="A3621" s="35"/>
      <c r="C3621" s="442"/>
      <c r="P3621" s="235"/>
      <c r="AI3621" s="38"/>
    </row>
    <row r="3622" ht="15.75" customHeight="1">
      <c r="A3622" s="35"/>
      <c r="C3622" s="442"/>
      <c r="P3622" s="235"/>
      <c r="AI3622" s="38"/>
    </row>
    <row r="3623" ht="15.75" customHeight="1">
      <c r="A3623" s="35"/>
      <c r="C3623" s="442"/>
      <c r="P3623" s="235"/>
      <c r="AI3623" s="38"/>
    </row>
    <row r="3624" ht="15.75" customHeight="1">
      <c r="A3624" s="35"/>
      <c r="C3624" s="442"/>
      <c r="P3624" s="235"/>
      <c r="AI3624" s="38"/>
    </row>
    <row r="3625" ht="15.75" customHeight="1">
      <c r="A3625" s="35"/>
      <c r="C3625" s="442"/>
      <c r="P3625" s="235"/>
      <c r="AI3625" s="38"/>
    </row>
    <row r="3626" ht="15.75" customHeight="1">
      <c r="A3626" s="35"/>
      <c r="C3626" s="442"/>
      <c r="P3626" s="235"/>
      <c r="AI3626" s="38"/>
    </row>
    <row r="3627" ht="15.75" customHeight="1">
      <c r="A3627" s="35"/>
      <c r="C3627" s="442"/>
      <c r="P3627" s="235"/>
      <c r="AI3627" s="38"/>
    </row>
    <row r="3628" ht="15.75" customHeight="1">
      <c r="A3628" s="35"/>
      <c r="C3628" s="442"/>
      <c r="P3628" s="235"/>
      <c r="AI3628" s="38"/>
    </row>
    <row r="3629" ht="15.75" customHeight="1">
      <c r="A3629" s="35"/>
      <c r="C3629" s="442"/>
      <c r="P3629" s="235"/>
      <c r="AI3629" s="38"/>
    </row>
    <row r="3630" ht="15.75" customHeight="1">
      <c r="A3630" s="35"/>
      <c r="C3630" s="442"/>
      <c r="P3630" s="235"/>
      <c r="AI3630" s="38"/>
    </row>
    <row r="3631" ht="15.75" customHeight="1">
      <c r="A3631" s="35"/>
      <c r="C3631" s="442"/>
      <c r="P3631" s="235"/>
      <c r="AI3631" s="38"/>
    </row>
    <row r="3632" ht="15.75" customHeight="1">
      <c r="A3632" s="35"/>
      <c r="C3632" s="442"/>
      <c r="P3632" s="235"/>
      <c r="AI3632" s="38"/>
    </row>
    <row r="3633" ht="15.75" customHeight="1">
      <c r="A3633" s="35"/>
      <c r="C3633" s="442"/>
      <c r="P3633" s="235"/>
      <c r="AI3633" s="38"/>
    </row>
    <row r="3634" ht="15.75" customHeight="1">
      <c r="A3634" s="35"/>
      <c r="C3634" s="442"/>
      <c r="P3634" s="235"/>
      <c r="AI3634" s="38"/>
    </row>
    <row r="3635" ht="15.75" customHeight="1">
      <c r="A3635" s="35"/>
      <c r="C3635" s="442"/>
      <c r="P3635" s="235"/>
      <c r="AI3635" s="38"/>
    </row>
    <row r="3636" ht="15.75" customHeight="1">
      <c r="A3636" s="35"/>
      <c r="C3636" s="442"/>
      <c r="P3636" s="235"/>
      <c r="AI3636" s="38"/>
    </row>
    <row r="3637" ht="15.75" customHeight="1">
      <c r="A3637" s="35"/>
      <c r="C3637" s="442"/>
      <c r="P3637" s="235"/>
      <c r="AI3637" s="38"/>
    </row>
    <row r="3638" ht="15.75" customHeight="1">
      <c r="A3638" s="35"/>
      <c r="C3638" s="442"/>
      <c r="P3638" s="235"/>
      <c r="AI3638" s="38"/>
    </row>
    <row r="3639" ht="15.75" customHeight="1">
      <c r="A3639" s="35"/>
      <c r="C3639" s="442"/>
      <c r="P3639" s="235"/>
      <c r="AI3639" s="38"/>
    </row>
    <row r="3640" ht="15.75" customHeight="1">
      <c r="A3640" s="35"/>
      <c r="C3640" s="442"/>
      <c r="P3640" s="235"/>
      <c r="AI3640" s="38"/>
    </row>
    <row r="3641" ht="15.75" customHeight="1">
      <c r="A3641" s="35"/>
      <c r="C3641" s="442"/>
      <c r="P3641" s="235"/>
      <c r="AI3641" s="38"/>
    </row>
    <row r="3642" ht="15.75" customHeight="1">
      <c r="A3642" s="35"/>
      <c r="C3642" s="442"/>
      <c r="P3642" s="235"/>
      <c r="AI3642" s="38"/>
    </row>
    <row r="3643" ht="15.75" customHeight="1">
      <c r="A3643" s="35"/>
      <c r="C3643" s="442"/>
      <c r="P3643" s="235"/>
      <c r="AI3643" s="38"/>
    </row>
    <row r="3644" ht="15.75" customHeight="1">
      <c r="A3644" s="35"/>
      <c r="C3644" s="442"/>
      <c r="P3644" s="235"/>
      <c r="AI3644" s="38"/>
    </row>
    <row r="3645" ht="15.75" customHeight="1">
      <c r="A3645" s="35"/>
      <c r="C3645" s="442"/>
      <c r="P3645" s="235"/>
      <c r="AI3645" s="38"/>
    </row>
    <row r="3646" ht="15.75" customHeight="1">
      <c r="A3646" s="35"/>
      <c r="C3646" s="442"/>
      <c r="P3646" s="235"/>
      <c r="AI3646" s="38"/>
    </row>
    <row r="3647" ht="15.75" customHeight="1">
      <c r="A3647" s="35"/>
      <c r="C3647" s="442"/>
      <c r="P3647" s="235"/>
      <c r="AI3647" s="38"/>
    </row>
    <row r="3648" ht="15.75" customHeight="1">
      <c r="A3648" s="35"/>
      <c r="C3648" s="442"/>
      <c r="P3648" s="235"/>
      <c r="AI3648" s="38"/>
    </row>
    <row r="3649" ht="15.75" customHeight="1">
      <c r="A3649" s="35"/>
      <c r="C3649" s="442"/>
      <c r="P3649" s="235"/>
      <c r="AI3649" s="38"/>
    </row>
    <row r="3650" ht="15.75" customHeight="1">
      <c r="A3650" s="35"/>
      <c r="C3650" s="442"/>
      <c r="P3650" s="235"/>
      <c r="AI3650" s="38"/>
    </row>
    <row r="3651" ht="15.75" customHeight="1">
      <c r="A3651" s="35"/>
      <c r="C3651" s="442"/>
      <c r="P3651" s="235"/>
      <c r="AI3651" s="38"/>
    </row>
    <row r="3652" ht="15.75" customHeight="1">
      <c r="A3652" s="35"/>
      <c r="C3652" s="442"/>
      <c r="P3652" s="235"/>
      <c r="AI3652" s="38"/>
    </row>
    <row r="3653" ht="15.75" customHeight="1">
      <c r="A3653" s="35"/>
      <c r="C3653" s="442"/>
      <c r="P3653" s="235"/>
      <c r="AI3653" s="38"/>
    </row>
    <row r="3654" ht="15.75" customHeight="1">
      <c r="A3654" s="35"/>
      <c r="C3654" s="442"/>
      <c r="P3654" s="235"/>
      <c r="AI3654" s="38"/>
    </row>
    <row r="3655" ht="15.75" customHeight="1">
      <c r="A3655" s="35"/>
      <c r="C3655" s="442"/>
      <c r="P3655" s="235"/>
      <c r="AI3655" s="38"/>
    </row>
    <row r="3656" ht="15.75" customHeight="1">
      <c r="A3656" s="35"/>
      <c r="C3656" s="442"/>
      <c r="P3656" s="235"/>
      <c r="AI3656" s="38"/>
    </row>
    <row r="3657" ht="15.75" customHeight="1">
      <c r="A3657" s="35"/>
      <c r="C3657" s="442"/>
      <c r="P3657" s="235"/>
      <c r="AI3657" s="38"/>
    </row>
    <row r="3658" ht="15.75" customHeight="1">
      <c r="A3658" s="35"/>
      <c r="C3658" s="442"/>
      <c r="P3658" s="235"/>
      <c r="AI3658" s="38"/>
    </row>
    <row r="3659" ht="15.75" customHeight="1">
      <c r="A3659" s="35"/>
      <c r="C3659" s="442"/>
      <c r="P3659" s="235"/>
      <c r="AI3659" s="38"/>
    </row>
    <row r="3660" ht="15.75" customHeight="1">
      <c r="A3660" s="35"/>
      <c r="C3660" s="442"/>
      <c r="P3660" s="235"/>
      <c r="AI3660" s="38"/>
    </row>
    <row r="3661" ht="15.75" customHeight="1">
      <c r="A3661" s="35"/>
      <c r="C3661" s="442"/>
      <c r="P3661" s="235"/>
      <c r="AI3661" s="38"/>
    </row>
    <row r="3662" ht="15.75" customHeight="1">
      <c r="A3662" s="35"/>
      <c r="C3662" s="442"/>
      <c r="P3662" s="235"/>
      <c r="AI3662" s="38"/>
    </row>
    <row r="3663" ht="15.75" customHeight="1">
      <c r="A3663" s="35"/>
      <c r="C3663" s="442"/>
      <c r="P3663" s="235"/>
      <c r="AI3663" s="38"/>
    </row>
    <row r="3664" ht="15.75" customHeight="1">
      <c r="A3664" s="35"/>
      <c r="C3664" s="442"/>
      <c r="P3664" s="235"/>
      <c r="AI3664" s="38"/>
    </row>
    <row r="3665" ht="15.75" customHeight="1">
      <c r="A3665" s="35"/>
      <c r="C3665" s="442"/>
      <c r="P3665" s="235"/>
      <c r="AI3665" s="38"/>
    </row>
    <row r="3666" ht="15.75" customHeight="1">
      <c r="A3666" s="35"/>
      <c r="C3666" s="442"/>
      <c r="P3666" s="235"/>
      <c r="AI3666" s="38"/>
    </row>
    <row r="3667" ht="15.75" customHeight="1">
      <c r="A3667" s="35"/>
      <c r="C3667" s="442"/>
      <c r="P3667" s="235"/>
      <c r="AI3667" s="38"/>
    </row>
    <row r="3668" ht="15.75" customHeight="1">
      <c r="A3668" s="35"/>
      <c r="C3668" s="442"/>
      <c r="P3668" s="235"/>
      <c r="AI3668" s="38"/>
    </row>
    <row r="3669" ht="15.75" customHeight="1">
      <c r="A3669" s="35"/>
      <c r="C3669" s="442"/>
      <c r="P3669" s="235"/>
      <c r="AI3669" s="38"/>
    </row>
    <row r="3670" ht="15.75" customHeight="1">
      <c r="A3670" s="35"/>
      <c r="C3670" s="442"/>
      <c r="P3670" s="235"/>
      <c r="AI3670" s="38"/>
    </row>
    <row r="3671" ht="15.75" customHeight="1">
      <c r="A3671" s="35"/>
      <c r="C3671" s="442"/>
      <c r="P3671" s="235"/>
      <c r="AI3671" s="38"/>
    </row>
    <row r="3672" ht="15.75" customHeight="1">
      <c r="A3672" s="35"/>
      <c r="C3672" s="442"/>
      <c r="P3672" s="235"/>
      <c r="AI3672" s="38"/>
    </row>
    <row r="3673" ht="15.75" customHeight="1">
      <c r="A3673" s="35"/>
      <c r="C3673" s="442"/>
      <c r="P3673" s="235"/>
      <c r="AI3673" s="38"/>
    </row>
    <row r="3674" ht="15.75" customHeight="1">
      <c r="A3674" s="35"/>
      <c r="C3674" s="442"/>
      <c r="P3674" s="235"/>
      <c r="AI3674" s="38"/>
    </row>
    <row r="3675" ht="15.75" customHeight="1">
      <c r="A3675" s="35"/>
      <c r="C3675" s="442"/>
      <c r="P3675" s="235"/>
      <c r="AI3675" s="38"/>
    </row>
    <row r="3676" ht="15.75" customHeight="1">
      <c r="A3676" s="35"/>
      <c r="C3676" s="442"/>
      <c r="P3676" s="235"/>
      <c r="AI3676" s="38"/>
    </row>
    <row r="3677" ht="15.75" customHeight="1">
      <c r="A3677" s="35"/>
      <c r="C3677" s="442"/>
      <c r="P3677" s="235"/>
      <c r="AI3677" s="38"/>
    </row>
    <row r="3678" ht="15.75" customHeight="1">
      <c r="A3678" s="35"/>
      <c r="C3678" s="442"/>
      <c r="P3678" s="235"/>
      <c r="AI3678" s="38"/>
    </row>
    <row r="3679" ht="15.75" customHeight="1">
      <c r="A3679" s="35"/>
      <c r="C3679" s="442"/>
      <c r="P3679" s="235"/>
      <c r="AI3679" s="38"/>
    </row>
    <row r="3680" ht="15.75" customHeight="1">
      <c r="A3680" s="35"/>
      <c r="C3680" s="442"/>
      <c r="P3680" s="235"/>
      <c r="AI3680" s="38"/>
    </row>
    <row r="3681" ht="15.75" customHeight="1">
      <c r="A3681" s="35"/>
      <c r="C3681" s="442"/>
      <c r="P3681" s="235"/>
      <c r="AI3681" s="38"/>
    </row>
    <row r="3682" ht="15.75" customHeight="1">
      <c r="A3682" s="35"/>
      <c r="C3682" s="442"/>
      <c r="P3682" s="235"/>
      <c r="AI3682" s="38"/>
    </row>
    <row r="3683" ht="15.75" customHeight="1">
      <c r="A3683" s="35"/>
      <c r="C3683" s="442"/>
      <c r="P3683" s="235"/>
      <c r="AI3683" s="38"/>
    </row>
    <row r="3684" ht="15.75" customHeight="1">
      <c r="A3684" s="35"/>
      <c r="C3684" s="442"/>
      <c r="P3684" s="235"/>
      <c r="AI3684" s="38"/>
    </row>
    <row r="3685" ht="15.75" customHeight="1">
      <c r="A3685" s="35"/>
      <c r="C3685" s="442"/>
      <c r="P3685" s="235"/>
      <c r="AI3685" s="38"/>
    </row>
    <row r="3686" ht="15.75" customHeight="1">
      <c r="A3686" s="35"/>
      <c r="C3686" s="442"/>
      <c r="P3686" s="235"/>
      <c r="AI3686" s="38"/>
    </row>
    <row r="3687" ht="15.75" customHeight="1">
      <c r="A3687" s="35"/>
      <c r="C3687" s="442"/>
      <c r="P3687" s="235"/>
      <c r="AI3687" s="38"/>
    </row>
    <row r="3688" ht="15.75" customHeight="1">
      <c r="A3688" s="35"/>
      <c r="C3688" s="442"/>
      <c r="P3688" s="235"/>
      <c r="AI3688" s="38"/>
    </row>
    <row r="3689" ht="15.75" customHeight="1">
      <c r="A3689" s="35"/>
      <c r="C3689" s="442"/>
      <c r="P3689" s="235"/>
      <c r="AI3689" s="38"/>
    </row>
    <row r="3690" ht="15.75" customHeight="1">
      <c r="A3690" s="35"/>
      <c r="C3690" s="442"/>
      <c r="P3690" s="235"/>
      <c r="AI3690" s="38"/>
    </row>
    <row r="3691" ht="15.75" customHeight="1">
      <c r="A3691" s="35"/>
      <c r="C3691" s="442"/>
      <c r="P3691" s="235"/>
      <c r="AI3691" s="38"/>
    </row>
    <row r="3692" ht="15.75" customHeight="1">
      <c r="A3692" s="35"/>
      <c r="C3692" s="442"/>
      <c r="P3692" s="235"/>
      <c r="AI3692" s="38"/>
    </row>
    <row r="3693" ht="15.75" customHeight="1">
      <c r="A3693" s="35"/>
      <c r="C3693" s="442"/>
      <c r="P3693" s="235"/>
      <c r="AI3693" s="38"/>
    </row>
    <row r="3694" ht="15.75" customHeight="1">
      <c r="A3694" s="35"/>
      <c r="C3694" s="442"/>
      <c r="P3694" s="235"/>
      <c r="AI3694" s="38"/>
    </row>
    <row r="3695" ht="15.75" customHeight="1">
      <c r="A3695" s="35"/>
      <c r="C3695" s="442"/>
      <c r="P3695" s="235"/>
      <c r="AI3695" s="38"/>
    </row>
    <row r="3696" ht="15.75" customHeight="1">
      <c r="A3696" s="35"/>
      <c r="C3696" s="442"/>
      <c r="P3696" s="235"/>
      <c r="AI3696" s="38"/>
    </row>
    <row r="3697" ht="15.75" customHeight="1">
      <c r="A3697" s="35"/>
      <c r="C3697" s="442"/>
      <c r="P3697" s="235"/>
      <c r="AI3697" s="38"/>
    </row>
    <row r="3698" ht="15.75" customHeight="1">
      <c r="A3698" s="35"/>
      <c r="C3698" s="442"/>
      <c r="P3698" s="235"/>
      <c r="AI3698" s="38"/>
    </row>
    <row r="3699" ht="15.75" customHeight="1">
      <c r="A3699" s="35"/>
      <c r="C3699" s="442"/>
      <c r="P3699" s="235"/>
      <c r="AI3699" s="38"/>
    </row>
    <row r="3700" ht="15.75" customHeight="1">
      <c r="A3700" s="35"/>
      <c r="C3700" s="442"/>
      <c r="P3700" s="235"/>
      <c r="AI3700" s="38"/>
    </row>
    <row r="3701" ht="15.75" customHeight="1">
      <c r="A3701" s="35"/>
      <c r="C3701" s="442"/>
      <c r="P3701" s="235"/>
      <c r="AI3701" s="38"/>
    </row>
    <row r="3702" ht="15.75" customHeight="1">
      <c r="A3702" s="35"/>
      <c r="C3702" s="442"/>
      <c r="P3702" s="235"/>
      <c r="AI3702" s="38"/>
    </row>
    <row r="3703" ht="15.75" customHeight="1">
      <c r="A3703" s="35"/>
      <c r="C3703" s="442"/>
      <c r="P3703" s="235"/>
      <c r="AI3703" s="38"/>
    </row>
    <row r="3704" ht="15.75" customHeight="1">
      <c r="A3704" s="35"/>
      <c r="C3704" s="442"/>
      <c r="P3704" s="235"/>
      <c r="AI3704" s="38"/>
    </row>
    <row r="3705" ht="15.75" customHeight="1">
      <c r="A3705" s="35"/>
      <c r="C3705" s="442"/>
      <c r="P3705" s="235"/>
      <c r="AI3705" s="38"/>
    </row>
    <row r="3706" ht="15.75" customHeight="1">
      <c r="A3706" s="35"/>
      <c r="C3706" s="442"/>
      <c r="P3706" s="235"/>
      <c r="AI3706" s="38"/>
    </row>
    <row r="3707" ht="15.75" customHeight="1">
      <c r="A3707" s="35"/>
      <c r="C3707" s="442"/>
      <c r="P3707" s="235"/>
      <c r="AI3707" s="38"/>
    </row>
    <row r="3708" ht="15.75" customHeight="1">
      <c r="A3708" s="35"/>
      <c r="C3708" s="442"/>
      <c r="P3708" s="235"/>
      <c r="AI3708" s="38"/>
    </row>
    <row r="3709" ht="15.75" customHeight="1">
      <c r="A3709" s="35"/>
      <c r="C3709" s="442"/>
      <c r="P3709" s="235"/>
      <c r="AI3709" s="38"/>
    </row>
    <row r="3710" ht="15.75" customHeight="1">
      <c r="A3710" s="35"/>
      <c r="C3710" s="442"/>
      <c r="P3710" s="235"/>
      <c r="AI3710" s="38"/>
    </row>
    <row r="3711" ht="15.75" customHeight="1">
      <c r="A3711" s="35"/>
      <c r="C3711" s="442"/>
      <c r="P3711" s="235"/>
      <c r="AI3711" s="38"/>
    </row>
    <row r="3712" ht="15.75" customHeight="1">
      <c r="A3712" s="35"/>
      <c r="C3712" s="442"/>
      <c r="P3712" s="235"/>
      <c r="AI3712" s="38"/>
    </row>
    <row r="3713" ht="15.75" customHeight="1">
      <c r="A3713" s="35"/>
      <c r="C3713" s="442"/>
      <c r="P3713" s="235"/>
      <c r="AI3713" s="38"/>
    </row>
    <row r="3714" ht="15.75" customHeight="1">
      <c r="A3714" s="35"/>
      <c r="C3714" s="442"/>
      <c r="P3714" s="235"/>
      <c r="AI3714" s="38"/>
    </row>
    <row r="3715" ht="15.75" customHeight="1">
      <c r="A3715" s="35"/>
      <c r="C3715" s="442"/>
      <c r="P3715" s="235"/>
      <c r="AI3715" s="38"/>
    </row>
    <row r="3716" ht="15.75" customHeight="1">
      <c r="A3716" s="35"/>
      <c r="C3716" s="442"/>
      <c r="P3716" s="235"/>
      <c r="AI3716" s="38"/>
    </row>
    <row r="3717" ht="15.75" customHeight="1">
      <c r="A3717" s="35"/>
      <c r="C3717" s="442"/>
      <c r="P3717" s="235"/>
      <c r="AI3717" s="38"/>
    </row>
    <row r="3718" ht="15.75" customHeight="1">
      <c r="A3718" s="35"/>
      <c r="C3718" s="442"/>
      <c r="P3718" s="235"/>
      <c r="AI3718" s="38"/>
    </row>
    <row r="3719" ht="15.75" customHeight="1">
      <c r="A3719" s="35"/>
      <c r="C3719" s="442"/>
      <c r="P3719" s="235"/>
      <c r="AI3719" s="38"/>
    </row>
    <row r="3720" ht="15.75" customHeight="1">
      <c r="A3720" s="35"/>
      <c r="C3720" s="442"/>
      <c r="P3720" s="235"/>
      <c r="AI3720" s="38"/>
    </row>
    <row r="3721" ht="15.75" customHeight="1">
      <c r="A3721" s="35"/>
      <c r="C3721" s="442"/>
      <c r="P3721" s="235"/>
      <c r="AI3721" s="38"/>
    </row>
    <row r="3722" ht="15.75" customHeight="1">
      <c r="A3722" s="35"/>
      <c r="C3722" s="442"/>
      <c r="P3722" s="235"/>
      <c r="AI3722" s="38"/>
    </row>
    <row r="3723" ht="15.75" customHeight="1">
      <c r="A3723" s="35"/>
      <c r="C3723" s="442"/>
      <c r="P3723" s="235"/>
      <c r="AI3723" s="38"/>
    </row>
    <row r="3724" ht="15.75" customHeight="1">
      <c r="A3724" s="35"/>
      <c r="C3724" s="442"/>
      <c r="P3724" s="235"/>
      <c r="AI3724" s="38"/>
    </row>
    <row r="3725" ht="15.75" customHeight="1">
      <c r="A3725" s="35"/>
      <c r="C3725" s="442"/>
      <c r="P3725" s="235"/>
      <c r="AI3725" s="38"/>
    </row>
    <row r="3726" ht="15.75" customHeight="1">
      <c r="A3726" s="35"/>
      <c r="C3726" s="442"/>
      <c r="P3726" s="235"/>
      <c r="AI3726" s="38"/>
    </row>
    <row r="3727" ht="15.75" customHeight="1">
      <c r="A3727" s="35"/>
      <c r="C3727" s="442"/>
      <c r="P3727" s="235"/>
      <c r="AI3727" s="38"/>
    </row>
    <row r="3728" ht="15.75" customHeight="1">
      <c r="A3728" s="35"/>
      <c r="C3728" s="442"/>
      <c r="P3728" s="235"/>
      <c r="AI3728" s="38"/>
    </row>
    <row r="3729" ht="15.75" customHeight="1">
      <c r="A3729" s="35"/>
      <c r="C3729" s="442"/>
      <c r="P3729" s="235"/>
      <c r="AI3729" s="38"/>
    </row>
    <row r="3730" ht="15.75" customHeight="1">
      <c r="A3730" s="35"/>
      <c r="C3730" s="442"/>
      <c r="P3730" s="235"/>
      <c r="AI3730" s="38"/>
    </row>
    <row r="3731" ht="15.75" customHeight="1">
      <c r="A3731" s="35"/>
      <c r="C3731" s="442"/>
      <c r="P3731" s="235"/>
      <c r="AI3731" s="38"/>
    </row>
    <row r="3732" ht="15.75" customHeight="1">
      <c r="A3732" s="35"/>
      <c r="C3732" s="442"/>
      <c r="P3732" s="235"/>
      <c r="AI3732" s="38"/>
    </row>
    <row r="3733" ht="15.75" customHeight="1">
      <c r="A3733" s="35"/>
      <c r="C3733" s="442"/>
      <c r="P3733" s="235"/>
      <c r="AI3733" s="38"/>
    </row>
    <row r="3734" ht="15.75" customHeight="1">
      <c r="A3734" s="35"/>
      <c r="C3734" s="442"/>
      <c r="P3734" s="235"/>
      <c r="AI3734" s="38"/>
    </row>
    <row r="3735" ht="15.75" customHeight="1">
      <c r="A3735" s="35"/>
      <c r="C3735" s="442"/>
      <c r="P3735" s="235"/>
      <c r="AI3735" s="38"/>
    </row>
    <row r="3736" ht="15.75" customHeight="1">
      <c r="A3736" s="35"/>
      <c r="C3736" s="442"/>
      <c r="P3736" s="235"/>
      <c r="AI3736" s="38"/>
    </row>
    <row r="3737" ht="15.75" customHeight="1">
      <c r="A3737" s="35"/>
      <c r="C3737" s="442"/>
      <c r="P3737" s="235"/>
      <c r="AI3737" s="38"/>
    </row>
    <row r="3738" ht="15.75" customHeight="1">
      <c r="A3738" s="35"/>
      <c r="C3738" s="442"/>
      <c r="P3738" s="235"/>
      <c r="AI3738" s="38"/>
    </row>
    <row r="3739" ht="15.75" customHeight="1">
      <c r="A3739" s="35"/>
      <c r="C3739" s="442"/>
      <c r="P3739" s="235"/>
      <c r="AI3739" s="38"/>
    </row>
    <row r="3740" ht="15.75" customHeight="1">
      <c r="A3740" s="35"/>
      <c r="C3740" s="442"/>
      <c r="P3740" s="235"/>
      <c r="AI3740" s="38"/>
    </row>
    <row r="3741" ht="15.75" customHeight="1">
      <c r="A3741" s="35"/>
      <c r="C3741" s="442"/>
      <c r="P3741" s="235"/>
      <c r="AI3741" s="38"/>
    </row>
    <row r="3742" ht="15.75" customHeight="1">
      <c r="A3742" s="35"/>
      <c r="C3742" s="442"/>
      <c r="P3742" s="235"/>
      <c r="AI3742" s="38"/>
    </row>
    <row r="3743" ht="15.75" customHeight="1">
      <c r="A3743" s="35"/>
      <c r="C3743" s="442"/>
      <c r="P3743" s="235"/>
      <c r="AI3743" s="38"/>
    </row>
    <row r="3744" ht="15.75" customHeight="1">
      <c r="A3744" s="35"/>
      <c r="C3744" s="442"/>
      <c r="P3744" s="235"/>
      <c r="AI3744" s="38"/>
    </row>
    <row r="3745" ht="15.75" customHeight="1">
      <c r="A3745" s="35"/>
      <c r="C3745" s="442"/>
      <c r="P3745" s="235"/>
      <c r="AI3745" s="38"/>
    </row>
    <row r="3746" ht="15.75" customHeight="1">
      <c r="A3746" s="35"/>
      <c r="C3746" s="442"/>
      <c r="P3746" s="235"/>
      <c r="AI3746" s="38"/>
    </row>
    <row r="3747" ht="15.75" customHeight="1">
      <c r="A3747" s="35"/>
      <c r="C3747" s="442"/>
      <c r="P3747" s="235"/>
      <c r="AI3747" s="38"/>
    </row>
    <row r="3748" ht="15.75" customHeight="1">
      <c r="A3748" s="35"/>
      <c r="C3748" s="442"/>
      <c r="P3748" s="235"/>
      <c r="AI3748" s="38"/>
    </row>
    <row r="3749" ht="15.75" customHeight="1">
      <c r="A3749" s="35"/>
      <c r="C3749" s="442"/>
      <c r="P3749" s="235"/>
      <c r="AI3749" s="38"/>
    </row>
    <row r="3750" ht="15.75" customHeight="1">
      <c r="A3750" s="35"/>
      <c r="C3750" s="442"/>
      <c r="P3750" s="235"/>
      <c r="AI3750" s="38"/>
    </row>
    <row r="3751" ht="15.75" customHeight="1">
      <c r="A3751" s="35"/>
      <c r="C3751" s="442"/>
      <c r="P3751" s="235"/>
      <c r="AI3751" s="38"/>
    </row>
    <row r="3752" ht="15.75" customHeight="1">
      <c r="A3752" s="35"/>
      <c r="C3752" s="442"/>
      <c r="P3752" s="235"/>
      <c r="AI3752" s="38"/>
    </row>
    <row r="3753" ht="15.75" customHeight="1">
      <c r="A3753" s="35"/>
      <c r="C3753" s="442"/>
      <c r="P3753" s="235"/>
      <c r="AI3753" s="38"/>
    </row>
    <row r="3754" ht="15.75" customHeight="1">
      <c r="A3754" s="35"/>
      <c r="C3754" s="442"/>
      <c r="P3754" s="235"/>
      <c r="AI3754" s="38"/>
    </row>
    <row r="3755" ht="15.75" customHeight="1">
      <c r="A3755" s="35"/>
      <c r="C3755" s="442"/>
      <c r="P3755" s="235"/>
      <c r="AI3755" s="38"/>
    </row>
    <row r="3756" ht="15.75" customHeight="1">
      <c r="A3756" s="35"/>
      <c r="C3756" s="442"/>
      <c r="P3756" s="235"/>
      <c r="AI3756" s="38"/>
    </row>
    <row r="3757" ht="15.75" customHeight="1">
      <c r="A3757" s="35"/>
      <c r="C3757" s="442"/>
      <c r="P3757" s="235"/>
      <c r="AI3757" s="38"/>
    </row>
    <row r="3758" ht="15.75" customHeight="1">
      <c r="A3758" s="35"/>
      <c r="C3758" s="442"/>
      <c r="P3758" s="235"/>
      <c r="AI3758" s="38"/>
    </row>
    <row r="3759" ht="15.75" customHeight="1">
      <c r="A3759" s="35"/>
      <c r="C3759" s="442"/>
      <c r="P3759" s="235"/>
      <c r="AI3759" s="38"/>
    </row>
    <row r="3760" ht="15.75" customHeight="1">
      <c r="A3760" s="35"/>
      <c r="C3760" s="442"/>
      <c r="P3760" s="235"/>
      <c r="AI3760" s="38"/>
    </row>
    <row r="3761" ht="15.75" customHeight="1">
      <c r="A3761" s="35"/>
      <c r="C3761" s="442"/>
      <c r="P3761" s="235"/>
      <c r="AI3761" s="38"/>
    </row>
    <row r="3762" ht="15.75" customHeight="1">
      <c r="A3762" s="35"/>
      <c r="C3762" s="442"/>
      <c r="P3762" s="235"/>
      <c r="AI3762" s="38"/>
    </row>
    <row r="3763" ht="15.75" customHeight="1">
      <c r="A3763" s="35"/>
      <c r="C3763" s="442"/>
      <c r="P3763" s="235"/>
      <c r="AI3763" s="38"/>
    </row>
    <row r="3764" ht="15.75" customHeight="1">
      <c r="A3764" s="35"/>
      <c r="C3764" s="442"/>
      <c r="P3764" s="235"/>
      <c r="AI3764" s="38"/>
    </row>
    <row r="3765" ht="15.75" customHeight="1">
      <c r="A3765" s="35"/>
      <c r="C3765" s="442"/>
      <c r="P3765" s="235"/>
      <c r="AI3765" s="38"/>
    </row>
    <row r="3766" ht="15.75" customHeight="1">
      <c r="A3766" s="35"/>
      <c r="C3766" s="442"/>
      <c r="P3766" s="235"/>
      <c r="AI3766" s="38"/>
    </row>
    <row r="3767" ht="15.75" customHeight="1">
      <c r="A3767" s="35"/>
      <c r="C3767" s="442"/>
      <c r="P3767" s="235"/>
      <c r="AI3767" s="38"/>
    </row>
    <row r="3768" ht="15.75" customHeight="1">
      <c r="A3768" s="35"/>
      <c r="C3768" s="442"/>
      <c r="P3768" s="235"/>
      <c r="AI3768" s="38"/>
    </row>
    <row r="3769" ht="15.75" customHeight="1">
      <c r="A3769" s="35"/>
      <c r="C3769" s="442"/>
      <c r="P3769" s="235"/>
      <c r="AI3769" s="38"/>
    </row>
    <row r="3770" ht="15.75" customHeight="1">
      <c r="A3770" s="35"/>
      <c r="C3770" s="442"/>
      <c r="P3770" s="235"/>
      <c r="AI3770" s="38"/>
    </row>
    <row r="3771" ht="15.75" customHeight="1">
      <c r="A3771" s="35"/>
      <c r="C3771" s="442"/>
      <c r="P3771" s="235"/>
      <c r="AI3771" s="38"/>
    </row>
    <row r="3772" ht="15.75" customHeight="1">
      <c r="A3772" s="35"/>
      <c r="C3772" s="442"/>
      <c r="P3772" s="235"/>
      <c r="AI3772" s="38"/>
    </row>
    <row r="3773" ht="15.75" customHeight="1">
      <c r="A3773" s="35"/>
      <c r="C3773" s="442"/>
      <c r="P3773" s="235"/>
      <c r="AI3773" s="38"/>
    </row>
    <row r="3774" ht="15.75" customHeight="1">
      <c r="A3774" s="35"/>
      <c r="C3774" s="442"/>
      <c r="P3774" s="235"/>
      <c r="AI3774" s="38"/>
    </row>
    <row r="3775" ht="15.75" customHeight="1">
      <c r="A3775" s="35"/>
      <c r="C3775" s="442"/>
      <c r="P3775" s="235"/>
      <c r="AI3775" s="38"/>
    </row>
    <row r="3776" ht="15.75" customHeight="1">
      <c r="A3776" s="35"/>
      <c r="C3776" s="442"/>
      <c r="P3776" s="235"/>
      <c r="AI3776" s="38"/>
    </row>
    <row r="3777" ht="15.75" customHeight="1">
      <c r="A3777" s="35"/>
      <c r="C3777" s="442"/>
      <c r="P3777" s="235"/>
      <c r="AI3777" s="38"/>
    </row>
    <row r="3778" ht="15.75" customHeight="1">
      <c r="A3778" s="35"/>
      <c r="C3778" s="442"/>
      <c r="P3778" s="235"/>
      <c r="AI3778" s="38"/>
    </row>
    <row r="3779" ht="15.75" customHeight="1">
      <c r="A3779" s="35"/>
      <c r="C3779" s="442"/>
      <c r="P3779" s="235"/>
      <c r="AI3779" s="38"/>
    </row>
    <row r="3780" ht="15.75" customHeight="1">
      <c r="A3780" s="35"/>
      <c r="C3780" s="442"/>
      <c r="P3780" s="235"/>
      <c r="AI3780" s="38"/>
    </row>
    <row r="3781" ht="15.75" customHeight="1">
      <c r="A3781" s="35"/>
      <c r="C3781" s="442"/>
      <c r="P3781" s="235"/>
      <c r="AI3781" s="38"/>
    </row>
    <row r="3782" ht="15.75" customHeight="1">
      <c r="A3782" s="35"/>
      <c r="C3782" s="442"/>
      <c r="P3782" s="235"/>
      <c r="AI3782" s="38"/>
    </row>
    <row r="3783" ht="15.75" customHeight="1">
      <c r="A3783" s="35"/>
      <c r="C3783" s="442"/>
      <c r="P3783" s="235"/>
      <c r="AI3783" s="38"/>
    </row>
    <row r="3784" ht="15.75" customHeight="1">
      <c r="A3784" s="35"/>
      <c r="C3784" s="442"/>
      <c r="P3784" s="235"/>
      <c r="AI3784" s="38"/>
    </row>
    <row r="3785" ht="15.75" customHeight="1">
      <c r="A3785" s="35"/>
      <c r="C3785" s="442"/>
      <c r="P3785" s="235"/>
      <c r="AI3785" s="38"/>
    </row>
    <row r="3786" ht="15.75" customHeight="1">
      <c r="A3786" s="35"/>
      <c r="C3786" s="442"/>
      <c r="P3786" s="235"/>
      <c r="AI3786" s="38"/>
    </row>
    <row r="3787" ht="15.75" customHeight="1">
      <c r="A3787" s="35"/>
      <c r="C3787" s="442"/>
      <c r="P3787" s="235"/>
      <c r="AI3787" s="38"/>
    </row>
    <row r="3788" ht="15.75" customHeight="1">
      <c r="A3788" s="35"/>
      <c r="C3788" s="442"/>
      <c r="P3788" s="235"/>
      <c r="AI3788" s="38"/>
    </row>
    <row r="3789" ht="15.75" customHeight="1">
      <c r="A3789" s="35"/>
      <c r="C3789" s="442"/>
      <c r="P3789" s="235"/>
      <c r="AI3789" s="38"/>
    </row>
    <row r="3790" ht="15.75" customHeight="1">
      <c r="A3790" s="35"/>
      <c r="C3790" s="442"/>
      <c r="P3790" s="235"/>
      <c r="AI3790" s="38"/>
    </row>
    <row r="3791" ht="15.75" customHeight="1">
      <c r="A3791" s="35"/>
      <c r="C3791" s="442"/>
      <c r="P3791" s="235"/>
      <c r="AI3791" s="38"/>
    </row>
    <row r="3792" ht="15.75" customHeight="1">
      <c r="A3792" s="35"/>
      <c r="C3792" s="442"/>
      <c r="P3792" s="235"/>
      <c r="AI3792" s="38"/>
    </row>
    <row r="3793" ht="15.75" customHeight="1">
      <c r="A3793" s="35"/>
      <c r="C3793" s="442"/>
      <c r="P3793" s="235"/>
      <c r="AI3793" s="38"/>
    </row>
    <row r="3794" ht="15.75" customHeight="1">
      <c r="A3794" s="35"/>
      <c r="C3794" s="442"/>
      <c r="P3794" s="235"/>
      <c r="AI3794" s="38"/>
    </row>
    <row r="3795" ht="15.75" customHeight="1">
      <c r="A3795" s="35"/>
      <c r="C3795" s="442"/>
      <c r="P3795" s="235"/>
      <c r="AI3795" s="38"/>
    </row>
    <row r="3796" ht="15.75" customHeight="1">
      <c r="A3796" s="35"/>
      <c r="C3796" s="442"/>
      <c r="P3796" s="235"/>
      <c r="AI3796" s="38"/>
    </row>
    <row r="3797" ht="15.75" customHeight="1">
      <c r="A3797" s="35"/>
      <c r="C3797" s="442"/>
      <c r="P3797" s="235"/>
      <c r="AI3797" s="38"/>
    </row>
    <row r="3798" ht="15.75" customHeight="1">
      <c r="A3798" s="35"/>
      <c r="C3798" s="442"/>
      <c r="P3798" s="235"/>
      <c r="AI3798" s="38"/>
    </row>
    <row r="3799" ht="15.75" customHeight="1">
      <c r="A3799" s="35"/>
      <c r="C3799" s="442"/>
      <c r="P3799" s="235"/>
      <c r="AI3799" s="38"/>
    </row>
    <row r="3800" ht="15.75" customHeight="1">
      <c r="A3800" s="35"/>
      <c r="C3800" s="442"/>
      <c r="P3800" s="235"/>
      <c r="AI3800" s="38"/>
    </row>
    <row r="3801" ht="15.75" customHeight="1">
      <c r="A3801" s="35"/>
      <c r="C3801" s="442"/>
      <c r="P3801" s="235"/>
      <c r="AI3801" s="38"/>
    </row>
    <row r="3802" ht="15.75" customHeight="1">
      <c r="A3802" s="35"/>
      <c r="C3802" s="442"/>
      <c r="P3802" s="235"/>
      <c r="AI3802" s="38"/>
    </row>
    <row r="3803" ht="15.75" customHeight="1">
      <c r="A3803" s="35"/>
      <c r="C3803" s="442"/>
      <c r="P3803" s="235"/>
      <c r="AI3803" s="38"/>
    </row>
    <row r="3804" ht="15.75" customHeight="1">
      <c r="A3804" s="35"/>
      <c r="C3804" s="442"/>
      <c r="P3804" s="235"/>
      <c r="AI3804" s="38"/>
    </row>
    <row r="3805" ht="15.75" customHeight="1">
      <c r="A3805" s="35"/>
      <c r="C3805" s="442"/>
      <c r="P3805" s="235"/>
      <c r="AI3805" s="38"/>
    </row>
    <row r="3806" ht="15.75" customHeight="1">
      <c r="A3806" s="35"/>
      <c r="C3806" s="442"/>
      <c r="P3806" s="235"/>
      <c r="AI3806" s="38"/>
    </row>
    <row r="3807" ht="15.75" customHeight="1">
      <c r="A3807" s="35"/>
      <c r="C3807" s="442"/>
      <c r="P3807" s="235"/>
      <c r="AI3807" s="38"/>
    </row>
    <row r="3808" ht="15.75" customHeight="1">
      <c r="A3808" s="35"/>
      <c r="C3808" s="442"/>
      <c r="P3808" s="235"/>
      <c r="AI3808" s="38"/>
    </row>
    <row r="3809" ht="15.75" customHeight="1">
      <c r="A3809" s="35"/>
      <c r="C3809" s="442"/>
      <c r="P3809" s="235"/>
      <c r="AI3809" s="38"/>
    </row>
    <row r="3810" ht="15.75" customHeight="1">
      <c r="A3810" s="35"/>
      <c r="C3810" s="442"/>
      <c r="P3810" s="235"/>
      <c r="AI3810" s="38"/>
    </row>
    <row r="3811" ht="15.75" customHeight="1">
      <c r="A3811" s="35"/>
      <c r="C3811" s="442"/>
      <c r="P3811" s="235"/>
      <c r="AI3811" s="38"/>
    </row>
    <row r="3812" ht="15.75" customHeight="1">
      <c r="A3812" s="35"/>
      <c r="C3812" s="442"/>
      <c r="P3812" s="235"/>
      <c r="AI3812" s="38"/>
    </row>
    <row r="3813" ht="15.75" customHeight="1">
      <c r="A3813" s="35"/>
      <c r="C3813" s="442"/>
      <c r="P3813" s="235"/>
      <c r="AI3813" s="38"/>
    </row>
    <row r="3814" ht="15.75" customHeight="1">
      <c r="A3814" s="35"/>
      <c r="C3814" s="442"/>
      <c r="P3814" s="235"/>
      <c r="AI3814" s="38"/>
    </row>
    <row r="3815" ht="15.75" customHeight="1">
      <c r="A3815" s="35"/>
      <c r="C3815" s="442"/>
      <c r="P3815" s="235"/>
      <c r="AI3815" s="38"/>
    </row>
    <row r="3816" ht="15.75" customHeight="1">
      <c r="A3816" s="35"/>
      <c r="C3816" s="442"/>
      <c r="P3816" s="235"/>
      <c r="AI3816" s="38"/>
    </row>
    <row r="3817" ht="15.75" customHeight="1">
      <c r="A3817" s="35"/>
      <c r="C3817" s="442"/>
      <c r="P3817" s="235"/>
      <c r="AI3817" s="38"/>
    </row>
    <row r="3818" ht="15.75" customHeight="1">
      <c r="A3818" s="35"/>
      <c r="C3818" s="442"/>
      <c r="P3818" s="235"/>
      <c r="AI3818" s="38"/>
    </row>
    <row r="3819" ht="15.75" customHeight="1">
      <c r="A3819" s="35"/>
      <c r="C3819" s="442"/>
      <c r="P3819" s="235"/>
      <c r="AI3819" s="38"/>
    </row>
    <row r="3820" ht="15.75" customHeight="1">
      <c r="A3820" s="35"/>
      <c r="C3820" s="442"/>
      <c r="P3820" s="235"/>
      <c r="AI3820" s="38"/>
    </row>
    <row r="3821" ht="15.75" customHeight="1">
      <c r="A3821" s="35"/>
      <c r="C3821" s="442"/>
      <c r="P3821" s="235"/>
      <c r="AI3821" s="38"/>
    </row>
    <row r="3822" ht="15.75" customHeight="1">
      <c r="A3822" s="35"/>
      <c r="C3822" s="442"/>
      <c r="P3822" s="235"/>
      <c r="AI3822" s="38"/>
    </row>
    <row r="3823" ht="15.75" customHeight="1">
      <c r="A3823" s="35"/>
      <c r="C3823" s="442"/>
      <c r="P3823" s="235"/>
      <c r="AI3823" s="38"/>
    </row>
    <row r="3824" ht="15.75" customHeight="1">
      <c r="A3824" s="35"/>
      <c r="C3824" s="442"/>
      <c r="P3824" s="235"/>
      <c r="AI3824" s="38"/>
    </row>
    <row r="3825" ht="15.75" customHeight="1">
      <c r="A3825" s="35"/>
      <c r="C3825" s="442"/>
      <c r="P3825" s="235"/>
      <c r="AI3825" s="38"/>
    </row>
    <row r="3826" ht="15.75" customHeight="1">
      <c r="A3826" s="35"/>
      <c r="C3826" s="442"/>
      <c r="P3826" s="235"/>
      <c r="AI3826" s="38"/>
    </row>
    <row r="3827" ht="15.75" customHeight="1">
      <c r="A3827" s="35"/>
      <c r="C3827" s="442"/>
      <c r="P3827" s="235"/>
      <c r="AI3827" s="38"/>
    </row>
    <row r="3828" ht="15.75" customHeight="1">
      <c r="A3828" s="35"/>
      <c r="C3828" s="442"/>
      <c r="P3828" s="235"/>
      <c r="AI3828" s="38"/>
    </row>
    <row r="3829" ht="15.75" customHeight="1">
      <c r="A3829" s="35"/>
      <c r="C3829" s="442"/>
      <c r="P3829" s="235"/>
      <c r="AI3829" s="38"/>
    </row>
    <row r="3830" ht="15.75" customHeight="1">
      <c r="A3830" s="35"/>
      <c r="C3830" s="442"/>
      <c r="P3830" s="235"/>
      <c r="AI3830" s="38"/>
    </row>
    <row r="3831" ht="15.75" customHeight="1">
      <c r="A3831" s="35"/>
      <c r="C3831" s="442"/>
      <c r="P3831" s="235"/>
      <c r="AI3831" s="38"/>
    </row>
    <row r="3832" ht="15.75" customHeight="1">
      <c r="A3832" s="35"/>
      <c r="C3832" s="442"/>
      <c r="P3832" s="235"/>
      <c r="AI3832" s="38"/>
    </row>
    <row r="3833" ht="15.75" customHeight="1">
      <c r="A3833" s="35"/>
      <c r="C3833" s="442"/>
      <c r="P3833" s="235"/>
      <c r="AI3833" s="38"/>
    </row>
    <row r="3834" ht="15.75" customHeight="1">
      <c r="A3834" s="35"/>
      <c r="C3834" s="442"/>
      <c r="P3834" s="235"/>
      <c r="AI3834" s="38"/>
    </row>
    <row r="3835" ht="15.75" customHeight="1">
      <c r="A3835" s="35"/>
      <c r="C3835" s="442"/>
      <c r="P3835" s="235"/>
      <c r="AI3835" s="38"/>
    </row>
    <row r="3836" ht="15.75" customHeight="1">
      <c r="A3836" s="35"/>
      <c r="C3836" s="442"/>
      <c r="P3836" s="235"/>
      <c r="AI3836" s="38"/>
    </row>
    <row r="3837" ht="15.75" customHeight="1">
      <c r="A3837" s="35"/>
      <c r="C3837" s="442"/>
      <c r="P3837" s="235"/>
      <c r="AI3837" s="38"/>
    </row>
    <row r="3838" ht="15.75" customHeight="1">
      <c r="A3838" s="35"/>
      <c r="C3838" s="442"/>
      <c r="P3838" s="235"/>
      <c r="AI3838" s="38"/>
    </row>
    <row r="3839" ht="15.75" customHeight="1">
      <c r="A3839" s="35"/>
      <c r="C3839" s="442"/>
      <c r="P3839" s="235"/>
      <c r="AI3839" s="38"/>
    </row>
    <row r="3840" ht="15.75" customHeight="1">
      <c r="A3840" s="35"/>
      <c r="C3840" s="442"/>
      <c r="P3840" s="235"/>
      <c r="AI3840" s="38"/>
    </row>
    <row r="3841" ht="15.75" customHeight="1">
      <c r="A3841" s="35"/>
      <c r="C3841" s="442"/>
      <c r="P3841" s="235"/>
      <c r="AI3841" s="38"/>
    </row>
    <row r="3842" ht="15.75" customHeight="1">
      <c r="A3842" s="35"/>
      <c r="C3842" s="442"/>
      <c r="P3842" s="235"/>
      <c r="AI3842" s="38"/>
    </row>
    <row r="3843" ht="15.75" customHeight="1">
      <c r="A3843" s="35"/>
      <c r="C3843" s="442"/>
      <c r="P3843" s="235"/>
      <c r="AI3843" s="38"/>
    </row>
    <row r="3844" ht="15.75" customHeight="1">
      <c r="A3844" s="35"/>
      <c r="C3844" s="442"/>
      <c r="P3844" s="235"/>
      <c r="AI3844" s="38"/>
    </row>
    <row r="3845" ht="15.75" customHeight="1">
      <c r="A3845" s="35"/>
      <c r="C3845" s="442"/>
      <c r="P3845" s="235"/>
      <c r="AI3845" s="38"/>
    </row>
    <row r="3846" ht="15.75" customHeight="1">
      <c r="A3846" s="35"/>
      <c r="C3846" s="442"/>
      <c r="P3846" s="235"/>
      <c r="AI3846" s="38"/>
    </row>
    <row r="3847" ht="15.75" customHeight="1">
      <c r="A3847" s="35"/>
      <c r="C3847" s="442"/>
      <c r="P3847" s="235"/>
      <c r="AI3847" s="38"/>
    </row>
    <row r="3848" ht="15.75" customHeight="1">
      <c r="A3848" s="35"/>
      <c r="C3848" s="442"/>
      <c r="P3848" s="235"/>
      <c r="AI3848" s="38"/>
    </row>
    <row r="3849" ht="15.75" customHeight="1">
      <c r="A3849" s="35"/>
      <c r="C3849" s="442"/>
      <c r="P3849" s="235"/>
      <c r="AI3849" s="38"/>
    </row>
    <row r="3850" ht="15.75" customHeight="1">
      <c r="A3850" s="35"/>
      <c r="C3850" s="442"/>
      <c r="P3850" s="235"/>
      <c r="AI3850" s="38"/>
    </row>
    <row r="3851" ht="15.75" customHeight="1">
      <c r="A3851" s="35"/>
      <c r="C3851" s="442"/>
      <c r="P3851" s="235"/>
      <c r="AI3851" s="38"/>
    </row>
    <row r="3852" ht="15.75" customHeight="1">
      <c r="A3852" s="35"/>
      <c r="C3852" s="442"/>
      <c r="P3852" s="235"/>
      <c r="AI3852" s="38"/>
    </row>
    <row r="3853" ht="15.75" customHeight="1">
      <c r="A3853" s="35"/>
      <c r="C3853" s="442"/>
      <c r="P3853" s="235"/>
      <c r="AI3853" s="38"/>
    </row>
    <row r="3854" ht="15.75" customHeight="1">
      <c r="A3854" s="35"/>
      <c r="C3854" s="442"/>
      <c r="P3854" s="235"/>
      <c r="AI3854" s="38"/>
    </row>
    <row r="3855" ht="15.75" customHeight="1">
      <c r="A3855" s="35"/>
      <c r="C3855" s="442"/>
      <c r="P3855" s="235"/>
      <c r="AI3855" s="38"/>
    </row>
    <row r="3856" ht="15.75" customHeight="1">
      <c r="A3856" s="35"/>
      <c r="C3856" s="442"/>
      <c r="P3856" s="235"/>
      <c r="AI3856" s="38"/>
    </row>
    <row r="3857" ht="15.75" customHeight="1">
      <c r="A3857" s="35"/>
      <c r="C3857" s="442"/>
      <c r="P3857" s="235"/>
      <c r="AI3857" s="38"/>
    </row>
    <row r="3858" ht="15.75" customHeight="1">
      <c r="A3858" s="35"/>
      <c r="C3858" s="442"/>
      <c r="P3858" s="235"/>
      <c r="AI3858" s="38"/>
    </row>
    <row r="3859" ht="15.75" customHeight="1">
      <c r="A3859" s="35"/>
      <c r="C3859" s="442"/>
      <c r="P3859" s="235"/>
      <c r="AI3859" s="38"/>
    </row>
    <row r="3860" ht="15.75" customHeight="1">
      <c r="A3860" s="35"/>
      <c r="C3860" s="442"/>
      <c r="P3860" s="235"/>
      <c r="AI3860" s="38"/>
    </row>
    <row r="3861" ht="15.75" customHeight="1">
      <c r="A3861" s="35"/>
      <c r="C3861" s="442"/>
      <c r="P3861" s="235"/>
      <c r="AI3861" s="38"/>
    </row>
    <row r="3862" ht="15.75" customHeight="1">
      <c r="A3862" s="35"/>
      <c r="C3862" s="442"/>
      <c r="P3862" s="235"/>
      <c r="AI3862" s="38"/>
    </row>
    <row r="3863" ht="15.75" customHeight="1">
      <c r="A3863" s="35"/>
      <c r="C3863" s="442"/>
      <c r="P3863" s="235"/>
      <c r="AI3863" s="38"/>
    </row>
    <row r="3864" ht="15.75" customHeight="1">
      <c r="A3864" s="35"/>
      <c r="C3864" s="442"/>
      <c r="P3864" s="235"/>
      <c r="AI3864" s="38"/>
    </row>
    <row r="3865" ht="15.75" customHeight="1">
      <c r="A3865" s="35"/>
      <c r="C3865" s="442"/>
      <c r="P3865" s="235"/>
      <c r="AI3865" s="38"/>
    </row>
    <row r="3866" ht="15.75" customHeight="1">
      <c r="A3866" s="35"/>
      <c r="C3866" s="442"/>
      <c r="P3866" s="235"/>
      <c r="AI3866" s="38"/>
    </row>
    <row r="3867" ht="15.75" customHeight="1">
      <c r="A3867" s="35"/>
      <c r="C3867" s="442"/>
      <c r="P3867" s="235"/>
      <c r="AI3867" s="38"/>
    </row>
    <row r="3868" ht="15.75" customHeight="1">
      <c r="A3868" s="35"/>
      <c r="C3868" s="442"/>
      <c r="P3868" s="235"/>
      <c r="AI3868" s="38"/>
    </row>
    <row r="3869" ht="15.75" customHeight="1">
      <c r="A3869" s="35"/>
      <c r="C3869" s="442"/>
      <c r="P3869" s="235"/>
      <c r="AI3869" s="38"/>
    </row>
    <row r="3870" ht="15.75" customHeight="1">
      <c r="A3870" s="35"/>
      <c r="C3870" s="442"/>
      <c r="P3870" s="235"/>
      <c r="AI3870" s="38"/>
    </row>
    <row r="3871" ht="15.75" customHeight="1">
      <c r="A3871" s="35"/>
      <c r="C3871" s="442"/>
      <c r="P3871" s="235"/>
      <c r="AI3871" s="38"/>
    </row>
    <row r="3872" ht="15.75" customHeight="1">
      <c r="A3872" s="35"/>
      <c r="C3872" s="442"/>
      <c r="P3872" s="235"/>
      <c r="AI3872" s="38"/>
    </row>
    <row r="3873" ht="15.75" customHeight="1">
      <c r="A3873" s="35"/>
      <c r="C3873" s="442"/>
      <c r="P3873" s="235"/>
      <c r="AI3873" s="38"/>
    </row>
    <row r="3874" ht="15.75" customHeight="1">
      <c r="A3874" s="35"/>
      <c r="C3874" s="442"/>
      <c r="P3874" s="235"/>
      <c r="AI3874" s="38"/>
    </row>
    <row r="3875" ht="15.75" customHeight="1">
      <c r="A3875" s="35"/>
      <c r="C3875" s="442"/>
      <c r="P3875" s="235"/>
      <c r="AI3875" s="38"/>
    </row>
    <row r="3876" ht="15.75" customHeight="1">
      <c r="A3876" s="35"/>
      <c r="C3876" s="442"/>
      <c r="P3876" s="235"/>
      <c r="AI3876" s="38"/>
    </row>
    <row r="3877" ht="15.75" customHeight="1">
      <c r="A3877" s="35"/>
      <c r="C3877" s="442"/>
      <c r="P3877" s="235"/>
      <c r="AI3877" s="38"/>
    </row>
    <row r="3878" ht="15.75" customHeight="1">
      <c r="A3878" s="35"/>
      <c r="C3878" s="442"/>
      <c r="P3878" s="235"/>
      <c r="AI3878" s="38"/>
    </row>
    <row r="3879" ht="15.75" customHeight="1">
      <c r="A3879" s="35"/>
      <c r="C3879" s="442"/>
      <c r="P3879" s="235"/>
      <c r="AI3879" s="38"/>
    </row>
    <row r="3880" ht="15.75" customHeight="1">
      <c r="A3880" s="35"/>
      <c r="C3880" s="442"/>
      <c r="P3880" s="235"/>
      <c r="AI3880" s="38"/>
    </row>
    <row r="3881" ht="15.75" customHeight="1">
      <c r="A3881" s="35"/>
      <c r="C3881" s="442"/>
      <c r="P3881" s="235"/>
      <c r="AI3881" s="38"/>
    </row>
    <row r="3882" ht="15.75" customHeight="1">
      <c r="A3882" s="35"/>
      <c r="C3882" s="442"/>
      <c r="P3882" s="235"/>
      <c r="AI3882" s="38"/>
    </row>
    <row r="3883" ht="15.75" customHeight="1">
      <c r="A3883" s="35"/>
      <c r="C3883" s="442"/>
      <c r="P3883" s="235"/>
      <c r="AI3883" s="38"/>
    </row>
    <row r="3884" ht="15.75" customHeight="1">
      <c r="A3884" s="35"/>
      <c r="C3884" s="442"/>
      <c r="P3884" s="235"/>
      <c r="AI3884" s="38"/>
    </row>
    <row r="3885" ht="15.75" customHeight="1">
      <c r="A3885" s="35"/>
      <c r="C3885" s="442"/>
      <c r="P3885" s="235"/>
      <c r="AI3885" s="38"/>
    </row>
    <row r="3886" ht="15.75" customHeight="1">
      <c r="A3886" s="35"/>
      <c r="C3886" s="442"/>
      <c r="P3886" s="235"/>
      <c r="AI3886" s="38"/>
    </row>
    <row r="3887" ht="15.75" customHeight="1">
      <c r="A3887" s="35"/>
      <c r="C3887" s="442"/>
      <c r="P3887" s="235"/>
      <c r="AI3887" s="38"/>
    </row>
    <row r="3888" ht="15.75" customHeight="1">
      <c r="A3888" s="35"/>
      <c r="C3888" s="442"/>
      <c r="P3888" s="235"/>
      <c r="AI3888" s="38"/>
    </row>
    <row r="3889" ht="15.75" customHeight="1">
      <c r="A3889" s="35"/>
      <c r="C3889" s="442"/>
      <c r="P3889" s="235"/>
      <c r="AI3889" s="38"/>
    </row>
    <row r="3890" ht="15.75" customHeight="1">
      <c r="A3890" s="35"/>
      <c r="C3890" s="442"/>
      <c r="P3890" s="235"/>
      <c r="AI3890" s="38"/>
    </row>
    <row r="3891" ht="15.75" customHeight="1">
      <c r="A3891" s="35"/>
      <c r="C3891" s="442"/>
      <c r="P3891" s="235"/>
      <c r="AI3891" s="38"/>
    </row>
    <row r="3892" ht="15.75" customHeight="1">
      <c r="A3892" s="35"/>
      <c r="C3892" s="442"/>
      <c r="P3892" s="235"/>
      <c r="AI3892" s="38"/>
    </row>
    <row r="3893" ht="15.75" customHeight="1">
      <c r="A3893" s="35"/>
      <c r="C3893" s="442"/>
      <c r="P3893" s="235"/>
      <c r="AI3893" s="38"/>
    </row>
    <row r="3894" ht="15.75" customHeight="1">
      <c r="A3894" s="35"/>
      <c r="C3894" s="442"/>
      <c r="P3894" s="235"/>
      <c r="AI3894" s="38"/>
    </row>
    <row r="3895" ht="15.75" customHeight="1">
      <c r="A3895" s="35"/>
      <c r="C3895" s="442"/>
      <c r="P3895" s="235"/>
      <c r="AI3895" s="38"/>
    </row>
    <row r="3896" ht="15.75" customHeight="1">
      <c r="A3896" s="35"/>
      <c r="C3896" s="442"/>
      <c r="P3896" s="235"/>
      <c r="AI3896" s="38"/>
    </row>
    <row r="3897" ht="15.75" customHeight="1">
      <c r="A3897" s="35"/>
      <c r="C3897" s="442"/>
      <c r="P3897" s="235"/>
      <c r="AI3897" s="38"/>
    </row>
    <row r="3898" ht="15.75" customHeight="1">
      <c r="A3898" s="35"/>
      <c r="C3898" s="442"/>
      <c r="P3898" s="235"/>
      <c r="AI3898" s="38"/>
    </row>
    <row r="3899" ht="15.75" customHeight="1">
      <c r="A3899" s="35"/>
      <c r="C3899" s="442"/>
      <c r="P3899" s="235"/>
      <c r="AI3899" s="38"/>
    </row>
    <row r="3900" ht="15.75" customHeight="1">
      <c r="A3900" s="35"/>
      <c r="C3900" s="442"/>
      <c r="P3900" s="235"/>
      <c r="AI3900" s="38"/>
    </row>
    <row r="3901" ht="15.75" customHeight="1">
      <c r="A3901" s="35"/>
      <c r="C3901" s="442"/>
      <c r="P3901" s="235"/>
      <c r="AI3901" s="38"/>
    </row>
    <row r="3902" ht="15.75" customHeight="1">
      <c r="A3902" s="35"/>
      <c r="C3902" s="442"/>
      <c r="P3902" s="235"/>
      <c r="AI3902" s="38"/>
    </row>
    <row r="3903" ht="15.75" customHeight="1">
      <c r="A3903" s="35"/>
      <c r="C3903" s="442"/>
      <c r="P3903" s="235"/>
      <c r="AI3903" s="38"/>
    </row>
    <row r="3904" ht="15.75" customHeight="1">
      <c r="A3904" s="35"/>
      <c r="C3904" s="442"/>
      <c r="P3904" s="235"/>
      <c r="AI3904" s="38"/>
    </row>
    <row r="3905" ht="15.75" customHeight="1">
      <c r="A3905" s="35"/>
      <c r="C3905" s="442"/>
      <c r="P3905" s="235"/>
      <c r="AI3905" s="38"/>
    </row>
    <row r="3906" ht="15.75" customHeight="1">
      <c r="A3906" s="35"/>
      <c r="C3906" s="442"/>
      <c r="P3906" s="235"/>
      <c r="AI3906" s="38"/>
    </row>
    <row r="3907" ht="15.75" customHeight="1">
      <c r="A3907" s="35"/>
      <c r="C3907" s="442"/>
      <c r="P3907" s="235"/>
      <c r="AI3907" s="38"/>
    </row>
    <row r="3908" ht="15.75" customHeight="1">
      <c r="A3908" s="35"/>
      <c r="C3908" s="442"/>
      <c r="P3908" s="235"/>
      <c r="AI3908" s="38"/>
    </row>
    <row r="3909" ht="15.75" customHeight="1">
      <c r="A3909" s="35"/>
      <c r="C3909" s="442"/>
      <c r="P3909" s="235"/>
      <c r="AI3909" s="38"/>
    </row>
    <row r="3910" ht="15.75" customHeight="1">
      <c r="A3910" s="35"/>
      <c r="C3910" s="442"/>
      <c r="P3910" s="235"/>
      <c r="AI3910" s="38"/>
    </row>
    <row r="3911" ht="15.75" customHeight="1">
      <c r="A3911" s="35"/>
      <c r="C3911" s="442"/>
      <c r="P3911" s="235"/>
      <c r="AI3911" s="38"/>
    </row>
    <row r="3912" ht="15.75" customHeight="1">
      <c r="A3912" s="35"/>
      <c r="C3912" s="442"/>
      <c r="P3912" s="235"/>
      <c r="AI3912" s="38"/>
    </row>
    <row r="3913" ht="15.75" customHeight="1">
      <c r="A3913" s="35"/>
      <c r="C3913" s="442"/>
      <c r="P3913" s="235"/>
      <c r="AI3913" s="38"/>
    </row>
    <row r="3914" ht="15.75" customHeight="1">
      <c r="A3914" s="35"/>
      <c r="C3914" s="442"/>
      <c r="P3914" s="235"/>
      <c r="AI3914" s="38"/>
    </row>
    <row r="3915" ht="15.75" customHeight="1">
      <c r="A3915" s="35"/>
      <c r="C3915" s="442"/>
      <c r="P3915" s="235"/>
      <c r="AI3915" s="38"/>
    </row>
    <row r="3916" ht="15.75" customHeight="1">
      <c r="A3916" s="35"/>
      <c r="C3916" s="442"/>
      <c r="P3916" s="235"/>
      <c r="AI3916" s="38"/>
    </row>
    <row r="3917" ht="15.75" customHeight="1">
      <c r="A3917" s="35"/>
      <c r="C3917" s="442"/>
      <c r="P3917" s="235"/>
      <c r="AI3917" s="38"/>
    </row>
    <row r="3918" ht="15.75" customHeight="1">
      <c r="A3918" s="35"/>
      <c r="C3918" s="442"/>
      <c r="P3918" s="235"/>
      <c r="AI3918" s="38"/>
    </row>
    <row r="3919" ht="15.75" customHeight="1">
      <c r="A3919" s="35"/>
      <c r="C3919" s="442"/>
      <c r="P3919" s="235"/>
      <c r="AI3919" s="38"/>
    </row>
    <row r="3920" ht="15.75" customHeight="1">
      <c r="A3920" s="35"/>
      <c r="C3920" s="442"/>
      <c r="P3920" s="235"/>
      <c r="AI3920" s="38"/>
    </row>
    <row r="3921" ht="15.75" customHeight="1">
      <c r="A3921" s="35"/>
      <c r="C3921" s="442"/>
      <c r="P3921" s="235"/>
      <c r="AI3921" s="38"/>
    </row>
    <row r="3922" ht="15.75" customHeight="1">
      <c r="A3922" s="35"/>
      <c r="C3922" s="442"/>
      <c r="P3922" s="235"/>
      <c r="AI3922" s="38"/>
    </row>
    <row r="3923" ht="15.75" customHeight="1">
      <c r="A3923" s="35"/>
      <c r="C3923" s="442"/>
      <c r="P3923" s="235"/>
      <c r="AI3923" s="38"/>
    </row>
    <row r="3924" ht="15.75" customHeight="1">
      <c r="A3924" s="35"/>
      <c r="C3924" s="442"/>
      <c r="P3924" s="235"/>
      <c r="AI3924" s="38"/>
    </row>
    <row r="3925" ht="15.75" customHeight="1">
      <c r="A3925" s="35"/>
      <c r="C3925" s="442"/>
      <c r="P3925" s="235"/>
      <c r="AI3925" s="38"/>
    </row>
    <row r="3926" ht="15.75" customHeight="1">
      <c r="A3926" s="35"/>
      <c r="C3926" s="442"/>
      <c r="P3926" s="235"/>
      <c r="AI3926" s="38"/>
    </row>
    <row r="3927" ht="15.75" customHeight="1">
      <c r="A3927" s="35"/>
      <c r="C3927" s="442"/>
      <c r="P3927" s="235"/>
      <c r="AI3927" s="38"/>
    </row>
    <row r="3928" ht="15.75" customHeight="1">
      <c r="A3928" s="35"/>
      <c r="C3928" s="442"/>
      <c r="P3928" s="235"/>
      <c r="AI3928" s="38"/>
    </row>
    <row r="3929" ht="15.75" customHeight="1">
      <c r="A3929" s="35"/>
      <c r="C3929" s="442"/>
      <c r="P3929" s="235"/>
      <c r="AI3929" s="38"/>
    </row>
    <row r="3930" ht="15.75" customHeight="1">
      <c r="A3930" s="35"/>
      <c r="C3930" s="442"/>
      <c r="P3930" s="235"/>
      <c r="AI3930" s="38"/>
    </row>
    <row r="3931" ht="15.75" customHeight="1">
      <c r="A3931" s="35"/>
      <c r="C3931" s="442"/>
      <c r="P3931" s="235"/>
      <c r="AI3931" s="38"/>
    </row>
    <row r="3932" ht="15.75" customHeight="1">
      <c r="A3932" s="35"/>
      <c r="C3932" s="442"/>
      <c r="P3932" s="235"/>
      <c r="AI3932" s="38"/>
    </row>
    <row r="3933" ht="15.75" customHeight="1">
      <c r="A3933" s="35"/>
      <c r="C3933" s="442"/>
      <c r="P3933" s="235"/>
      <c r="AI3933" s="38"/>
    </row>
    <row r="3934" ht="15.75" customHeight="1">
      <c r="A3934" s="35"/>
      <c r="C3934" s="442"/>
      <c r="P3934" s="235"/>
      <c r="AI3934" s="38"/>
    </row>
    <row r="3935" ht="15.75" customHeight="1">
      <c r="A3935" s="35"/>
      <c r="C3935" s="442"/>
      <c r="P3935" s="235"/>
      <c r="AI3935" s="38"/>
    </row>
    <row r="3936" ht="15.75" customHeight="1">
      <c r="A3936" s="35"/>
      <c r="C3936" s="442"/>
      <c r="P3936" s="235"/>
      <c r="AI3936" s="38"/>
    </row>
    <row r="3937" ht="15.75" customHeight="1">
      <c r="A3937" s="35"/>
      <c r="C3937" s="442"/>
      <c r="P3937" s="235"/>
      <c r="AI3937" s="38"/>
    </row>
    <row r="3938" ht="15.75" customHeight="1">
      <c r="A3938" s="35"/>
      <c r="C3938" s="442"/>
      <c r="P3938" s="235"/>
      <c r="AI3938" s="38"/>
    </row>
    <row r="3939" ht="15.75" customHeight="1">
      <c r="A3939" s="35"/>
      <c r="C3939" s="442"/>
      <c r="P3939" s="235"/>
      <c r="AI3939" s="38"/>
    </row>
    <row r="3940" ht="15.75" customHeight="1">
      <c r="A3940" s="35"/>
      <c r="C3940" s="442"/>
      <c r="P3940" s="235"/>
      <c r="AI3940" s="38"/>
    </row>
    <row r="3941" ht="15.75" customHeight="1">
      <c r="A3941" s="35"/>
      <c r="C3941" s="442"/>
      <c r="P3941" s="235"/>
      <c r="AI3941" s="38"/>
    </row>
    <row r="3942" ht="15.75" customHeight="1">
      <c r="A3942" s="35"/>
      <c r="C3942" s="442"/>
      <c r="P3942" s="235"/>
      <c r="AI3942" s="38"/>
    </row>
    <row r="3943" ht="15.75" customHeight="1">
      <c r="A3943" s="35"/>
      <c r="C3943" s="442"/>
      <c r="P3943" s="235"/>
      <c r="AI3943" s="38"/>
    </row>
    <row r="3944" ht="15.75" customHeight="1">
      <c r="A3944" s="35"/>
      <c r="C3944" s="442"/>
      <c r="P3944" s="235"/>
      <c r="AI3944" s="38"/>
    </row>
    <row r="3945" ht="15.75" customHeight="1">
      <c r="A3945" s="35"/>
      <c r="C3945" s="442"/>
      <c r="P3945" s="235"/>
      <c r="AI3945" s="38"/>
    </row>
    <row r="3946" ht="15.75" customHeight="1">
      <c r="A3946" s="35"/>
      <c r="C3946" s="442"/>
      <c r="P3946" s="235"/>
      <c r="AI3946" s="38"/>
    </row>
    <row r="3947" ht="15.75" customHeight="1">
      <c r="A3947" s="35"/>
      <c r="C3947" s="442"/>
      <c r="P3947" s="235"/>
      <c r="AI3947" s="38"/>
    </row>
    <row r="3948" ht="15.75" customHeight="1">
      <c r="A3948" s="35"/>
      <c r="C3948" s="442"/>
      <c r="P3948" s="235"/>
      <c r="AI3948" s="38"/>
    </row>
    <row r="3949" ht="15.75" customHeight="1">
      <c r="A3949" s="35"/>
      <c r="C3949" s="442"/>
      <c r="P3949" s="235"/>
      <c r="AI3949" s="38"/>
    </row>
    <row r="3950" ht="15.75" customHeight="1">
      <c r="A3950" s="35"/>
      <c r="C3950" s="442"/>
      <c r="P3950" s="235"/>
      <c r="AI3950" s="38"/>
    </row>
    <row r="3951" ht="15.75" customHeight="1">
      <c r="A3951" s="35"/>
      <c r="C3951" s="442"/>
      <c r="P3951" s="235"/>
      <c r="AI3951" s="38"/>
    </row>
    <row r="3952" ht="15.75" customHeight="1">
      <c r="A3952" s="35"/>
      <c r="C3952" s="442"/>
      <c r="P3952" s="235"/>
      <c r="AI3952" s="38"/>
    </row>
    <row r="3953" ht="15.75" customHeight="1">
      <c r="A3953" s="35"/>
      <c r="C3953" s="442"/>
      <c r="P3953" s="235"/>
      <c r="AI3953" s="38"/>
    </row>
    <row r="3954" ht="15.75" customHeight="1">
      <c r="A3954" s="35"/>
      <c r="C3954" s="442"/>
      <c r="P3954" s="235"/>
      <c r="AI3954" s="38"/>
    </row>
    <row r="3955" ht="15.75" customHeight="1">
      <c r="A3955" s="35"/>
      <c r="C3955" s="442"/>
      <c r="P3955" s="235"/>
      <c r="AI3955" s="38"/>
    </row>
    <row r="3956" ht="15.75" customHeight="1">
      <c r="A3956" s="35"/>
      <c r="C3956" s="442"/>
      <c r="P3956" s="235"/>
      <c r="AI3956" s="38"/>
    </row>
    <row r="3957" ht="15.75" customHeight="1">
      <c r="A3957" s="35"/>
      <c r="C3957" s="442"/>
      <c r="P3957" s="235"/>
      <c r="AI3957" s="38"/>
    </row>
    <row r="3958" ht="15.75" customHeight="1">
      <c r="A3958" s="35"/>
      <c r="C3958" s="442"/>
      <c r="P3958" s="235"/>
      <c r="AI3958" s="38"/>
    </row>
    <row r="3959" ht="15.75" customHeight="1">
      <c r="A3959" s="35"/>
      <c r="C3959" s="442"/>
      <c r="P3959" s="235"/>
      <c r="AI3959" s="38"/>
    </row>
    <row r="3960" ht="15.75" customHeight="1">
      <c r="A3960" s="35"/>
      <c r="C3960" s="442"/>
      <c r="P3960" s="235"/>
      <c r="AI3960" s="38"/>
    </row>
    <row r="3961" ht="15.75" customHeight="1">
      <c r="A3961" s="35"/>
      <c r="C3961" s="442"/>
      <c r="P3961" s="235"/>
      <c r="AI3961" s="38"/>
    </row>
    <row r="3962" ht="15.75" customHeight="1">
      <c r="A3962" s="35"/>
      <c r="C3962" s="442"/>
      <c r="P3962" s="235"/>
      <c r="AI3962" s="38"/>
    </row>
    <row r="3963" ht="15.75" customHeight="1">
      <c r="A3963" s="35"/>
      <c r="C3963" s="442"/>
      <c r="P3963" s="235"/>
      <c r="AI3963" s="38"/>
    </row>
    <row r="3964" ht="15.75" customHeight="1">
      <c r="A3964" s="35"/>
      <c r="C3964" s="442"/>
      <c r="P3964" s="235"/>
      <c r="AI3964" s="38"/>
    </row>
    <row r="3965" ht="15.75" customHeight="1">
      <c r="A3965" s="35"/>
      <c r="C3965" s="442"/>
      <c r="P3965" s="235"/>
      <c r="AI3965" s="38"/>
    </row>
    <row r="3966" ht="15.75" customHeight="1">
      <c r="A3966" s="35"/>
      <c r="C3966" s="442"/>
      <c r="P3966" s="235"/>
      <c r="AI3966" s="38"/>
    </row>
    <row r="3967" ht="15.75" customHeight="1">
      <c r="A3967" s="35"/>
      <c r="C3967" s="442"/>
      <c r="P3967" s="235"/>
      <c r="AI3967" s="38"/>
    </row>
    <row r="3968" ht="15.75" customHeight="1">
      <c r="A3968" s="35"/>
      <c r="C3968" s="442"/>
      <c r="P3968" s="235"/>
      <c r="AI3968" s="38"/>
    </row>
    <row r="3969" ht="15.75" customHeight="1">
      <c r="A3969" s="35"/>
      <c r="C3969" s="442"/>
      <c r="P3969" s="235"/>
      <c r="AI3969" s="38"/>
    </row>
    <row r="3970" ht="15.75" customHeight="1">
      <c r="A3970" s="35"/>
      <c r="C3970" s="442"/>
      <c r="P3970" s="235"/>
      <c r="AI3970" s="38"/>
    </row>
    <row r="3971" ht="15.75" customHeight="1">
      <c r="A3971" s="35"/>
      <c r="C3971" s="442"/>
      <c r="P3971" s="235"/>
      <c r="AI3971" s="38"/>
    </row>
    <row r="3972" ht="15.75" customHeight="1">
      <c r="A3972" s="35"/>
      <c r="C3972" s="442"/>
      <c r="P3972" s="235"/>
      <c r="AI3972" s="38"/>
    </row>
    <row r="3973" ht="15.75" customHeight="1">
      <c r="A3973" s="35"/>
      <c r="C3973" s="442"/>
      <c r="P3973" s="235"/>
      <c r="AI3973" s="38"/>
    </row>
    <row r="3974" ht="15.75" customHeight="1">
      <c r="A3974" s="35"/>
      <c r="C3974" s="442"/>
      <c r="P3974" s="235"/>
      <c r="AI3974" s="38"/>
    </row>
    <row r="3975" ht="15.75" customHeight="1">
      <c r="A3975" s="35"/>
      <c r="C3975" s="442"/>
      <c r="P3975" s="235"/>
      <c r="AI3975" s="38"/>
    </row>
    <row r="3976" ht="15.75" customHeight="1">
      <c r="A3976" s="35"/>
      <c r="C3976" s="442"/>
      <c r="P3976" s="235"/>
      <c r="AI3976" s="38"/>
    </row>
    <row r="3977" ht="15.75" customHeight="1">
      <c r="A3977" s="35"/>
      <c r="C3977" s="442"/>
      <c r="P3977" s="235"/>
      <c r="AI3977" s="38"/>
    </row>
    <row r="3978" ht="15.75" customHeight="1">
      <c r="A3978" s="35"/>
      <c r="C3978" s="442"/>
      <c r="P3978" s="235"/>
      <c r="AI3978" s="38"/>
    </row>
    <row r="3979" ht="15.75" customHeight="1">
      <c r="A3979" s="35"/>
      <c r="C3979" s="442"/>
      <c r="P3979" s="235"/>
      <c r="AI3979" s="38"/>
    </row>
    <row r="3980" ht="15.75" customHeight="1">
      <c r="A3980" s="35"/>
      <c r="C3980" s="442"/>
      <c r="P3980" s="235"/>
      <c r="AI3980" s="38"/>
    </row>
    <row r="3981" ht="15.75" customHeight="1">
      <c r="A3981" s="35"/>
      <c r="C3981" s="442"/>
      <c r="P3981" s="235"/>
      <c r="AI3981" s="38"/>
    </row>
    <row r="3982" ht="15.75" customHeight="1">
      <c r="A3982" s="35"/>
      <c r="C3982" s="442"/>
      <c r="P3982" s="235"/>
      <c r="AI3982" s="38"/>
    </row>
    <row r="3983" ht="15.75" customHeight="1">
      <c r="A3983" s="35"/>
      <c r="C3983" s="442"/>
      <c r="P3983" s="235"/>
      <c r="AI3983" s="38"/>
    </row>
    <row r="3984" ht="15.75" customHeight="1">
      <c r="A3984" s="35"/>
      <c r="C3984" s="442"/>
      <c r="P3984" s="235"/>
      <c r="AI3984" s="38"/>
    </row>
    <row r="3985" ht="15.75" customHeight="1">
      <c r="A3985" s="35"/>
      <c r="C3985" s="442"/>
      <c r="P3985" s="235"/>
      <c r="AI3985" s="38"/>
    </row>
    <row r="3986" ht="15.75" customHeight="1">
      <c r="A3986" s="35"/>
      <c r="C3986" s="442"/>
      <c r="P3986" s="235"/>
      <c r="AI3986" s="38"/>
    </row>
    <row r="3987" ht="15.75" customHeight="1">
      <c r="A3987" s="35"/>
      <c r="C3987" s="442"/>
      <c r="P3987" s="235"/>
      <c r="AI3987" s="38"/>
    </row>
    <row r="3988" ht="15.75" customHeight="1">
      <c r="A3988" s="35"/>
      <c r="C3988" s="442"/>
      <c r="P3988" s="235"/>
      <c r="AI3988" s="38"/>
    </row>
    <row r="3989" ht="15.75" customHeight="1">
      <c r="A3989" s="35"/>
      <c r="C3989" s="442"/>
      <c r="P3989" s="235"/>
      <c r="AI3989" s="38"/>
    </row>
    <row r="3990" ht="15.75" customHeight="1">
      <c r="A3990" s="35"/>
      <c r="C3990" s="442"/>
      <c r="P3990" s="235"/>
      <c r="AI3990" s="38"/>
    </row>
    <row r="3991" ht="15.75" customHeight="1">
      <c r="A3991" s="35"/>
      <c r="C3991" s="442"/>
      <c r="P3991" s="235"/>
      <c r="AI3991" s="38"/>
    </row>
    <row r="3992" ht="15.75" customHeight="1">
      <c r="A3992" s="35"/>
      <c r="C3992" s="442"/>
      <c r="P3992" s="235"/>
      <c r="AI3992" s="38"/>
    </row>
    <row r="3993" ht="15.75" customHeight="1">
      <c r="A3993" s="35"/>
      <c r="C3993" s="442"/>
      <c r="P3993" s="235"/>
      <c r="AI3993" s="38"/>
    </row>
    <row r="3994" ht="15.75" customHeight="1">
      <c r="A3994" s="35"/>
      <c r="C3994" s="442"/>
      <c r="P3994" s="235"/>
      <c r="AI3994" s="38"/>
    </row>
    <row r="3995" ht="15.75" customHeight="1">
      <c r="A3995" s="35"/>
      <c r="C3995" s="442"/>
      <c r="P3995" s="235"/>
      <c r="AI3995" s="38"/>
    </row>
    <row r="3996" ht="15.75" customHeight="1">
      <c r="A3996" s="35"/>
      <c r="C3996" s="442"/>
      <c r="P3996" s="235"/>
      <c r="AI3996" s="38"/>
    </row>
    <row r="3997" ht="15.75" customHeight="1">
      <c r="A3997" s="35"/>
      <c r="C3997" s="442"/>
      <c r="P3997" s="235"/>
      <c r="AI3997" s="38"/>
    </row>
    <row r="3998" ht="15.75" customHeight="1">
      <c r="A3998" s="35"/>
      <c r="C3998" s="442"/>
      <c r="P3998" s="235"/>
      <c r="AI3998" s="38"/>
    </row>
    <row r="3999" ht="15.75" customHeight="1">
      <c r="A3999" s="35"/>
      <c r="C3999" s="442"/>
      <c r="P3999" s="235"/>
      <c r="AI3999" s="38"/>
    </row>
    <row r="4000" ht="15.75" customHeight="1">
      <c r="A4000" s="35"/>
      <c r="C4000" s="442"/>
      <c r="P4000" s="235"/>
      <c r="AI4000" s="38"/>
    </row>
    <row r="4001" ht="15.75" customHeight="1">
      <c r="A4001" s="35"/>
      <c r="C4001" s="442"/>
      <c r="P4001" s="235"/>
      <c r="AI4001" s="38"/>
    </row>
    <row r="4002" ht="15.75" customHeight="1">
      <c r="A4002" s="35"/>
      <c r="C4002" s="442"/>
      <c r="P4002" s="235"/>
      <c r="AI4002" s="38"/>
    </row>
    <row r="4003" ht="15.75" customHeight="1">
      <c r="A4003" s="35"/>
      <c r="C4003" s="442"/>
      <c r="P4003" s="235"/>
      <c r="AI4003" s="38"/>
    </row>
    <row r="4004" ht="15.75" customHeight="1">
      <c r="A4004" s="35"/>
      <c r="C4004" s="442"/>
      <c r="P4004" s="235"/>
      <c r="AI4004" s="38"/>
    </row>
    <row r="4005" ht="15.75" customHeight="1">
      <c r="A4005" s="35"/>
      <c r="C4005" s="442"/>
      <c r="P4005" s="235"/>
      <c r="AI4005" s="38"/>
    </row>
    <row r="4006" ht="15.75" customHeight="1">
      <c r="A4006" s="35"/>
      <c r="C4006" s="442"/>
      <c r="P4006" s="235"/>
      <c r="AI4006" s="38"/>
    </row>
    <row r="4007" ht="15.75" customHeight="1">
      <c r="A4007" s="35"/>
      <c r="C4007" s="442"/>
      <c r="P4007" s="235"/>
      <c r="AI4007" s="38"/>
    </row>
    <row r="4008" ht="15.75" customHeight="1">
      <c r="A4008" s="35"/>
      <c r="C4008" s="442"/>
      <c r="P4008" s="235"/>
      <c r="AI4008" s="38"/>
    </row>
    <row r="4009" ht="15.75" customHeight="1">
      <c r="A4009" s="35"/>
      <c r="C4009" s="442"/>
      <c r="P4009" s="235"/>
      <c r="AI4009" s="38"/>
    </row>
    <row r="4010" ht="15.75" customHeight="1">
      <c r="A4010" s="35"/>
      <c r="C4010" s="442"/>
      <c r="P4010" s="235"/>
      <c r="AI4010" s="38"/>
    </row>
    <row r="4011" ht="15.75" customHeight="1">
      <c r="A4011" s="35"/>
      <c r="C4011" s="442"/>
      <c r="P4011" s="235"/>
      <c r="AI4011" s="38"/>
    </row>
    <row r="4012" ht="15.75" customHeight="1">
      <c r="A4012" s="35"/>
      <c r="C4012" s="442"/>
      <c r="P4012" s="235"/>
      <c r="AI4012" s="38"/>
    </row>
    <row r="4013" ht="15.75" customHeight="1">
      <c r="A4013" s="35"/>
      <c r="C4013" s="442"/>
      <c r="P4013" s="235"/>
      <c r="AI4013" s="38"/>
    </row>
    <row r="4014" ht="15.75" customHeight="1">
      <c r="A4014" s="35"/>
      <c r="C4014" s="442"/>
      <c r="P4014" s="235"/>
      <c r="AI4014" s="38"/>
    </row>
    <row r="4015" ht="15.75" customHeight="1">
      <c r="A4015" s="35"/>
      <c r="C4015" s="442"/>
      <c r="P4015" s="235"/>
      <c r="AI4015" s="38"/>
    </row>
    <row r="4016" ht="15.75" customHeight="1">
      <c r="A4016" s="35"/>
      <c r="C4016" s="442"/>
      <c r="P4016" s="235"/>
      <c r="AI4016" s="38"/>
    </row>
    <row r="4017" ht="15.75" customHeight="1">
      <c r="A4017" s="35"/>
      <c r="C4017" s="442"/>
      <c r="P4017" s="235"/>
      <c r="AI4017" s="38"/>
    </row>
    <row r="4018" ht="15.75" customHeight="1">
      <c r="A4018" s="35"/>
      <c r="C4018" s="442"/>
      <c r="P4018" s="235"/>
      <c r="AI4018" s="38"/>
    </row>
    <row r="4019" ht="15.75" customHeight="1">
      <c r="A4019" s="35"/>
      <c r="C4019" s="442"/>
      <c r="P4019" s="235"/>
      <c r="AI4019" s="38"/>
    </row>
    <row r="4020" ht="15.75" customHeight="1">
      <c r="A4020" s="35"/>
      <c r="C4020" s="442"/>
      <c r="P4020" s="235"/>
      <c r="AI4020" s="38"/>
    </row>
    <row r="4021" ht="15.75" customHeight="1">
      <c r="A4021" s="35"/>
      <c r="C4021" s="442"/>
      <c r="P4021" s="235"/>
      <c r="AI4021" s="38"/>
    </row>
    <row r="4022" ht="15.75" customHeight="1">
      <c r="A4022" s="35"/>
      <c r="C4022" s="442"/>
      <c r="P4022" s="235"/>
      <c r="AI4022" s="38"/>
    </row>
    <row r="4023" ht="15.75" customHeight="1">
      <c r="A4023" s="35"/>
      <c r="C4023" s="442"/>
      <c r="P4023" s="235"/>
      <c r="AI4023" s="38"/>
    </row>
    <row r="4024" ht="15.75" customHeight="1">
      <c r="A4024" s="35"/>
      <c r="C4024" s="442"/>
      <c r="P4024" s="235"/>
      <c r="AI4024" s="38"/>
    </row>
    <row r="4025" ht="15.75" customHeight="1">
      <c r="A4025" s="35"/>
      <c r="C4025" s="442"/>
      <c r="P4025" s="235"/>
      <c r="AI4025" s="38"/>
    </row>
    <row r="4026" ht="15.75" customHeight="1">
      <c r="A4026" s="35"/>
      <c r="C4026" s="442"/>
      <c r="P4026" s="235"/>
      <c r="AI4026" s="38"/>
    </row>
    <row r="4027" ht="15.75" customHeight="1">
      <c r="A4027" s="35"/>
      <c r="C4027" s="442"/>
      <c r="P4027" s="235"/>
      <c r="AI4027" s="38"/>
    </row>
    <row r="4028" ht="15.75" customHeight="1">
      <c r="A4028" s="35"/>
      <c r="C4028" s="442"/>
      <c r="P4028" s="235"/>
      <c r="AI4028" s="38"/>
    </row>
    <row r="4029" ht="15.75" customHeight="1">
      <c r="A4029" s="35"/>
      <c r="C4029" s="442"/>
      <c r="P4029" s="235"/>
      <c r="AI4029" s="38"/>
    </row>
    <row r="4030" ht="15.75" customHeight="1">
      <c r="A4030" s="35"/>
      <c r="C4030" s="442"/>
      <c r="P4030" s="235"/>
      <c r="AI4030" s="38"/>
    </row>
    <row r="4031" ht="15.75" customHeight="1">
      <c r="A4031" s="35"/>
      <c r="C4031" s="442"/>
      <c r="P4031" s="235"/>
      <c r="AI4031" s="38"/>
    </row>
    <row r="4032" ht="15.75" customHeight="1">
      <c r="A4032" s="35"/>
      <c r="C4032" s="442"/>
      <c r="P4032" s="235"/>
      <c r="AI4032" s="38"/>
    </row>
    <row r="4033" ht="15.75" customHeight="1">
      <c r="A4033" s="35"/>
      <c r="C4033" s="442"/>
      <c r="P4033" s="235"/>
      <c r="AI4033" s="38"/>
    </row>
    <row r="4034" ht="15.75" customHeight="1">
      <c r="A4034" s="35"/>
      <c r="C4034" s="442"/>
      <c r="P4034" s="235"/>
      <c r="AI4034" s="38"/>
    </row>
    <row r="4035" ht="15.75" customHeight="1">
      <c r="A4035" s="35"/>
      <c r="C4035" s="442"/>
      <c r="P4035" s="235"/>
      <c r="AI4035" s="38"/>
    </row>
    <row r="4036" ht="15.75" customHeight="1">
      <c r="A4036" s="35"/>
      <c r="C4036" s="442"/>
      <c r="P4036" s="235"/>
      <c r="AI4036" s="38"/>
    </row>
    <row r="4037" ht="15.75" customHeight="1">
      <c r="A4037" s="35"/>
      <c r="C4037" s="442"/>
      <c r="P4037" s="235"/>
      <c r="AI4037" s="38"/>
    </row>
    <row r="4038" ht="15.75" customHeight="1">
      <c r="A4038" s="35"/>
      <c r="C4038" s="442"/>
      <c r="P4038" s="235"/>
      <c r="AI4038" s="38"/>
    </row>
    <row r="4039" ht="15.75" customHeight="1">
      <c r="A4039" s="35"/>
      <c r="C4039" s="442"/>
      <c r="P4039" s="235"/>
      <c r="AI4039" s="38"/>
    </row>
    <row r="4040" ht="15.75" customHeight="1">
      <c r="A4040" s="35"/>
      <c r="C4040" s="442"/>
      <c r="P4040" s="235"/>
      <c r="AI4040" s="38"/>
    </row>
    <row r="4041" ht="15.75" customHeight="1">
      <c r="A4041" s="35"/>
      <c r="C4041" s="442"/>
      <c r="P4041" s="235"/>
      <c r="AI4041" s="38"/>
    </row>
    <row r="4042" ht="15.75" customHeight="1">
      <c r="A4042" s="35"/>
      <c r="C4042" s="442"/>
      <c r="P4042" s="235"/>
      <c r="AI4042" s="38"/>
    </row>
    <row r="4043" ht="15.75" customHeight="1">
      <c r="A4043" s="35"/>
      <c r="C4043" s="442"/>
      <c r="P4043" s="235"/>
      <c r="AI4043" s="38"/>
    </row>
    <row r="4044" ht="15.75" customHeight="1">
      <c r="A4044" s="35"/>
      <c r="C4044" s="442"/>
      <c r="P4044" s="235"/>
      <c r="AI4044" s="38"/>
    </row>
    <row r="4045" ht="15.75" customHeight="1">
      <c r="A4045" s="35"/>
      <c r="C4045" s="442"/>
      <c r="P4045" s="235"/>
      <c r="AI4045" s="38"/>
    </row>
    <row r="4046" ht="15.75" customHeight="1">
      <c r="A4046" s="35"/>
      <c r="C4046" s="442"/>
      <c r="P4046" s="235"/>
      <c r="AI4046" s="38"/>
    </row>
    <row r="4047" ht="15.75" customHeight="1">
      <c r="A4047" s="35"/>
      <c r="C4047" s="442"/>
      <c r="P4047" s="235"/>
      <c r="AI4047" s="38"/>
    </row>
    <row r="4048" ht="15.75" customHeight="1">
      <c r="A4048" s="35"/>
      <c r="C4048" s="442"/>
      <c r="P4048" s="235"/>
      <c r="AI4048" s="38"/>
    </row>
    <row r="4049" ht="15.75" customHeight="1">
      <c r="A4049" s="35"/>
      <c r="C4049" s="442"/>
      <c r="P4049" s="235"/>
      <c r="AI4049" s="38"/>
    </row>
    <row r="4050" ht="15.75" customHeight="1">
      <c r="A4050" s="35"/>
      <c r="C4050" s="442"/>
      <c r="P4050" s="235"/>
      <c r="AI4050" s="38"/>
    </row>
    <row r="4051" ht="15.75" customHeight="1">
      <c r="A4051" s="35"/>
      <c r="C4051" s="442"/>
      <c r="P4051" s="235"/>
      <c r="AI4051" s="38"/>
    </row>
    <row r="4052" ht="15.75" customHeight="1">
      <c r="A4052" s="35"/>
      <c r="C4052" s="442"/>
      <c r="P4052" s="235"/>
      <c r="AI4052" s="38"/>
    </row>
    <row r="4053" ht="15.75" customHeight="1">
      <c r="A4053" s="35"/>
      <c r="C4053" s="442"/>
      <c r="P4053" s="235"/>
      <c r="AI4053" s="38"/>
    </row>
    <row r="4054" ht="15.75" customHeight="1">
      <c r="A4054" s="35"/>
      <c r="C4054" s="442"/>
      <c r="P4054" s="235"/>
      <c r="AI4054" s="38"/>
    </row>
    <row r="4055" ht="15.75" customHeight="1">
      <c r="A4055" s="35"/>
      <c r="C4055" s="442"/>
      <c r="P4055" s="235"/>
      <c r="AI4055" s="38"/>
    </row>
    <row r="4056" ht="15.75" customHeight="1">
      <c r="A4056" s="35"/>
      <c r="C4056" s="442"/>
      <c r="P4056" s="235"/>
      <c r="AI4056" s="38"/>
    </row>
    <row r="4057" ht="15.75" customHeight="1">
      <c r="A4057" s="35"/>
      <c r="C4057" s="442"/>
      <c r="P4057" s="235"/>
      <c r="AI4057" s="38"/>
    </row>
    <row r="4058" ht="15.75" customHeight="1">
      <c r="A4058" s="35"/>
      <c r="C4058" s="442"/>
      <c r="P4058" s="235"/>
      <c r="AI4058" s="38"/>
    </row>
    <row r="4059" ht="15.75" customHeight="1">
      <c r="A4059" s="35"/>
      <c r="C4059" s="442"/>
      <c r="P4059" s="235"/>
      <c r="AI4059" s="38"/>
    </row>
    <row r="4060" ht="15.75" customHeight="1">
      <c r="A4060" s="35"/>
      <c r="C4060" s="442"/>
      <c r="P4060" s="235"/>
      <c r="AI4060" s="38"/>
    </row>
    <row r="4061" ht="15.75" customHeight="1">
      <c r="A4061" s="35"/>
      <c r="C4061" s="442"/>
      <c r="P4061" s="235"/>
      <c r="AI4061" s="38"/>
    </row>
    <row r="4062" ht="15.75" customHeight="1">
      <c r="A4062" s="35"/>
      <c r="C4062" s="442"/>
      <c r="P4062" s="235"/>
      <c r="AI4062" s="38"/>
    </row>
    <row r="4063" ht="15.75" customHeight="1">
      <c r="A4063" s="35"/>
      <c r="C4063" s="442"/>
      <c r="P4063" s="235"/>
      <c r="AI4063" s="38"/>
    </row>
    <row r="4064" ht="15.75" customHeight="1">
      <c r="A4064" s="35"/>
      <c r="C4064" s="442"/>
      <c r="P4064" s="235"/>
      <c r="AI4064" s="38"/>
    </row>
    <row r="4065" ht="15.75" customHeight="1">
      <c r="A4065" s="35"/>
      <c r="C4065" s="442"/>
      <c r="P4065" s="235"/>
      <c r="AI4065" s="38"/>
    </row>
    <row r="4066" ht="15.75" customHeight="1">
      <c r="A4066" s="35"/>
      <c r="C4066" s="442"/>
      <c r="P4066" s="235"/>
      <c r="AI4066" s="38"/>
    </row>
    <row r="4067" ht="15.75" customHeight="1">
      <c r="A4067" s="35"/>
      <c r="C4067" s="442"/>
      <c r="P4067" s="235"/>
      <c r="AI4067" s="38"/>
    </row>
    <row r="4068" ht="15.75" customHeight="1">
      <c r="A4068" s="35"/>
      <c r="C4068" s="442"/>
      <c r="P4068" s="235"/>
      <c r="AI4068" s="38"/>
    </row>
    <row r="4069" ht="15.75" customHeight="1">
      <c r="A4069" s="35"/>
      <c r="C4069" s="442"/>
      <c r="P4069" s="235"/>
      <c r="AI4069" s="38"/>
    </row>
    <row r="4070" ht="15.75" customHeight="1">
      <c r="A4070" s="35"/>
      <c r="C4070" s="442"/>
      <c r="P4070" s="235"/>
      <c r="AI4070" s="38"/>
    </row>
    <row r="4071" ht="15.75" customHeight="1">
      <c r="A4071" s="35"/>
      <c r="C4071" s="442"/>
      <c r="P4071" s="235"/>
      <c r="AI4071" s="38"/>
    </row>
    <row r="4072" ht="15.75" customHeight="1">
      <c r="A4072" s="35"/>
      <c r="C4072" s="442"/>
      <c r="P4072" s="235"/>
      <c r="AI4072" s="38"/>
    </row>
    <row r="4073" ht="15.75" customHeight="1">
      <c r="A4073" s="35"/>
      <c r="C4073" s="442"/>
      <c r="P4073" s="235"/>
      <c r="AI4073" s="38"/>
    </row>
    <row r="4074" ht="15.75" customHeight="1">
      <c r="A4074" s="35"/>
      <c r="C4074" s="442"/>
      <c r="P4074" s="235"/>
      <c r="AI4074" s="38"/>
    </row>
    <row r="4075" ht="15.75" customHeight="1">
      <c r="A4075" s="35"/>
      <c r="C4075" s="442"/>
      <c r="P4075" s="235"/>
      <c r="AI4075" s="38"/>
    </row>
    <row r="4076" ht="15.75" customHeight="1">
      <c r="A4076" s="35"/>
      <c r="C4076" s="442"/>
      <c r="P4076" s="235"/>
      <c r="AI4076" s="38"/>
    </row>
    <row r="4077" ht="15.75" customHeight="1">
      <c r="A4077" s="35"/>
      <c r="C4077" s="442"/>
      <c r="P4077" s="235"/>
      <c r="AI4077" s="38"/>
    </row>
    <row r="4078" ht="15.75" customHeight="1">
      <c r="A4078" s="35"/>
      <c r="C4078" s="442"/>
      <c r="P4078" s="235"/>
      <c r="AI4078" s="38"/>
    </row>
    <row r="4079" ht="15.75" customHeight="1">
      <c r="A4079" s="35"/>
      <c r="C4079" s="442"/>
      <c r="P4079" s="235"/>
      <c r="AI4079" s="38"/>
    </row>
    <row r="4080" ht="15.75" customHeight="1">
      <c r="A4080" s="35"/>
      <c r="C4080" s="442"/>
      <c r="P4080" s="235"/>
      <c r="AI4080" s="38"/>
    </row>
    <row r="4081" ht="15.75" customHeight="1">
      <c r="A4081" s="35"/>
      <c r="C4081" s="442"/>
      <c r="P4081" s="235"/>
      <c r="AI4081" s="38"/>
    </row>
    <row r="4082" ht="15.75" customHeight="1">
      <c r="A4082" s="35"/>
      <c r="C4082" s="442"/>
      <c r="P4082" s="235"/>
      <c r="AI4082" s="38"/>
    </row>
    <row r="4083" ht="15.75" customHeight="1">
      <c r="A4083" s="35"/>
      <c r="C4083" s="442"/>
      <c r="P4083" s="235"/>
      <c r="AI4083" s="38"/>
    </row>
    <row r="4084" ht="15.75" customHeight="1">
      <c r="A4084" s="35"/>
      <c r="C4084" s="442"/>
      <c r="P4084" s="235"/>
      <c r="AI4084" s="38"/>
    </row>
    <row r="4085" ht="15.75" customHeight="1">
      <c r="A4085" s="35"/>
      <c r="C4085" s="442"/>
      <c r="P4085" s="235"/>
      <c r="AI4085" s="38"/>
    </row>
    <row r="4086" ht="15.75" customHeight="1">
      <c r="A4086" s="35"/>
      <c r="C4086" s="442"/>
      <c r="P4086" s="235"/>
      <c r="AI4086" s="38"/>
    </row>
    <row r="4087" ht="15.75" customHeight="1">
      <c r="A4087" s="35"/>
      <c r="C4087" s="442"/>
      <c r="P4087" s="235"/>
      <c r="AI4087" s="38"/>
    </row>
    <row r="4088" ht="15.75" customHeight="1">
      <c r="A4088" s="35"/>
      <c r="C4088" s="442"/>
      <c r="P4088" s="235"/>
      <c r="AI4088" s="38"/>
    </row>
    <row r="4089" ht="15.75" customHeight="1">
      <c r="A4089" s="35"/>
      <c r="C4089" s="442"/>
      <c r="P4089" s="235"/>
      <c r="AI4089" s="38"/>
    </row>
    <row r="4090" ht="15.75" customHeight="1">
      <c r="A4090" s="35"/>
      <c r="C4090" s="442"/>
      <c r="P4090" s="235"/>
      <c r="AI4090" s="38"/>
    </row>
    <row r="4091" ht="15.75" customHeight="1">
      <c r="A4091" s="35"/>
      <c r="C4091" s="442"/>
      <c r="P4091" s="235"/>
      <c r="AI4091" s="38"/>
    </row>
    <row r="4092" ht="15.75" customHeight="1">
      <c r="A4092" s="35"/>
      <c r="C4092" s="442"/>
      <c r="P4092" s="235"/>
      <c r="AI4092" s="38"/>
    </row>
    <row r="4093" ht="15.75" customHeight="1">
      <c r="A4093" s="35"/>
      <c r="C4093" s="442"/>
      <c r="P4093" s="235"/>
      <c r="AI4093" s="38"/>
    </row>
    <row r="4094" ht="15.75" customHeight="1">
      <c r="A4094" s="35"/>
      <c r="C4094" s="442"/>
      <c r="P4094" s="235"/>
      <c r="AI4094" s="38"/>
    </row>
    <row r="4095" ht="15.75" customHeight="1">
      <c r="A4095" s="35"/>
      <c r="C4095" s="442"/>
      <c r="P4095" s="235"/>
      <c r="AI4095" s="38"/>
    </row>
    <row r="4096" ht="15.75" customHeight="1">
      <c r="A4096" s="35"/>
      <c r="C4096" s="442"/>
      <c r="P4096" s="235"/>
      <c r="AI4096" s="38"/>
    </row>
    <row r="4097" ht="15.75" customHeight="1">
      <c r="A4097" s="35"/>
      <c r="C4097" s="442"/>
      <c r="P4097" s="235"/>
      <c r="AI4097" s="38"/>
    </row>
    <row r="4098" ht="15.75" customHeight="1">
      <c r="A4098" s="35"/>
      <c r="C4098" s="442"/>
      <c r="P4098" s="235"/>
      <c r="AI4098" s="38"/>
    </row>
    <row r="4099" ht="15.75" customHeight="1">
      <c r="A4099" s="35"/>
      <c r="C4099" s="442"/>
      <c r="P4099" s="235"/>
      <c r="AI4099" s="38"/>
    </row>
    <row r="4100" ht="15.75" customHeight="1">
      <c r="A4100" s="35"/>
      <c r="C4100" s="442"/>
      <c r="P4100" s="235"/>
      <c r="AI4100" s="38"/>
    </row>
    <row r="4101" ht="15.75" customHeight="1">
      <c r="A4101" s="35"/>
      <c r="C4101" s="442"/>
      <c r="P4101" s="235"/>
      <c r="AI4101" s="38"/>
    </row>
    <row r="4102" ht="15.75" customHeight="1">
      <c r="A4102" s="35"/>
      <c r="C4102" s="442"/>
      <c r="P4102" s="235"/>
      <c r="AI4102" s="38"/>
    </row>
    <row r="4103" ht="15.75" customHeight="1">
      <c r="A4103" s="35"/>
      <c r="C4103" s="442"/>
      <c r="P4103" s="235"/>
      <c r="AI4103" s="38"/>
    </row>
    <row r="4104" ht="15.75" customHeight="1">
      <c r="A4104" s="35"/>
      <c r="C4104" s="442"/>
      <c r="P4104" s="235"/>
      <c r="AI4104" s="38"/>
    </row>
    <row r="4105" ht="15.75" customHeight="1">
      <c r="A4105" s="35"/>
      <c r="C4105" s="442"/>
      <c r="P4105" s="235"/>
      <c r="AI4105" s="38"/>
    </row>
    <row r="4106" ht="15.75" customHeight="1">
      <c r="A4106" s="35"/>
      <c r="C4106" s="442"/>
      <c r="P4106" s="235"/>
      <c r="AI4106" s="38"/>
    </row>
    <row r="4107" ht="15.75" customHeight="1">
      <c r="A4107" s="35"/>
      <c r="C4107" s="442"/>
      <c r="P4107" s="235"/>
      <c r="AI4107" s="38"/>
    </row>
    <row r="4108" ht="15.75" customHeight="1">
      <c r="A4108" s="35"/>
      <c r="C4108" s="442"/>
      <c r="P4108" s="235"/>
      <c r="AI4108" s="38"/>
    </row>
    <row r="4109" ht="15.75" customHeight="1">
      <c r="A4109" s="35"/>
      <c r="C4109" s="442"/>
      <c r="P4109" s="235"/>
      <c r="AI4109" s="38"/>
    </row>
    <row r="4110" ht="15.75" customHeight="1">
      <c r="A4110" s="35"/>
      <c r="C4110" s="442"/>
      <c r="P4110" s="235"/>
      <c r="AI4110" s="38"/>
    </row>
    <row r="4111" ht="15.75" customHeight="1">
      <c r="A4111" s="35"/>
      <c r="C4111" s="442"/>
      <c r="P4111" s="235"/>
      <c r="AI4111" s="38"/>
    </row>
    <row r="4112" ht="15.75" customHeight="1">
      <c r="A4112" s="35"/>
      <c r="C4112" s="442"/>
      <c r="P4112" s="235"/>
      <c r="AI4112" s="38"/>
    </row>
    <row r="4113" ht="15.75" customHeight="1">
      <c r="A4113" s="35"/>
      <c r="C4113" s="442"/>
      <c r="P4113" s="235"/>
      <c r="AI4113" s="38"/>
    </row>
    <row r="4114" ht="15.75" customHeight="1">
      <c r="A4114" s="35"/>
      <c r="C4114" s="442"/>
      <c r="P4114" s="235"/>
      <c r="AI4114" s="38"/>
    </row>
    <row r="4115" ht="15.75" customHeight="1">
      <c r="A4115" s="35"/>
      <c r="C4115" s="442"/>
      <c r="P4115" s="235"/>
      <c r="AI4115" s="38"/>
    </row>
    <row r="4116" ht="15.75" customHeight="1">
      <c r="A4116" s="35"/>
      <c r="C4116" s="442"/>
      <c r="P4116" s="235"/>
      <c r="AI4116" s="38"/>
    </row>
    <row r="4117" ht="15.75" customHeight="1">
      <c r="A4117" s="35"/>
      <c r="C4117" s="442"/>
      <c r="P4117" s="235"/>
      <c r="AI4117" s="38"/>
    </row>
    <row r="4118" ht="15.75" customHeight="1">
      <c r="A4118" s="35"/>
      <c r="C4118" s="442"/>
      <c r="P4118" s="235"/>
      <c r="AI4118" s="38"/>
    </row>
    <row r="4119" ht="15.75" customHeight="1">
      <c r="A4119" s="35"/>
      <c r="C4119" s="442"/>
      <c r="P4119" s="235"/>
      <c r="AI4119" s="38"/>
    </row>
    <row r="4120" ht="15.75" customHeight="1">
      <c r="A4120" s="35"/>
      <c r="C4120" s="442"/>
      <c r="P4120" s="235"/>
      <c r="AI4120" s="38"/>
    </row>
    <row r="4121" ht="15.75" customHeight="1">
      <c r="A4121" s="35"/>
      <c r="C4121" s="442"/>
      <c r="P4121" s="235"/>
      <c r="AI4121" s="38"/>
    </row>
    <row r="4122" ht="15.75" customHeight="1">
      <c r="A4122" s="35"/>
      <c r="C4122" s="442"/>
      <c r="P4122" s="235"/>
      <c r="AI4122" s="38"/>
    </row>
    <row r="4123" ht="15.75" customHeight="1">
      <c r="A4123" s="35"/>
      <c r="C4123" s="442"/>
      <c r="P4123" s="235"/>
      <c r="AI4123" s="38"/>
    </row>
    <row r="4124" ht="15.75" customHeight="1">
      <c r="A4124" s="35"/>
      <c r="C4124" s="442"/>
      <c r="P4124" s="235"/>
      <c r="AI4124" s="38"/>
    </row>
    <row r="4125" ht="15.75" customHeight="1">
      <c r="A4125" s="35"/>
      <c r="C4125" s="442"/>
      <c r="P4125" s="235"/>
      <c r="AI4125" s="38"/>
    </row>
    <row r="4126" ht="15.75" customHeight="1">
      <c r="A4126" s="35"/>
      <c r="C4126" s="442"/>
      <c r="P4126" s="235"/>
      <c r="AI4126" s="38"/>
    </row>
    <row r="4127" ht="15.75" customHeight="1">
      <c r="A4127" s="35"/>
      <c r="C4127" s="442"/>
      <c r="P4127" s="235"/>
      <c r="AI4127" s="38"/>
    </row>
    <row r="4128" ht="15.75" customHeight="1">
      <c r="A4128" s="35"/>
      <c r="C4128" s="442"/>
      <c r="P4128" s="235"/>
      <c r="AI4128" s="38"/>
    </row>
    <row r="4129" ht="15.75" customHeight="1">
      <c r="A4129" s="35"/>
      <c r="C4129" s="442"/>
      <c r="P4129" s="235"/>
      <c r="AI4129" s="38"/>
    </row>
    <row r="4130" ht="15.75" customHeight="1">
      <c r="A4130" s="35"/>
      <c r="C4130" s="442"/>
      <c r="P4130" s="235"/>
      <c r="AI4130" s="38"/>
    </row>
    <row r="4131" ht="15.75" customHeight="1">
      <c r="A4131" s="35"/>
      <c r="C4131" s="442"/>
      <c r="P4131" s="235"/>
      <c r="AI4131" s="38"/>
    </row>
    <row r="4132" ht="15.75" customHeight="1">
      <c r="A4132" s="35"/>
      <c r="C4132" s="442"/>
      <c r="P4132" s="235"/>
      <c r="AI4132" s="38"/>
    </row>
    <row r="4133" ht="15.75" customHeight="1">
      <c r="A4133" s="35"/>
      <c r="C4133" s="442"/>
      <c r="P4133" s="235"/>
      <c r="AI4133" s="38"/>
    </row>
    <row r="4134" ht="15.75" customHeight="1">
      <c r="A4134" s="35"/>
      <c r="C4134" s="442"/>
      <c r="P4134" s="235"/>
      <c r="AI4134" s="38"/>
    </row>
    <row r="4135" ht="15.75" customHeight="1">
      <c r="A4135" s="35"/>
      <c r="C4135" s="442"/>
      <c r="P4135" s="235"/>
      <c r="AI4135" s="38"/>
    </row>
    <row r="4136" ht="15.75" customHeight="1">
      <c r="A4136" s="35"/>
      <c r="C4136" s="442"/>
      <c r="P4136" s="235"/>
      <c r="AI4136" s="38"/>
    </row>
    <row r="4137" ht="15.75" customHeight="1">
      <c r="A4137" s="35"/>
      <c r="C4137" s="442"/>
      <c r="P4137" s="235"/>
      <c r="AI4137" s="38"/>
    </row>
    <row r="4138" ht="15.75" customHeight="1">
      <c r="A4138" s="35"/>
      <c r="C4138" s="442"/>
      <c r="P4138" s="235"/>
      <c r="AI4138" s="38"/>
    </row>
    <row r="4139" ht="15.75" customHeight="1">
      <c r="A4139" s="35"/>
      <c r="C4139" s="442"/>
      <c r="P4139" s="235"/>
      <c r="AI4139" s="38"/>
    </row>
    <row r="4140" ht="15.75" customHeight="1">
      <c r="A4140" s="35"/>
      <c r="C4140" s="442"/>
      <c r="P4140" s="235"/>
      <c r="AI4140" s="38"/>
    </row>
    <row r="4141" ht="15.75" customHeight="1">
      <c r="A4141" s="35"/>
      <c r="C4141" s="442"/>
      <c r="P4141" s="235"/>
      <c r="AI4141" s="38"/>
    </row>
    <row r="4142" ht="15.75" customHeight="1">
      <c r="A4142" s="35"/>
      <c r="C4142" s="442"/>
      <c r="P4142" s="235"/>
      <c r="AI4142" s="38"/>
    </row>
    <row r="4143" ht="15.75" customHeight="1">
      <c r="A4143" s="35"/>
      <c r="C4143" s="442"/>
      <c r="P4143" s="235"/>
      <c r="AI4143" s="38"/>
    </row>
    <row r="4144" ht="15.75" customHeight="1">
      <c r="A4144" s="35"/>
      <c r="C4144" s="442"/>
      <c r="P4144" s="235"/>
      <c r="AI4144" s="38"/>
    </row>
    <row r="4145" ht="15.75" customHeight="1">
      <c r="A4145" s="35"/>
      <c r="C4145" s="442"/>
      <c r="P4145" s="235"/>
      <c r="AI4145" s="38"/>
    </row>
    <row r="4146" ht="15.75" customHeight="1">
      <c r="A4146" s="35"/>
      <c r="C4146" s="442"/>
      <c r="P4146" s="235"/>
      <c r="AI4146" s="38"/>
    </row>
    <row r="4147" ht="15.75" customHeight="1">
      <c r="A4147" s="35"/>
      <c r="C4147" s="442"/>
      <c r="P4147" s="235"/>
      <c r="AI4147" s="38"/>
    </row>
    <row r="4148" ht="15.75" customHeight="1">
      <c r="A4148" s="35"/>
      <c r="C4148" s="442"/>
      <c r="P4148" s="235"/>
      <c r="AI4148" s="38"/>
    </row>
    <row r="4149" ht="15.75" customHeight="1">
      <c r="A4149" s="35"/>
      <c r="C4149" s="442"/>
      <c r="P4149" s="235"/>
      <c r="AI4149" s="38"/>
    </row>
    <row r="4150" ht="15.75" customHeight="1">
      <c r="A4150" s="35"/>
      <c r="C4150" s="442"/>
      <c r="P4150" s="235"/>
      <c r="AI4150" s="38"/>
    </row>
    <row r="4151" ht="15.75" customHeight="1">
      <c r="A4151" s="35"/>
      <c r="C4151" s="442"/>
      <c r="P4151" s="235"/>
      <c r="AI4151" s="38"/>
    </row>
    <row r="4152" ht="15.75" customHeight="1">
      <c r="A4152" s="35"/>
      <c r="C4152" s="442"/>
      <c r="P4152" s="235"/>
      <c r="AI4152" s="38"/>
    </row>
    <row r="4153" ht="15.75" customHeight="1">
      <c r="A4153" s="35"/>
      <c r="C4153" s="442"/>
      <c r="P4153" s="235"/>
      <c r="AI4153" s="38"/>
    </row>
    <row r="4154" ht="15.75" customHeight="1">
      <c r="A4154" s="35"/>
      <c r="C4154" s="442"/>
      <c r="P4154" s="235"/>
      <c r="AI4154" s="38"/>
    </row>
    <row r="4155" ht="15.75" customHeight="1">
      <c r="A4155" s="35"/>
      <c r="C4155" s="442"/>
      <c r="P4155" s="235"/>
      <c r="AI4155" s="38"/>
    </row>
    <row r="4156" ht="15.75" customHeight="1">
      <c r="A4156" s="35"/>
      <c r="C4156" s="442"/>
      <c r="P4156" s="235"/>
      <c r="AI4156" s="38"/>
    </row>
    <row r="4157" ht="15.75" customHeight="1">
      <c r="A4157" s="35"/>
      <c r="C4157" s="442"/>
      <c r="P4157" s="235"/>
      <c r="AI4157" s="38"/>
    </row>
    <row r="4158" ht="15.75" customHeight="1">
      <c r="A4158" s="35"/>
      <c r="C4158" s="442"/>
      <c r="P4158" s="235"/>
      <c r="AI4158" s="38"/>
    </row>
    <row r="4159" ht="15.75" customHeight="1">
      <c r="A4159" s="35"/>
      <c r="C4159" s="442"/>
      <c r="P4159" s="235"/>
      <c r="AI4159" s="38"/>
    </row>
    <row r="4160" ht="15.75" customHeight="1">
      <c r="A4160" s="35"/>
      <c r="C4160" s="442"/>
      <c r="P4160" s="235"/>
      <c r="AI4160" s="38"/>
    </row>
    <row r="4161" ht="15.75" customHeight="1">
      <c r="A4161" s="35"/>
      <c r="C4161" s="442"/>
      <c r="P4161" s="235"/>
      <c r="AI4161" s="38"/>
    </row>
    <row r="4162" ht="15.75" customHeight="1">
      <c r="A4162" s="35"/>
      <c r="C4162" s="442"/>
      <c r="P4162" s="235"/>
      <c r="AI4162" s="38"/>
    </row>
    <row r="4163" ht="15.75" customHeight="1">
      <c r="A4163" s="35"/>
      <c r="C4163" s="442"/>
      <c r="P4163" s="235"/>
      <c r="AI4163" s="38"/>
    </row>
    <row r="4164" ht="15.75" customHeight="1">
      <c r="A4164" s="35"/>
      <c r="C4164" s="442"/>
      <c r="P4164" s="235"/>
      <c r="AI4164" s="38"/>
    </row>
    <row r="4165" ht="15.75" customHeight="1">
      <c r="A4165" s="35"/>
      <c r="C4165" s="442"/>
      <c r="P4165" s="235"/>
      <c r="AI4165" s="38"/>
    </row>
    <row r="4166" ht="15.75" customHeight="1">
      <c r="A4166" s="35"/>
      <c r="C4166" s="442"/>
      <c r="P4166" s="235"/>
      <c r="AI4166" s="38"/>
    </row>
    <row r="4167" ht="15.75" customHeight="1">
      <c r="A4167" s="35"/>
      <c r="C4167" s="442"/>
      <c r="P4167" s="235"/>
      <c r="AI4167" s="38"/>
    </row>
    <row r="4168" ht="15.75" customHeight="1">
      <c r="A4168" s="35"/>
      <c r="C4168" s="442"/>
      <c r="P4168" s="235"/>
      <c r="AI4168" s="38"/>
    </row>
    <row r="4169" ht="15.75" customHeight="1">
      <c r="A4169" s="35"/>
      <c r="C4169" s="442"/>
      <c r="P4169" s="235"/>
      <c r="AI4169" s="38"/>
    </row>
    <row r="4170" ht="15.75" customHeight="1">
      <c r="A4170" s="35"/>
      <c r="C4170" s="442"/>
      <c r="P4170" s="235"/>
      <c r="AI4170" s="38"/>
    </row>
    <row r="4171" ht="15.75" customHeight="1">
      <c r="A4171" s="35"/>
      <c r="C4171" s="442"/>
      <c r="P4171" s="235"/>
      <c r="AI4171" s="38"/>
    </row>
    <row r="4172" ht="15.75" customHeight="1">
      <c r="A4172" s="35"/>
      <c r="C4172" s="442"/>
      <c r="P4172" s="235"/>
      <c r="AI4172" s="38"/>
    </row>
    <row r="4173" ht="15.75" customHeight="1">
      <c r="A4173" s="35"/>
      <c r="C4173" s="442"/>
      <c r="P4173" s="235"/>
      <c r="AI4173" s="38"/>
    </row>
    <row r="4174" ht="15.75" customHeight="1">
      <c r="A4174" s="35"/>
      <c r="C4174" s="442"/>
      <c r="P4174" s="235"/>
      <c r="AI4174" s="38"/>
    </row>
    <row r="4175" ht="15.75" customHeight="1">
      <c r="A4175" s="35"/>
      <c r="C4175" s="442"/>
      <c r="P4175" s="235"/>
      <c r="AI4175" s="38"/>
    </row>
    <row r="4176" ht="15.75" customHeight="1">
      <c r="A4176" s="35"/>
      <c r="C4176" s="442"/>
      <c r="P4176" s="235"/>
      <c r="AI4176" s="38"/>
    </row>
    <row r="4177" ht="15.75" customHeight="1">
      <c r="A4177" s="35"/>
      <c r="C4177" s="442"/>
      <c r="P4177" s="235"/>
      <c r="AI4177" s="38"/>
    </row>
    <row r="4178" ht="15.75" customHeight="1">
      <c r="A4178" s="35"/>
      <c r="C4178" s="442"/>
      <c r="P4178" s="235"/>
      <c r="AI4178" s="38"/>
    </row>
    <row r="4179" ht="15.75" customHeight="1">
      <c r="A4179" s="35"/>
      <c r="C4179" s="442"/>
      <c r="P4179" s="235"/>
      <c r="AI4179" s="38"/>
    </row>
    <row r="4180" ht="15.75" customHeight="1">
      <c r="A4180" s="35"/>
      <c r="C4180" s="442"/>
      <c r="P4180" s="235"/>
      <c r="AI4180" s="38"/>
    </row>
    <row r="4181" ht="15.75" customHeight="1">
      <c r="A4181" s="35"/>
      <c r="C4181" s="442"/>
      <c r="P4181" s="235"/>
      <c r="AI4181" s="38"/>
    </row>
    <row r="4182" ht="15.75" customHeight="1">
      <c r="A4182" s="35"/>
      <c r="C4182" s="442"/>
      <c r="P4182" s="235"/>
      <c r="AI4182" s="38"/>
    </row>
    <row r="4183" ht="15.75" customHeight="1">
      <c r="A4183" s="35"/>
      <c r="C4183" s="442"/>
      <c r="P4183" s="235"/>
      <c r="AI4183" s="38"/>
    </row>
    <row r="4184" ht="15.75" customHeight="1">
      <c r="A4184" s="35"/>
      <c r="C4184" s="442"/>
      <c r="P4184" s="235"/>
      <c r="AI4184" s="38"/>
    </row>
    <row r="4185" ht="15.75" customHeight="1">
      <c r="A4185" s="35"/>
      <c r="C4185" s="442"/>
      <c r="P4185" s="235"/>
      <c r="AI4185" s="38"/>
    </row>
    <row r="4186" ht="15.75" customHeight="1">
      <c r="A4186" s="35"/>
      <c r="C4186" s="442"/>
      <c r="P4186" s="235"/>
      <c r="AI4186" s="38"/>
    </row>
    <row r="4187" ht="15.75" customHeight="1">
      <c r="A4187" s="35"/>
      <c r="C4187" s="442"/>
      <c r="P4187" s="235"/>
      <c r="AI4187" s="38"/>
    </row>
    <row r="4188" ht="15.75" customHeight="1">
      <c r="A4188" s="35"/>
      <c r="C4188" s="442"/>
      <c r="P4188" s="235"/>
      <c r="AI4188" s="38"/>
    </row>
    <row r="4189" ht="15.75" customHeight="1">
      <c r="A4189" s="35"/>
      <c r="C4189" s="442"/>
      <c r="P4189" s="235"/>
      <c r="AI4189" s="38"/>
    </row>
    <row r="4190" ht="15.75" customHeight="1">
      <c r="A4190" s="35"/>
      <c r="C4190" s="442"/>
      <c r="P4190" s="235"/>
      <c r="AI4190" s="38"/>
    </row>
    <row r="4191" ht="15.75" customHeight="1">
      <c r="A4191" s="35"/>
      <c r="C4191" s="442"/>
      <c r="P4191" s="235"/>
      <c r="AI4191" s="38"/>
    </row>
    <row r="4192" ht="15.75" customHeight="1">
      <c r="A4192" s="35"/>
      <c r="C4192" s="442"/>
      <c r="P4192" s="235"/>
      <c r="AI4192" s="38"/>
    </row>
    <row r="4193" ht="15.75" customHeight="1">
      <c r="A4193" s="35"/>
      <c r="C4193" s="442"/>
      <c r="P4193" s="235"/>
      <c r="AI4193" s="38"/>
    </row>
    <row r="4194" ht="15.75" customHeight="1">
      <c r="A4194" s="35"/>
      <c r="C4194" s="442"/>
      <c r="P4194" s="235"/>
      <c r="AI4194" s="38"/>
    </row>
    <row r="4195" ht="15.75" customHeight="1">
      <c r="A4195" s="35"/>
      <c r="C4195" s="442"/>
      <c r="P4195" s="235"/>
      <c r="AI4195" s="38"/>
    </row>
    <row r="4196" ht="15.75" customHeight="1">
      <c r="A4196" s="35"/>
      <c r="C4196" s="442"/>
      <c r="P4196" s="235"/>
      <c r="AI4196" s="38"/>
    </row>
    <row r="4197" ht="15.75" customHeight="1">
      <c r="A4197" s="35"/>
      <c r="C4197" s="442"/>
      <c r="P4197" s="235"/>
      <c r="AI4197" s="38"/>
    </row>
    <row r="4198" ht="15.75" customHeight="1">
      <c r="A4198" s="35"/>
      <c r="C4198" s="442"/>
      <c r="P4198" s="235"/>
      <c r="AI4198" s="38"/>
    </row>
    <row r="4199" ht="15.75" customHeight="1">
      <c r="A4199" s="35"/>
      <c r="C4199" s="442"/>
      <c r="P4199" s="235"/>
      <c r="AI4199" s="38"/>
    </row>
    <row r="4200" ht="15.75" customHeight="1">
      <c r="A4200" s="35"/>
      <c r="C4200" s="442"/>
      <c r="P4200" s="235"/>
      <c r="AI4200" s="38"/>
    </row>
    <row r="4201" ht="15.75" customHeight="1">
      <c r="A4201" s="35"/>
      <c r="C4201" s="442"/>
      <c r="P4201" s="235"/>
      <c r="AI4201" s="38"/>
    </row>
    <row r="4202" ht="15.75" customHeight="1">
      <c r="A4202" s="35"/>
      <c r="C4202" s="442"/>
      <c r="P4202" s="235"/>
      <c r="AI4202" s="38"/>
    </row>
    <row r="4203" ht="15.75" customHeight="1">
      <c r="A4203" s="35"/>
      <c r="C4203" s="442"/>
      <c r="P4203" s="235"/>
      <c r="AI4203" s="38"/>
    </row>
    <row r="4204" ht="15.75" customHeight="1">
      <c r="A4204" s="35"/>
      <c r="C4204" s="442"/>
      <c r="P4204" s="235"/>
      <c r="AI4204" s="38"/>
    </row>
    <row r="4205" ht="15.75" customHeight="1">
      <c r="A4205" s="35"/>
      <c r="C4205" s="442"/>
      <c r="P4205" s="235"/>
      <c r="AI4205" s="38"/>
    </row>
    <row r="4206" ht="15.75" customHeight="1">
      <c r="A4206" s="35"/>
      <c r="C4206" s="442"/>
      <c r="P4206" s="235"/>
      <c r="AI4206" s="38"/>
    </row>
    <row r="4207" ht="15.75" customHeight="1">
      <c r="A4207" s="35"/>
      <c r="C4207" s="442"/>
      <c r="P4207" s="235"/>
      <c r="AI4207" s="38"/>
    </row>
    <row r="4208" ht="15.75" customHeight="1">
      <c r="A4208" s="35"/>
      <c r="C4208" s="442"/>
      <c r="P4208" s="235"/>
      <c r="AI4208" s="38"/>
    </row>
    <row r="4209" ht="15.75" customHeight="1">
      <c r="A4209" s="35"/>
      <c r="C4209" s="442"/>
      <c r="P4209" s="235"/>
      <c r="AI4209" s="38"/>
    </row>
    <row r="4210" ht="15.75" customHeight="1">
      <c r="A4210" s="35"/>
      <c r="C4210" s="442"/>
      <c r="P4210" s="235"/>
      <c r="AI4210" s="38"/>
    </row>
    <row r="4211" ht="15.75" customHeight="1">
      <c r="A4211" s="35"/>
      <c r="C4211" s="442"/>
      <c r="P4211" s="235"/>
      <c r="AI4211" s="38"/>
    </row>
    <row r="4212" ht="15.75" customHeight="1">
      <c r="A4212" s="35"/>
      <c r="C4212" s="442"/>
      <c r="P4212" s="235"/>
      <c r="AI4212" s="38"/>
    </row>
    <row r="4213" ht="15.75" customHeight="1">
      <c r="A4213" s="35"/>
      <c r="C4213" s="442"/>
      <c r="P4213" s="235"/>
      <c r="AI4213" s="38"/>
    </row>
    <row r="4214" ht="15.75" customHeight="1">
      <c r="A4214" s="35"/>
      <c r="C4214" s="442"/>
      <c r="P4214" s="235"/>
      <c r="AI4214" s="38"/>
    </row>
    <row r="4215" ht="15.75" customHeight="1">
      <c r="A4215" s="35"/>
      <c r="C4215" s="442"/>
      <c r="P4215" s="235"/>
      <c r="AI4215" s="38"/>
    </row>
    <row r="4216" ht="15.75" customHeight="1">
      <c r="A4216" s="35"/>
      <c r="C4216" s="442"/>
      <c r="P4216" s="235"/>
      <c r="AI4216" s="38"/>
    </row>
    <row r="4217" ht="15.75" customHeight="1">
      <c r="A4217" s="35"/>
      <c r="C4217" s="442"/>
      <c r="P4217" s="235"/>
      <c r="AI4217" s="38"/>
    </row>
    <row r="4218" ht="15.75" customHeight="1">
      <c r="A4218" s="35"/>
      <c r="C4218" s="442"/>
      <c r="P4218" s="235"/>
      <c r="AI4218" s="38"/>
    </row>
    <row r="4219" ht="15.75" customHeight="1">
      <c r="A4219" s="35"/>
      <c r="C4219" s="442"/>
      <c r="P4219" s="235"/>
      <c r="AI4219" s="38"/>
    </row>
    <row r="4220" ht="15.75" customHeight="1">
      <c r="A4220" s="35"/>
      <c r="C4220" s="442"/>
      <c r="P4220" s="235"/>
      <c r="AI4220" s="38"/>
    </row>
    <row r="4221" ht="15.75" customHeight="1">
      <c r="A4221" s="35"/>
      <c r="C4221" s="442"/>
      <c r="P4221" s="235"/>
      <c r="AI4221" s="38"/>
    </row>
    <row r="4222" ht="15.75" customHeight="1">
      <c r="A4222" s="35"/>
      <c r="C4222" s="442"/>
      <c r="P4222" s="235"/>
      <c r="AI4222" s="38"/>
    </row>
    <row r="4223" ht="15.75" customHeight="1">
      <c r="A4223" s="35"/>
      <c r="C4223" s="442"/>
      <c r="P4223" s="235"/>
      <c r="AI4223" s="38"/>
    </row>
    <row r="4224" ht="15.75" customHeight="1">
      <c r="A4224" s="35"/>
      <c r="C4224" s="442"/>
      <c r="P4224" s="235"/>
      <c r="AI4224" s="38"/>
    </row>
    <row r="4225" ht="15.75" customHeight="1">
      <c r="A4225" s="35"/>
      <c r="C4225" s="442"/>
      <c r="P4225" s="235"/>
      <c r="AI4225" s="38"/>
    </row>
    <row r="4226" ht="15.75" customHeight="1">
      <c r="A4226" s="35"/>
      <c r="C4226" s="442"/>
      <c r="P4226" s="235"/>
      <c r="AI4226" s="38"/>
    </row>
    <row r="4227" ht="15.75" customHeight="1">
      <c r="A4227" s="35"/>
      <c r="C4227" s="442"/>
      <c r="P4227" s="235"/>
      <c r="AI4227" s="38"/>
    </row>
    <row r="4228" ht="15.75" customHeight="1">
      <c r="A4228" s="35"/>
      <c r="C4228" s="442"/>
      <c r="P4228" s="235"/>
      <c r="AI4228" s="38"/>
    </row>
    <row r="4229" ht="15.75" customHeight="1">
      <c r="A4229" s="35"/>
      <c r="C4229" s="442"/>
      <c r="P4229" s="235"/>
      <c r="AI4229" s="38"/>
    </row>
    <row r="4230" ht="15.75" customHeight="1">
      <c r="A4230" s="35"/>
      <c r="C4230" s="442"/>
      <c r="P4230" s="235"/>
      <c r="AI4230" s="38"/>
    </row>
    <row r="4231" ht="15.75" customHeight="1">
      <c r="A4231" s="35"/>
      <c r="C4231" s="442"/>
      <c r="P4231" s="235"/>
      <c r="AI4231" s="38"/>
    </row>
    <row r="4232" ht="15.75" customHeight="1">
      <c r="A4232" s="35"/>
      <c r="C4232" s="442"/>
      <c r="P4232" s="235"/>
      <c r="AI4232" s="38"/>
    </row>
    <row r="4233" ht="15.75" customHeight="1">
      <c r="A4233" s="35"/>
      <c r="C4233" s="442"/>
      <c r="P4233" s="235"/>
      <c r="AI4233" s="38"/>
    </row>
    <row r="4234" ht="15.75" customHeight="1">
      <c r="A4234" s="35"/>
      <c r="C4234" s="442"/>
      <c r="P4234" s="235"/>
      <c r="AI4234" s="38"/>
    </row>
    <row r="4235" ht="15.75" customHeight="1">
      <c r="A4235" s="35"/>
      <c r="C4235" s="442"/>
      <c r="P4235" s="235"/>
      <c r="AI4235" s="38"/>
    </row>
    <row r="4236" ht="15.75" customHeight="1">
      <c r="A4236" s="35"/>
      <c r="C4236" s="442"/>
      <c r="P4236" s="235"/>
      <c r="AI4236" s="38"/>
    </row>
    <row r="4237" ht="15.75" customHeight="1">
      <c r="A4237" s="35"/>
      <c r="C4237" s="442"/>
      <c r="P4237" s="235"/>
      <c r="AI4237" s="38"/>
    </row>
    <row r="4238" ht="15.75" customHeight="1">
      <c r="A4238" s="35"/>
      <c r="C4238" s="442"/>
      <c r="P4238" s="235"/>
      <c r="AI4238" s="38"/>
    </row>
    <row r="4239" ht="15.75" customHeight="1">
      <c r="A4239" s="35"/>
      <c r="C4239" s="442"/>
      <c r="P4239" s="235"/>
      <c r="AI4239" s="38"/>
    </row>
    <row r="4240" ht="15.75" customHeight="1">
      <c r="A4240" s="35"/>
      <c r="C4240" s="442"/>
      <c r="P4240" s="235"/>
      <c r="AI4240" s="38"/>
    </row>
    <row r="4241" ht="15.75" customHeight="1">
      <c r="A4241" s="35"/>
      <c r="C4241" s="442"/>
      <c r="P4241" s="235"/>
      <c r="AI4241" s="38"/>
    </row>
    <row r="4242" ht="15.75" customHeight="1">
      <c r="A4242" s="35"/>
      <c r="C4242" s="442"/>
      <c r="P4242" s="235"/>
      <c r="AI4242" s="38"/>
    </row>
    <row r="4243" ht="15.75" customHeight="1">
      <c r="A4243" s="35"/>
      <c r="C4243" s="442"/>
      <c r="P4243" s="235"/>
      <c r="AI4243" s="38"/>
    </row>
    <row r="4244" ht="15.75" customHeight="1">
      <c r="A4244" s="35"/>
      <c r="C4244" s="442"/>
      <c r="P4244" s="235"/>
      <c r="AI4244" s="38"/>
    </row>
    <row r="4245" ht="15.75" customHeight="1">
      <c r="A4245" s="35"/>
      <c r="C4245" s="442"/>
      <c r="P4245" s="235"/>
      <c r="AI4245" s="38"/>
    </row>
    <row r="4246" ht="15.75" customHeight="1">
      <c r="A4246" s="35"/>
      <c r="C4246" s="442"/>
      <c r="P4246" s="235"/>
      <c r="AI4246" s="38"/>
    </row>
    <row r="4247" ht="15.75" customHeight="1">
      <c r="A4247" s="35"/>
      <c r="C4247" s="442"/>
      <c r="P4247" s="235"/>
      <c r="AI4247" s="38"/>
    </row>
    <row r="4248" ht="15.75" customHeight="1">
      <c r="A4248" s="35"/>
      <c r="C4248" s="442"/>
      <c r="P4248" s="235"/>
      <c r="AI4248" s="38"/>
    </row>
    <row r="4249" ht="15.75" customHeight="1">
      <c r="A4249" s="35"/>
      <c r="C4249" s="442"/>
      <c r="P4249" s="235"/>
      <c r="AI4249" s="38"/>
    </row>
    <row r="4250" ht="15.75" customHeight="1">
      <c r="A4250" s="35"/>
      <c r="C4250" s="442"/>
      <c r="P4250" s="235"/>
      <c r="AI4250" s="38"/>
    </row>
    <row r="4251" ht="15.75" customHeight="1">
      <c r="A4251" s="35"/>
      <c r="C4251" s="442"/>
      <c r="P4251" s="235"/>
      <c r="AI4251" s="38"/>
    </row>
    <row r="4252" ht="15.75" customHeight="1">
      <c r="A4252" s="35"/>
      <c r="C4252" s="442"/>
      <c r="P4252" s="235"/>
      <c r="AI4252" s="38"/>
    </row>
    <row r="4253" ht="15.75" customHeight="1">
      <c r="A4253" s="35"/>
      <c r="C4253" s="442"/>
      <c r="P4253" s="235"/>
      <c r="AI4253" s="38"/>
    </row>
    <row r="4254" ht="15.75" customHeight="1">
      <c r="A4254" s="35"/>
      <c r="C4254" s="442"/>
      <c r="P4254" s="235"/>
      <c r="AI4254" s="38"/>
    </row>
    <row r="4255" ht="15.75" customHeight="1">
      <c r="A4255" s="35"/>
      <c r="C4255" s="442"/>
      <c r="P4255" s="235"/>
      <c r="AI4255" s="38"/>
    </row>
    <row r="4256" ht="15.75" customHeight="1">
      <c r="A4256" s="35"/>
      <c r="C4256" s="442"/>
      <c r="P4256" s="235"/>
      <c r="AI4256" s="38"/>
    </row>
    <row r="4257" ht="15.75" customHeight="1">
      <c r="A4257" s="35"/>
      <c r="C4257" s="442"/>
      <c r="P4257" s="235"/>
      <c r="AI4257" s="38"/>
    </row>
    <row r="4258" ht="15.75" customHeight="1">
      <c r="A4258" s="35"/>
      <c r="C4258" s="442"/>
      <c r="P4258" s="235"/>
      <c r="AI4258" s="38"/>
    </row>
    <row r="4259" ht="15.75" customHeight="1">
      <c r="A4259" s="35"/>
      <c r="C4259" s="442"/>
      <c r="P4259" s="235"/>
      <c r="AI4259" s="38"/>
    </row>
    <row r="4260" ht="15.75" customHeight="1">
      <c r="A4260" s="35"/>
      <c r="C4260" s="442"/>
      <c r="P4260" s="235"/>
      <c r="AI4260" s="38"/>
    </row>
    <row r="4261" ht="15.75" customHeight="1">
      <c r="A4261" s="35"/>
      <c r="C4261" s="442"/>
      <c r="P4261" s="235"/>
      <c r="AI4261" s="38"/>
    </row>
    <row r="4262" ht="15.75" customHeight="1">
      <c r="A4262" s="35"/>
      <c r="C4262" s="442"/>
      <c r="P4262" s="235"/>
      <c r="AI4262" s="38"/>
    </row>
    <row r="4263" ht="15.75" customHeight="1">
      <c r="A4263" s="35"/>
      <c r="C4263" s="442"/>
      <c r="P4263" s="235"/>
      <c r="AI4263" s="38"/>
    </row>
    <row r="4264" ht="15.75" customHeight="1">
      <c r="A4264" s="35"/>
      <c r="C4264" s="442"/>
      <c r="P4264" s="235"/>
      <c r="AI4264" s="38"/>
    </row>
    <row r="4265" ht="15.75" customHeight="1">
      <c r="A4265" s="35"/>
      <c r="C4265" s="442"/>
      <c r="P4265" s="235"/>
      <c r="AI4265" s="38"/>
    </row>
    <row r="4266" ht="15.75" customHeight="1">
      <c r="A4266" s="35"/>
      <c r="C4266" s="442"/>
      <c r="P4266" s="235"/>
      <c r="AI4266" s="38"/>
    </row>
    <row r="4267" ht="15.75" customHeight="1">
      <c r="A4267" s="35"/>
      <c r="C4267" s="442"/>
      <c r="P4267" s="235"/>
      <c r="AI4267" s="38"/>
    </row>
    <row r="4268" ht="15.75" customHeight="1">
      <c r="A4268" s="35"/>
      <c r="C4268" s="442"/>
      <c r="P4268" s="235"/>
      <c r="AI4268" s="38"/>
    </row>
    <row r="4269" ht="15.75" customHeight="1">
      <c r="A4269" s="35"/>
      <c r="C4269" s="442"/>
      <c r="P4269" s="235"/>
      <c r="AI4269" s="38"/>
    </row>
    <row r="4270" ht="15.75" customHeight="1">
      <c r="A4270" s="35"/>
      <c r="C4270" s="442"/>
      <c r="P4270" s="235"/>
      <c r="AI4270" s="38"/>
    </row>
    <row r="4271" ht="15.75" customHeight="1">
      <c r="A4271" s="35"/>
      <c r="C4271" s="442"/>
      <c r="P4271" s="235"/>
      <c r="AI4271" s="38"/>
    </row>
    <row r="4272" ht="15.75" customHeight="1">
      <c r="A4272" s="35"/>
      <c r="C4272" s="442"/>
      <c r="P4272" s="235"/>
      <c r="AI4272" s="38"/>
    </row>
    <row r="4273" ht="15.75" customHeight="1">
      <c r="A4273" s="35"/>
      <c r="C4273" s="442"/>
      <c r="P4273" s="235"/>
      <c r="AI4273" s="38"/>
    </row>
    <row r="4274" ht="15.75" customHeight="1">
      <c r="A4274" s="35"/>
      <c r="C4274" s="442"/>
      <c r="P4274" s="235"/>
      <c r="AI4274" s="38"/>
    </row>
    <row r="4275" ht="15.75" customHeight="1">
      <c r="A4275" s="35"/>
      <c r="C4275" s="442"/>
      <c r="P4275" s="235"/>
      <c r="AI4275" s="38"/>
    </row>
    <row r="4276" ht="15.75" customHeight="1">
      <c r="A4276" s="35"/>
      <c r="C4276" s="442"/>
      <c r="P4276" s="235"/>
      <c r="AI4276" s="38"/>
    </row>
    <row r="4277" ht="15.75" customHeight="1">
      <c r="A4277" s="35"/>
      <c r="C4277" s="442"/>
      <c r="P4277" s="235"/>
      <c r="AI4277" s="38"/>
    </row>
    <row r="4278" ht="15.75" customHeight="1">
      <c r="A4278" s="35"/>
      <c r="C4278" s="442"/>
      <c r="P4278" s="235"/>
      <c r="AI4278" s="38"/>
    </row>
    <row r="4279" ht="15.75" customHeight="1">
      <c r="A4279" s="35"/>
      <c r="C4279" s="442"/>
      <c r="P4279" s="235"/>
      <c r="AI4279" s="38"/>
    </row>
    <row r="4280" ht="15.75" customHeight="1">
      <c r="A4280" s="35"/>
      <c r="C4280" s="442"/>
      <c r="P4280" s="235"/>
      <c r="AI4280" s="38"/>
    </row>
    <row r="4281" ht="15.75" customHeight="1">
      <c r="A4281" s="35"/>
      <c r="C4281" s="442"/>
      <c r="P4281" s="235"/>
      <c r="AI4281" s="38"/>
    </row>
    <row r="4282" ht="15.75" customHeight="1">
      <c r="A4282" s="35"/>
      <c r="C4282" s="442"/>
      <c r="P4282" s="235"/>
      <c r="AI4282" s="38"/>
    </row>
    <row r="4283" ht="15.75" customHeight="1">
      <c r="A4283" s="35"/>
      <c r="C4283" s="442"/>
      <c r="P4283" s="235"/>
      <c r="AI4283" s="38"/>
    </row>
    <row r="4284" ht="15.75" customHeight="1">
      <c r="A4284" s="35"/>
      <c r="C4284" s="442"/>
      <c r="P4284" s="235"/>
      <c r="AI4284" s="38"/>
    </row>
    <row r="4285" ht="15.75" customHeight="1">
      <c r="A4285" s="35"/>
      <c r="C4285" s="442"/>
      <c r="P4285" s="235"/>
      <c r="AI4285" s="38"/>
    </row>
    <row r="4286" ht="15.75" customHeight="1">
      <c r="A4286" s="35"/>
      <c r="C4286" s="442"/>
      <c r="P4286" s="235"/>
      <c r="AI4286" s="38"/>
    </row>
    <row r="4287" ht="15.75" customHeight="1">
      <c r="A4287" s="35"/>
      <c r="C4287" s="442"/>
      <c r="P4287" s="235"/>
      <c r="AI4287" s="38"/>
    </row>
    <row r="4288" ht="15.75" customHeight="1">
      <c r="A4288" s="35"/>
      <c r="C4288" s="442"/>
      <c r="P4288" s="235"/>
      <c r="AI4288" s="38"/>
    </row>
    <row r="4289" ht="15.75" customHeight="1">
      <c r="A4289" s="35"/>
      <c r="C4289" s="442"/>
      <c r="P4289" s="235"/>
      <c r="AI4289" s="38"/>
    </row>
    <row r="4290" ht="15.75" customHeight="1">
      <c r="A4290" s="35"/>
      <c r="C4290" s="442"/>
      <c r="P4290" s="235"/>
      <c r="AI4290" s="38"/>
    </row>
    <row r="4291" ht="15.75" customHeight="1">
      <c r="A4291" s="35"/>
      <c r="C4291" s="442"/>
      <c r="P4291" s="235"/>
      <c r="AI4291" s="38"/>
    </row>
    <row r="4292" ht="15.75" customHeight="1">
      <c r="A4292" s="35"/>
      <c r="C4292" s="442"/>
      <c r="P4292" s="235"/>
      <c r="AI4292" s="38"/>
    </row>
    <row r="4293" ht="15.75" customHeight="1">
      <c r="A4293" s="35"/>
      <c r="C4293" s="442"/>
      <c r="P4293" s="235"/>
      <c r="AI4293" s="38"/>
    </row>
    <row r="4294" ht="15.75" customHeight="1">
      <c r="A4294" s="35"/>
      <c r="C4294" s="442"/>
      <c r="P4294" s="235"/>
      <c r="AI4294" s="38"/>
    </row>
    <row r="4295" ht="15.75" customHeight="1">
      <c r="A4295" s="35"/>
      <c r="C4295" s="442"/>
      <c r="P4295" s="235"/>
      <c r="AI4295" s="38"/>
    </row>
    <row r="4296" ht="15.75" customHeight="1">
      <c r="A4296" s="35"/>
      <c r="C4296" s="442"/>
      <c r="P4296" s="235"/>
      <c r="AI4296" s="38"/>
    </row>
    <row r="4297" ht="15.75" customHeight="1">
      <c r="A4297" s="35"/>
      <c r="C4297" s="442"/>
      <c r="P4297" s="235"/>
      <c r="AI4297" s="38"/>
    </row>
    <row r="4298" ht="15.75" customHeight="1">
      <c r="A4298" s="35"/>
      <c r="C4298" s="442"/>
      <c r="P4298" s="235"/>
      <c r="AI4298" s="38"/>
    </row>
    <row r="4299" ht="15.75" customHeight="1">
      <c r="A4299" s="35"/>
      <c r="C4299" s="442"/>
      <c r="P4299" s="235"/>
      <c r="AI4299" s="38"/>
    </row>
    <row r="4300" ht="15.75" customHeight="1">
      <c r="A4300" s="35"/>
      <c r="C4300" s="442"/>
      <c r="P4300" s="235"/>
      <c r="AI4300" s="38"/>
    </row>
    <row r="4301" ht="15.75" customHeight="1">
      <c r="A4301" s="35"/>
      <c r="C4301" s="442"/>
      <c r="P4301" s="235"/>
      <c r="AI4301" s="38"/>
    </row>
    <row r="4302" ht="15.75" customHeight="1">
      <c r="A4302" s="35"/>
      <c r="C4302" s="442"/>
      <c r="P4302" s="235"/>
      <c r="AI4302" s="38"/>
    </row>
    <row r="4303" ht="15.75" customHeight="1">
      <c r="A4303" s="35"/>
      <c r="C4303" s="442"/>
      <c r="P4303" s="235"/>
      <c r="AI4303" s="38"/>
    </row>
    <row r="4304" ht="15.75" customHeight="1">
      <c r="A4304" s="35"/>
      <c r="C4304" s="442"/>
      <c r="P4304" s="235"/>
      <c r="AI4304" s="38"/>
    </row>
    <row r="4305" ht="15.75" customHeight="1">
      <c r="A4305" s="35"/>
      <c r="C4305" s="442"/>
      <c r="P4305" s="235"/>
      <c r="AI4305" s="38"/>
    </row>
    <row r="4306" ht="15.75" customHeight="1">
      <c r="A4306" s="35"/>
      <c r="C4306" s="442"/>
      <c r="P4306" s="235"/>
      <c r="AI4306" s="38"/>
    </row>
    <row r="4307" ht="15.75" customHeight="1">
      <c r="A4307" s="35"/>
      <c r="C4307" s="442"/>
      <c r="P4307" s="235"/>
      <c r="AI4307" s="38"/>
    </row>
    <row r="4308" ht="15.75" customHeight="1">
      <c r="A4308" s="35"/>
      <c r="C4308" s="442"/>
      <c r="P4308" s="235"/>
      <c r="AI4308" s="38"/>
    </row>
    <row r="4309" ht="15.75" customHeight="1">
      <c r="A4309" s="35"/>
      <c r="C4309" s="442"/>
      <c r="P4309" s="235"/>
      <c r="AI4309" s="38"/>
    </row>
    <row r="4310" ht="15.75" customHeight="1">
      <c r="A4310" s="35"/>
      <c r="C4310" s="442"/>
      <c r="P4310" s="235"/>
      <c r="AI4310" s="38"/>
    </row>
    <row r="4311" ht="15.75" customHeight="1">
      <c r="A4311" s="35"/>
      <c r="C4311" s="442"/>
      <c r="P4311" s="235"/>
      <c r="AI4311" s="38"/>
    </row>
    <row r="4312" ht="15.75" customHeight="1">
      <c r="A4312" s="35"/>
      <c r="C4312" s="442"/>
      <c r="P4312" s="235"/>
      <c r="AI4312" s="38"/>
    </row>
    <row r="4313" ht="15.75" customHeight="1">
      <c r="A4313" s="35"/>
      <c r="C4313" s="442"/>
      <c r="P4313" s="235"/>
      <c r="AI4313" s="38"/>
    </row>
    <row r="4314" ht="15.75" customHeight="1">
      <c r="A4314" s="35"/>
      <c r="C4314" s="442"/>
      <c r="P4314" s="235"/>
      <c r="AI4314" s="38"/>
    </row>
    <row r="4315" ht="15.75" customHeight="1">
      <c r="A4315" s="35"/>
      <c r="C4315" s="442"/>
      <c r="P4315" s="235"/>
      <c r="AI4315" s="38"/>
    </row>
    <row r="4316" ht="15.75" customHeight="1">
      <c r="A4316" s="35"/>
      <c r="C4316" s="442"/>
      <c r="P4316" s="235"/>
      <c r="AI4316" s="38"/>
    </row>
    <row r="4317" ht="15.75" customHeight="1">
      <c r="A4317" s="35"/>
      <c r="C4317" s="442"/>
      <c r="P4317" s="235"/>
      <c r="AI4317" s="38"/>
    </row>
    <row r="4318" ht="15.75" customHeight="1">
      <c r="A4318" s="35"/>
      <c r="C4318" s="442"/>
      <c r="P4318" s="235"/>
      <c r="AI4318" s="38"/>
    </row>
    <row r="4319" ht="15.75" customHeight="1">
      <c r="A4319" s="35"/>
      <c r="C4319" s="442"/>
      <c r="P4319" s="235"/>
      <c r="AI4319" s="38"/>
    </row>
    <row r="4320" ht="15.75" customHeight="1">
      <c r="A4320" s="35"/>
      <c r="C4320" s="442"/>
      <c r="P4320" s="235"/>
      <c r="AI4320" s="38"/>
    </row>
    <row r="4321" ht="15.75" customHeight="1">
      <c r="A4321" s="35"/>
      <c r="C4321" s="442"/>
      <c r="P4321" s="235"/>
      <c r="AI4321" s="38"/>
    </row>
    <row r="4322" ht="15.75" customHeight="1">
      <c r="A4322" s="35"/>
      <c r="C4322" s="442"/>
      <c r="P4322" s="235"/>
      <c r="AI4322" s="38"/>
    </row>
    <row r="4323" ht="15.75" customHeight="1">
      <c r="A4323" s="35"/>
      <c r="C4323" s="442"/>
      <c r="P4323" s="235"/>
      <c r="AI4323" s="38"/>
    </row>
    <row r="4324" ht="15.75" customHeight="1">
      <c r="A4324" s="35"/>
      <c r="C4324" s="442"/>
      <c r="P4324" s="235"/>
      <c r="AI4324" s="38"/>
    </row>
    <row r="4325" ht="15.75" customHeight="1">
      <c r="A4325" s="35"/>
      <c r="C4325" s="442"/>
      <c r="P4325" s="235"/>
      <c r="AI4325" s="38"/>
    </row>
    <row r="4326" ht="15.75" customHeight="1">
      <c r="A4326" s="35"/>
      <c r="C4326" s="442"/>
      <c r="P4326" s="235"/>
      <c r="AI4326" s="38"/>
    </row>
    <row r="4327" ht="15.75" customHeight="1">
      <c r="A4327" s="35"/>
      <c r="C4327" s="442"/>
      <c r="P4327" s="235"/>
      <c r="AI4327" s="38"/>
    </row>
    <row r="4328" ht="15.75" customHeight="1">
      <c r="A4328" s="35"/>
      <c r="C4328" s="442"/>
      <c r="P4328" s="235"/>
      <c r="AI4328" s="38"/>
    </row>
    <row r="4329" ht="15.75" customHeight="1">
      <c r="A4329" s="35"/>
      <c r="C4329" s="442"/>
      <c r="P4329" s="235"/>
      <c r="AI4329" s="38"/>
    </row>
    <row r="4330" ht="15.75" customHeight="1">
      <c r="A4330" s="35"/>
      <c r="C4330" s="442"/>
      <c r="P4330" s="235"/>
      <c r="AI4330" s="38"/>
    </row>
    <row r="4331" ht="15.75" customHeight="1">
      <c r="A4331" s="35"/>
      <c r="C4331" s="442"/>
      <c r="P4331" s="235"/>
      <c r="AI4331" s="38"/>
    </row>
    <row r="4332" ht="15.75" customHeight="1">
      <c r="A4332" s="35"/>
      <c r="C4332" s="442"/>
      <c r="P4332" s="235"/>
      <c r="AI4332" s="38"/>
    </row>
    <row r="4333" ht="15.75" customHeight="1">
      <c r="A4333" s="35"/>
      <c r="C4333" s="442"/>
      <c r="P4333" s="235"/>
      <c r="AI4333" s="38"/>
    </row>
    <row r="4334" ht="15.75" customHeight="1">
      <c r="A4334" s="35"/>
      <c r="C4334" s="442"/>
      <c r="P4334" s="235"/>
      <c r="AI4334" s="38"/>
    </row>
    <row r="4335" ht="15.75" customHeight="1">
      <c r="A4335" s="35"/>
      <c r="C4335" s="442"/>
      <c r="P4335" s="235"/>
      <c r="AI4335" s="38"/>
    </row>
    <row r="4336" ht="15.75" customHeight="1">
      <c r="A4336" s="35"/>
      <c r="C4336" s="442"/>
      <c r="P4336" s="235"/>
      <c r="AI4336" s="38"/>
    </row>
    <row r="4337" ht="15.75" customHeight="1">
      <c r="A4337" s="35"/>
      <c r="C4337" s="442"/>
      <c r="P4337" s="235"/>
      <c r="AI4337" s="38"/>
    </row>
    <row r="4338" ht="15.75" customHeight="1">
      <c r="A4338" s="35"/>
      <c r="C4338" s="442"/>
      <c r="P4338" s="235"/>
      <c r="AI4338" s="38"/>
    </row>
    <row r="4339" ht="15.75" customHeight="1">
      <c r="A4339" s="35"/>
      <c r="C4339" s="442"/>
      <c r="P4339" s="235"/>
      <c r="AI4339" s="38"/>
    </row>
    <row r="4340" ht="15.75" customHeight="1">
      <c r="A4340" s="35"/>
      <c r="C4340" s="442"/>
      <c r="P4340" s="235"/>
      <c r="AI4340" s="38"/>
    </row>
    <row r="4341" ht="15.75" customHeight="1">
      <c r="A4341" s="35"/>
      <c r="C4341" s="442"/>
      <c r="P4341" s="235"/>
      <c r="AI4341" s="38"/>
    </row>
    <row r="4342" ht="15.75" customHeight="1">
      <c r="A4342" s="35"/>
      <c r="C4342" s="442"/>
      <c r="P4342" s="235"/>
      <c r="AI4342" s="38"/>
    </row>
    <row r="4343" ht="15.75" customHeight="1">
      <c r="A4343" s="35"/>
      <c r="C4343" s="442"/>
      <c r="P4343" s="235"/>
      <c r="AI4343" s="38"/>
    </row>
    <row r="4344" ht="15.75" customHeight="1">
      <c r="A4344" s="35"/>
      <c r="C4344" s="442"/>
      <c r="P4344" s="235"/>
      <c r="AI4344" s="38"/>
    </row>
    <row r="4345" ht="15.75" customHeight="1">
      <c r="A4345" s="35"/>
      <c r="C4345" s="442"/>
      <c r="P4345" s="235"/>
      <c r="AI4345" s="38"/>
    </row>
    <row r="4346" ht="15.75" customHeight="1">
      <c r="A4346" s="35"/>
      <c r="C4346" s="442"/>
      <c r="P4346" s="235"/>
      <c r="AI4346" s="38"/>
    </row>
    <row r="4347" ht="15.75" customHeight="1">
      <c r="A4347" s="35"/>
      <c r="C4347" s="442"/>
      <c r="P4347" s="235"/>
      <c r="AI4347" s="38"/>
    </row>
    <row r="4348" ht="15.75" customHeight="1">
      <c r="A4348" s="35"/>
      <c r="C4348" s="442"/>
      <c r="P4348" s="235"/>
      <c r="AI4348" s="38"/>
    </row>
    <row r="4349" ht="15.75" customHeight="1">
      <c r="A4349" s="35"/>
      <c r="C4349" s="442"/>
      <c r="P4349" s="235"/>
      <c r="AI4349" s="38"/>
    </row>
    <row r="4350" ht="15.75" customHeight="1">
      <c r="A4350" s="35"/>
      <c r="C4350" s="442"/>
      <c r="P4350" s="235"/>
      <c r="AI4350" s="38"/>
    </row>
    <row r="4351" ht="15.75" customHeight="1">
      <c r="A4351" s="35"/>
      <c r="C4351" s="442"/>
      <c r="P4351" s="235"/>
      <c r="AI4351" s="38"/>
    </row>
    <row r="4352" ht="15.75" customHeight="1">
      <c r="A4352" s="35"/>
      <c r="C4352" s="442"/>
      <c r="P4352" s="235"/>
      <c r="AI4352" s="38"/>
    </row>
    <row r="4353" ht="15.75" customHeight="1">
      <c r="A4353" s="35"/>
      <c r="C4353" s="442"/>
      <c r="P4353" s="235"/>
      <c r="AI4353" s="38"/>
    </row>
    <row r="4354" ht="15.75" customHeight="1">
      <c r="A4354" s="35"/>
      <c r="C4354" s="442"/>
      <c r="P4354" s="235"/>
      <c r="AI4354" s="38"/>
    </row>
    <row r="4355" ht="15.75" customHeight="1">
      <c r="A4355" s="35"/>
      <c r="C4355" s="442"/>
      <c r="P4355" s="235"/>
      <c r="AI4355" s="38"/>
    </row>
    <row r="4356" ht="15.75" customHeight="1">
      <c r="A4356" s="35"/>
      <c r="C4356" s="442"/>
      <c r="P4356" s="235"/>
      <c r="AI4356" s="38"/>
    </row>
    <row r="4357" ht="15.75" customHeight="1">
      <c r="A4357" s="35"/>
      <c r="C4357" s="442"/>
      <c r="P4357" s="235"/>
      <c r="AI4357" s="38"/>
    </row>
    <row r="4358" ht="15.75" customHeight="1">
      <c r="A4358" s="35"/>
      <c r="C4358" s="442"/>
      <c r="P4358" s="235"/>
      <c r="AI4358" s="38"/>
    </row>
    <row r="4359" ht="15.75" customHeight="1">
      <c r="A4359" s="35"/>
      <c r="C4359" s="442"/>
      <c r="P4359" s="235"/>
      <c r="AI4359" s="38"/>
    </row>
    <row r="4360" ht="15.75" customHeight="1">
      <c r="A4360" s="35"/>
      <c r="C4360" s="442"/>
      <c r="P4360" s="235"/>
      <c r="AI4360" s="38"/>
    </row>
    <row r="4361" ht="15.75" customHeight="1">
      <c r="A4361" s="35"/>
      <c r="C4361" s="442"/>
      <c r="P4361" s="235"/>
      <c r="AI4361" s="38"/>
    </row>
    <row r="4362" ht="15.75" customHeight="1">
      <c r="A4362" s="35"/>
      <c r="C4362" s="442"/>
      <c r="P4362" s="235"/>
      <c r="AI4362" s="38"/>
    </row>
    <row r="4363" ht="15.75" customHeight="1">
      <c r="A4363" s="35"/>
      <c r="C4363" s="442"/>
      <c r="P4363" s="235"/>
      <c r="AI4363" s="38"/>
    </row>
    <row r="4364" ht="15.75" customHeight="1">
      <c r="A4364" s="35"/>
      <c r="C4364" s="442"/>
      <c r="P4364" s="235"/>
      <c r="AI4364" s="38"/>
    </row>
    <row r="4365" ht="15.75" customHeight="1">
      <c r="A4365" s="35"/>
      <c r="C4365" s="442"/>
      <c r="P4365" s="235"/>
      <c r="AI4365" s="38"/>
    </row>
    <row r="4366" ht="15.75" customHeight="1">
      <c r="A4366" s="35"/>
      <c r="C4366" s="442"/>
      <c r="P4366" s="235"/>
      <c r="AI4366" s="38"/>
    </row>
    <row r="4367" ht="15.75" customHeight="1">
      <c r="A4367" s="35"/>
      <c r="C4367" s="442"/>
      <c r="P4367" s="235"/>
      <c r="AI4367" s="38"/>
    </row>
    <row r="4368" ht="15.75" customHeight="1">
      <c r="A4368" s="35"/>
      <c r="C4368" s="442"/>
      <c r="P4368" s="235"/>
      <c r="AI4368" s="38"/>
    </row>
    <row r="4369" ht="15.75" customHeight="1">
      <c r="A4369" s="35"/>
      <c r="C4369" s="442"/>
      <c r="P4369" s="235"/>
      <c r="AI4369" s="38"/>
    </row>
    <row r="4370" ht="15.75" customHeight="1">
      <c r="A4370" s="35"/>
      <c r="C4370" s="442"/>
      <c r="P4370" s="235"/>
      <c r="AI4370" s="38"/>
    </row>
    <row r="4371" ht="15.75" customHeight="1">
      <c r="A4371" s="35"/>
      <c r="C4371" s="442"/>
      <c r="P4371" s="235"/>
      <c r="AI4371" s="38"/>
    </row>
    <row r="4372" ht="15.75" customHeight="1">
      <c r="A4372" s="35"/>
      <c r="C4372" s="442"/>
      <c r="P4372" s="235"/>
      <c r="AI4372" s="38"/>
    </row>
    <row r="4373" ht="15.75" customHeight="1">
      <c r="A4373" s="35"/>
      <c r="C4373" s="442"/>
      <c r="P4373" s="235"/>
      <c r="AI4373" s="38"/>
    </row>
    <row r="4374" ht="15.75" customHeight="1">
      <c r="A4374" s="35"/>
      <c r="C4374" s="442"/>
      <c r="P4374" s="235"/>
      <c r="AI4374" s="38"/>
    </row>
    <row r="4375" ht="15.75" customHeight="1">
      <c r="A4375" s="35"/>
      <c r="C4375" s="442"/>
      <c r="P4375" s="235"/>
      <c r="AI4375" s="38"/>
    </row>
    <row r="4376" ht="15.75" customHeight="1">
      <c r="A4376" s="35"/>
      <c r="C4376" s="442"/>
      <c r="P4376" s="235"/>
      <c r="AI4376" s="38"/>
    </row>
    <row r="4377" ht="15.75" customHeight="1">
      <c r="A4377" s="35"/>
      <c r="C4377" s="442"/>
      <c r="P4377" s="235"/>
      <c r="AI4377" s="38"/>
    </row>
    <row r="4378" ht="15.75" customHeight="1">
      <c r="A4378" s="35"/>
      <c r="C4378" s="442"/>
      <c r="P4378" s="235"/>
      <c r="AI4378" s="38"/>
    </row>
    <row r="4379" ht="15.75" customHeight="1">
      <c r="A4379" s="35"/>
      <c r="C4379" s="442"/>
      <c r="P4379" s="235"/>
      <c r="AI4379" s="38"/>
    </row>
    <row r="4380" ht="15.75" customHeight="1">
      <c r="A4380" s="35"/>
      <c r="C4380" s="442"/>
      <c r="P4380" s="235"/>
      <c r="AI4380" s="38"/>
    </row>
    <row r="4381" ht="15.75" customHeight="1">
      <c r="A4381" s="35"/>
      <c r="C4381" s="442"/>
      <c r="P4381" s="235"/>
      <c r="AI4381" s="38"/>
    </row>
    <row r="4382" ht="15.75" customHeight="1">
      <c r="A4382" s="35"/>
      <c r="C4382" s="442"/>
      <c r="P4382" s="235"/>
      <c r="AI4382" s="38"/>
    </row>
    <row r="4383" ht="15.75" customHeight="1">
      <c r="A4383" s="35"/>
      <c r="C4383" s="442"/>
      <c r="P4383" s="235"/>
      <c r="AI4383" s="38"/>
    </row>
    <row r="4384" ht="15.75" customHeight="1">
      <c r="A4384" s="35"/>
      <c r="C4384" s="442"/>
      <c r="P4384" s="235"/>
      <c r="AI4384" s="38"/>
    </row>
    <row r="4385" ht="15.75" customHeight="1">
      <c r="A4385" s="35"/>
      <c r="C4385" s="442"/>
      <c r="P4385" s="235"/>
      <c r="AI4385" s="38"/>
    </row>
    <row r="4386" ht="15.75" customHeight="1">
      <c r="A4386" s="35"/>
      <c r="C4386" s="442"/>
      <c r="P4386" s="235"/>
      <c r="AI4386" s="38"/>
    </row>
    <row r="4387" ht="15.75" customHeight="1">
      <c r="A4387" s="35"/>
      <c r="C4387" s="442"/>
      <c r="P4387" s="235"/>
      <c r="AI4387" s="38"/>
    </row>
    <row r="4388" ht="15.75" customHeight="1">
      <c r="A4388" s="35"/>
      <c r="C4388" s="442"/>
      <c r="P4388" s="235"/>
      <c r="AI4388" s="38"/>
    </row>
    <row r="4389" ht="15.75" customHeight="1">
      <c r="A4389" s="35"/>
      <c r="C4389" s="442"/>
      <c r="P4389" s="235"/>
      <c r="AI4389" s="38"/>
    </row>
    <row r="4390" ht="15.75" customHeight="1">
      <c r="A4390" s="35"/>
      <c r="C4390" s="442"/>
      <c r="P4390" s="235"/>
      <c r="AI4390" s="38"/>
    </row>
    <row r="4391" ht="15.75" customHeight="1">
      <c r="A4391" s="35"/>
      <c r="C4391" s="442"/>
      <c r="P4391" s="235"/>
      <c r="AI4391" s="38"/>
    </row>
    <row r="4392" ht="15.75" customHeight="1">
      <c r="A4392" s="35"/>
      <c r="C4392" s="442"/>
      <c r="P4392" s="235"/>
      <c r="AI4392" s="38"/>
    </row>
    <row r="4393" ht="15.75" customHeight="1">
      <c r="A4393" s="35"/>
      <c r="C4393" s="442"/>
      <c r="P4393" s="235"/>
      <c r="AI4393" s="38"/>
    </row>
    <row r="4394" ht="15.75" customHeight="1">
      <c r="A4394" s="35"/>
      <c r="C4394" s="442"/>
      <c r="P4394" s="235"/>
      <c r="AI4394" s="38"/>
    </row>
    <row r="4395" ht="15.75" customHeight="1">
      <c r="A4395" s="35"/>
      <c r="C4395" s="442"/>
      <c r="P4395" s="235"/>
      <c r="AI4395" s="38"/>
    </row>
    <row r="4396" ht="15.75" customHeight="1">
      <c r="A4396" s="35"/>
      <c r="C4396" s="442"/>
      <c r="P4396" s="235"/>
      <c r="AI4396" s="38"/>
    </row>
    <row r="4397" ht="15.75" customHeight="1">
      <c r="A4397" s="35"/>
      <c r="C4397" s="442"/>
      <c r="P4397" s="235"/>
      <c r="AI4397" s="38"/>
    </row>
    <row r="4398" ht="15.75" customHeight="1">
      <c r="A4398" s="35"/>
      <c r="C4398" s="442"/>
      <c r="P4398" s="235"/>
      <c r="AI4398" s="38"/>
    </row>
    <row r="4399" ht="15.75" customHeight="1">
      <c r="A4399" s="35"/>
      <c r="C4399" s="442"/>
      <c r="P4399" s="235"/>
      <c r="AI4399" s="38"/>
    </row>
    <row r="4400" ht="15.75" customHeight="1">
      <c r="A4400" s="35"/>
      <c r="C4400" s="442"/>
      <c r="P4400" s="235"/>
      <c r="AI4400" s="38"/>
    </row>
    <row r="4401" ht="15.75" customHeight="1">
      <c r="A4401" s="35"/>
      <c r="C4401" s="442"/>
      <c r="P4401" s="235"/>
      <c r="AI4401" s="38"/>
    </row>
    <row r="4402" ht="15.75" customHeight="1">
      <c r="A4402" s="35"/>
      <c r="C4402" s="442"/>
      <c r="P4402" s="235"/>
      <c r="AI4402" s="38"/>
    </row>
    <row r="4403" ht="15.75" customHeight="1">
      <c r="A4403" s="35"/>
      <c r="C4403" s="442"/>
      <c r="P4403" s="235"/>
      <c r="AI4403" s="38"/>
    </row>
    <row r="4404" ht="15.75" customHeight="1">
      <c r="A4404" s="35"/>
      <c r="C4404" s="442"/>
      <c r="P4404" s="235"/>
      <c r="AI4404" s="38"/>
    </row>
    <row r="4405" ht="15.75" customHeight="1">
      <c r="A4405" s="35"/>
      <c r="C4405" s="442"/>
      <c r="P4405" s="235"/>
      <c r="AI4405" s="38"/>
    </row>
    <row r="4406" ht="15.75" customHeight="1">
      <c r="A4406" s="35"/>
      <c r="C4406" s="442"/>
      <c r="P4406" s="235"/>
      <c r="AI4406" s="38"/>
    </row>
    <row r="4407" ht="15.75" customHeight="1">
      <c r="A4407" s="35"/>
      <c r="C4407" s="442"/>
      <c r="P4407" s="235"/>
      <c r="AI4407" s="38"/>
    </row>
    <row r="4408" ht="15.75" customHeight="1">
      <c r="A4408" s="35"/>
      <c r="C4408" s="442"/>
      <c r="P4408" s="235"/>
      <c r="AI4408" s="38"/>
    </row>
    <row r="4409" ht="15.75" customHeight="1">
      <c r="A4409" s="35"/>
      <c r="C4409" s="442"/>
      <c r="P4409" s="235"/>
      <c r="AI4409" s="38"/>
    </row>
    <row r="4410" ht="15.75" customHeight="1">
      <c r="A4410" s="35"/>
      <c r="C4410" s="442"/>
      <c r="P4410" s="235"/>
      <c r="AI4410" s="38"/>
    </row>
    <row r="4411" ht="15.75" customHeight="1">
      <c r="A4411" s="35"/>
      <c r="C4411" s="442"/>
      <c r="P4411" s="235"/>
      <c r="AI4411" s="38"/>
    </row>
    <row r="4412" ht="15.75" customHeight="1">
      <c r="A4412" s="35"/>
      <c r="C4412" s="442"/>
      <c r="P4412" s="235"/>
      <c r="AI4412" s="38"/>
    </row>
    <row r="4413" ht="15.75" customHeight="1">
      <c r="A4413" s="35"/>
      <c r="C4413" s="442"/>
      <c r="P4413" s="235"/>
      <c r="AI4413" s="38"/>
    </row>
    <row r="4414" ht="15.75" customHeight="1">
      <c r="A4414" s="35"/>
      <c r="C4414" s="442"/>
      <c r="P4414" s="235"/>
      <c r="AI4414" s="38"/>
    </row>
    <row r="4415" ht="15.75" customHeight="1">
      <c r="A4415" s="35"/>
      <c r="C4415" s="442"/>
      <c r="P4415" s="235"/>
      <c r="AI4415" s="38"/>
    </row>
    <row r="4416" ht="15.75" customHeight="1">
      <c r="A4416" s="35"/>
      <c r="C4416" s="442"/>
      <c r="P4416" s="235"/>
      <c r="AI4416" s="38"/>
    </row>
    <row r="4417" ht="15.75" customHeight="1">
      <c r="A4417" s="35"/>
      <c r="C4417" s="442"/>
      <c r="P4417" s="235"/>
      <c r="AI4417" s="38"/>
    </row>
    <row r="4418" ht="15.75" customHeight="1">
      <c r="A4418" s="35"/>
      <c r="C4418" s="442"/>
      <c r="P4418" s="235"/>
      <c r="AI4418" s="38"/>
    </row>
    <row r="4419" ht="15.75" customHeight="1">
      <c r="A4419" s="35"/>
      <c r="C4419" s="442"/>
      <c r="P4419" s="235"/>
      <c r="AI4419" s="38"/>
    </row>
    <row r="4420" ht="15.75" customHeight="1">
      <c r="A4420" s="35"/>
      <c r="C4420" s="442"/>
      <c r="P4420" s="235"/>
      <c r="AI4420" s="38"/>
    </row>
    <row r="4421" ht="15.75" customHeight="1">
      <c r="A4421" s="35"/>
      <c r="C4421" s="442"/>
      <c r="P4421" s="235"/>
      <c r="AI4421" s="38"/>
    </row>
    <row r="4422" ht="15.75" customHeight="1">
      <c r="A4422" s="35"/>
      <c r="C4422" s="442"/>
      <c r="P4422" s="235"/>
      <c r="AI4422" s="38"/>
    </row>
    <row r="4423" ht="15.75" customHeight="1">
      <c r="A4423" s="35"/>
      <c r="C4423" s="442"/>
      <c r="P4423" s="235"/>
      <c r="AI4423" s="38"/>
    </row>
    <row r="4424" ht="15.75" customHeight="1">
      <c r="A4424" s="35"/>
      <c r="C4424" s="442"/>
      <c r="P4424" s="235"/>
      <c r="AI4424" s="38"/>
    </row>
    <row r="4425" ht="15.75" customHeight="1">
      <c r="A4425" s="35"/>
      <c r="C4425" s="442"/>
      <c r="P4425" s="235"/>
      <c r="AI4425" s="38"/>
    </row>
    <row r="4426" ht="15.75" customHeight="1">
      <c r="A4426" s="35"/>
      <c r="C4426" s="442"/>
      <c r="P4426" s="235"/>
      <c r="AI4426" s="38"/>
    </row>
    <row r="4427" ht="15.75" customHeight="1">
      <c r="A4427" s="35"/>
      <c r="C4427" s="442"/>
      <c r="P4427" s="235"/>
      <c r="AI4427" s="38"/>
    </row>
    <row r="4428" ht="15.75" customHeight="1">
      <c r="A4428" s="35"/>
      <c r="C4428" s="442"/>
      <c r="P4428" s="235"/>
      <c r="AI4428" s="38"/>
    </row>
    <row r="4429" ht="15.75" customHeight="1">
      <c r="A4429" s="35"/>
      <c r="C4429" s="442"/>
      <c r="P4429" s="235"/>
      <c r="AI4429" s="38"/>
    </row>
    <row r="4430" ht="15.75" customHeight="1">
      <c r="A4430" s="35"/>
      <c r="C4430" s="442"/>
      <c r="P4430" s="235"/>
      <c r="AI4430" s="38"/>
    </row>
    <row r="4431" ht="15.75" customHeight="1">
      <c r="A4431" s="35"/>
      <c r="C4431" s="442"/>
      <c r="P4431" s="235"/>
      <c r="AI4431" s="38"/>
    </row>
    <row r="4432" ht="15.75" customHeight="1">
      <c r="A4432" s="35"/>
      <c r="C4432" s="442"/>
      <c r="P4432" s="235"/>
      <c r="AI4432" s="38"/>
    </row>
    <row r="4433" ht="15.75" customHeight="1">
      <c r="A4433" s="35"/>
      <c r="C4433" s="442"/>
      <c r="P4433" s="235"/>
      <c r="AI4433" s="38"/>
    </row>
    <row r="4434" ht="15.75" customHeight="1">
      <c r="A4434" s="35"/>
      <c r="C4434" s="442"/>
      <c r="P4434" s="235"/>
      <c r="AI4434" s="38"/>
    </row>
    <row r="4435" ht="15.75" customHeight="1">
      <c r="A4435" s="35"/>
      <c r="C4435" s="442"/>
      <c r="P4435" s="235"/>
      <c r="AI4435" s="38"/>
    </row>
    <row r="4436" ht="15.75" customHeight="1">
      <c r="A4436" s="35"/>
      <c r="C4436" s="442"/>
      <c r="P4436" s="235"/>
      <c r="AI4436" s="38"/>
    </row>
    <row r="4437" ht="15.75" customHeight="1">
      <c r="A4437" s="35"/>
      <c r="C4437" s="442"/>
      <c r="P4437" s="235"/>
      <c r="AI4437" s="38"/>
    </row>
    <row r="4438" ht="15.75" customHeight="1">
      <c r="A4438" s="35"/>
      <c r="C4438" s="442"/>
      <c r="P4438" s="235"/>
      <c r="AI4438" s="38"/>
    </row>
    <row r="4439" ht="15.75" customHeight="1">
      <c r="A4439" s="35"/>
      <c r="C4439" s="442"/>
      <c r="P4439" s="235"/>
      <c r="AI4439" s="38"/>
    </row>
    <row r="4440" ht="15.75" customHeight="1">
      <c r="A4440" s="35"/>
      <c r="C4440" s="442"/>
      <c r="P4440" s="235"/>
      <c r="AI4440" s="38"/>
    </row>
    <row r="4441" ht="15.75" customHeight="1">
      <c r="A4441" s="35"/>
      <c r="C4441" s="442"/>
      <c r="P4441" s="235"/>
      <c r="AI4441" s="38"/>
    </row>
    <row r="4442" ht="15.75" customHeight="1">
      <c r="A4442" s="35"/>
      <c r="C4442" s="442"/>
      <c r="P4442" s="235"/>
      <c r="AI4442" s="38"/>
    </row>
    <row r="4443" ht="15.75" customHeight="1">
      <c r="A4443" s="35"/>
      <c r="C4443" s="442"/>
      <c r="P4443" s="235"/>
      <c r="AI4443" s="38"/>
    </row>
    <row r="4444" ht="15.75" customHeight="1">
      <c r="A4444" s="35"/>
      <c r="C4444" s="442"/>
      <c r="P4444" s="235"/>
      <c r="AI4444" s="38"/>
    </row>
    <row r="4445" ht="15.75" customHeight="1">
      <c r="A4445" s="35"/>
      <c r="C4445" s="442"/>
      <c r="P4445" s="235"/>
      <c r="AI4445" s="38"/>
    </row>
    <row r="4446" ht="15.75" customHeight="1">
      <c r="A4446" s="35"/>
      <c r="C4446" s="442"/>
      <c r="P4446" s="235"/>
      <c r="AI4446" s="38"/>
    </row>
    <row r="4447" ht="15.75" customHeight="1">
      <c r="A4447" s="35"/>
      <c r="C4447" s="442"/>
      <c r="P4447" s="235"/>
      <c r="AI4447" s="38"/>
    </row>
    <row r="4448" ht="15.75" customHeight="1">
      <c r="A4448" s="35"/>
      <c r="C4448" s="442"/>
      <c r="P4448" s="235"/>
      <c r="AI4448" s="38"/>
    </row>
    <row r="4449" ht="15.75" customHeight="1">
      <c r="A4449" s="35"/>
      <c r="C4449" s="442"/>
      <c r="P4449" s="235"/>
      <c r="AI4449" s="38"/>
    </row>
    <row r="4450" ht="15.75" customHeight="1">
      <c r="A4450" s="35"/>
      <c r="C4450" s="442"/>
      <c r="P4450" s="235"/>
      <c r="AI4450" s="38"/>
    </row>
    <row r="4451" ht="15.75" customHeight="1">
      <c r="A4451" s="35"/>
      <c r="C4451" s="442"/>
      <c r="P4451" s="235"/>
      <c r="AI4451" s="38"/>
    </row>
    <row r="4452" ht="15.75" customHeight="1">
      <c r="A4452" s="35"/>
      <c r="C4452" s="442"/>
      <c r="P4452" s="235"/>
      <c r="AI4452" s="38"/>
    </row>
    <row r="4453" ht="15.75" customHeight="1">
      <c r="A4453" s="35"/>
      <c r="C4453" s="442"/>
      <c r="P4453" s="235"/>
      <c r="AI4453" s="38"/>
    </row>
    <row r="4454" ht="15.75" customHeight="1">
      <c r="A4454" s="35"/>
      <c r="C4454" s="442"/>
      <c r="P4454" s="235"/>
      <c r="AI4454" s="38"/>
    </row>
    <row r="4455" ht="15.75" customHeight="1">
      <c r="A4455" s="35"/>
      <c r="C4455" s="442"/>
      <c r="P4455" s="235"/>
      <c r="AI4455" s="38"/>
    </row>
    <row r="4456" ht="15.75" customHeight="1">
      <c r="A4456" s="35"/>
      <c r="C4456" s="442"/>
      <c r="P4456" s="235"/>
      <c r="AI4456" s="38"/>
    </row>
    <row r="4457" ht="15.75" customHeight="1">
      <c r="A4457" s="35"/>
      <c r="C4457" s="442"/>
      <c r="P4457" s="235"/>
      <c r="AI4457" s="38"/>
    </row>
    <row r="4458" ht="15.75" customHeight="1">
      <c r="A4458" s="35"/>
      <c r="C4458" s="442"/>
      <c r="P4458" s="235"/>
      <c r="AI4458" s="38"/>
    </row>
    <row r="4459" ht="15.75" customHeight="1">
      <c r="A4459" s="35"/>
      <c r="C4459" s="442"/>
      <c r="P4459" s="235"/>
      <c r="AI4459" s="38"/>
    </row>
    <row r="4460" ht="15.75" customHeight="1">
      <c r="A4460" s="35"/>
      <c r="C4460" s="442"/>
      <c r="P4460" s="235"/>
      <c r="AI4460" s="38"/>
    </row>
    <row r="4461" ht="15.75" customHeight="1">
      <c r="A4461" s="35"/>
      <c r="C4461" s="442"/>
      <c r="P4461" s="235"/>
      <c r="AI4461" s="38"/>
    </row>
    <row r="4462" ht="15.75" customHeight="1">
      <c r="A4462" s="35"/>
      <c r="C4462" s="442"/>
      <c r="P4462" s="235"/>
      <c r="AI4462" s="38"/>
    </row>
    <row r="4463" ht="15.75" customHeight="1">
      <c r="A4463" s="35"/>
      <c r="C4463" s="442"/>
      <c r="P4463" s="235"/>
      <c r="AI4463" s="38"/>
    </row>
    <row r="4464" ht="15.75" customHeight="1">
      <c r="A4464" s="35"/>
      <c r="C4464" s="442"/>
      <c r="P4464" s="235"/>
      <c r="AI4464" s="38"/>
    </row>
    <row r="4465" ht="15.75" customHeight="1">
      <c r="A4465" s="35"/>
      <c r="C4465" s="442"/>
      <c r="P4465" s="235"/>
      <c r="AI4465" s="38"/>
    </row>
    <row r="4466" ht="15.75" customHeight="1">
      <c r="A4466" s="35"/>
      <c r="C4466" s="442"/>
      <c r="P4466" s="235"/>
      <c r="AI4466" s="38"/>
    </row>
    <row r="4467" ht="15.75" customHeight="1">
      <c r="A4467" s="35"/>
      <c r="C4467" s="442"/>
      <c r="P4467" s="235"/>
      <c r="AI4467" s="38"/>
    </row>
    <row r="4468" ht="15.75" customHeight="1">
      <c r="A4468" s="35"/>
      <c r="C4468" s="442"/>
      <c r="P4468" s="235"/>
      <c r="AI4468" s="38"/>
    </row>
    <row r="4469" ht="15.75" customHeight="1">
      <c r="A4469" s="35"/>
      <c r="C4469" s="442"/>
      <c r="P4469" s="235"/>
      <c r="AI4469" s="38"/>
    </row>
    <row r="4470" ht="15.75" customHeight="1">
      <c r="A4470" s="35"/>
      <c r="C4470" s="442"/>
      <c r="P4470" s="235"/>
      <c r="AI4470" s="38"/>
    </row>
    <row r="4471" ht="15.75" customHeight="1">
      <c r="A4471" s="35"/>
      <c r="C4471" s="442"/>
      <c r="P4471" s="235"/>
      <c r="AI4471" s="38"/>
    </row>
    <row r="4472" ht="15.75" customHeight="1">
      <c r="A4472" s="35"/>
      <c r="C4472" s="442"/>
      <c r="P4472" s="235"/>
      <c r="AI4472" s="38"/>
    </row>
    <row r="4473" ht="15.75" customHeight="1">
      <c r="A4473" s="35"/>
      <c r="C4473" s="442"/>
      <c r="P4473" s="235"/>
      <c r="AI4473" s="38"/>
    </row>
    <row r="4474" ht="15.75" customHeight="1">
      <c r="A4474" s="35"/>
      <c r="C4474" s="442"/>
      <c r="P4474" s="235"/>
      <c r="AI4474" s="38"/>
    </row>
    <row r="4475" ht="15.75" customHeight="1">
      <c r="A4475" s="35"/>
      <c r="C4475" s="442"/>
      <c r="P4475" s="235"/>
      <c r="AI4475" s="38"/>
    </row>
    <row r="4476" ht="15.75" customHeight="1">
      <c r="A4476" s="35"/>
      <c r="C4476" s="442"/>
      <c r="P4476" s="235"/>
      <c r="AI4476" s="38"/>
    </row>
    <row r="4477" ht="15.75" customHeight="1">
      <c r="A4477" s="35"/>
      <c r="C4477" s="442"/>
      <c r="P4477" s="235"/>
      <c r="AI4477" s="38"/>
    </row>
    <row r="4478" ht="15.75" customHeight="1">
      <c r="A4478" s="35"/>
      <c r="C4478" s="442"/>
      <c r="P4478" s="235"/>
      <c r="AI4478" s="38"/>
    </row>
    <row r="4479" ht="15.75" customHeight="1">
      <c r="A4479" s="35"/>
      <c r="C4479" s="442"/>
      <c r="P4479" s="235"/>
      <c r="AI4479" s="38"/>
    </row>
    <row r="4480" ht="15.75" customHeight="1">
      <c r="A4480" s="35"/>
      <c r="C4480" s="442"/>
      <c r="P4480" s="235"/>
      <c r="AI4480" s="38"/>
    </row>
    <row r="4481" ht="15.75" customHeight="1">
      <c r="A4481" s="35"/>
      <c r="C4481" s="442"/>
      <c r="P4481" s="235"/>
      <c r="AI4481" s="38"/>
    </row>
    <row r="4482" ht="15.75" customHeight="1">
      <c r="A4482" s="35"/>
      <c r="C4482" s="442"/>
      <c r="P4482" s="235"/>
      <c r="AI4482" s="38"/>
    </row>
    <row r="4483" ht="15.75" customHeight="1">
      <c r="A4483" s="35"/>
      <c r="C4483" s="442"/>
      <c r="P4483" s="235"/>
      <c r="AI4483" s="38"/>
    </row>
    <row r="4484" ht="15.75" customHeight="1">
      <c r="A4484" s="35"/>
      <c r="C4484" s="442"/>
      <c r="P4484" s="235"/>
      <c r="AI4484" s="38"/>
    </row>
    <row r="4485" ht="15.75" customHeight="1">
      <c r="A4485" s="35"/>
      <c r="C4485" s="442"/>
      <c r="P4485" s="235"/>
      <c r="AI4485" s="38"/>
    </row>
    <row r="4486" ht="15.75" customHeight="1">
      <c r="A4486" s="35"/>
      <c r="C4486" s="442"/>
      <c r="P4486" s="235"/>
      <c r="AI4486" s="38"/>
    </row>
    <row r="4487" ht="15.75" customHeight="1">
      <c r="A4487" s="35"/>
      <c r="C4487" s="442"/>
      <c r="P4487" s="235"/>
      <c r="AI4487" s="38"/>
    </row>
    <row r="4488" ht="15.75" customHeight="1">
      <c r="A4488" s="35"/>
      <c r="C4488" s="442"/>
      <c r="P4488" s="235"/>
      <c r="AI4488" s="38"/>
    </row>
    <row r="4489" ht="15.75" customHeight="1">
      <c r="A4489" s="35"/>
      <c r="C4489" s="442"/>
      <c r="P4489" s="235"/>
      <c r="AI4489" s="38"/>
    </row>
    <row r="4490" ht="15.75" customHeight="1">
      <c r="A4490" s="35"/>
      <c r="C4490" s="442"/>
      <c r="P4490" s="235"/>
      <c r="AI4490" s="38"/>
    </row>
    <row r="4491" ht="15.75" customHeight="1">
      <c r="A4491" s="35"/>
      <c r="C4491" s="442"/>
      <c r="P4491" s="235"/>
      <c r="AI4491" s="38"/>
    </row>
    <row r="4492" ht="15.75" customHeight="1">
      <c r="A4492" s="35"/>
      <c r="C4492" s="442"/>
      <c r="P4492" s="235"/>
      <c r="AI4492" s="38"/>
    </row>
    <row r="4493" ht="15.75" customHeight="1">
      <c r="A4493" s="35"/>
      <c r="C4493" s="442"/>
      <c r="P4493" s="235"/>
      <c r="AI4493" s="38"/>
    </row>
    <row r="4494" ht="15.75" customHeight="1">
      <c r="A4494" s="35"/>
      <c r="C4494" s="442"/>
      <c r="P4494" s="235"/>
      <c r="AI4494" s="38"/>
    </row>
    <row r="4495" ht="15.75" customHeight="1">
      <c r="A4495" s="35"/>
      <c r="C4495" s="442"/>
      <c r="P4495" s="235"/>
      <c r="AI4495" s="38"/>
    </row>
    <row r="4496" ht="15.75" customHeight="1">
      <c r="A4496" s="35"/>
      <c r="C4496" s="442"/>
      <c r="P4496" s="235"/>
      <c r="AI4496" s="38"/>
    </row>
    <row r="4497" ht="15.75" customHeight="1">
      <c r="A4497" s="35"/>
      <c r="C4497" s="442"/>
      <c r="P4497" s="235"/>
      <c r="AI4497" s="38"/>
    </row>
    <row r="4498" ht="15.75" customHeight="1">
      <c r="A4498" s="35"/>
      <c r="C4498" s="442"/>
      <c r="P4498" s="235"/>
      <c r="AI4498" s="38"/>
    </row>
    <row r="4499" ht="15.75" customHeight="1">
      <c r="A4499" s="35"/>
      <c r="C4499" s="442"/>
      <c r="P4499" s="235"/>
      <c r="AI4499" s="38"/>
    </row>
    <row r="4500" ht="15.75" customHeight="1">
      <c r="A4500" s="35"/>
      <c r="C4500" s="442"/>
      <c r="P4500" s="235"/>
      <c r="AI4500" s="38"/>
    </row>
    <row r="4501" ht="15.75" customHeight="1">
      <c r="A4501" s="35"/>
      <c r="C4501" s="442"/>
      <c r="P4501" s="235"/>
      <c r="AI4501" s="38"/>
    </row>
    <row r="4502" ht="15.75" customHeight="1">
      <c r="A4502" s="35"/>
      <c r="C4502" s="442"/>
      <c r="P4502" s="235"/>
      <c r="AI4502" s="38"/>
    </row>
    <row r="4503" ht="15.75" customHeight="1">
      <c r="A4503" s="35"/>
      <c r="C4503" s="442"/>
      <c r="P4503" s="235"/>
      <c r="AI4503" s="38"/>
    </row>
    <row r="4504" ht="15.75" customHeight="1">
      <c r="A4504" s="35"/>
      <c r="C4504" s="442"/>
      <c r="P4504" s="235"/>
      <c r="AI4504" s="38"/>
    </row>
    <row r="4505" ht="15.75" customHeight="1">
      <c r="A4505" s="35"/>
      <c r="C4505" s="442"/>
      <c r="P4505" s="235"/>
      <c r="AI4505" s="38"/>
    </row>
    <row r="4506" ht="15.75" customHeight="1">
      <c r="A4506" s="35"/>
      <c r="C4506" s="442"/>
      <c r="P4506" s="235"/>
      <c r="AI4506" s="38"/>
    </row>
    <row r="4507" ht="15.75" customHeight="1">
      <c r="A4507" s="35"/>
      <c r="C4507" s="442"/>
      <c r="P4507" s="235"/>
      <c r="AI4507" s="38"/>
    </row>
    <row r="4508" ht="15.75" customHeight="1">
      <c r="A4508" s="35"/>
      <c r="C4508" s="442"/>
      <c r="P4508" s="235"/>
      <c r="AI4508" s="38"/>
    </row>
    <row r="4509" ht="15.75" customHeight="1">
      <c r="A4509" s="35"/>
      <c r="C4509" s="442"/>
      <c r="P4509" s="235"/>
      <c r="AI4509" s="38"/>
    </row>
    <row r="4510" ht="15.75" customHeight="1">
      <c r="A4510" s="35"/>
      <c r="C4510" s="442"/>
      <c r="P4510" s="235"/>
      <c r="AI4510" s="38"/>
    </row>
    <row r="4511" ht="15.75" customHeight="1">
      <c r="A4511" s="35"/>
      <c r="C4511" s="442"/>
      <c r="P4511" s="235"/>
      <c r="AI4511" s="38"/>
    </row>
    <row r="4512" ht="15.75" customHeight="1">
      <c r="A4512" s="35"/>
      <c r="C4512" s="442"/>
      <c r="P4512" s="235"/>
      <c r="AI4512" s="38"/>
    </row>
    <row r="4513" ht="15.75" customHeight="1">
      <c r="A4513" s="35"/>
      <c r="C4513" s="442"/>
      <c r="P4513" s="235"/>
      <c r="AI4513" s="38"/>
    </row>
    <row r="4514" ht="15.75" customHeight="1">
      <c r="A4514" s="35"/>
      <c r="C4514" s="442"/>
      <c r="P4514" s="235"/>
      <c r="AI4514" s="38"/>
    </row>
    <row r="4515" ht="15.75" customHeight="1">
      <c r="A4515" s="35"/>
      <c r="C4515" s="442"/>
      <c r="P4515" s="235"/>
      <c r="AI4515" s="38"/>
    </row>
    <row r="4516" ht="15.75" customHeight="1">
      <c r="A4516" s="35"/>
      <c r="C4516" s="442"/>
      <c r="P4516" s="235"/>
      <c r="AI4516" s="38"/>
    </row>
    <row r="4517" ht="15.75" customHeight="1">
      <c r="A4517" s="35"/>
      <c r="C4517" s="442"/>
      <c r="P4517" s="235"/>
      <c r="AI4517" s="38"/>
    </row>
    <row r="4518" ht="15.75" customHeight="1">
      <c r="A4518" s="35"/>
      <c r="C4518" s="442"/>
      <c r="P4518" s="235"/>
      <c r="AI4518" s="38"/>
    </row>
    <row r="4519" ht="15.75" customHeight="1">
      <c r="A4519" s="35"/>
      <c r="C4519" s="442"/>
      <c r="P4519" s="235"/>
      <c r="AI4519" s="38"/>
    </row>
    <row r="4520" ht="15.75" customHeight="1">
      <c r="A4520" s="35"/>
      <c r="C4520" s="442"/>
      <c r="P4520" s="235"/>
      <c r="AI4520" s="38"/>
    </row>
    <row r="4521" ht="15.75" customHeight="1">
      <c r="A4521" s="35"/>
      <c r="C4521" s="442"/>
      <c r="P4521" s="235"/>
      <c r="AI4521" s="38"/>
    </row>
    <row r="4522" ht="15.75" customHeight="1">
      <c r="A4522" s="35"/>
      <c r="C4522" s="442"/>
      <c r="P4522" s="235"/>
      <c r="AI4522" s="38"/>
    </row>
    <row r="4523" ht="15.75" customHeight="1">
      <c r="A4523" s="35"/>
      <c r="C4523" s="442"/>
      <c r="P4523" s="235"/>
      <c r="AI4523" s="38"/>
    </row>
    <row r="4524" ht="15.75" customHeight="1">
      <c r="A4524" s="35"/>
      <c r="C4524" s="442"/>
      <c r="P4524" s="235"/>
      <c r="AI4524" s="38"/>
    </row>
    <row r="4525" ht="15.75" customHeight="1">
      <c r="A4525" s="35"/>
      <c r="C4525" s="442"/>
      <c r="P4525" s="235"/>
      <c r="AI4525" s="38"/>
    </row>
    <row r="4526" ht="15.75" customHeight="1">
      <c r="A4526" s="35"/>
      <c r="C4526" s="442"/>
      <c r="P4526" s="235"/>
      <c r="AI4526" s="38"/>
    </row>
    <row r="4527" ht="15.75" customHeight="1">
      <c r="A4527" s="35"/>
      <c r="C4527" s="442"/>
      <c r="P4527" s="235"/>
      <c r="AI4527" s="38"/>
    </row>
    <row r="4528" ht="15.75" customHeight="1">
      <c r="A4528" s="35"/>
      <c r="C4528" s="442"/>
      <c r="P4528" s="235"/>
      <c r="AI4528" s="38"/>
    </row>
    <row r="4529" ht="15.75" customHeight="1">
      <c r="A4529" s="35"/>
      <c r="C4529" s="442"/>
      <c r="P4529" s="235"/>
      <c r="AI4529" s="38"/>
    </row>
    <row r="4530" ht="15.75" customHeight="1">
      <c r="A4530" s="35"/>
      <c r="C4530" s="442"/>
      <c r="P4530" s="235"/>
      <c r="AI4530" s="38"/>
    </row>
    <row r="4531" ht="15.75" customHeight="1">
      <c r="A4531" s="35"/>
      <c r="C4531" s="442"/>
      <c r="P4531" s="235"/>
      <c r="AI4531" s="38"/>
    </row>
    <row r="4532" ht="15.75" customHeight="1">
      <c r="A4532" s="35"/>
      <c r="C4532" s="442"/>
      <c r="P4532" s="235"/>
      <c r="AI4532" s="38"/>
    </row>
    <row r="4533" ht="15.75" customHeight="1">
      <c r="A4533" s="35"/>
      <c r="C4533" s="442"/>
      <c r="P4533" s="235"/>
      <c r="AI4533" s="38"/>
    </row>
    <row r="4534" ht="15.75" customHeight="1">
      <c r="A4534" s="35"/>
      <c r="C4534" s="442"/>
      <c r="P4534" s="235"/>
      <c r="AI4534" s="38"/>
    </row>
    <row r="4535" ht="15.75" customHeight="1">
      <c r="A4535" s="35"/>
      <c r="C4535" s="442"/>
      <c r="P4535" s="235"/>
      <c r="AI4535" s="38"/>
    </row>
    <row r="4536" ht="15.75" customHeight="1">
      <c r="A4536" s="35"/>
      <c r="C4536" s="442"/>
      <c r="P4536" s="235"/>
      <c r="AI4536" s="38"/>
    </row>
    <row r="4537" ht="15.75" customHeight="1">
      <c r="A4537" s="35"/>
      <c r="C4537" s="442"/>
      <c r="P4537" s="235"/>
      <c r="AI4537" s="38"/>
    </row>
    <row r="4538" ht="15.75" customHeight="1">
      <c r="A4538" s="35"/>
      <c r="C4538" s="442"/>
      <c r="P4538" s="235"/>
      <c r="AI4538" s="38"/>
    </row>
    <row r="4539" ht="15.75" customHeight="1">
      <c r="A4539" s="35"/>
      <c r="C4539" s="442"/>
      <c r="P4539" s="235"/>
      <c r="AI4539" s="38"/>
    </row>
    <row r="4540" ht="15.75" customHeight="1">
      <c r="A4540" s="35"/>
      <c r="C4540" s="442"/>
      <c r="P4540" s="235"/>
      <c r="AI4540" s="38"/>
    </row>
    <row r="4541" ht="15.75" customHeight="1">
      <c r="A4541" s="35"/>
      <c r="C4541" s="442"/>
      <c r="P4541" s="235"/>
      <c r="AI4541" s="38"/>
    </row>
    <row r="4542" ht="15.75" customHeight="1">
      <c r="A4542" s="35"/>
      <c r="C4542" s="442"/>
      <c r="P4542" s="235"/>
      <c r="AI4542" s="38"/>
    </row>
    <row r="4543" ht="15.75" customHeight="1">
      <c r="A4543" s="35"/>
      <c r="C4543" s="442"/>
      <c r="P4543" s="235"/>
      <c r="AI4543" s="38"/>
    </row>
    <row r="4544" ht="15.75" customHeight="1">
      <c r="A4544" s="35"/>
      <c r="C4544" s="442"/>
      <c r="P4544" s="235"/>
      <c r="AI4544" s="38"/>
    </row>
    <row r="4545" ht="15.75" customHeight="1">
      <c r="A4545" s="35"/>
      <c r="C4545" s="442"/>
      <c r="P4545" s="235"/>
      <c r="AI4545" s="38"/>
    </row>
    <row r="4546" ht="15.75" customHeight="1">
      <c r="A4546" s="35"/>
      <c r="C4546" s="442"/>
      <c r="P4546" s="235"/>
      <c r="AI4546" s="38"/>
    </row>
    <row r="4547" ht="15.75" customHeight="1">
      <c r="A4547" s="35"/>
      <c r="C4547" s="442"/>
      <c r="P4547" s="235"/>
      <c r="AI4547" s="38"/>
    </row>
    <row r="4548" ht="15.75" customHeight="1">
      <c r="A4548" s="35"/>
      <c r="C4548" s="442"/>
      <c r="P4548" s="235"/>
      <c r="AI4548" s="38"/>
    </row>
    <row r="4549" ht="15.75" customHeight="1">
      <c r="A4549" s="35"/>
      <c r="C4549" s="442"/>
      <c r="P4549" s="235"/>
      <c r="AI4549" s="38"/>
    </row>
    <row r="4550" ht="15.75" customHeight="1">
      <c r="A4550" s="35"/>
      <c r="C4550" s="442"/>
      <c r="P4550" s="235"/>
      <c r="AI4550" s="38"/>
    </row>
    <row r="4551" ht="15.75" customHeight="1">
      <c r="A4551" s="35"/>
      <c r="C4551" s="442"/>
      <c r="P4551" s="235"/>
      <c r="AI4551" s="38"/>
    </row>
    <row r="4552" ht="15.75" customHeight="1">
      <c r="A4552" s="35"/>
      <c r="C4552" s="442"/>
      <c r="P4552" s="235"/>
      <c r="AI4552" s="38"/>
    </row>
    <row r="4553" ht="15.75" customHeight="1">
      <c r="A4553" s="35"/>
      <c r="C4553" s="442"/>
      <c r="P4553" s="235"/>
      <c r="AI4553" s="38"/>
    </row>
    <row r="4554" ht="15.75" customHeight="1">
      <c r="A4554" s="35"/>
      <c r="C4554" s="442"/>
      <c r="P4554" s="235"/>
      <c r="AI4554" s="38"/>
    </row>
    <row r="4555" ht="15.75" customHeight="1">
      <c r="A4555" s="35"/>
      <c r="C4555" s="442"/>
      <c r="P4555" s="235"/>
      <c r="AI4555" s="38"/>
    </row>
    <row r="4556" ht="15.75" customHeight="1">
      <c r="A4556" s="35"/>
      <c r="C4556" s="442"/>
      <c r="P4556" s="235"/>
      <c r="AI4556" s="38"/>
    </row>
    <row r="4557" ht="15.75" customHeight="1">
      <c r="A4557" s="35"/>
      <c r="C4557" s="442"/>
      <c r="P4557" s="235"/>
      <c r="AI4557" s="38"/>
    </row>
    <row r="4558" ht="15.75" customHeight="1">
      <c r="A4558" s="35"/>
      <c r="C4558" s="442"/>
      <c r="P4558" s="235"/>
      <c r="AI4558" s="38"/>
    </row>
    <row r="4559" ht="15.75" customHeight="1">
      <c r="A4559" s="35"/>
      <c r="C4559" s="442"/>
      <c r="P4559" s="235"/>
      <c r="AI4559" s="38"/>
    </row>
    <row r="4560" ht="15.75" customHeight="1">
      <c r="A4560" s="35"/>
      <c r="C4560" s="442"/>
      <c r="P4560" s="235"/>
      <c r="AI4560" s="38"/>
    </row>
    <row r="4561" ht="15.75" customHeight="1">
      <c r="A4561" s="35"/>
      <c r="C4561" s="442"/>
      <c r="P4561" s="235"/>
      <c r="AI4561" s="38"/>
    </row>
    <row r="4562" ht="15.75" customHeight="1">
      <c r="A4562" s="35"/>
      <c r="C4562" s="442"/>
      <c r="P4562" s="235"/>
      <c r="AI4562" s="38"/>
    </row>
    <row r="4563" ht="15.75" customHeight="1">
      <c r="A4563" s="35"/>
      <c r="C4563" s="442"/>
      <c r="P4563" s="235"/>
      <c r="AI4563" s="38"/>
    </row>
    <row r="4564" ht="15.75" customHeight="1">
      <c r="A4564" s="35"/>
      <c r="C4564" s="442"/>
      <c r="P4564" s="235"/>
      <c r="AI4564" s="38"/>
    </row>
    <row r="4565" ht="15.75" customHeight="1">
      <c r="A4565" s="35"/>
      <c r="C4565" s="442"/>
      <c r="P4565" s="235"/>
      <c r="AI4565" s="38"/>
    </row>
    <row r="4566" ht="15.75" customHeight="1">
      <c r="A4566" s="35"/>
      <c r="C4566" s="442"/>
      <c r="P4566" s="235"/>
      <c r="AI4566" s="38"/>
    </row>
    <row r="4567" ht="15.75" customHeight="1">
      <c r="A4567" s="35"/>
      <c r="C4567" s="442"/>
      <c r="P4567" s="235"/>
      <c r="AI4567" s="38"/>
    </row>
    <row r="4568" ht="15.75" customHeight="1">
      <c r="A4568" s="35"/>
      <c r="C4568" s="442"/>
      <c r="P4568" s="235"/>
      <c r="AI4568" s="38"/>
    </row>
    <row r="4569" ht="15.75" customHeight="1">
      <c r="A4569" s="35"/>
      <c r="C4569" s="442"/>
      <c r="P4569" s="235"/>
      <c r="AI4569" s="38"/>
    </row>
    <row r="4570" ht="15.75" customHeight="1">
      <c r="A4570" s="35"/>
      <c r="C4570" s="442"/>
      <c r="P4570" s="235"/>
      <c r="AI4570" s="38"/>
    </row>
    <row r="4571" ht="15.75" customHeight="1">
      <c r="A4571" s="35"/>
      <c r="C4571" s="442"/>
      <c r="P4571" s="235"/>
      <c r="AI4571" s="38"/>
    </row>
    <row r="4572" ht="15.75" customHeight="1">
      <c r="A4572" s="35"/>
      <c r="C4572" s="442"/>
      <c r="P4572" s="235"/>
      <c r="AI4572" s="38"/>
    </row>
    <row r="4573" ht="15.75" customHeight="1">
      <c r="A4573" s="35"/>
      <c r="C4573" s="442"/>
      <c r="P4573" s="235"/>
      <c r="AI4573" s="38"/>
    </row>
    <row r="4574" ht="15.75" customHeight="1">
      <c r="A4574" s="35"/>
      <c r="C4574" s="442"/>
      <c r="P4574" s="235"/>
      <c r="AI4574" s="38"/>
    </row>
    <row r="4575" ht="15.75" customHeight="1">
      <c r="A4575" s="35"/>
      <c r="C4575" s="442"/>
      <c r="P4575" s="235"/>
      <c r="AI4575" s="38"/>
    </row>
    <row r="4576" ht="15.75" customHeight="1">
      <c r="A4576" s="35"/>
      <c r="C4576" s="442"/>
      <c r="P4576" s="235"/>
      <c r="AI4576" s="38"/>
    </row>
    <row r="4577" ht="15.75" customHeight="1">
      <c r="A4577" s="35"/>
      <c r="C4577" s="442"/>
      <c r="P4577" s="235"/>
      <c r="AI4577" s="38"/>
    </row>
    <row r="4578" ht="15.75" customHeight="1">
      <c r="A4578" s="35"/>
      <c r="C4578" s="442"/>
      <c r="P4578" s="235"/>
      <c r="AI4578" s="38"/>
    </row>
    <row r="4579" ht="15.75" customHeight="1">
      <c r="A4579" s="35"/>
      <c r="C4579" s="442"/>
      <c r="P4579" s="235"/>
      <c r="AI4579" s="38"/>
    </row>
    <row r="4580" ht="15.75" customHeight="1">
      <c r="A4580" s="35"/>
      <c r="C4580" s="442"/>
      <c r="P4580" s="235"/>
      <c r="AI4580" s="38"/>
    </row>
    <row r="4581" ht="15.75" customHeight="1">
      <c r="A4581" s="35"/>
      <c r="C4581" s="442"/>
      <c r="P4581" s="235"/>
      <c r="AI4581" s="38"/>
    </row>
    <row r="4582" ht="15.75" customHeight="1">
      <c r="A4582" s="35"/>
      <c r="C4582" s="442"/>
      <c r="P4582" s="235"/>
      <c r="AI4582" s="38"/>
    </row>
    <row r="4583" ht="15.75" customHeight="1">
      <c r="A4583" s="35"/>
      <c r="C4583" s="442"/>
      <c r="P4583" s="235"/>
      <c r="AI4583" s="38"/>
    </row>
    <row r="4584" ht="15.75" customHeight="1">
      <c r="A4584" s="35"/>
      <c r="C4584" s="442"/>
      <c r="P4584" s="235"/>
      <c r="AI4584" s="38"/>
    </row>
    <row r="4585" ht="15.75" customHeight="1">
      <c r="A4585" s="35"/>
      <c r="C4585" s="442"/>
      <c r="P4585" s="235"/>
      <c r="AI4585" s="38"/>
    </row>
    <row r="4586" ht="15.75" customHeight="1">
      <c r="A4586" s="35"/>
      <c r="C4586" s="442"/>
      <c r="P4586" s="235"/>
      <c r="AI4586" s="38"/>
    </row>
    <row r="4587" ht="15.75" customHeight="1">
      <c r="A4587" s="35"/>
      <c r="C4587" s="442"/>
      <c r="P4587" s="235"/>
      <c r="AI4587" s="38"/>
    </row>
    <row r="4588" ht="15.75" customHeight="1">
      <c r="A4588" s="35"/>
      <c r="C4588" s="442"/>
      <c r="P4588" s="235"/>
      <c r="AI4588" s="38"/>
    </row>
    <row r="4589" ht="15.75" customHeight="1">
      <c r="A4589" s="35"/>
      <c r="C4589" s="442"/>
      <c r="P4589" s="235"/>
      <c r="AI4589" s="38"/>
    </row>
    <row r="4590" ht="15.75" customHeight="1">
      <c r="A4590" s="35"/>
      <c r="C4590" s="442"/>
      <c r="P4590" s="235"/>
      <c r="AI4590" s="38"/>
    </row>
    <row r="4591" ht="15.75" customHeight="1">
      <c r="A4591" s="35"/>
      <c r="C4591" s="442"/>
      <c r="P4591" s="235"/>
      <c r="AI4591" s="38"/>
    </row>
    <row r="4592" ht="15.75" customHeight="1">
      <c r="A4592" s="35"/>
      <c r="C4592" s="442"/>
      <c r="P4592" s="235"/>
      <c r="AI4592" s="38"/>
    </row>
    <row r="4593" ht="15.75" customHeight="1">
      <c r="A4593" s="35"/>
      <c r="C4593" s="442"/>
      <c r="P4593" s="235"/>
      <c r="AI4593" s="38"/>
    </row>
    <row r="4594" ht="15.75" customHeight="1">
      <c r="A4594" s="35"/>
      <c r="C4594" s="442"/>
      <c r="P4594" s="235"/>
      <c r="AI4594" s="38"/>
    </row>
    <row r="4595" ht="15.75" customHeight="1">
      <c r="A4595" s="35"/>
      <c r="C4595" s="442"/>
      <c r="P4595" s="235"/>
      <c r="AI4595" s="38"/>
    </row>
    <row r="4596" ht="15.75" customHeight="1">
      <c r="A4596" s="35"/>
      <c r="C4596" s="442"/>
      <c r="P4596" s="235"/>
      <c r="AI4596" s="38"/>
    </row>
    <row r="4597" ht="15.75" customHeight="1">
      <c r="A4597" s="35"/>
      <c r="C4597" s="442"/>
      <c r="P4597" s="235"/>
      <c r="AI4597" s="38"/>
    </row>
    <row r="4598" ht="15.75" customHeight="1">
      <c r="A4598" s="35"/>
      <c r="C4598" s="442"/>
      <c r="P4598" s="235"/>
      <c r="AI4598" s="38"/>
    </row>
    <row r="4599" ht="15.75" customHeight="1">
      <c r="A4599" s="35"/>
      <c r="C4599" s="442"/>
      <c r="P4599" s="235"/>
      <c r="AI4599" s="38"/>
    </row>
    <row r="4600" ht="15.75" customHeight="1">
      <c r="A4600" s="35"/>
      <c r="C4600" s="442"/>
      <c r="P4600" s="235"/>
      <c r="AI4600" s="38"/>
    </row>
    <row r="4601" ht="15.75" customHeight="1">
      <c r="A4601" s="35"/>
      <c r="C4601" s="442"/>
      <c r="P4601" s="235"/>
      <c r="AI4601" s="38"/>
    </row>
    <row r="4602" ht="15.75" customHeight="1">
      <c r="A4602" s="35"/>
      <c r="C4602" s="442"/>
      <c r="P4602" s="235"/>
      <c r="AI4602" s="38"/>
    </row>
    <row r="4603" ht="15.75" customHeight="1">
      <c r="A4603" s="35"/>
      <c r="C4603" s="442"/>
      <c r="P4603" s="235"/>
      <c r="AI4603" s="38"/>
    </row>
    <row r="4604" ht="15.75" customHeight="1">
      <c r="A4604" s="35"/>
      <c r="C4604" s="442"/>
      <c r="P4604" s="235"/>
      <c r="AI4604" s="38"/>
    </row>
    <row r="4605" ht="15.75" customHeight="1">
      <c r="A4605" s="35"/>
      <c r="C4605" s="442"/>
      <c r="P4605" s="235"/>
      <c r="AI4605" s="38"/>
    </row>
    <row r="4606" ht="15.75" customHeight="1">
      <c r="A4606" s="35"/>
      <c r="C4606" s="442"/>
      <c r="P4606" s="235"/>
      <c r="AI4606" s="38"/>
    </row>
    <row r="4607" ht="15.75" customHeight="1">
      <c r="A4607" s="35"/>
      <c r="C4607" s="442"/>
      <c r="P4607" s="235"/>
      <c r="AI4607" s="38"/>
    </row>
    <row r="4608" ht="15.75" customHeight="1">
      <c r="A4608" s="35"/>
      <c r="C4608" s="442"/>
      <c r="P4608" s="235"/>
      <c r="AI4608" s="38"/>
    </row>
    <row r="4609" ht="15.75" customHeight="1">
      <c r="A4609" s="35"/>
      <c r="C4609" s="442"/>
      <c r="P4609" s="235"/>
      <c r="AI4609" s="38"/>
    </row>
    <row r="4610" ht="15.75" customHeight="1">
      <c r="A4610" s="35"/>
      <c r="C4610" s="442"/>
      <c r="P4610" s="235"/>
      <c r="AI4610" s="38"/>
    </row>
    <row r="4611" ht="15.75" customHeight="1">
      <c r="A4611" s="35"/>
      <c r="C4611" s="442"/>
      <c r="P4611" s="235"/>
      <c r="AI4611" s="38"/>
    </row>
    <row r="4612" ht="15.75" customHeight="1">
      <c r="A4612" s="35"/>
      <c r="C4612" s="442"/>
      <c r="P4612" s="235"/>
      <c r="AI4612" s="38"/>
    </row>
    <row r="4613" ht="15.75" customHeight="1">
      <c r="A4613" s="35"/>
      <c r="C4613" s="442"/>
      <c r="P4613" s="235"/>
      <c r="AI4613" s="38"/>
    </row>
    <row r="4614" ht="15.75" customHeight="1">
      <c r="A4614" s="35"/>
      <c r="C4614" s="442"/>
      <c r="P4614" s="235"/>
      <c r="AI4614" s="38"/>
    </row>
    <row r="4615" ht="15.75" customHeight="1">
      <c r="A4615" s="35"/>
      <c r="C4615" s="442"/>
      <c r="P4615" s="235"/>
      <c r="AI4615" s="38"/>
    </row>
    <row r="4616" ht="15.75" customHeight="1">
      <c r="A4616" s="35"/>
      <c r="C4616" s="442"/>
      <c r="P4616" s="235"/>
      <c r="AI4616" s="38"/>
    </row>
    <row r="4617" ht="15.75" customHeight="1">
      <c r="A4617" s="35"/>
      <c r="C4617" s="442"/>
      <c r="P4617" s="235"/>
      <c r="AI4617" s="38"/>
    </row>
    <row r="4618" ht="15.75" customHeight="1">
      <c r="A4618" s="35"/>
      <c r="C4618" s="442"/>
      <c r="P4618" s="235"/>
      <c r="AI4618" s="38"/>
    </row>
    <row r="4619" ht="15.75" customHeight="1">
      <c r="A4619" s="35"/>
      <c r="C4619" s="442"/>
      <c r="P4619" s="235"/>
      <c r="AI4619" s="38"/>
    </row>
    <row r="4620" ht="15.75" customHeight="1">
      <c r="A4620" s="35"/>
      <c r="C4620" s="442"/>
      <c r="P4620" s="235"/>
      <c r="AI4620" s="38"/>
    </row>
    <row r="4621" ht="15.75" customHeight="1">
      <c r="A4621" s="35"/>
      <c r="C4621" s="442"/>
      <c r="P4621" s="235"/>
      <c r="AI4621" s="38"/>
    </row>
    <row r="4622" ht="15.75" customHeight="1">
      <c r="A4622" s="35"/>
      <c r="C4622" s="442"/>
      <c r="P4622" s="235"/>
      <c r="AI4622" s="38"/>
    </row>
    <row r="4623" ht="15.75" customHeight="1">
      <c r="A4623" s="35"/>
      <c r="C4623" s="442"/>
      <c r="P4623" s="235"/>
      <c r="AI4623" s="38"/>
    </row>
    <row r="4624" ht="15.75" customHeight="1">
      <c r="A4624" s="35"/>
      <c r="C4624" s="442"/>
      <c r="P4624" s="235"/>
      <c r="AI4624" s="38"/>
    </row>
    <row r="4625" ht="15.75" customHeight="1">
      <c r="A4625" s="35"/>
      <c r="C4625" s="442"/>
      <c r="P4625" s="235"/>
      <c r="AI4625" s="38"/>
    </row>
    <row r="4626" ht="15.75" customHeight="1">
      <c r="A4626" s="35"/>
      <c r="C4626" s="442"/>
      <c r="P4626" s="235"/>
      <c r="AI4626" s="38"/>
    </row>
    <row r="4627" ht="15.75" customHeight="1">
      <c r="A4627" s="35"/>
      <c r="C4627" s="442"/>
      <c r="P4627" s="235"/>
      <c r="AI4627" s="38"/>
    </row>
    <row r="4628" ht="15.75" customHeight="1">
      <c r="A4628" s="35"/>
      <c r="C4628" s="442"/>
      <c r="P4628" s="235"/>
      <c r="AI4628" s="38"/>
    </row>
    <row r="4629" ht="15.75" customHeight="1">
      <c r="A4629" s="35"/>
      <c r="C4629" s="442"/>
      <c r="P4629" s="235"/>
      <c r="AI4629" s="38"/>
    </row>
    <row r="4630" ht="15.75" customHeight="1">
      <c r="A4630" s="35"/>
      <c r="C4630" s="442"/>
      <c r="P4630" s="235"/>
      <c r="AI4630" s="38"/>
    </row>
    <row r="4631" ht="15.75" customHeight="1">
      <c r="A4631" s="35"/>
      <c r="C4631" s="442"/>
      <c r="P4631" s="235"/>
      <c r="AI4631" s="38"/>
    </row>
    <row r="4632" ht="15.75" customHeight="1">
      <c r="A4632" s="35"/>
      <c r="C4632" s="442"/>
      <c r="P4632" s="235"/>
      <c r="AI4632" s="38"/>
    </row>
    <row r="4633" ht="15.75" customHeight="1">
      <c r="A4633" s="35"/>
      <c r="C4633" s="442"/>
      <c r="P4633" s="235"/>
      <c r="AI4633" s="38"/>
    </row>
    <row r="4634" ht="15.75" customHeight="1">
      <c r="A4634" s="35"/>
      <c r="C4634" s="442"/>
      <c r="P4634" s="235"/>
      <c r="AI4634" s="38"/>
    </row>
    <row r="4635" ht="15.75" customHeight="1">
      <c r="A4635" s="35"/>
      <c r="C4635" s="442"/>
      <c r="P4635" s="235"/>
      <c r="AI4635" s="38"/>
    </row>
    <row r="4636" ht="15.75" customHeight="1">
      <c r="A4636" s="35"/>
      <c r="C4636" s="442"/>
      <c r="P4636" s="235"/>
      <c r="AI4636" s="38"/>
    </row>
    <row r="4637" ht="15.75" customHeight="1">
      <c r="A4637" s="35"/>
      <c r="C4637" s="442"/>
      <c r="P4637" s="235"/>
      <c r="AI4637" s="38"/>
    </row>
    <row r="4638" ht="15.75" customHeight="1">
      <c r="A4638" s="35"/>
      <c r="C4638" s="442"/>
      <c r="P4638" s="235"/>
      <c r="AI4638" s="38"/>
    </row>
    <row r="4639" ht="15.75" customHeight="1">
      <c r="A4639" s="35"/>
      <c r="C4639" s="442"/>
      <c r="P4639" s="235"/>
      <c r="AI4639" s="38"/>
    </row>
    <row r="4640" ht="15.75" customHeight="1">
      <c r="A4640" s="35"/>
      <c r="C4640" s="442"/>
      <c r="P4640" s="235"/>
      <c r="AI4640" s="38"/>
    </row>
    <row r="4641" ht="15.75" customHeight="1">
      <c r="A4641" s="35"/>
      <c r="C4641" s="442"/>
      <c r="P4641" s="235"/>
      <c r="AI4641" s="38"/>
    </row>
    <row r="4642" ht="15.75" customHeight="1">
      <c r="A4642" s="35"/>
      <c r="C4642" s="442"/>
      <c r="P4642" s="235"/>
      <c r="AI4642" s="38"/>
    </row>
    <row r="4643" ht="15.75" customHeight="1">
      <c r="A4643" s="35"/>
      <c r="C4643" s="442"/>
      <c r="P4643" s="235"/>
      <c r="AI4643" s="38"/>
    </row>
    <row r="4644" ht="15.75" customHeight="1">
      <c r="A4644" s="35"/>
      <c r="C4644" s="442"/>
      <c r="P4644" s="235"/>
      <c r="AI4644" s="38"/>
    </row>
    <row r="4645" ht="15.75" customHeight="1">
      <c r="A4645" s="35"/>
      <c r="C4645" s="442"/>
      <c r="P4645" s="235"/>
      <c r="AI4645" s="38"/>
    </row>
    <row r="4646" ht="15.75" customHeight="1">
      <c r="A4646" s="35"/>
      <c r="C4646" s="442"/>
      <c r="P4646" s="235"/>
      <c r="AI4646" s="38"/>
    </row>
    <row r="4647" ht="15.75" customHeight="1">
      <c r="A4647" s="35"/>
      <c r="C4647" s="442"/>
      <c r="P4647" s="235"/>
      <c r="AI4647" s="38"/>
    </row>
    <row r="4648" ht="15.75" customHeight="1">
      <c r="A4648" s="35"/>
      <c r="C4648" s="442"/>
      <c r="P4648" s="235"/>
      <c r="AI4648" s="38"/>
    </row>
    <row r="4649" ht="15.75" customHeight="1">
      <c r="A4649" s="35"/>
      <c r="C4649" s="442"/>
      <c r="P4649" s="235"/>
      <c r="AI4649" s="38"/>
    </row>
    <row r="4650" ht="15.75" customHeight="1">
      <c r="A4650" s="35"/>
      <c r="C4650" s="442"/>
      <c r="P4650" s="235"/>
      <c r="AI4650" s="38"/>
    </row>
    <row r="4651" ht="15.75" customHeight="1">
      <c r="A4651" s="35"/>
      <c r="C4651" s="442"/>
      <c r="P4651" s="235"/>
      <c r="AI4651" s="38"/>
    </row>
    <row r="4652" ht="15.75" customHeight="1">
      <c r="A4652" s="35"/>
      <c r="C4652" s="442"/>
      <c r="P4652" s="235"/>
      <c r="AI4652" s="38"/>
    </row>
    <row r="4653" ht="15.75" customHeight="1">
      <c r="A4653" s="35"/>
      <c r="C4653" s="442"/>
      <c r="P4653" s="235"/>
      <c r="AI4653" s="38"/>
    </row>
    <row r="4654" ht="15.75" customHeight="1">
      <c r="A4654" s="35"/>
      <c r="C4654" s="442"/>
      <c r="P4654" s="235"/>
      <c r="AI4654" s="38"/>
    </row>
    <row r="4655" ht="15.75" customHeight="1">
      <c r="A4655" s="35"/>
      <c r="C4655" s="442"/>
      <c r="P4655" s="235"/>
      <c r="AI4655" s="38"/>
    </row>
    <row r="4656" ht="15.75" customHeight="1">
      <c r="A4656" s="35"/>
      <c r="C4656" s="442"/>
      <c r="P4656" s="235"/>
      <c r="AI4656" s="38"/>
    </row>
    <row r="4657" ht="15.75" customHeight="1">
      <c r="A4657" s="35"/>
      <c r="C4657" s="442"/>
      <c r="P4657" s="235"/>
      <c r="AI4657" s="38"/>
    </row>
    <row r="4658" ht="15.75" customHeight="1">
      <c r="A4658" s="35"/>
      <c r="C4658" s="442"/>
      <c r="P4658" s="235"/>
      <c r="AI4658" s="38"/>
    </row>
    <row r="4659" ht="15.75" customHeight="1">
      <c r="A4659" s="35"/>
      <c r="C4659" s="442"/>
      <c r="P4659" s="235"/>
      <c r="AI4659" s="38"/>
    </row>
    <row r="4660" ht="15.75" customHeight="1">
      <c r="A4660" s="35"/>
      <c r="C4660" s="442"/>
      <c r="P4660" s="235"/>
      <c r="AI4660" s="38"/>
    </row>
    <row r="4661" ht="15.75" customHeight="1">
      <c r="A4661" s="35"/>
      <c r="C4661" s="442"/>
      <c r="P4661" s="235"/>
      <c r="AI4661" s="38"/>
    </row>
    <row r="4662" ht="15.75" customHeight="1">
      <c r="A4662" s="35"/>
      <c r="C4662" s="442"/>
      <c r="P4662" s="235"/>
      <c r="AI4662" s="38"/>
    </row>
    <row r="4663" ht="15.75" customHeight="1">
      <c r="A4663" s="35"/>
      <c r="C4663" s="442"/>
      <c r="P4663" s="235"/>
      <c r="AI4663" s="38"/>
    </row>
    <row r="4664" ht="15.75" customHeight="1">
      <c r="A4664" s="35"/>
      <c r="C4664" s="442"/>
      <c r="P4664" s="235"/>
      <c r="AI4664" s="38"/>
    </row>
    <row r="4665" ht="15.75" customHeight="1">
      <c r="A4665" s="35"/>
      <c r="C4665" s="442"/>
      <c r="P4665" s="235"/>
      <c r="AI4665" s="38"/>
    </row>
    <row r="4666" ht="15.75" customHeight="1">
      <c r="A4666" s="35"/>
      <c r="C4666" s="442"/>
      <c r="P4666" s="235"/>
      <c r="AI4666" s="38"/>
    </row>
    <row r="4667" ht="15.75" customHeight="1">
      <c r="A4667" s="35"/>
      <c r="C4667" s="442"/>
      <c r="P4667" s="235"/>
      <c r="AI4667" s="38"/>
    </row>
    <row r="4668" ht="15.75" customHeight="1">
      <c r="A4668" s="35"/>
      <c r="C4668" s="442"/>
      <c r="P4668" s="235"/>
      <c r="AI4668" s="38"/>
    </row>
    <row r="4669" ht="15.75" customHeight="1">
      <c r="A4669" s="35"/>
      <c r="C4669" s="442"/>
      <c r="P4669" s="235"/>
      <c r="AI4669" s="38"/>
    </row>
    <row r="4670" ht="15.75" customHeight="1">
      <c r="A4670" s="35"/>
      <c r="C4670" s="442"/>
      <c r="P4670" s="235"/>
      <c r="AI4670" s="38"/>
    </row>
    <row r="4671" ht="15.75" customHeight="1">
      <c r="A4671" s="35"/>
      <c r="C4671" s="442"/>
      <c r="P4671" s="235"/>
      <c r="AI4671" s="38"/>
    </row>
    <row r="4672" ht="15.75" customHeight="1">
      <c r="A4672" s="35"/>
      <c r="C4672" s="442"/>
      <c r="P4672" s="235"/>
      <c r="AI4672" s="38"/>
    </row>
    <row r="4673" ht="15.75" customHeight="1">
      <c r="A4673" s="35"/>
      <c r="C4673" s="442"/>
      <c r="P4673" s="235"/>
      <c r="AI4673" s="38"/>
    </row>
    <row r="4674" ht="15.75" customHeight="1">
      <c r="A4674" s="35"/>
      <c r="C4674" s="442"/>
      <c r="P4674" s="235"/>
      <c r="AI4674" s="38"/>
    </row>
    <row r="4675" ht="15.75" customHeight="1">
      <c r="A4675" s="35"/>
      <c r="C4675" s="442"/>
      <c r="P4675" s="235"/>
      <c r="AI4675" s="38"/>
    </row>
    <row r="4676" ht="15.75" customHeight="1">
      <c r="A4676" s="35"/>
      <c r="C4676" s="442"/>
      <c r="P4676" s="235"/>
      <c r="AI4676" s="38"/>
    </row>
    <row r="4677" ht="15.75" customHeight="1">
      <c r="A4677" s="35"/>
      <c r="C4677" s="442"/>
      <c r="P4677" s="235"/>
      <c r="AI4677" s="38"/>
    </row>
    <row r="4678" ht="15.75" customHeight="1">
      <c r="A4678" s="35"/>
      <c r="C4678" s="442"/>
      <c r="P4678" s="235"/>
      <c r="AI4678" s="38"/>
    </row>
    <row r="4679" ht="15.75" customHeight="1">
      <c r="A4679" s="35"/>
      <c r="C4679" s="442"/>
      <c r="P4679" s="235"/>
      <c r="AI4679" s="38"/>
    </row>
    <row r="4680" ht="15.75" customHeight="1">
      <c r="A4680" s="35"/>
      <c r="C4680" s="442"/>
      <c r="P4680" s="235"/>
      <c r="AI4680" s="38"/>
    </row>
    <row r="4681" ht="15.75" customHeight="1">
      <c r="A4681" s="35"/>
      <c r="C4681" s="442"/>
      <c r="P4681" s="235"/>
      <c r="AI4681" s="38"/>
    </row>
    <row r="4682" ht="15.75" customHeight="1">
      <c r="A4682" s="35"/>
      <c r="C4682" s="442"/>
      <c r="P4682" s="235"/>
      <c r="AI4682" s="38"/>
    </row>
    <row r="4683" ht="15.75" customHeight="1">
      <c r="A4683" s="35"/>
      <c r="C4683" s="442"/>
      <c r="P4683" s="235"/>
      <c r="AI4683" s="38"/>
    </row>
    <row r="4684" ht="15.75" customHeight="1">
      <c r="A4684" s="35"/>
      <c r="C4684" s="442"/>
      <c r="P4684" s="235"/>
      <c r="AI4684" s="38"/>
    </row>
    <row r="4685" ht="15.75" customHeight="1">
      <c r="A4685" s="35"/>
      <c r="C4685" s="442"/>
      <c r="P4685" s="235"/>
      <c r="AI4685" s="38"/>
    </row>
    <row r="4686" ht="15.75" customHeight="1">
      <c r="A4686" s="35"/>
      <c r="C4686" s="442"/>
      <c r="P4686" s="235"/>
      <c r="AI4686" s="38"/>
    </row>
    <row r="4687" ht="15.75" customHeight="1">
      <c r="A4687" s="35"/>
      <c r="C4687" s="442"/>
      <c r="P4687" s="235"/>
      <c r="AI4687" s="38"/>
    </row>
    <row r="4688" ht="15.75" customHeight="1">
      <c r="A4688" s="35"/>
      <c r="C4688" s="442"/>
      <c r="P4688" s="235"/>
      <c r="AI4688" s="38"/>
    </row>
    <row r="4689" ht="15.75" customHeight="1">
      <c r="A4689" s="35"/>
      <c r="C4689" s="442"/>
      <c r="P4689" s="235"/>
      <c r="AI4689" s="38"/>
    </row>
    <row r="4690" ht="15.75" customHeight="1">
      <c r="A4690" s="35"/>
      <c r="C4690" s="442"/>
      <c r="P4690" s="235"/>
      <c r="AI4690" s="38"/>
    </row>
    <row r="4691" ht="15.75" customHeight="1">
      <c r="A4691" s="35"/>
      <c r="C4691" s="442"/>
      <c r="P4691" s="235"/>
      <c r="AI4691" s="38"/>
    </row>
    <row r="4692" ht="15.75" customHeight="1">
      <c r="A4692" s="35"/>
      <c r="C4692" s="442"/>
      <c r="P4692" s="235"/>
      <c r="AI4692" s="38"/>
    </row>
    <row r="4693" ht="15.75" customHeight="1">
      <c r="A4693" s="35"/>
      <c r="C4693" s="442"/>
      <c r="P4693" s="235"/>
      <c r="AI4693" s="38"/>
    </row>
    <row r="4694" ht="15.75" customHeight="1">
      <c r="A4694" s="35"/>
      <c r="C4694" s="442"/>
      <c r="P4694" s="235"/>
      <c r="AI4694" s="38"/>
    </row>
    <row r="4695" ht="15.75" customHeight="1">
      <c r="A4695" s="35"/>
      <c r="C4695" s="442"/>
      <c r="P4695" s="235"/>
      <c r="AI4695" s="38"/>
    </row>
    <row r="4696" ht="15.75" customHeight="1">
      <c r="A4696" s="35"/>
      <c r="C4696" s="442"/>
      <c r="P4696" s="235"/>
      <c r="AI4696" s="38"/>
    </row>
    <row r="4697" ht="15.75" customHeight="1">
      <c r="A4697" s="35"/>
      <c r="C4697" s="442"/>
      <c r="P4697" s="235"/>
      <c r="AI4697" s="38"/>
    </row>
    <row r="4698" ht="15.75" customHeight="1">
      <c r="A4698" s="35"/>
      <c r="C4698" s="442"/>
      <c r="P4698" s="235"/>
      <c r="AI4698" s="38"/>
    </row>
    <row r="4699" ht="15.75" customHeight="1">
      <c r="A4699" s="35"/>
      <c r="C4699" s="442"/>
      <c r="P4699" s="235"/>
      <c r="AI4699" s="38"/>
    </row>
    <row r="4700" ht="15.75" customHeight="1">
      <c r="A4700" s="35"/>
      <c r="C4700" s="442"/>
      <c r="P4700" s="235"/>
      <c r="AI4700" s="38"/>
    </row>
    <row r="4701" ht="15.75" customHeight="1">
      <c r="A4701" s="35"/>
      <c r="C4701" s="442"/>
      <c r="P4701" s="235"/>
      <c r="AI4701" s="38"/>
    </row>
    <row r="4702" ht="15.75" customHeight="1">
      <c r="A4702" s="35"/>
      <c r="C4702" s="442"/>
      <c r="P4702" s="235"/>
      <c r="AI4702" s="38"/>
    </row>
    <row r="4703" ht="15.75" customHeight="1">
      <c r="A4703" s="35"/>
      <c r="C4703" s="442"/>
      <c r="P4703" s="235"/>
      <c r="AI4703" s="38"/>
    </row>
    <row r="4704" ht="15.75" customHeight="1">
      <c r="A4704" s="35"/>
      <c r="C4704" s="442"/>
      <c r="P4704" s="235"/>
      <c r="AI4704" s="38"/>
    </row>
    <row r="4705" ht="15.75" customHeight="1">
      <c r="A4705" s="35"/>
      <c r="C4705" s="442"/>
      <c r="P4705" s="235"/>
      <c r="AI4705" s="38"/>
    </row>
    <row r="4706" ht="15.75" customHeight="1">
      <c r="A4706" s="35"/>
      <c r="C4706" s="442"/>
      <c r="P4706" s="235"/>
      <c r="AI4706" s="38"/>
    </row>
    <row r="4707" ht="15.75" customHeight="1">
      <c r="A4707" s="35"/>
      <c r="C4707" s="442"/>
      <c r="P4707" s="235"/>
      <c r="AI4707" s="38"/>
    </row>
    <row r="4708" ht="15.75" customHeight="1">
      <c r="A4708" s="35"/>
      <c r="C4708" s="442"/>
      <c r="P4708" s="235"/>
      <c r="AI4708" s="38"/>
    </row>
    <row r="4709" ht="15.75" customHeight="1">
      <c r="A4709" s="35"/>
      <c r="C4709" s="442"/>
      <c r="P4709" s="235"/>
      <c r="AI4709" s="38"/>
    </row>
    <row r="4710" ht="15.75" customHeight="1">
      <c r="A4710" s="35"/>
      <c r="C4710" s="442"/>
      <c r="P4710" s="235"/>
      <c r="AI4710" s="38"/>
    </row>
    <row r="4711" ht="15.75" customHeight="1">
      <c r="A4711" s="35"/>
      <c r="C4711" s="442"/>
      <c r="P4711" s="235"/>
      <c r="AI4711" s="38"/>
    </row>
    <row r="4712" ht="15.75" customHeight="1">
      <c r="A4712" s="35"/>
      <c r="C4712" s="442"/>
      <c r="P4712" s="235"/>
      <c r="AI4712" s="38"/>
    </row>
    <row r="4713" ht="15.75" customHeight="1">
      <c r="A4713" s="35"/>
      <c r="C4713" s="442"/>
      <c r="P4713" s="235"/>
      <c r="AI4713" s="38"/>
    </row>
    <row r="4714" ht="15.75" customHeight="1">
      <c r="A4714" s="35"/>
      <c r="C4714" s="442"/>
      <c r="P4714" s="235"/>
      <c r="AI4714" s="38"/>
    </row>
    <row r="4715" ht="15.75" customHeight="1">
      <c r="A4715" s="35"/>
      <c r="C4715" s="442"/>
      <c r="P4715" s="235"/>
      <c r="AI4715" s="38"/>
    </row>
    <row r="4716" ht="15.75" customHeight="1">
      <c r="A4716" s="35"/>
      <c r="C4716" s="442"/>
      <c r="P4716" s="235"/>
      <c r="AI4716" s="38"/>
    </row>
    <row r="4717" ht="15.75" customHeight="1">
      <c r="A4717" s="35"/>
      <c r="C4717" s="442"/>
      <c r="P4717" s="235"/>
      <c r="AI4717" s="38"/>
    </row>
    <row r="4718" ht="15.75" customHeight="1">
      <c r="A4718" s="35"/>
      <c r="C4718" s="442"/>
      <c r="P4718" s="235"/>
      <c r="AI4718" s="38"/>
    </row>
    <row r="4719" ht="15.75" customHeight="1">
      <c r="A4719" s="35"/>
      <c r="C4719" s="442"/>
      <c r="P4719" s="235"/>
      <c r="AI4719" s="38"/>
    </row>
    <row r="4720" ht="15.75" customHeight="1">
      <c r="A4720" s="35"/>
      <c r="C4720" s="442"/>
      <c r="P4720" s="235"/>
      <c r="AI4720" s="38"/>
    </row>
    <row r="4721" ht="15.75" customHeight="1">
      <c r="A4721" s="35"/>
      <c r="C4721" s="442"/>
      <c r="P4721" s="235"/>
      <c r="AI4721" s="38"/>
    </row>
    <row r="4722" ht="15.75" customHeight="1">
      <c r="A4722" s="35"/>
      <c r="C4722" s="442"/>
      <c r="P4722" s="235"/>
      <c r="AI4722" s="38"/>
    </row>
    <row r="4723" ht="15.75" customHeight="1">
      <c r="A4723" s="35"/>
      <c r="C4723" s="442"/>
      <c r="P4723" s="235"/>
      <c r="AI4723" s="38"/>
    </row>
    <row r="4724" ht="15.75" customHeight="1">
      <c r="A4724" s="35"/>
      <c r="C4724" s="442"/>
      <c r="P4724" s="235"/>
      <c r="AI4724" s="38"/>
    </row>
    <row r="4725" ht="15.75" customHeight="1">
      <c r="A4725" s="35"/>
      <c r="C4725" s="442"/>
      <c r="P4725" s="235"/>
      <c r="AI4725" s="38"/>
    </row>
    <row r="4726" ht="15.75" customHeight="1">
      <c r="A4726" s="35"/>
      <c r="C4726" s="442"/>
      <c r="P4726" s="235"/>
      <c r="AI4726" s="38"/>
    </row>
    <row r="4727" ht="15.75" customHeight="1">
      <c r="A4727" s="35"/>
      <c r="C4727" s="442"/>
      <c r="P4727" s="235"/>
      <c r="AI4727" s="38"/>
    </row>
    <row r="4728" ht="15.75" customHeight="1">
      <c r="A4728" s="35"/>
      <c r="C4728" s="442"/>
      <c r="P4728" s="235"/>
      <c r="AI4728" s="38"/>
    </row>
    <row r="4729" ht="15.75" customHeight="1">
      <c r="A4729" s="35"/>
      <c r="C4729" s="442"/>
      <c r="P4729" s="235"/>
      <c r="AI4729" s="38"/>
    </row>
    <row r="4730" ht="15.75" customHeight="1">
      <c r="A4730" s="35"/>
      <c r="C4730" s="442"/>
      <c r="P4730" s="235"/>
      <c r="AI4730" s="38"/>
    </row>
    <row r="4731" ht="15.75" customHeight="1">
      <c r="A4731" s="35"/>
      <c r="C4731" s="442"/>
      <c r="P4731" s="235"/>
      <c r="AI4731" s="38"/>
    </row>
    <row r="4732" ht="15.75" customHeight="1">
      <c r="A4732" s="35"/>
      <c r="C4732" s="442"/>
      <c r="P4732" s="235"/>
      <c r="AI4732" s="38"/>
    </row>
    <row r="4733" ht="15.75" customHeight="1">
      <c r="A4733" s="35"/>
      <c r="C4733" s="442"/>
      <c r="P4733" s="235"/>
      <c r="AI4733" s="38"/>
    </row>
    <row r="4734" ht="15.75" customHeight="1">
      <c r="A4734" s="35"/>
      <c r="C4734" s="442"/>
      <c r="P4734" s="235"/>
      <c r="AI4734" s="38"/>
    </row>
    <row r="4735" ht="15.75" customHeight="1">
      <c r="A4735" s="35"/>
      <c r="C4735" s="442"/>
      <c r="P4735" s="235"/>
      <c r="AI4735" s="38"/>
    </row>
    <row r="4736" ht="15.75" customHeight="1">
      <c r="A4736" s="35"/>
      <c r="C4736" s="442"/>
      <c r="P4736" s="235"/>
      <c r="AI4736" s="38"/>
    </row>
    <row r="4737" ht="15.75" customHeight="1">
      <c r="A4737" s="35"/>
      <c r="C4737" s="442"/>
      <c r="P4737" s="235"/>
      <c r="AI4737" s="38"/>
    </row>
    <row r="4738" ht="15.75" customHeight="1">
      <c r="A4738" s="35"/>
      <c r="C4738" s="442"/>
      <c r="P4738" s="235"/>
      <c r="AI4738" s="38"/>
    </row>
    <row r="4739" ht="15.75" customHeight="1">
      <c r="A4739" s="35"/>
      <c r="C4739" s="442"/>
      <c r="P4739" s="235"/>
      <c r="AI4739" s="38"/>
    </row>
    <row r="4740" ht="15.75" customHeight="1">
      <c r="A4740" s="35"/>
      <c r="C4740" s="442"/>
      <c r="P4740" s="235"/>
      <c r="AI4740" s="38"/>
    </row>
    <row r="4741" ht="15.75" customHeight="1">
      <c r="A4741" s="35"/>
      <c r="C4741" s="442"/>
      <c r="P4741" s="235"/>
      <c r="AI4741" s="38"/>
    </row>
    <row r="4742" ht="15.75" customHeight="1">
      <c r="A4742" s="35"/>
      <c r="C4742" s="442"/>
      <c r="P4742" s="235"/>
      <c r="AI4742" s="38"/>
    </row>
    <row r="4743" ht="15.75" customHeight="1">
      <c r="A4743" s="35"/>
      <c r="C4743" s="442"/>
      <c r="P4743" s="235"/>
      <c r="AI4743" s="38"/>
    </row>
    <row r="4744" ht="15.75" customHeight="1">
      <c r="A4744" s="35"/>
      <c r="C4744" s="442"/>
      <c r="P4744" s="235"/>
      <c r="AI4744" s="38"/>
    </row>
    <row r="4745" ht="15.75" customHeight="1">
      <c r="A4745" s="35"/>
      <c r="C4745" s="442"/>
      <c r="P4745" s="235"/>
      <c r="AI4745" s="38"/>
    </row>
    <row r="4746" ht="15.75" customHeight="1">
      <c r="A4746" s="35"/>
      <c r="C4746" s="442"/>
      <c r="P4746" s="235"/>
      <c r="AI4746" s="38"/>
    </row>
    <row r="4747" ht="15.75" customHeight="1">
      <c r="A4747" s="35"/>
      <c r="C4747" s="442"/>
      <c r="P4747" s="235"/>
      <c r="AI4747" s="38"/>
    </row>
    <row r="4748" ht="15.75" customHeight="1">
      <c r="A4748" s="35"/>
      <c r="C4748" s="442"/>
      <c r="P4748" s="235"/>
      <c r="AI4748" s="38"/>
    </row>
    <row r="4749" ht="15.75" customHeight="1">
      <c r="A4749" s="35"/>
      <c r="C4749" s="442"/>
      <c r="P4749" s="235"/>
      <c r="AI4749" s="38"/>
    </row>
    <row r="4750" ht="15.75" customHeight="1">
      <c r="A4750" s="35"/>
      <c r="C4750" s="442"/>
      <c r="P4750" s="235"/>
      <c r="AI4750" s="38"/>
    </row>
    <row r="4751" ht="15.75" customHeight="1">
      <c r="A4751" s="35"/>
      <c r="C4751" s="442"/>
      <c r="P4751" s="235"/>
      <c r="AI4751" s="38"/>
    </row>
    <row r="4752" ht="15.75" customHeight="1">
      <c r="A4752" s="35"/>
      <c r="C4752" s="442"/>
      <c r="P4752" s="235"/>
      <c r="AI4752" s="38"/>
    </row>
    <row r="4753" ht="15.75" customHeight="1">
      <c r="A4753" s="35"/>
      <c r="C4753" s="442"/>
      <c r="P4753" s="235"/>
      <c r="AI4753" s="38"/>
    </row>
    <row r="4754" ht="15.75" customHeight="1">
      <c r="A4754" s="35"/>
      <c r="C4754" s="442"/>
      <c r="P4754" s="235"/>
      <c r="AI4754" s="38"/>
    </row>
    <row r="4755" ht="15.75" customHeight="1">
      <c r="A4755" s="35"/>
      <c r="C4755" s="442"/>
      <c r="P4755" s="235"/>
      <c r="AI4755" s="38"/>
    </row>
    <row r="4756" ht="15.75" customHeight="1">
      <c r="A4756" s="35"/>
      <c r="C4756" s="442"/>
      <c r="P4756" s="235"/>
      <c r="AI4756" s="38"/>
    </row>
    <row r="4757" ht="15.75" customHeight="1">
      <c r="A4757" s="35"/>
      <c r="C4757" s="442"/>
      <c r="P4757" s="235"/>
      <c r="AI4757" s="38"/>
    </row>
    <row r="4758" ht="15.75" customHeight="1">
      <c r="A4758" s="35"/>
      <c r="C4758" s="442"/>
      <c r="P4758" s="235"/>
      <c r="AI4758" s="38"/>
    </row>
    <row r="4759" ht="15.75" customHeight="1">
      <c r="A4759" s="35"/>
      <c r="C4759" s="442"/>
      <c r="P4759" s="235"/>
      <c r="AI4759" s="38"/>
    </row>
    <row r="4760" ht="15.75" customHeight="1">
      <c r="A4760" s="35"/>
      <c r="C4760" s="442"/>
      <c r="P4760" s="235"/>
      <c r="AI4760" s="38"/>
    </row>
    <row r="4761" ht="15.75" customHeight="1">
      <c r="A4761" s="35"/>
      <c r="C4761" s="442"/>
      <c r="P4761" s="235"/>
      <c r="AI4761" s="38"/>
    </row>
    <row r="4762" ht="15.75" customHeight="1">
      <c r="A4762" s="35"/>
      <c r="C4762" s="442"/>
      <c r="P4762" s="235"/>
      <c r="AI4762" s="38"/>
    </row>
    <row r="4763" ht="15.75" customHeight="1">
      <c r="A4763" s="35"/>
      <c r="C4763" s="442"/>
      <c r="P4763" s="235"/>
      <c r="AI4763" s="38"/>
    </row>
    <row r="4764" ht="15.75" customHeight="1">
      <c r="A4764" s="35"/>
      <c r="C4764" s="442"/>
      <c r="P4764" s="235"/>
      <c r="AI4764" s="38"/>
    </row>
    <row r="4765" ht="15.75" customHeight="1">
      <c r="A4765" s="35"/>
      <c r="C4765" s="442"/>
      <c r="P4765" s="235"/>
      <c r="AI4765" s="38"/>
    </row>
    <row r="4766" ht="15.75" customHeight="1">
      <c r="A4766" s="35"/>
      <c r="C4766" s="442"/>
      <c r="P4766" s="235"/>
      <c r="AI4766" s="38"/>
    </row>
    <row r="4767" ht="15.75" customHeight="1">
      <c r="A4767" s="35"/>
      <c r="C4767" s="442"/>
      <c r="P4767" s="235"/>
      <c r="AI4767" s="38"/>
    </row>
    <row r="4768" ht="15.75" customHeight="1">
      <c r="A4768" s="35"/>
      <c r="C4768" s="442"/>
      <c r="P4768" s="235"/>
      <c r="AI4768" s="38"/>
    </row>
    <row r="4769" ht="15.75" customHeight="1">
      <c r="A4769" s="35"/>
      <c r="C4769" s="442"/>
      <c r="P4769" s="235"/>
      <c r="AI4769" s="38"/>
    </row>
    <row r="4770" ht="15.75" customHeight="1">
      <c r="A4770" s="35"/>
      <c r="C4770" s="442"/>
      <c r="P4770" s="235"/>
      <c r="AI4770" s="38"/>
    </row>
    <row r="4771" ht="15.75" customHeight="1">
      <c r="A4771" s="35"/>
      <c r="C4771" s="442"/>
      <c r="P4771" s="235"/>
      <c r="AI4771" s="38"/>
    </row>
    <row r="4772" ht="15.75" customHeight="1">
      <c r="A4772" s="35"/>
      <c r="C4772" s="442"/>
      <c r="P4772" s="235"/>
      <c r="AI4772" s="38"/>
    </row>
    <row r="4773" ht="15.75" customHeight="1">
      <c r="A4773" s="35"/>
      <c r="C4773" s="442"/>
      <c r="P4773" s="235"/>
      <c r="AI4773" s="38"/>
    </row>
    <row r="4774" ht="15.75" customHeight="1">
      <c r="A4774" s="35"/>
      <c r="C4774" s="442"/>
      <c r="P4774" s="235"/>
      <c r="AI4774" s="38"/>
    </row>
    <row r="4775" ht="15.75" customHeight="1">
      <c r="A4775" s="35"/>
      <c r="C4775" s="442"/>
      <c r="P4775" s="235"/>
      <c r="AI4775" s="38"/>
    </row>
    <row r="4776" ht="15.75" customHeight="1">
      <c r="A4776" s="35"/>
      <c r="C4776" s="442"/>
      <c r="P4776" s="235"/>
      <c r="AI4776" s="38"/>
    </row>
    <row r="4777" ht="15.75" customHeight="1">
      <c r="A4777" s="35"/>
      <c r="C4777" s="442"/>
      <c r="P4777" s="235"/>
      <c r="AI4777" s="38"/>
    </row>
    <row r="4778" ht="15.75" customHeight="1">
      <c r="A4778" s="35"/>
      <c r="C4778" s="442"/>
      <c r="P4778" s="235"/>
      <c r="AI4778" s="38"/>
    </row>
    <row r="4779" ht="15.75" customHeight="1">
      <c r="A4779" s="35"/>
      <c r="C4779" s="442"/>
      <c r="P4779" s="235"/>
      <c r="AI4779" s="38"/>
    </row>
    <row r="4780" ht="15.75" customHeight="1">
      <c r="A4780" s="35"/>
      <c r="C4780" s="442"/>
      <c r="P4780" s="235"/>
      <c r="AI4780" s="38"/>
    </row>
    <row r="4781" ht="15.75" customHeight="1">
      <c r="A4781" s="35"/>
      <c r="C4781" s="442"/>
      <c r="P4781" s="235"/>
      <c r="AI4781" s="38"/>
    </row>
    <row r="4782" ht="15.75" customHeight="1">
      <c r="A4782" s="35"/>
      <c r="C4782" s="442"/>
      <c r="P4782" s="235"/>
      <c r="AI4782" s="38"/>
    </row>
    <row r="4783" ht="15.75" customHeight="1">
      <c r="A4783" s="35"/>
      <c r="C4783" s="442"/>
      <c r="P4783" s="235"/>
      <c r="AI4783" s="38"/>
    </row>
    <row r="4784" ht="15.75" customHeight="1">
      <c r="A4784" s="35"/>
      <c r="C4784" s="442"/>
      <c r="P4784" s="235"/>
      <c r="AI4784" s="38"/>
    </row>
    <row r="4785" ht="15.75" customHeight="1">
      <c r="A4785" s="35"/>
      <c r="C4785" s="442"/>
      <c r="P4785" s="235"/>
      <c r="AI4785" s="38"/>
    </row>
    <row r="4786" ht="15.75" customHeight="1">
      <c r="A4786" s="35"/>
      <c r="C4786" s="442"/>
      <c r="P4786" s="235"/>
      <c r="AI4786" s="38"/>
    </row>
    <row r="4787" ht="15.75" customHeight="1">
      <c r="A4787" s="35"/>
      <c r="C4787" s="442"/>
      <c r="P4787" s="235"/>
      <c r="AI4787" s="38"/>
    </row>
    <row r="4788" ht="15.75" customHeight="1">
      <c r="A4788" s="35"/>
      <c r="C4788" s="442"/>
      <c r="P4788" s="235"/>
      <c r="AI4788" s="38"/>
    </row>
    <row r="4789" ht="15.75" customHeight="1">
      <c r="A4789" s="35"/>
      <c r="C4789" s="442"/>
      <c r="P4789" s="235"/>
      <c r="AI4789" s="38"/>
    </row>
    <row r="4790" ht="15.75" customHeight="1">
      <c r="A4790" s="35"/>
      <c r="C4790" s="442"/>
      <c r="P4790" s="235"/>
      <c r="AI4790" s="38"/>
    </row>
    <row r="4791" ht="15.75" customHeight="1">
      <c r="A4791" s="35"/>
      <c r="C4791" s="442"/>
      <c r="P4791" s="235"/>
      <c r="AI4791" s="38"/>
    </row>
    <row r="4792" ht="15.75" customHeight="1">
      <c r="A4792" s="35"/>
      <c r="C4792" s="442"/>
      <c r="P4792" s="235"/>
      <c r="AI4792" s="38"/>
    </row>
    <row r="4793" ht="15.75" customHeight="1">
      <c r="A4793" s="35"/>
      <c r="C4793" s="442"/>
      <c r="P4793" s="235"/>
      <c r="AI4793" s="38"/>
    </row>
    <row r="4794" ht="15.75" customHeight="1">
      <c r="A4794" s="35"/>
      <c r="C4794" s="442"/>
      <c r="P4794" s="235"/>
      <c r="AI4794" s="38"/>
    </row>
    <row r="4795" ht="15.75" customHeight="1">
      <c r="A4795" s="35"/>
      <c r="C4795" s="442"/>
      <c r="P4795" s="235"/>
      <c r="AI4795" s="38"/>
    </row>
    <row r="4796" ht="15.75" customHeight="1">
      <c r="A4796" s="35"/>
      <c r="C4796" s="442"/>
      <c r="P4796" s="235"/>
      <c r="AI4796" s="38"/>
    </row>
    <row r="4797" ht="15.75" customHeight="1">
      <c r="A4797" s="35"/>
      <c r="C4797" s="442"/>
      <c r="P4797" s="235"/>
      <c r="AI4797" s="38"/>
    </row>
    <row r="4798" ht="15.75" customHeight="1">
      <c r="A4798" s="35"/>
      <c r="C4798" s="442"/>
      <c r="P4798" s="235"/>
      <c r="AI4798" s="38"/>
    </row>
    <row r="4799" ht="15.75" customHeight="1">
      <c r="A4799" s="35"/>
      <c r="C4799" s="442"/>
      <c r="P4799" s="235"/>
      <c r="AI4799" s="38"/>
    </row>
    <row r="4800" ht="15.75" customHeight="1">
      <c r="A4800" s="35"/>
      <c r="C4800" s="442"/>
      <c r="P4800" s="235"/>
      <c r="AI4800" s="38"/>
    </row>
    <row r="4801" ht="15.75" customHeight="1">
      <c r="A4801" s="35"/>
      <c r="C4801" s="442"/>
      <c r="P4801" s="235"/>
      <c r="AI4801" s="38"/>
    </row>
    <row r="4802" ht="15.75" customHeight="1">
      <c r="A4802" s="35"/>
      <c r="C4802" s="442"/>
      <c r="P4802" s="235"/>
      <c r="AI4802" s="38"/>
    </row>
    <row r="4803" ht="15.75" customHeight="1">
      <c r="A4803" s="35"/>
      <c r="C4803" s="442"/>
      <c r="P4803" s="235"/>
      <c r="AI4803" s="38"/>
    </row>
    <row r="4804" ht="15.75" customHeight="1">
      <c r="A4804" s="35"/>
      <c r="C4804" s="442"/>
      <c r="P4804" s="235"/>
      <c r="AI4804" s="38"/>
    </row>
    <row r="4805" ht="15.75" customHeight="1">
      <c r="A4805" s="35"/>
      <c r="C4805" s="442"/>
      <c r="P4805" s="235"/>
      <c r="AI4805" s="38"/>
    </row>
    <row r="4806" ht="15.75" customHeight="1">
      <c r="A4806" s="35"/>
      <c r="C4806" s="442"/>
      <c r="P4806" s="235"/>
      <c r="AI4806" s="38"/>
    </row>
    <row r="4807" ht="15.75" customHeight="1">
      <c r="A4807" s="35"/>
      <c r="C4807" s="442"/>
      <c r="P4807" s="235"/>
      <c r="AI4807" s="38"/>
    </row>
    <row r="4808" ht="15.75" customHeight="1">
      <c r="A4808" s="35"/>
      <c r="C4808" s="442"/>
      <c r="P4808" s="235"/>
      <c r="AI4808" s="38"/>
    </row>
    <row r="4809" ht="15.75" customHeight="1">
      <c r="A4809" s="35"/>
      <c r="C4809" s="442"/>
      <c r="P4809" s="235"/>
      <c r="AI4809" s="38"/>
    </row>
    <row r="4810" ht="15.75" customHeight="1">
      <c r="A4810" s="35"/>
      <c r="C4810" s="442"/>
      <c r="P4810" s="235"/>
      <c r="AI4810" s="38"/>
    </row>
    <row r="4811" ht="15.75" customHeight="1">
      <c r="A4811" s="35"/>
      <c r="C4811" s="442"/>
      <c r="P4811" s="235"/>
      <c r="AI4811" s="38"/>
    </row>
    <row r="4812" ht="15.75" customHeight="1">
      <c r="A4812" s="35"/>
      <c r="C4812" s="442"/>
      <c r="P4812" s="235"/>
      <c r="AI4812" s="38"/>
    </row>
    <row r="4813" ht="15.75" customHeight="1">
      <c r="A4813" s="35"/>
      <c r="C4813" s="442"/>
      <c r="P4813" s="235"/>
      <c r="AI4813" s="38"/>
    </row>
    <row r="4814" ht="15.75" customHeight="1">
      <c r="A4814" s="35"/>
      <c r="C4814" s="442"/>
      <c r="P4814" s="235"/>
      <c r="AI4814" s="38"/>
    </row>
    <row r="4815" ht="15.75" customHeight="1">
      <c r="A4815" s="35"/>
      <c r="C4815" s="442"/>
      <c r="P4815" s="235"/>
      <c r="AI4815" s="38"/>
    </row>
    <row r="4816" ht="15.75" customHeight="1">
      <c r="A4816" s="35"/>
      <c r="C4816" s="442"/>
      <c r="P4816" s="235"/>
      <c r="AI4816" s="38"/>
    </row>
    <row r="4817" ht="15.75" customHeight="1">
      <c r="A4817" s="35"/>
      <c r="C4817" s="442"/>
      <c r="P4817" s="235"/>
      <c r="AI4817" s="38"/>
    </row>
    <row r="4818" ht="15.75" customHeight="1">
      <c r="A4818" s="35"/>
      <c r="C4818" s="442"/>
      <c r="P4818" s="235"/>
      <c r="AI4818" s="38"/>
    </row>
    <row r="4819" ht="15.75" customHeight="1">
      <c r="A4819" s="35"/>
      <c r="C4819" s="442"/>
      <c r="P4819" s="235"/>
      <c r="AI4819" s="38"/>
    </row>
    <row r="4820" ht="15.75" customHeight="1">
      <c r="A4820" s="35"/>
      <c r="C4820" s="442"/>
      <c r="P4820" s="235"/>
      <c r="AI4820" s="38"/>
    </row>
    <row r="4821" ht="15.75" customHeight="1">
      <c r="A4821" s="35"/>
      <c r="C4821" s="442"/>
      <c r="P4821" s="235"/>
      <c r="AI4821" s="38"/>
    </row>
    <row r="4822" ht="15.75" customHeight="1">
      <c r="A4822" s="35"/>
      <c r="C4822" s="442"/>
      <c r="P4822" s="235"/>
      <c r="AI4822" s="38"/>
    </row>
    <row r="4823" ht="15.75" customHeight="1">
      <c r="A4823" s="35"/>
      <c r="C4823" s="442"/>
      <c r="P4823" s="235"/>
      <c r="AI4823" s="38"/>
    </row>
    <row r="4824" ht="15.75" customHeight="1">
      <c r="A4824" s="35"/>
      <c r="C4824" s="442"/>
      <c r="P4824" s="235"/>
      <c r="AI4824" s="38"/>
    </row>
    <row r="4825" ht="15.75" customHeight="1">
      <c r="A4825" s="35"/>
      <c r="C4825" s="442"/>
      <c r="P4825" s="235"/>
      <c r="AI4825" s="38"/>
    </row>
    <row r="4826" ht="15.75" customHeight="1">
      <c r="A4826" s="35"/>
      <c r="C4826" s="442"/>
      <c r="P4826" s="235"/>
      <c r="AI4826" s="38"/>
    </row>
    <row r="4827" ht="15.75" customHeight="1">
      <c r="A4827" s="35"/>
      <c r="C4827" s="442"/>
      <c r="P4827" s="235"/>
      <c r="AI4827" s="38"/>
    </row>
    <row r="4828" ht="15.75" customHeight="1">
      <c r="A4828" s="35"/>
      <c r="C4828" s="442"/>
      <c r="P4828" s="235"/>
      <c r="AI4828" s="38"/>
    </row>
    <row r="4829" ht="15.75" customHeight="1">
      <c r="A4829" s="35"/>
      <c r="C4829" s="442"/>
      <c r="P4829" s="235"/>
      <c r="AI4829" s="38"/>
    </row>
    <row r="4830" ht="15.75" customHeight="1">
      <c r="A4830" s="35"/>
      <c r="C4830" s="442"/>
      <c r="P4830" s="235"/>
      <c r="AI4830" s="38"/>
    </row>
    <row r="4831" ht="15.75" customHeight="1">
      <c r="A4831" s="35"/>
      <c r="C4831" s="442"/>
      <c r="P4831" s="235"/>
      <c r="AI4831" s="38"/>
    </row>
    <row r="4832" ht="15.75" customHeight="1">
      <c r="A4832" s="35"/>
      <c r="C4832" s="442"/>
      <c r="P4832" s="235"/>
      <c r="AI4832" s="38"/>
    </row>
    <row r="4833" ht="15.75" customHeight="1">
      <c r="A4833" s="35"/>
      <c r="C4833" s="442"/>
      <c r="P4833" s="235"/>
      <c r="AI4833" s="38"/>
    </row>
    <row r="4834" ht="15.75" customHeight="1">
      <c r="A4834" s="35"/>
      <c r="C4834" s="442"/>
      <c r="P4834" s="235"/>
      <c r="AI4834" s="38"/>
    </row>
    <row r="4835" ht="15.75" customHeight="1">
      <c r="A4835" s="35"/>
      <c r="C4835" s="442"/>
      <c r="P4835" s="235"/>
      <c r="AI4835" s="38"/>
    </row>
    <row r="4836" ht="15.75" customHeight="1">
      <c r="A4836" s="35"/>
      <c r="C4836" s="442"/>
      <c r="P4836" s="235"/>
      <c r="AI4836" s="38"/>
    </row>
    <row r="4837" ht="15.75" customHeight="1">
      <c r="A4837" s="35"/>
      <c r="C4837" s="442"/>
      <c r="P4837" s="235"/>
      <c r="AI4837" s="38"/>
    </row>
    <row r="4838" ht="15.75" customHeight="1">
      <c r="A4838" s="35"/>
      <c r="C4838" s="442"/>
      <c r="P4838" s="235"/>
      <c r="AI4838" s="38"/>
    </row>
    <row r="4839" ht="15.75" customHeight="1">
      <c r="A4839" s="35"/>
      <c r="C4839" s="442"/>
      <c r="P4839" s="235"/>
      <c r="AI4839" s="38"/>
    </row>
    <row r="4840" ht="15.75" customHeight="1">
      <c r="A4840" s="35"/>
      <c r="C4840" s="442"/>
      <c r="P4840" s="235"/>
      <c r="AI4840" s="38"/>
    </row>
    <row r="4841" ht="15.75" customHeight="1">
      <c r="A4841" s="35"/>
      <c r="C4841" s="442"/>
      <c r="P4841" s="235"/>
      <c r="AI4841" s="38"/>
    </row>
    <row r="4842" ht="15.75" customHeight="1">
      <c r="A4842" s="35"/>
      <c r="C4842" s="442"/>
      <c r="P4842" s="235"/>
      <c r="AI4842" s="38"/>
    </row>
    <row r="4843" ht="15.75" customHeight="1">
      <c r="A4843" s="35"/>
      <c r="C4843" s="442"/>
      <c r="P4843" s="235"/>
      <c r="AI4843" s="38"/>
    </row>
    <row r="4844" ht="15.75" customHeight="1">
      <c r="A4844" s="35"/>
      <c r="C4844" s="442"/>
      <c r="P4844" s="235"/>
      <c r="AI4844" s="38"/>
    </row>
    <row r="4845" ht="15.75" customHeight="1">
      <c r="A4845" s="35"/>
      <c r="C4845" s="442"/>
      <c r="P4845" s="235"/>
      <c r="AI4845" s="38"/>
    </row>
    <row r="4846" ht="15.75" customHeight="1">
      <c r="A4846" s="35"/>
      <c r="C4846" s="442"/>
      <c r="P4846" s="235"/>
      <c r="AI4846" s="38"/>
    </row>
    <row r="4847" ht="15.75" customHeight="1">
      <c r="A4847" s="35"/>
      <c r="C4847" s="442"/>
      <c r="P4847" s="235"/>
      <c r="AI4847" s="38"/>
    </row>
    <row r="4848" ht="15.75" customHeight="1">
      <c r="A4848" s="35"/>
      <c r="C4848" s="442"/>
      <c r="P4848" s="235"/>
      <c r="AI4848" s="38"/>
    </row>
    <row r="4849" ht="15.75" customHeight="1">
      <c r="A4849" s="35"/>
      <c r="C4849" s="442"/>
      <c r="P4849" s="235"/>
      <c r="AI4849" s="38"/>
    </row>
    <row r="4850" ht="15.75" customHeight="1">
      <c r="A4850" s="35"/>
      <c r="C4850" s="442"/>
      <c r="P4850" s="235"/>
      <c r="AI4850" s="38"/>
    </row>
    <row r="4851" ht="15.75" customHeight="1">
      <c r="A4851" s="35"/>
      <c r="C4851" s="442"/>
      <c r="P4851" s="235"/>
      <c r="AI4851" s="38"/>
    </row>
    <row r="4852" ht="15.75" customHeight="1">
      <c r="A4852" s="35"/>
      <c r="C4852" s="442"/>
      <c r="P4852" s="235"/>
      <c r="AI4852" s="38"/>
    </row>
    <row r="4853" ht="15.75" customHeight="1">
      <c r="A4853" s="35"/>
      <c r="C4853" s="442"/>
      <c r="P4853" s="235"/>
      <c r="AI4853" s="38"/>
    </row>
    <row r="4854" ht="15.75" customHeight="1">
      <c r="A4854" s="35"/>
      <c r="C4854" s="442"/>
      <c r="P4854" s="235"/>
      <c r="AI4854" s="38"/>
    </row>
    <row r="4855" ht="15.75" customHeight="1">
      <c r="A4855" s="35"/>
      <c r="C4855" s="442"/>
      <c r="P4855" s="235"/>
      <c r="AI4855" s="38"/>
    </row>
    <row r="4856" ht="15.75" customHeight="1">
      <c r="A4856" s="35"/>
      <c r="C4856" s="442"/>
      <c r="P4856" s="235"/>
      <c r="AI4856" s="38"/>
    </row>
    <row r="4857" ht="15.75" customHeight="1">
      <c r="A4857" s="35"/>
      <c r="C4857" s="442"/>
      <c r="P4857" s="235"/>
      <c r="AI4857" s="38"/>
    </row>
    <row r="4858" ht="15.75" customHeight="1">
      <c r="A4858" s="35"/>
      <c r="C4858" s="442"/>
      <c r="P4858" s="235"/>
      <c r="AI4858" s="38"/>
    </row>
    <row r="4859" ht="15.75" customHeight="1">
      <c r="A4859" s="35"/>
      <c r="C4859" s="442"/>
      <c r="P4859" s="235"/>
      <c r="AI4859" s="38"/>
    </row>
    <row r="4860" ht="15.75" customHeight="1">
      <c r="A4860" s="35"/>
      <c r="C4860" s="442"/>
      <c r="P4860" s="235"/>
      <c r="AI4860" s="38"/>
    </row>
    <row r="4861" ht="15.75" customHeight="1">
      <c r="A4861" s="35"/>
      <c r="C4861" s="442"/>
      <c r="P4861" s="235"/>
      <c r="AI4861" s="38"/>
    </row>
    <row r="4862" ht="15.75" customHeight="1">
      <c r="A4862" s="35"/>
      <c r="C4862" s="442"/>
      <c r="P4862" s="235"/>
      <c r="AI4862" s="38"/>
    </row>
    <row r="4863" ht="15.75" customHeight="1">
      <c r="A4863" s="35"/>
      <c r="C4863" s="442"/>
      <c r="P4863" s="235"/>
      <c r="AI4863" s="38"/>
    </row>
    <row r="4864" ht="15.75" customHeight="1">
      <c r="A4864" s="35"/>
      <c r="C4864" s="442"/>
      <c r="P4864" s="235"/>
      <c r="AI4864" s="38"/>
    </row>
    <row r="4865" ht="15.75" customHeight="1">
      <c r="A4865" s="35"/>
      <c r="C4865" s="442"/>
      <c r="P4865" s="235"/>
      <c r="AI4865" s="38"/>
    </row>
    <row r="4866" ht="15.75" customHeight="1">
      <c r="A4866" s="35"/>
      <c r="C4866" s="442"/>
      <c r="P4866" s="235"/>
      <c r="AI4866" s="38"/>
    </row>
    <row r="4867" ht="15.75" customHeight="1">
      <c r="A4867" s="35"/>
      <c r="C4867" s="442"/>
      <c r="P4867" s="235"/>
      <c r="AI4867" s="38"/>
    </row>
    <row r="4868" ht="15.75" customHeight="1">
      <c r="A4868" s="35"/>
      <c r="C4868" s="442"/>
      <c r="P4868" s="235"/>
      <c r="AI4868" s="38"/>
    </row>
    <row r="4869" ht="15.75" customHeight="1">
      <c r="A4869" s="35"/>
      <c r="C4869" s="442"/>
      <c r="P4869" s="235"/>
      <c r="AI4869" s="38"/>
    </row>
    <row r="4870" ht="15.75" customHeight="1">
      <c r="A4870" s="35"/>
      <c r="C4870" s="442"/>
      <c r="P4870" s="235"/>
      <c r="AI4870" s="38"/>
    </row>
    <row r="4871" ht="15.75" customHeight="1">
      <c r="A4871" s="35"/>
      <c r="C4871" s="442"/>
      <c r="P4871" s="235"/>
      <c r="AI4871" s="38"/>
    </row>
    <row r="4872" ht="15.75" customHeight="1">
      <c r="A4872" s="35"/>
      <c r="C4872" s="442"/>
      <c r="P4872" s="235"/>
      <c r="AI4872" s="38"/>
    </row>
    <row r="4873" ht="15.75" customHeight="1">
      <c r="A4873" s="35"/>
      <c r="C4873" s="442"/>
      <c r="P4873" s="235"/>
      <c r="AI4873" s="38"/>
    </row>
    <row r="4874" ht="15.75" customHeight="1">
      <c r="A4874" s="35"/>
      <c r="C4874" s="442"/>
      <c r="P4874" s="235"/>
      <c r="AI4874" s="38"/>
    </row>
    <row r="4875" ht="15.75" customHeight="1">
      <c r="A4875" s="35"/>
      <c r="C4875" s="442"/>
      <c r="P4875" s="235"/>
      <c r="AI4875" s="38"/>
    </row>
    <row r="4876" ht="15.75" customHeight="1">
      <c r="A4876" s="35"/>
      <c r="C4876" s="442"/>
      <c r="P4876" s="235"/>
      <c r="AI4876" s="38"/>
    </row>
    <row r="4877" ht="15.75" customHeight="1">
      <c r="A4877" s="35"/>
      <c r="C4877" s="442"/>
      <c r="P4877" s="235"/>
      <c r="AI4877" s="38"/>
    </row>
    <row r="4878" ht="15.75" customHeight="1">
      <c r="A4878" s="35"/>
      <c r="C4878" s="442"/>
      <c r="P4878" s="235"/>
      <c r="AI4878" s="38"/>
    </row>
    <row r="4879" ht="15.75" customHeight="1">
      <c r="A4879" s="35"/>
      <c r="C4879" s="442"/>
      <c r="P4879" s="235"/>
      <c r="AI4879" s="38"/>
    </row>
    <row r="4880" ht="15.75" customHeight="1">
      <c r="A4880" s="35"/>
      <c r="C4880" s="442"/>
      <c r="P4880" s="235"/>
      <c r="AI4880" s="38"/>
    </row>
    <row r="4881" ht="15.75" customHeight="1">
      <c r="A4881" s="35"/>
      <c r="C4881" s="442"/>
      <c r="P4881" s="235"/>
      <c r="AI4881" s="38"/>
    </row>
    <row r="4882" ht="15.75" customHeight="1">
      <c r="A4882" s="35"/>
      <c r="C4882" s="442"/>
      <c r="P4882" s="235"/>
      <c r="AI4882" s="38"/>
    </row>
    <row r="4883" ht="15.75" customHeight="1">
      <c r="A4883" s="35"/>
      <c r="C4883" s="442"/>
      <c r="P4883" s="235"/>
      <c r="AI4883" s="38"/>
    </row>
    <row r="4884" ht="15.75" customHeight="1">
      <c r="A4884" s="35"/>
      <c r="C4884" s="442"/>
      <c r="P4884" s="235"/>
      <c r="AI4884" s="38"/>
    </row>
    <row r="4885" ht="15.75" customHeight="1">
      <c r="A4885" s="35"/>
      <c r="C4885" s="442"/>
      <c r="P4885" s="235"/>
      <c r="AI4885" s="38"/>
    </row>
    <row r="4886" ht="15.75" customHeight="1">
      <c r="A4886" s="35"/>
      <c r="C4886" s="442"/>
      <c r="P4886" s="235"/>
      <c r="AI4886" s="38"/>
    </row>
    <row r="4887" ht="15.75" customHeight="1">
      <c r="A4887" s="35"/>
      <c r="C4887" s="442"/>
      <c r="P4887" s="235"/>
      <c r="AI4887" s="38"/>
    </row>
    <row r="4888" ht="15.75" customHeight="1">
      <c r="A4888" s="35"/>
      <c r="C4888" s="442"/>
      <c r="P4888" s="235"/>
      <c r="AI4888" s="38"/>
    </row>
    <row r="4889" ht="15.75" customHeight="1">
      <c r="A4889" s="35"/>
      <c r="C4889" s="442"/>
      <c r="P4889" s="235"/>
      <c r="AI4889" s="38"/>
    </row>
    <row r="4890" ht="15.75" customHeight="1">
      <c r="A4890" s="35"/>
      <c r="C4890" s="442"/>
      <c r="P4890" s="235"/>
      <c r="AI4890" s="38"/>
    </row>
    <row r="4891" ht="15.75" customHeight="1">
      <c r="A4891" s="35"/>
      <c r="C4891" s="442"/>
      <c r="P4891" s="235"/>
      <c r="AI4891" s="38"/>
    </row>
    <row r="4892" ht="15.75" customHeight="1">
      <c r="A4892" s="35"/>
      <c r="C4892" s="442"/>
      <c r="P4892" s="235"/>
      <c r="AI4892" s="38"/>
    </row>
    <row r="4893" ht="15.75" customHeight="1">
      <c r="A4893" s="35"/>
      <c r="C4893" s="442"/>
      <c r="P4893" s="235"/>
      <c r="AI4893" s="38"/>
    </row>
    <row r="4894" ht="15.75" customHeight="1">
      <c r="A4894" s="35"/>
      <c r="C4894" s="442"/>
      <c r="P4894" s="235"/>
      <c r="AI4894" s="38"/>
    </row>
    <row r="4895" ht="15.75" customHeight="1">
      <c r="A4895" s="35"/>
      <c r="C4895" s="442"/>
      <c r="P4895" s="235"/>
      <c r="AI4895" s="38"/>
    </row>
    <row r="4896" ht="15.75" customHeight="1">
      <c r="A4896" s="35"/>
      <c r="C4896" s="442"/>
      <c r="P4896" s="235"/>
      <c r="AI4896" s="38"/>
    </row>
    <row r="4897" ht="15.75" customHeight="1">
      <c r="A4897" s="35"/>
      <c r="C4897" s="442"/>
      <c r="P4897" s="235"/>
      <c r="AI4897" s="38"/>
    </row>
    <row r="4898" ht="15.75" customHeight="1">
      <c r="A4898" s="35"/>
      <c r="C4898" s="442"/>
      <c r="P4898" s="235"/>
      <c r="AI4898" s="38"/>
    </row>
    <row r="4899" ht="15.75" customHeight="1">
      <c r="A4899" s="35"/>
      <c r="C4899" s="442"/>
      <c r="P4899" s="235"/>
      <c r="AI4899" s="38"/>
    </row>
    <row r="4900" ht="15.75" customHeight="1">
      <c r="A4900" s="35"/>
      <c r="C4900" s="442"/>
      <c r="P4900" s="235"/>
      <c r="AI4900" s="38"/>
    </row>
    <row r="4901" ht="15.75" customHeight="1">
      <c r="A4901" s="35"/>
      <c r="C4901" s="442"/>
      <c r="P4901" s="235"/>
      <c r="AI4901" s="38"/>
    </row>
    <row r="4902" ht="15.75" customHeight="1">
      <c r="A4902" s="35"/>
      <c r="C4902" s="442"/>
      <c r="P4902" s="235"/>
      <c r="AI4902" s="38"/>
    </row>
    <row r="4903" ht="15.75" customHeight="1">
      <c r="A4903" s="35"/>
      <c r="C4903" s="442"/>
      <c r="P4903" s="235"/>
      <c r="AI4903" s="38"/>
    </row>
    <row r="4904" ht="15.75" customHeight="1">
      <c r="A4904" s="35"/>
      <c r="C4904" s="442"/>
      <c r="P4904" s="235"/>
      <c r="AI4904" s="38"/>
    </row>
    <row r="4905" ht="15.75" customHeight="1">
      <c r="A4905" s="35"/>
      <c r="C4905" s="442"/>
      <c r="P4905" s="235"/>
      <c r="AI4905" s="38"/>
    </row>
    <row r="4906" ht="15.75" customHeight="1">
      <c r="A4906" s="35"/>
      <c r="C4906" s="442"/>
      <c r="P4906" s="235"/>
      <c r="AI4906" s="38"/>
    </row>
    <row r="4907" ht="15.75" customHeight="1">
      <c r="A4907" s="35"/>
      <c r="C4907" s="442"/>
      <c r="P4907" s="235"/>
      <c r="AI4907" s="38"/>
    </row>
    <row r="4908" ht="15.75" customHeight="1">
      <c r="A4908" s="35"/>
      <c r="C4908" s="442"/>
      <c r="P4908" s="235"/>
      <c r="AI4908" s="38"/>
    </row>
    <row r="4909" ht="15.75" customHeight="1">
      <c r="A4909" s="35"/>
      <c r="C4909" s="442"/>
      <c r="P4909" s="235"/>
      <c r="AI4909" s="38"/>
    </row>
    <row r="4910" ht="15.75" customHeight="1">
      <c r="A4910" s="35"/>
      <c r="C4910" s="442"/>
      <c r="P4910" s="235"/>
      <c r="AI4910" s="38"/>
    </row>
    <row r="4911" ht="15.75" customHeight="1">
      <c r="A4911" s="35"/>
      <c r="C4911" s="442"/>
      <c r="P4911" s="235"/>
      <c r="AI4911" s="38"/>
    </row>
    <row r="4912" ht="15.75" customHeight="1">
      <c r="A4912" s="35"/>
      <c r="C4912" s="442"/>
      <c r="P4912" s="235"/>
      <c r="AI4912" s="38"/>
    </row>
    <row r="4913" ht="15.75" customHeight="1">
      <c r="A4913" s="35"/>
      <c r="C4913" s="442"/>
      <c r="P4913" s="235"/>
      <c r="AI4913" s="38"/>
    </row>
    <row r="4914" ht="15.75" customHeight="1">
      <c r="A4914" s="35"/>
      <c r="C4914" s="442"/>
      <c r="P4914" s="235"/>
      <c r="AI4914" s="38"/>
    </row>
    <row r="4915" ht="15.75" customHeight="1">
      <c r="A4915" s="35"/>
      <c r="C4915" s="442"/>
      <c r="P4915" s="235"/>
      <c r="AI4915" s="38"/>
    </row>
    <row r="4916" ht="15.75" customHeight="1">
      <c r="A4916" s="35"/>
      <c r="C4916" s="442"/>
      <c r="P4916" s="235"/>
      <c r="AI4916" s="38"/>
    </row>
    <row r="4917" ht="15.75" customHeight="1">
      <c r="A4917" s="35"/>
      <c r="C4917" s="442"/>
      <c r="P4917" s="235"/>
      <c r="AI4917" s="38"/>
    </row>
    <row r="4918" ht="15.75" customHeight="1">
      <c r="A4918" s="35"/>
      <c r="C4918" s="442"/>
      <c r="P4918" s="235"/>
      <c r="AI4918" s="38"/>
    </row>
    <row r="4919" ht="15.75" customHeight="1">
      <c r="A4919" s="35"/>
      <c r="C4919" s="442"/>
      <c r="P4919" s="235"/>
      <c r="AI4919" s="38"/>
    </row>
    <row r="4920" ht="15.75" customHeight="1">
      <c r="A4920" s="35"/>
      <c r="C4920" s="442"/>
      <c r="P4920" s="235"/>
      <c r="AI4920" s="38"/>
    </row>
    <row r="4921" ht="15.75" customHeight="1">
      <c r="A4921" s="35"/>
      <c r="C4921" s="442"/>
      <c r="P4921" s="235"/>
      <c r="AI4921" s="38"/>
    </row>
    <row r="4922" ht="15.75" customHeight="1">
      <c r="A4922" s="35"/>
      <c r="C4922" s="442"/>
      <c r="P4922" s="235"/>
      <c r="AI4922" s="38"/>
    </row>
    <row r="4923" ht="15.75" customHeight="1">
      <c r="A4923" s="35"/>
      <c r="C4923" s="442"/>
      <c r="P4923" s="235"/>
      <c r="AI4923" s="38"/>
    </row>
    <row r="4924" ht="15.75" customHeight="1">
      <c r="A4924" s="35"/>
      <c r="C4924" s="442"/>
      <c r="P4924" s="235"/>
      <c r="AI4924" s="38"/>
    </row>
    <row r="4925" ht="15.75" customHeight="1">
      <c r="A4925" s="35"/>
      <c r="C4925" s="442"/>
      <c r="P4925" s="235"/>
      <c r="AI4925" s="38"/>
    </row>
    <row r="4926" ht="15.75" customHeight="1">
      <c r="A4926" s="35"/>
      <c r="C4926" s="442"/>
      <c r="P4926" s="235"/>
      <c r="AI4926" s="38"/>
    </row>
    <row r="4927" ht="15.75" customHeight="1">
      <c r="A4927" s="35"/>
      <c r="C4927" s="442"/>
      <c r="P4927" s="235"/>
      <c r="AI4927" s="38"/>
    </row>
    <row r="4928" ht="15.75" customHeight="1">
      <c r="A4928" s="35"/>
      <c r="C4928" s="442"/>
      <c r="P4928" s="235"/>
      <c r="AI4928" s="38"/>
    </row>
    <row r="4929" ht="15.75" customHeight="1">
      <c r="A4929" s="35"/>
      <c r="C4929" s="442"/>
      <c r="P4929" s="235"/>
      <c r="AI4929" s="38"/>
    </row>
    <row r="4930" ht="15.75" customHeight="1">
      <c r="A4930" s="35"/>
      <c r="C4930" s="442"/>
      <c r="P4930" s="235"/>
      <c r="AI4930" s="38"/>
    </row>
    <row r="4931" ht="15.75" customHeight="1">
      <c r="A4931" s="35"/>
      <c r="C4931" s="442"/>
      <c r="P4931" s="235"/>
      <c r="AI4931" s="38"/>
    </row>
    <row r="4932" ht="15.75" customHeight="1">
      <c r="A4932" s="35"/>
      <c r="C4932" s="442"/>
      <c r="P4932" s="235"/>
      <c r="AI4932" s="38"/>
    </row>
    <row r="4933" ht="15.75" customHeight="1">
      <c r="A4933" s="35"/>
      <c r="C4933" s="442"/>
      <c r="P4933" s="235"/>
      <c r="AI4933" s="38"/>
    </row>
    <row r="4934" ht="15.75" customHeight="1">
      <c r="A4934" s="35"/>
      <c r="C4934" s="442"/>
      <c r="P4934" s="235"/>
      <c r="AI4934" s="38"/>
    </row>
    <row r="4935" ht="15.75" customHeight="1">
      <c r="A4935" s="35"/>
      <c r="C4935" s="442"/>
      <c r="P4935" s="235"/>
      <c r="AI4935" s="38"/>
    </row>
    <row r="4936" ht="15.75" customHeight="1">
      <c r="A4936" s="35"/>
      <c r="C4936" s="442"/>
      <c r="P4936" s="235"/>
      <c r="AI4936" s="38"/>
    </row>
    <row r="4937" ht="15.75" customHeight="1">
      <c r="A4937" s="35"/>
      <c r="C4937" s="442"/>
      <c r="P4937" s="235"/>
      <c r="AI4937" s="38"/>
    </row>
    <row r="4938" ht="15.75" customHeight="1">
      <c r="A4938" s="35"/>
      <c r="C4938" s="442"/>
      <c r="P4938" s="235"/>
      <c r="AI4938" s="38"/>
    </row>
    <row r="4939" ht="15.75" customHeight="1">
      <c r="A4939" s="35"/>
      <c r="C4939" s="442"/>
      <c r="P4939" s="235"/>
      <c r="AI4939" s="38"/>
    </row>
    <row r="4940" ht="15.75" customHeight="1">
      <c r="A4940" s="35"/>
      <c r="C4940" s="442"/>
      <c r="P4940" s="235"/>
      <c r="AI4940" s="38"/>
    </row>
    <row r="4941" ht="15.75" customHeight="1">
      <c r="A4941" s="35"/>
      <c r="C4941" s="442"/>
      <c r="P4941" s="235"/>
      <c r="AI4941" s="38"/>
    </row>
    <row r="4942" ht="15.75" customHeight="1">
      <c r="A4942" s="35"/>
      <c r="C4942" s="442"/>
      <c r="P4942" s="235"/>
      <c r="AI4942" s="38"/>
    </row>
    <row r="4943" ht="15.75" customHeight="1">
      <c r="A4943" s="35"/>
      <c r="C4943" s="442"/>
      <c r="P4943" s="235"/>
      <c r="AI4943" s="38"/>
    </row>
    <row r="4944" ht="15.75" customHeight="1">
      <c r="A4944" s="35"/>
      <c r="C4944" s="442"/>
      <c r="P4944" s="235"/>
      <c r="AI4944" s="38"/>
    </row>
    <row r="4945" ht="15.75" customHeight="1">
      <c r="A4945" s="35"/>
      <c r="C4945" s="442"/>
      <c r="P4945" s="235"/>
      <c r="AI4945" s="38"/>
    </row>
    <row r="4946" ht="15.75" customHeight="1">
      <c r="A4946" s="35"/>
      <c r="C4946" s="442"/>
      <c r="P4946" s="235"/>
      <c r="AI4946" s="38"/>
    </row>
    <row r="4947" ht="15.75" customHeight="1">
      <c r="A4947" s="35"/>
      <c r="C4947" s="442"/>
      <c r="P4947" s="235"/>
      <c r="AI4947" s="38"/>
    </row>
    <row r="4948" ht="15.75" customHeight="1">
      <c r="A4948" s="35"/>
      <c r="C4948" s="442"/>
      <c r="P4948" s="235"/>
      <c r="AI4948" s="38"/>
    </row>
    <row r="4949" ht="15.75" customHeight="1">
      <c r="A4949" s="35"/>
      <c r="C4949" s="442"/>
      <c r="P4949" s="235"/>
      <c r="AI4949" s="38"/>
    </row>
    <row r="4950" ht="15.75" customHeight="1">
      <c r="A4950" s="35"/>
      <c r="C4950" s="442"/>
      <c r="P4950" s="235"/>
      <c r="AI4950" s="38"/>
    </row>
    <row r="4951" ht="15.75" customHeight="1">
      <c r="A4951" s="35"/>
      <c r="C4951" s="442"/>
      <c r="P4951" s="235"/>
      <c r="AI4951" s="38"/>
    </row>
    <row r="4952" ht="15.75" customHeight="1">
      <c r="A4952" s="35"/>
      <c r="C4952" s="442"/>
      <c r="P4952" s="235"/>
      <c r="AI4952" s="38"/>
    </row>
    <row r="4953" ht="15.75" customHeight="1">
      <c r="A4953" s="35"/>
      <c r="C4953" s="442"/>
      <c r="P4953" s="235"/>
      <c r="AI4953" s="38"/>
    </row>
    <row r="4954" ht="15.75" customHeight="1">
      <c r="A4954" s="35"/>
      <c r="C4954" s="442"/>
      <c r="P4954" s="235"/>
      <c r="AI4954" s="38"/>
    </row>
    <row r="4955" ht="15.75" customHeight="1">
      <c r="A4955" s="35"/>
      <c r="C4955" s="442"/>
      <c r="P4955" s="235"/>
      <c r="AI4955" s="38"/>
    </row>
    <row r="4956" ht="15.75" customHeight="1">
      <c r="A4956" s="35"/>
      <c r="C4956" s="442"/>
      <c r="P4956" s="235"/>
      <c r="AI4956" s="38"/>
    </row>
    <row r="4957" ht="15.75" customHeight="1">
      <c r="A4957" s="35"/>
      <c r="C4957" s="442"/>
      <c r="P4957" s="235"/>
      <c r="AI4957" s="38"/>
    </row>
    <row r="4958" ht="15.75" customHeight="1">
      <c r="A4958" s="35"/>
      <c r="C4958" s="442"/>
      <c r="P4958" s="235"/>
      <c r="AI4958" s="38"/>
    </row>
    <row r="4959" ht="15.75" customHeight="1">
      <c r="A4959" s="35"/>
      <c r="C4959" s="442"/>
      <c r="P4959" s="235"/>
      <c r="AI4959" s="38"/>
    </row>
    <row r="4960" ht="15.75" customHeight="1">
      <c r="A4960" s="35"/>
      <c r="C4960" s="442"/>
      <c r="P4960" s="235"/>
      <c r="AI4960" s="38"/>
    </row>
    <row r="4961" ht="15.75" customHeight="1">
      <c r="A4961" s="35"/>
      <c r="C4961" s="442"/>
      <c r="P4961" s="235"/>
      <c r="AI4961" s="38"/>
    </row>
    <row r="4962" ht="15.75" customHeight="1">
      <c r="A4962" s="35"/>
      <c r="C4962" s="442"/>
      <c r="P4962" s="235"/>
      <c r="AI4962" s="38"/>
    </row>
    <row r="4963" ht="15.75" customHeight="1">
      <c r="A4963" s="35"/>
      <c r="C4963" s="442"/>
      <c r="P4963" s="235"/>
      <c r="AI4963" s="38"/>
    </row>
    <row r="4964" ht="15.75" customHeight="1">
      <c r="A4964" s="35"/>
      <c r="C4964" s="442"/>
      <c r="P4964" s="235"/>
      <c r="AI4964" s="38"/>
    </row>
    <row r="4965" ht="15.75" customHeight="1">
      <c r="A4965" s="35"/>
      <c r="C4965" s="442"/>
      <c r="P4965" s="235"/>
      <c r="AI4965" s="38"/>
    </row>
    <row r="4966" ht="15.75" customHeight="1">
      <c r="A4966" s="35"/>
      <c r="C4966" s="442"/>
      <c r="P4966" s="235"/>
      <c r="AI4966" s="38"/>
    </row>
    <row r="4967" ht="15.75" customHeight="1">
      <c r="A4967" s="35"/>
      <c r="C4967" s="442"/>
      <c r="P4967" s="235"/>
      <c r="AI4967" s="38"/>
    </row>
    <row r="4968" ht="15.75" customHeight="1">
      <c r="A4968" s="35"/>
      <c r="C4968" s="442"/>
      <c r="P4968" s="235"/>
      <c r="AI4968" s="38"/>
    </row>
    <row r="4969" ht="15.75" customHeight="1">
      <c r="A4969" s="35"/>
      <c r="C4969" s="442"/>
      <c r="P4969" s="235"/>
      <c r="AI4969" s="38"/>
    </row>
    <row r="4970" ht="15.75" customHeight="1">
      <c r="A4970" s="35"/>
      <c r="C4970" s="442"/>
      <c r="P4970" s="235"/>
      <c r="AI4970" s="38"/>
    </row>
    <row r="4971" ht="15.75" customHeight="1">
      <c r="A4971" s="35"/>
      <c r="C4971" s="442"/>
      <c r="P4971" s="235"/>
      <c r="AI4971" s="38"/>
    </row>
    <row r="4972" ht="15.75" customHeight="1">
      <c r="A4972" s="35"/>
      <c r="C4972" s="442"/>
      <c r="P4972" s="235"/>
      <c r="AI4972" s="38"/>
    </row>
    <row r="4973" ht="15.75" customHeight="1">
      <c r="A4973" s="35"/>
      <c r="C4973" s="442"/>
      <c r="P4973" s="235"/>
      <c r="AI4973" s="38"/>
    </row>
    <row r="4974" ht="15.75" customHeight="1">
      <c r="A4974" s="35"/>
      <c r="C4974" s="442"/>
      <c r="P4974" s="235"/>
      <c r="AI4974" s="38"/>
    </row>
    <row r="4975" ht="15.75" customHeight="1">
      <c r="A4975" s="35"/>
      <c r="C4975" s="442"/>
      <c r="P4975" s="235"/>
      <c r="AI4975" s="38"/>
    </row>
    <row r="4976" ht="15.75" customHeight="1">
      <c r="A4976" s="35"/>
      <c r="C4976" s="442"/>
      <c r="P4976" s="235"/>
      <c r="AI4976" s="38"/>
    </row>
    <row r="4977" ht="15.75" customHeight="1">
      <c r="A4977" s="35"/>
      <c r="C4977" s="442"/>
      <c r="P4977" s="235"/>
      <c r="AI4977" s="38"/>
    </row>
    <row r="4978" ht="15.75" customHeight="1">
      <c r="A4978" s="35"/>
      <c r="C4978" s="442"/>
      <c r="P4978" s="235"/>
      <c r="AI4978" s="38"/>
    </row>
    <row r="4979" ht="15.75" customHeight="1">
      <c r="A4979" s="35"/>
      <c r="C4979" s="442"/>
      <c r="P4979" s="235"/>
      <c r="AI4979" s="38"/>
    </row>
    <row r="4980" ht="15.75" customHeight="1">
      <c r="A4980" s="35"/>
      <c r="C4980" s="442"/>
      <c r="P4980" s="235"/>
      <c r="AI4980" s="38"/>
    </row>
    <row r="4981" ht="15.75" customHeight="1">
      <c r="A4981" s="35"/>
      <c r="C4981" s="442"/>
      <c r="P4981" s="235"/>
      <c r="AI4981" s="38"/>
    </row>
    <row r="4982" ht="15.75" customHeight="1">
      <c r="A4982" s="35"/>
      <c r="C4982" s="442"/>
      <c r="P4982" s="235"/>
      <c r="AI4982" s="38"/>
    </row>
    <row r="4983" ht="15.75" customHeight="1">
      <c r="A4983" s="35"/>
      <c r="C4983" s="442"/>
      <c r="P4983" s="235"/>
      <c r="AI4983" s="38"/>
    </row>
    <row r="4984" ht="15.75" customHeight="1">
      <c r="A4984" s="35"/>
      <c r="C4984" s="442"/>
      <c r="P4984" s="235"/>
      <c r="AI4984" s="38"/>
    </row>
    <row r="4985" ht="15.75" customHeight="1">
      <c r="A4985" s="35"/>
      <c r="C4985" s="442"/>
      <c r="P4985" s="235"/>
      <c r="AI4985" s="38"/>
    </row>
    <row r="4986" ht="15.75" customHeight="1">
      <c r="A4986" s="35"/>
      <c r="C4986" s="442"/>
      <c r="P4986" s="235"/>
      <c r="AI4986" s="38"/>
    </row>
    <row r="4987" ht="15.75" customHeight="1">
      <c r="A4987" s="35"/>
      <c r="C4987" s="442"/>
      <c r="P4987" s="235"/>
      <c r="AI4987" s="38"/>
    </row>
    <row r="4988" ht="15.75" customHeight="1">
      <c r="A4988" s="35"/>
      <c r="C4988" s="442"/>
      <c r="P4988" s="235"/>
      <c r="AI4988" s="38"/>
    </row>
    <row r="4989" ht="15.75" customHeight="1">
      <c r="A4989" s="35"/>
      <c r="C4989" s="442"/>
      <c r="P4989" s="235"/>
      <c r="AI4989" s="38"/>
    </row>
    <row r="4990" ht="15.75" customHeight="1">
      <c r="A4990" s="35"/>
      <c r="C4990" s="442"/>
      <c r="P4990" s="235"/>
      <c r="AI4990" s="38"/>
    </row>
    <row r="4991" ht="15.75" customHeight="1">
      <c r="A4991" s="35"/>
      <c r="C4991" s="442"/>
      <c r="P4991" s="235"/>
      <c r="AI4991" s="38"/>
    </row>
    <row r="4992" ht="15.75" customHeight="1">
      <c r="A4992" s="35"/>
      <c r="C4992" s="442"/>
      <c r="P4992" s="235"/>
      <c r="AI4992" s="38"/>
    </row>
    <row r="4993" ht="15.75" customHeight="1">
      <c r="A4993" s="35"/>
      <c r="C4993" s="442"/>
      <c r="P4993" s="235"/>
      <c r="AI4993" s="38"/>
    </row>
    <row r="4994" ht="15.75" customHeight="1">
      <c r="A4994" s="35"/>
      <c r="C4994" s="442"/>
      <c r="P4994" s="235"/>
      <c r="AI4994" s="38"/>
    </row>
    <row r="4995" ht="15.75" customHeight="1">
      <c r="A4995" s="35"/>
      <c r="C4995" s="442"/>
      <c r="P4995" s="235"/>
      <c r="AI4995" s="38"/>
    </row>
    <row r="4996" ht="15.75" customHeight="1">
      <c r="A4996" s="35"/>
      <c r="C4996" s="442"/>
      <c r="P4996" s="235"/>
      <c r="AI4996" s="38"/>
    </row>
    <row r="4997" ht="15.75" customHeight="1">
      <c r="A4997" s="35"/>
      <c r="C4997" s="442"/>
      <c r="P4997" s="235"/>
      <c r="AI4997" s="38"/>
    </row>
    <row r="4998" ht="15.75" customHeight="1">
      <c r="A4998" s="35"/>
      <c r="C4998" s="442"/>
      <c r="P4998" s="235"/>
      <c r="AI4998" s="38"/>
    </row>
    <row r="4999" ht="15.75" customHeight="1">
      <c r="A4999" s="35"/>
      <c r="C4999" s="442"/>
      <c r="P4999" s="235"/>
      <c r="AI4999" s="38"/>
    </row>
    <row r="5000" ht="15.75" customHeight="1">
      <c r="A5000" s="35"/>
      <c r="C5000" s="442"/>
      <c r="P5000" s="235"/>
      <c r="AI5000" s="38"/>
    </row>
    <row r="5001" ht="15.75" customHeight="1">
      <c r="A5001" s="35"/>
      <c r="C5001" s="442"/>
      <c r="P5001" s="235"/>
      <c r="AI5001" s="38"/>
    </row>
    <row r="5002" ht="15.75" customHeight="1">
      <c r="A5002" s="35"/>
      <c r="C5002" s="442"/>
      <c r="P5002" s="235"/>
      <c r="AI5002" s="38"/>
    </row>
    <row r="5003" ht="15.75" customHeight="1">
      <c r="A5003" s="35"/>
      <c r="C5003" s="442"/>
      <c r="P5003" s="235"/>
      <c r="AI5003" s="38"/>
    </row>
    <row r="5004" ht="15.75" customHeight="1">
      <c r="A5004" s="35"/>
      <c r="C5004" s="442"/>
      <c r="P5004" s="235"/>
      <c r="AI5004" s="38"/>
    </row>
    <row r="5005" ht="15.75" customHeight="1">
      <c r="A5005" s="35"/>
      <c r="C5005" s="442"/>
      <c r="P5005" s="235"/>
      <c r="AI5005" s="38"/>
    </row>
    <row r="5006" ht="15.75" customHeight="1">
      <c r="A5006" s="35"/>
      <c r="C5006" s="442"/>
      <c r="P5006" s="235"/>
      <c r="AI5006" s="38"/>
    </row>
    <row r="5007" ht="15.75" customHeight="1">
      <c r="A5007" s="35"/>
      <c r="C5007" s="442"/>
      <c r="P5007" s="235"/>
      <c r="AI5007" s="38"/>
    </row>
    <row r="5008" ht="15.75" customHeight="1">
      <c r="A5008" s="35"/>
      <c r="C5008" s="442"/>
      <c r="P5008" s="235"/>
      <c r="AI5008" s="38"/>
    </row>
    <row r="5009" ht="15.75" customHeight="1">
      <c r="A5009" s="35"/>
      <c r="C5009" s="442"/>
      <c r="P5009" s="235"/>
      <c r="AI5009" s="38"/>
    </row>
    <row r="5010" ht="15.75" customHeight="1">
      <c r="A5010" s="35"/>
      <c r="C5010" s="442"/>
      <c r="P5010" s="235"/>
      <c r="AI5010" s="38"/>
    </row>
    <row r="5011" ht="15.75" customHeight="1">
      <c r="A5011" s="35"/>
      <c r="C5011" s="442"/>
      <c r="P5011" s="235"/>
      <c r="AI5011" s="38"/>
    </row>
    <row r="5012" ht="15.75" customHeight="1">
      <c r="A5012" s="35"/>
      <c r="C5012" s="442"/>
      <c r="P5012" s="235"/>
      <c r="AI5012" s="38"/>
    </row>
    <row r="5013" ht="15.75" customHeight="1">
      <c r="A5013" s="35"/>
      <c r="C5013" s="442"/>
      <c r="P5013" s="235"/>
      <c r="AI5013" s="38"/>
    </row>
    <row r="5014" ht="15.75" customHeight="1">
      <c r="A5014" s="35"/>
      <c r="C5014" s="442"/>
      <c r="P5014" s="235"/>
      <c r="AI5014" s="38"/>
    </row>
    <row r="5015" ht="15.75" customHeight="1">
      <c r="A5015" s="35"/>
      <c r="C5015" s="442"/>
      <c r="P5015" s="235"/>
      <c r="AI5015" s="38"/>
    </row>
    <row r="5016" ht="15.75" customHeight="1">
      <c r="A5016" s="35"/>
      <c r="C5016" s="442"/>
      <c r="P5016" s="235"/>
      <c r="AI5016" s="38"/>
    </row>
    <row r="5017" ht="15.75" customHeight="1">
      <c r="A5017" s="35"/>
      <c r="C5017" s="442"/>
      <c r="P5017" s="235"/>
      <c r="AI5017" s="38"/>
    </row>
    <row r="5018" ht="15.75" customHeight="1">
      <c r="A5018" s="35"/>
      <c r="C5018" s="442"/>
      <c r="P5018" s="235"/>
      <c r="AI5018" s="38"/>
    </row>
    <row r="5019" ht="15.75" customHeight="1">
      <c r="A5019" s="35"/>
      <c r="C5019" s="442"/>
      <c r="P5019" s="235"/>
      <c r="AI5019" s="38"/>
    </row>
    <row r="5020" ht="15.75" customHeight="1">
      <c r="A5020" s="35"/>
      <c r="C5020" s="442"/>
      <c r="P5020" s="235"/>
      <c r="AI5020" s="38"/>
    </row>
    <row r="5021" ht="15.75" customHeight="1">
      <c r="A5021" s="35"/>
      <c r="C5021" s="442"/>
      <c r="P5021" s="235"/>
      <c r="AI5021" s="38"/>
    </row>
    <row r="5022" ht="15.75" customHeight="1">
      <c r="A5022" s="35"/>
      <c r="C5022" s="442"/>
      <c r="P5022" s="235"/>
      <c r="AI5022" s="38"/>
    </row>
    <row r="5023" ht="15.75" customHeight="1">
      <c r="A5023" s="35"/>
      <c r="C5023" s="442"/>
      <c r="P5023" s="235"/>
      <c r="AI5023" s="38"/>
    </row>
    <row r="5024" ht="15.75" customHeight="1">
      <c r="A5024" s="35"/>
      <c r="C5024" s="442"/>
      <c r="P5024" s="235"/>
      <c r="AI5024" s="38"/>
    </row>
    <row r="5025" ht="15.75" customHeight="1">
      <c r="A5025" s="35"/>
      <c r="C5025" s="442"/>
      <c r="P5025" s="235"/>
      <c r="AI5025" s="38"/>
    </row>
    <row r="5026" ht="15.75" customHeight="1">
      <c r="A5026" s="35"/>
      <c r="C5026" s="442"/>
      <c r="P5026" s="235"/>
      <c r="AI5026" s="38"/>
    </row>
    <row r="5027" ht="15.75" customHeight="1">
      <c r="A5027" s="35"/>
      <c r="C5027" s="442"/>
      <c r="P5027" s="235"/>
      <c r="AI5027" s="38"/>
    </row>
    <row r="5028" ht="15.75" customHeight="1">
      <c r="A5028" s="35"/>
      <c r="C5028" s="442"/>
      <c r="P5028" s="235"/>
      <c r="AI5028" s="38"/>
    </row>
    <row r="5029" ht="15.75" customHeight="1">
      <c r="A5029" s="35"/>
      <c r="C5029" s="442"/>
      <c r="P5029" s="235"/>
      <c r="AI5029" s="38"/>
    </row>
    <row r="5030" ht="15.75" customHeight="1">
      <c r="A5030" s="35"/>
      <c r="C5030" s="442"/>
      <c r="P5030" s="235"/>
      <c r="AI5030" s="38"/>
    </row>
    <row r="5031" ht="15.75" customHeight="1">
      <c r="A5031" s="35"/>
      <c r="C5031" s="442"/>
      <c r="P5031" s="235"/>
      <c r="AI5031" s="38"/>
    </row>
    <row r="5032" ht="15.75" customHeight="1">
      <c r="A5032" s="35"/>
      <c r="C5032" s="442"/>
      <c r="P5032" s="235"/>
      <c r="AI5032" s="38"/>
    </row>
    <row r="5033" ht="15.75" customHeight="1">
      <c r="A5033" s="35"/>
      <c r="C5033" s="442"/>
      <c r="P5033" s="235"/>
      <c r="AI5033" s="38"/>
    </row>
    <row r="5034" ht="15.75" customHeight="1">
      <c r="A5034" s="35"/>
      <c r="C5034" s="442"/>
      <c r="P5034" s="235"/>
      <c r="AI5034" s="38"/>
    </row>
    <row r="5035" ht="15.75" customHeight="1">
      <c r="A5035" s="35"/>
      <c r="C5035" s="442"/>
      <c r="P5035" s="235"/>
      <c r="AI5035" s="38"/>
    </row>
    <row r="5036" ht="15.75" customHeight="1">
      <c r="A5036" s="35"/>
      <c r="C5036" s="442"/>
      <c r="P5036" s="235"/>
      <c r="AI5036" s="38"/>
    </row>
    <row r="5037" ht="15.75" customHeight="1">
      <c r="A5037" s="35"/>
      <c r="C5037" s="442"/>
      <c r="P5037" s="235"/>
      <c r="AI5037" s="38"/>
    </row>
    <row r="5038" ht="15.75" customHeight="1">
      <c r="A5038" s="35"/>
      <c r="C5038" s="442"/>
      <c r="P5038" s="235"/>
      <c r="AI5038" s="38"/>
    </row>
    <row r="5039" ht="15.75" customHeight="1">
      <c r="A5039" s="35"/>
      <c r="C5039" s="442"/>
      <c r="P5039" s="235"/>
      <c r="AI5039" s="38"/>
    </row>
    <row r="5040" ht="15.75" customHeight="1">
      <c r="A5040" s="35"/>
      <c r="C5040" s="442"/>
      <c r="P5040" s="235"/>
      <c r="AI5040" s="38"/>
    </row>
    <row r="5041" ht="15.75" customHeight="1">
      <c r="A5041" s="35"/>
      <c r="C5041" s="442"/>
      <c r="P5041" s="235"/>
      <c r="AI5041" s="38"/>
    </row>
    <row r="5042" ht="15.75" customHeight="1">
      <c r="A5042" s="35"/>
      <c r="C5042" s="442"/>
      <c r="P5042" s="235"/>
      <c r="AI5042" s="38"/>
    </row>
    <row r="5043" ht="15.75" customHeight="1">
      <c r="A5043" s="35"/>
      <c r="C5043" s="442"/>
      <c r="P5043" s="235"/>
      <c r="AI5043" s="38"/>
    </row>
    <row r="5044" ht="15.75" customHeight="1">
      <c r="A5044" s="35"/>
      <c r="C5044" s="442"/>
      <c r="P5044" s="235"/>
      <c r="AI5044" s="38"/>
    </row>
    <row r="5045" ht="15.75" customHeight="1">
      <c r="A5045" s="35"/>
      <c r="C5045" s="442"/>
      <c r="P5045" s="235"/>
      <c r="AI5045" s="38"/>
    </row>
    <row r="5046" ht="15.75" customHeight="1">
      <c r="A5046" s="35"/>
      <c r="C5046" s="442"/>
      <c r="P5046" s="235"/>
      <c r="AI5046" s="38"/>
    </row>
    <row r="5047" ht="15.75" customHeight="1">
      <c r="A5047" s="35"/>
      <c r="C5047" s="442"/>
      <c r="P5047" s="235"/>
      <c r="AI5047" s="38"/>
    </row>
    <row r="5048" ht="15.75" customHeight="1">
      <c r="A5048" s="35"/>
      <c r="C5048" s="442"/>
      <c r="P5048" s="235"/>
      <c r="AI5048" s="38"/>
    </row>
    <row r="5049" ht="15.75" customHeight="1">
      <c r="A5049" s="35"/>
      <c r="C5049" s="442"/>
      <c r="P5049" s="235"/>
      <c r="AI5049" s="38"/>
    </row>
    <row r="5050" ht="15.75" customHeight="1">
      <c r="A5050" s="35"/>
      <c r="C5050" s="442"/>
      <c r="P5050" s="235"/>
      <c r="AI5050" s="38"/>
    </row>
    <row r="5051" ht="15.75" customHeight="1">
      <c r="A5051" s="35"/>
      <c r="C5051" s="442"/>
      <c r="P5051" s="235"/>
      <c r="AI5051" s="38"/>
    </row>
    <row r="5052" ht="15.75" customHeight="1">
      <c r="A5052" s="35"/>
      <c r="C5052" s="442"/>
      <c r="P5052" s="235"/>
      <c r="AI5052" s="38"/>
    </row>
    <row r="5053" ht="15.75" customHeight="1">
      <c r="A5053" s="35"/>
      <c r="C5053" s="442"/>
      <c r="P5053" s="235"/>
      <c r="AI5053" s="38"/>
    </row>
    <row r="5054" ht="15.75" customHeight="1">
      <c r="A5054" s="35"/>
      <c r="C5054" s="442"/>
      <c r="P5054" s="235"/>
      <c r="AI5054" s="38"/>
    </row>
    <row r="5055" ht="15.75" customHeight="1">
      <c r="A5055" s="35"/>
      <c r="C5055" s="442"/>
      <c r="P5055" s="235"/>
      <c r="AI5055" s="38"/>
    </row>
    <row r="5056" ht="15.75" customHeight="1">
      <c r="A5056" s="35"/>
      <c r="C5056" s="442"/>
      <c r="P5056" s="235"/>
      <c r="AI5056" s="38"/>
    </row>
    <row r="5057" ht="15.75" customHeight="1">
      <c r="A5057" s="35"/>
      <c r="C5057" s="442"/>
      <c r="P5057" s="235"/>
      <c r="AI5057" s="38"/>
    </row>
    <row r="5058" ht="15.75" customHeight="1">
      <c r="A5058" s="35"/>
      <c r="C5058" s="442"/>
      <c r="P5058" s="235"/>
      <c r="AI5058" s="38"/>
    </row>
    <row r="5059" ht="15.75" customHeight="1">
      <c r="A5059" s="35"/>
      <c r="C5059" s="442"/>
      <c r="P5059" s="235"/>
      <c r="AI5059" s="38"/>
    </row>
    <row r="5060" ht="15.75" customHeight="1">
      <c r="A5060" s="35"/>
      <c r="C5060" s="442"/>
      <c r="P5060" s="235"/>
      <c r="AI5060" s="38"/>
    </row>
    <row r="5061" ht="15.75" customHeight="1">
      <c r="A5061" s="35"/>
      <c r="C5061" s="442"/>
      <c r="P5061" s="235"/>
      <c r="AI5061" s="38"/>
    </row>
    <row r="5062" ht="15.75" customHeight="1">
      <c r="A5062" s="35"/>
      <c r="C5062" s="442"/>
      <c r="P5062" s="235"/>
      <c r="AI5062" s="38"/>
    </row>
    <row r="5063" ht="15.75" customHeight="1">
      <c r="A5063" s="35"/>
      <c r="C5063" s="442"/>
      <c r="P5063" s="235"/>
      <c r="AI5063" s="38"/>
    </row>
    <row r="5064" ht="15.75" customHeight="1">
      <c r="A5064" s="35"/>
      <c r="C5064" s="442"/>
      <c r="P5064" s="235"/>
      <c r="AI5064" s="38"/>
    </row>
    <row r="5065" ht="15.75" customHeight="1">
      <c r="A5065" s="35"/>
      <c r="C5065" s="442"/>
      <c r="P5065" s="235"/>
      <c r="AI5065" s="38"/>
    </row>
    <row r="5066" ht="15.75" customHeight="1">
      <c r="A5066" s="35"/>
      <c r="C5066" s="442"/>
      <c r="P5066" s="235"/>
      <c r="AI5066" s="38"/>
    </row>
    <row r="5067" ht="15.75" customHeight="1">
      <c r="A5067" s="35"/>
      <c r="C5067" s="442"/>
      <c r="P5067" s="235"/>
      <c r="AI5067" s="38"/>
    </row>
    <row r="5068" ht="15.75" customHeight="1">
      <c r="A5068" s="35"/>
      <c r="C5068" s="442"/>
      <c r="P5068" s="235"/>
      <c r="AI5068" s="38"/>
    </row>
    <row r="5069" ht="15.75" customHeight="1">
      <c r="A5069" s="35"/>
      <c r="C5069" s="442"/>
      <c r="P5069" s="235"/>
      <c r="AI5069" s="38"/>
    </row>
    <row r="5070" ht="15.75" customHeight="1">
      <c r="A5070" s="35"/>
      <c r="C5070" s="442"/>
      <c r="P5070" s="235"/>
      <c r="AI5070" s="38"/>
    </row>
    <row r="5071" ht="15.75" customHeight="1">
      <c r="A5071" s="35"/>
      <c r="C5071" s="442"/>
      <c r="P5071" s="235"/>
      <c r="AI5071" s="38"/>
    </row>
    <row r="5072" ht="15.75" customHeight="1">
      <c r="A5072" s="35"/>
      <c r="C5072" s="442"/>
      <c r="P5072" s="235"/>
      <c r="AI5072" s="38"/>
    </row>
    <row r="5073" ht="15.75" customHeight="1">
      <c r="A5073" s="35"/>
      <c r="C5073" s="442"/>
      <c r="P5073" s="235"/>
      <c r="AI5073" s="38"/>
    </row>
    <row r="5074" ht="15.75" customHeight="1">
      <c r="A5074" s="35"/>
      <c r="C5074" s="442"/>
      <c r="P5074" s="235"/>
      <c r="AI5074" s="38"/>
    </row>
    <row r="5075" ht="15.75" customHeight="1">
      <c r="A5075" s="35"/>
      <c r="C5075" s="442"/>
      <c r="P5075" s="235"/>
      <c r="AI5075" s="38"/>
    </row>
    <row r="5076" ht="15.75" customHeight="1">
      <c r="A5076" s="35"/>
      <c r="C5076" s="442"/>
      <c r="P5076" s="235"/>
      <c r="AI5076" s="38"/>
    </row>
    <row r="5077" ht="15.75" customHeight="1">
      <c r="A5077" s="35"/>
      <c r="C5077" s="442"/>
      <c r="P5077" s="235"/>
      <c r="AI5077" s="38"/>
    </row>
    <row r="5078" ht="15.75" customHeight="1">
      <c r="A5078" s="35"/>
      <c r="C5078" s="442"/>
      <c r="P5078" s="235"/>
      <c r="AI5078" s="38"/>
    </row>
    <row r="5079" ht="15.75" customHeight="1">
      <c r="A5079" s="35"/>
      <c r="C5079" s="442"/>
      <c r="P5079" s="235"/>
      <c r="AI5079" s="38"/>
    </row>
    <row r="5080" ht="15.75" customHeight="1">
      <c r="A5080" s="35"/>
      <c r="C5080" s="442"/>
      <c r="P5080" s="235"/>
      <c r="AI5080" s="38"/>
    </row>
    <row r="5081" ht="15.75" customHeight="1">
      <c r="A5081" s="35"/>
      <c r="C5081" s="442"/>
      <c r="P5081" s="235"/>
      <c r="AI5081" s="38"/>
    </row>
    <row r="5082" ht="15.75" customHeight="1">
      <c r="A5082" s="35"/>
      <c r="C5082" s="442"/>
      <c r="P5082" s="235"/>
      <c r="AI5082" s="38"/>
    </row>
    <row r="5083" ht="15.75" customHeight="1">
      <c r="A5083" s="35"/>
      <c r="C5083" s="442"/>
      <c r="P5083" s="235"/>
      <c r="AI5083" s="38"/>
    </row>
    <row r="5084" ht="15.75" customHeight="1">
      <c r="A5084" s="35"/>
      <c r="C5084" s="442"/>
      <c r="P5084" s="235"/>
      <c r="AI5084" s="38"/>
    </row>
    <row r="5085" ht="15.75" customHeight="1">
      <c r="A5085" s="35"/>
      <c r="C5085" s="442"/>
      <c r="P5085" s="235"/>
      <c r="AI5085" s="38"/>
    </row>
    <row r="5086" ht="15.75" customHeight="1">
      <c r="A5086" s="35"/>
      <c r="C5086" s="442"/>
      <c r="P5086" s="235"/>
      <c r="AI5086" s="38"/>
    </row>
    <row r="5087" ht="15.75" customHeight="1">
      <c r="A5087" s="35"/>
      <c r="C5087" s="442"/>
      <c r="P5087" s="235"/>
      <c r="AI5087" s="38"/>
    </row>
    <row r="5088" ht="15.75" customHeight="1">
      <c r="A5088" s="35"/>
      <c r="C5088" s="442"/>
      <c r="P5088" s="235"/>
      <c r="AI5088" s="38"/>
    </row>
    <row r="5089" ht="15.75" customHeight="1">
      <c r="A5089" s="35"/>
      <c r="C5089" s="442"/>
      <c r="P5089" s="235"/>
      <c r="AI5089" s="38"/>
    </row>
    <row r="5090" ht="15.75" customHeight="1">
      <c r="A5090" s="35"/>
      <c r="C5090" s="442"/>
      <c r="P5090" s="235"/>
      <c r="AI5090" s="38"/>
    </row>
    <row r="5091" ht="15.75" customHeight="1">
      <c r="A5091" s="35"/>
      <c r="C5091" s="442"/>
      <c r="P5091" s="235"/>
      <c r="AI5091" s="38"/>
    </row>
    <row r="5092" ht="15.75" customHeight="1">
      <c r="A5092" s="35"/>
      <c r="C5092" s="442"/>
      <c r="P5092" s="235"/>
      <c r="AI5092" s="38"/>
    </row>
    <row r="5093" ht="15.75" customHeight="1">
      <c r="A5093" s="35"/>
      <c r="C5093" s="442"/>
      <c r="P5093" s="235"/>
      <c r="AI5093" s="38"/>
    </row>
    <row r="5094" ht="15.75" customHeight="1">
      <c r="A5094" s="35"/>
      <c r="C5094" s="442"/>
      <c r="P5094" s="235"/>
      <c r="AI5094" s="38"/>
    </row>
    <row r="5095" ht="15.75" customHeight="1">
      <c r="A5095" s="35"/>
      <c r="C5095" s="442"/>
      <c r="P5095" s="235"/>
      <c r="AI5095" s="38"/>
    </row>
    <row r="5096" ht="15.75" customHeight="1">
      <c r="A5096" s="35"/>
      <c r="C5096" s="442"/>
      <c r="P5096" s="235"/>
      <c r="AI5096" s="38"/>
    </row>
    <row r="5097" ht="15.75" customHeight="1">
      <c r="A5097" s="35"/>
      <c r="C5097" s="442"/>
      <c r="P5097" s="235"/>
      <c r="AI5097" s="38"/>
    </row>
    <row r="5098" ht="15.75" customHeight="1">
      <c r="A5098" s="35"/>
      <c r="C5098" s="442"/>
      <c r="P5098" s="235"/>
      <c r="AI5098" s="38"/>
    </row>
    <row r="5099" ht="15.75" customHeight="1">
      <c r="A5099" s="35"/>
      <c r="C5099" s="442"/>
      <c r="P5099" s="235"/>
      <c r="AI5099" s="38"/>
    </row>
    <row r="5100" ht="15.75" customHeight="1">
      <c r="A5100" s="35"/>
      <c r="C5100" s="442"/>
      <c r="P5100" s="235"/>
      <c r="AI5100" s="38"/>
    </row>
    <row r="5101" ht="15.75" customHeight="1">
      <c r="A5101" s="35"/>
      <c r="C5101" s="442"/>
      <c r="P5101" s="235"/>
      <c r="AI5101" s="38"/>
    </row>
    <row r="5102" ht="15.75" customHeight="1">
      <c r="A5102" s="35"/>
      <c r="C5102" s="442"/>
      <c r="P5102" s="235"/>
      <c r="AI5102" s="38"/>
    </row>
    <row r="5103" ht="15.75" customHeight="1">
      <c r="A5103" s="35"/>
      <c r="C5103" s="442"/>
      <c r="P5103" s="235"/>
      <c r="AI5103" s="38"/>
    </row>
    <row r="5104" ht="15.75" customHeight="1">
      <c r="A5104" s="35"/>
      <c r="C5104" s="442"/>
      <c r="P5104" s="235"/>
      <c r="AI5104" s="38"/>
    </row>
    <row r="5105" ht="15.75" customHeight="1">
      <c r="A5105" s="35"/>
      <c r="C5105" s="442"/>
      <c r="P5105" s="235"/>
      <c r="AI5105" s="38"/>
    </row>
    <row r="5106" ht="15.75" customHeight="1">
      <c r="A5106" s="35"/>
      <c r="C5106" s="442"/>
      <c r="P5106" s="235"/>
      <c r="AI5106" s="38"/>
    </row>
    <row r="5107" ht="15.75" customHeight="1">
      <c r="A5107" s="35"/>
      <c r="C5107" s="442"/>
      <c r="P5107" s="235"/>
      <c r="AI5107" s="38"/>
    </row>
    <row r="5108" ht="15.75" customHeight="1">
      <c r="A5108" s="35"/>
      <c r="C5108" s="442"/>
      <c r="P5108" s="235"/>
      <c r="AI5108" s="38"/>
    </row>
    <row r="5109" ht="15.75" customHeight="1">
      <c r="A5109" s="35"/>
      <c r="C5109" s="442"/>
      <c r="P5109" s="235"/>
      <c r="AI5109" s="38"/>
    </row>
    <row r="5110" ht="15.75" customHeight="1">
      <c r="A5110" s="35"/>
      <c r="C5110" s="442"/>
      <c r="P5110" s="235"/>
      <c r="AI5110" s="38"/>
    </row>
    <row r="5111" ht="15.75" customHeight="1">
      <c r="A5111" s="35"/>
      <c r="C5111" s="442"/>
      <c r="P5111" s="235"/>
      <c r="AI5111" s="38"/>
    </row>
    <row r="5112" ht="15.75" customHeight="1">
      <c r="A5112" s="35"/>
      <c r="C5112" s="442"/>
      <c r="P5112" s="235"/>
      <c r="AI5112" s="38"/>
    </row>
    <row r="5113" ht="15.75" customHeight="1">
      <c r="A5113" s="35"/>
      <c r="C5113" s="442"/>
      <c r="P5113" s="235"/>
      <c r="AI5113" s="38"/>
    </row>
    <row r="5114" ht="15.75" customHeight="1">
      <c r="A5114" s="35"/>
      <c r="C5114" s="442"/>
      <c r="P5114" s="235"/>
      <c r="AI5114" s="38"/>
    </row>
    <row r="5115" ht="15.75" customHeight="1">
      <c r="A5115" s="35"/>
      <c r="C5115" s="442"/>
      <c r="P5115" s="235"/>
      <c r="AI5115" s="38"/>
    </row>
    <row r="5116" ht="15.75" customHeight="1">
      <c r="A5116" s="35"/>
      <c r="C5116" s="442"/>
      <c r="P5116" s="235"/>
      <c r="AI5116" s="38"/>
    </row>
    <row r="5117" ht="15.75" customHeight="1">
      <c r="A5117" s="35"/>
      <c r="C5117" s="442"/>
      <c r="P5117" s="235"/>
      <c r="AI5117" s="38"/>
    </row>
    <row r="5118" ht="15.75" customHeight="1">
      <c r="A5118" s="35"/>
      <c r="C5118" s="442"/>
      <c r="P5118" s="235"/>
      <c r="AI5118" s="38"/>
    </row>
    <row r="5119" ht="15.75" customHeight="1">
      <c r="A5119" s="35"/>
      <c r="C5119" s="442"/>
      <c r="P5119" s="235"/>
      <c r="AI5119" s="38"/>
    </row>
    <row r="5120" ht="15.75" customHeight="1">
      <c r="A5120" s="35"/>
      <c r="C5120" s="442"/>
      <c r="P5120" s="235"/>
      <c r="AI5120" s="38"/>
    </row>
    <row r="5121" ht="15.75" customHeight="1">
      <c r="A5121" s="35"/>
      <c r="C5121" s="442"/>
      <c r="P5121" s="235"/>
      <c r="AI5121" s="38"/>
    </row>
    <row r="5122" ht="15.75" customHeight="1">
      <c r="A5122" s="35"/>
      <c r="C5122" s="442"/>
      <c r="P5122" s="235"/>
      <c r="AI5122" s="38"/>
    </row>
    <row r="5123" ht="15.75" customHeight="1">
      <c r="A5123" s="35"/>
      <c r="C5123" s="442"/>
      <c r="P5123" s="235"/>
      <c r="AI5123" s="38"/>
    </row>
    <row r="5124" ht="15.75" customHeight="1">
      <c r="A5124" s="35"/>
      <c r="C5124" s="442"/>
      <c r="P5124" s="235"/>
      <c r="AI5124" s="38"/>
    </row>
    <row r="5125" ht="15.75" customHeight="1">
      <c r="A5125" s="35"/>
      <c r="C5125" s="442"/>
      <c r="P5125" s="235"/>
      <c r="AI5125" s="38"/>
    </row>
    <row r="5126" ht="15.75" customHeight="1">
      <c r="A5126" s="35"/>
      <c r="C5126" s="442"/>
      <c r="P5126" s="235"/>
      <c r="AI5126" s="38"/>
    </row>
    <row r="5127" ht="15.75" customHeight="1">
      <c r="A5127" s="35"/>
      <c r="C5127" s="442"/>
      <c r="P5127" s="235"/>
      <c r="AI5127" s="38"/>
    </row>
    <row r="5128" ht="15.75" customHeight="1">
      <c r="A5128" s="35"/>
      <c r="C5128" s="442"/>
      <c r="P5128" s="235"/>
      <c r="AI5128" s="38"/>
    </row>
    <row r="5129" ht="15.75" customHeight="1">
      <c r="A5129" s="35"/>
      <c r="C5129" s="442"/>
      <c r="P5129" s="235"/>
      <c r="AI5129" s="38"/>
    </row>
    <row r="5130" ht="15.75" customHeight="1">
      <c r="A5130" s="35"/>
      <c r="C5130" s="442"/>
      <c r="P5130" s="235"/>
      <c r="AI5130" s="38"/>
    </row>
    <row r="5131" ht="15.75" customHeight="1">
      <c r="A5131" s="35"/>
      <c r="C5131" s="442"/>
      <c r="P5131" s="235"/>
      <c r="AI5131" s="38"/>
    </row>
    <row r="5132" ht="15.75" customHeight="1">
      <c r="A5132" s="35"/>
      <c r="C5132" s="442"/>
      <c r="P5132" s="235"/>
      <c r="AI5132" s="38"/>
    </row>
    <row r="5133" ht="15.75" customHeight="1">
      <c r="A5133" s="35"/>
      <c r="C5133" s="442"/>
      <c r="P5133" s="235"/>
      <c r="AI5133" s="38"/>
    </row>
    <row r="5134" ht="15.75" customHeight="1">
      <c r="A5134" s="35"/>
      <c r="C5134" s="442"/>
      <c r="P5134" s="235"/>
      <c r="AI5134" s="38"/>
    </row>
    <row r="5135" ht="15.75" customHeight="1">
      <c r="A5135" s="35"/>
      <c r="C5135" s="442"/>
      <c r="P5135" s="235"/>
      <c r="AI5135" s="38"/>
    </row>
    <row r="5136" ht="15.75" customHeight="1">
      <c r="A5136" s="35"/>
      <c r="C5136" s="442"/>
      <c r="P5136" s="235"/>
      <c r="AI5136" s="38"/>
    </row>
    <row r="5137" ht="15.75" customHeight="1">
      <c r="A5137" s="35"/>
      <c r="C5137" s="442"/>
      <c r="P5137" s="235"/>
      <c r="AI5137" s="38"/>
    </row>
    <row r="5138" ht="15.75" customHeight="1">
      <c r="A5138" s="35"/>
      <c r="C5138" s="442"/>
      <c r="P5138" s="235"/>
      <c r="AI5138" s="38"/>
    </row>
    <row r="5139" ht="15.75" customHeight="1">
      <c r="A5139" s="35"/>
      <c r="C5139" s="442"/>
      <c r="P5139" s="235"/>
      <c r="AI5139" s="38"/>
    </row>
    <row r="5140" ht="15.75" customHeight="1">
      <c r="A5140" s="35"/>
      <c r="C5140" s="442"/>
      <c r="P5140" s="235"/>
      <c r="AI5140" s="38"/>
    </row>
    <row r="5141" ht="15.75" customHeight="1">
      <c r="A5141" s="35"/>
      <c r="C5141" s="442"/>
      <c r="P5141" s="235"/>
      <c r="AI5141" s="38"/>
    </row>
    <row r="5142" ht="15.75" customHeight="1">
      <c r="A5142" s="35"/>
      <c r="C5142" s="442"/>
      <c r="P5142" s="235"/>
      <c r="AI5142" s="38"/>
    </row>
    <row r="5143" ht="15.75" customHeight="1">
      <c r="A5143" s="35"/>
      <c r="C5143" s="442"/>
      <c r="P5143" s="235"/>
      <c r="AI5143" s="38"/>
    </row>
    <row r="5144" ht="15.75" customHeight="1">
      <c r="A5144" s="35"/>
      <c r="C5144" s="442"/>
      <c r="P5144" s="235"/>
      <c r="AI5144" s="38"/>
    </row>
    <row r="5145" ht="15.75" customHeight="1">
      <c r="A5145" s="35"/>
      <c r="C5145" s="442"/>
      <c r="P5145" s="235"/>
      <c r="AI5145" s="38"/>
    </row>
    <row r="5146" ht="15.75" customHeight="1">
      <c r="A5146" s="35"/>
      <c r="C5146" s="442"/>
      <c r="P5146" s="235"/>
      <c r="AI5146" s="38"/>
    </row>
    <row r="5147" ht="15.75" customHeight="1">
      <c r="A5147" s="35"/>
      <c r="C5147" s="442"/>
      <c r="P5147" s="235"/>
      <c r="AI5147" s="38"/>
    </row>
    <row r="5148" ht="15.75" customHeight="1">
      <c r="A5148" s="35"/>
      <c r="C5148" s="442"/>
      <c r="P5148" s="235"/>
      <c r="AI5148" s="38"/>
    </row>
    <row r="5149" ht="15.75" customHeight="1">
      <c r="A5149" s="35"/>
      <c r="C5149" s="442"/>
      <c r="P5149" s="235"/>
      <c r="AI5149" s="38"/>
    </row>
    <row r="5150" ht="15.75" customHeight="1">
      <c r="A5150" s="35"/>
      <c r="C5150" s="442"/>
      <c r="P5150" s="235"/>
      <c r="AI5150" s="38"/>
    </row>
    <row r="5151" ht="15.75" customHeight="1">
      <c r="A5151" s="35"/>
      <c r="C5151" s="442"/>
      <c r="P5151" s="235"/>
      <c r="AI5151" s="38"/>
    </row>
    <row r="5152" ht="15.75" customHeight="1">
      <c r="A5152" s="35"/>
      <c r="C5152" s="442"/>
      <c r="P5152" s="235"/>
      <c r="AI5152" s="38"/>
    </row>
    <row r="5153" ht="15.75" customHeight="1">
      <c r="A5153" s="35"/>
      <c r="C5153" s="442"/>
      <c r="P5153" s="235"/>
      <c r="AI5153" s="38"/>
    </row>
    <row r="5154" ht="15.75" customHeight="1">
      <c r="A5154" s="35"/>
      <c r="C5154" s="442"/>
      <c r="P5154" s="235"/>
      <c r="AI5154" s="38"/>
    </row>
    <row r="5155" ht="15.75" customHeight="1">
      <c r="A5155" s="35"/>
      <c r="C5155" s="442"/>
      <c r="P5155" s="235"/>
      <c r="AI5155" s="38"/>
    </row>
    <row r="5156" ht="15.75" customHeight="1">
      <c r="A5156" s="35"/>
      <c r="C5156" s="442"/>
      <c r="P5156" s="235"/>
      <c r="AI5156" s="38"/>
    </row>
    <row r="5157" ht="15.75" customHeight="1">
      <c r="A5157" s="35"/>
      <c r="C5157" s="442"/>
      <c r="P5157" s="235"/>
      <c r="AI5157" s="38"/>
    </row>
    <row r="5158" ht="15.75" customHeight="1">
      <c r="A5158" s="35"/>
      <c r="C5158" s="442"/>
      <c r="P5158" s="235"/>
      <c r="AI5158" s="38"/>
    </row>
    <row r="5159" ht="15.75" customHeight="1">
      <c r="A5159" s="35"/>
      <c r="C5159" s="442"/>
      <c r="P5159" s="235"/>
      <c r="AI5159" s="38"/>
    </row>
    <row r="5160" ht="15.75" customHeight="1">
      <c r="A5160" s="35"/>
      <c r="C5160" s="442"/>
      <c r="P5160" s="235"/>
      <c r="AI5160" s="38"/>
    </row>
    <row r="5161" ht="15.75" customHeight="1">
      <c r="A5161" s="35"/>
      <c r="C5161" s="442"/>
      <c r="P5161" s="235"/>
      <c r="AI5161" s="38"/>
    </row>
    <row r="5162" ht="15.75" customHeight="1">
      <c r="A5162" s="35"/>
      <c r="C5162" s="442"/>
      <c r="P5162" s="235"/>
      <c r="AI5162" s="38"/>
    </row>
    <row r="5163" ht="15.75" customHeight="1">
      <c r="A5163" s="35"/>
      <c r="C5163" s="442"/>
      <c r="P5163" s="235"/>
      <c r="AI5163" s="38"/>
    </row>
    <row r="5164" ht="15.75" customHeight="1">
      <c r="A5164" s="35"/>
      <c r="C5164" s="442"/>
      <c r="P5164" s="235"/>
      <c r="AI5164" s="38"/>
    </row>
    <row r="5165" ht="15.75" customHeight="1">
      <c r="A5165" s="35"/>
      <c r="C5165" s="442"/>
      <c r="P5165" s="235"/>
      <c r="AI5165" s="38"/>
    </row>
    <row r="5166" ht="15.75" customHeight="1">
      <c r="A5166" s="35"/>
      <c r="C5166" s="442"/>
      <c r="P5166" s="235"/>
      <c r="AI5166" s="38"/>
    </row>
    <row r="5167" ht="15.75" customHeight="1">
      <c r="A5167" s="35"/>
      <c r="C5167" s="442"/>
      <c r="P5167" s="235"/>
      <c r="AI5167" s="38"/>
    </row>
    <row r="5168" ht="15.75" customHeight="1">
      <c r="A5168" s="35"/>
      <c r="C5168" s="442"/>
      <c r="P5168" s="235"/>
      <c r="AI5168" s="38"/>
    </row>
    <row r="5169" ht="15.75" customHeight="1">
      <c r="A5169" s="35"/>
      <c r="C5169" s="442"/>
      <c r="P5169" s="235"/>
      <c r="AI5169" s="38"/>
    </row>
    <row r="5170" ht="15.75" customHeight="1">
      <c r="A5170" s="35"/>
      <c r="C5170" s="442"/>
      <c r="P5170" s="235"/>
      <c r="AI5170" s="38"/>
    </row>
    <row r="5171" ht="15.75" customHeight="1">
      <c r="A5171" s="35"/>
      <c r="C5171" s="442"/>
      <c r="P5171" s="235"/>
      <c r="AI5171" s="38"/>
    </row>
    <row r="5172" ht="15.75" customHeight="1">
      <c r="A5172" s="35"/>
      <c r="C5172" s="442"/>
      <c r="P5172" s="235"/>
      <c r="AI5172" s="38"/>
    </row>
    <row r="5173" ht="15.75" customHeight="1">
      <c r="A5173" s="35"/>
      <c r="C5173" s="442"/>
      <c r="P5173" s="235"/>
      <c r="AI5173" s="38"/>
    </row>
    <row r="5174" ht="15.75" customHeight="1">
      <c r="A5174" s="35"/>
      <c r="C5174" s="442"/>
      <c r="P5174" s="235"/>
      <c r="AI5174" s="38"/>
    </row>
    <row r="5175" ht="15.75" customHeight="1">
      <c r="A5175" s="35"/>
      <c r="C5175" s="442"/>
      <c r="P5175" s="235"/>
      <c r="AI5175" s="38"/>
    </row>
    <row r="5176" ht="15.75" customHeight="1">
      <c r="A5176" s="35"/>
      <c r="C5176" s="442"/>
      <c r="P5176" s="235"/>
      <c r="AI5176" s="38"/>
    </row>
    <row r="5177" ht="15.75" customHeight="1">
      <c r="A5177" s="35"/>
      <c r="C5177" s="442"/>
      <c r="P5177" s="235"/>
      <c r="AI5177" s="38"/>
    </row>
    <row r="5178" ht="15.75" customHeight="1">
      <c r="A5178" s="35"/>
      <c r="C5178" s="442"/>
      <c r="P5178" s="235"/>
      <c r="AI5178" s="38"/>
    </row>
    <row r="5179" ht="15.75" customHeight="1">
      <c r="A5179" s="35"/>
      <c r="C5179" s="442"/>
      <c r="P5179" s="235"/>
      <c r="AI5179" s="38"/>
    </row>
    <row r="5180" ht="15.75" customHeight="1">
      <c r="A5180" s="35"/>
      <c r="C5180" s="442"/>
      <c r="P5180" s="235"/>
      <c r="AI5180" s="38"/>
    </row>
    <row r="5181" ht="15.75" customHeight="1">
      <c r="A5181" s="35"/>
      <c r="C5181" s="442"/>
      <c r="P5181" s="235"/>
      <c r="AI5181" s="38"/>
    </row>
    <row r="5182" ht="15.75" customHeight="1">
      <c r="A5182" s="35"/>
      <c r="C5182" s="442"/>
      <c r="P5182" s="235"/>
      <c r="AI5182" s="38"/>
    </row>
    <row r="5183" ht="15.75" customHeight="1">
      <c r="A5183" s="35"/>
      <c r="C5183" s="442"/>
      <c r="P5183" s="235"/>
      <c r="AI5183" s="38"/>
    </row>
    <row r="5184" ht="15.75" customHeight="1">
      <c r="A5184" s="35"/>
      <c r="C5184" s="442"/>
      <c r="P5184" s="235"/>
      <c r="AI5184" s="38"/>
    </row>
    <row r="5185" ht="15.75" customHeight="1">
      <c r="A5185" s="35"/>
      <c r="C5185" s="442"/>
      <c r="P5185" s="235"/>
      <c r="AI5185" s="38"/>
    </row>
    <row r="5186" ht="15.75" customHeight="1">
      <c r="A5186" s="35"/>
      <c r="C5186" s="442"/>
      <c r="P5186" s="235"/>
      <c r="AI5186" s="38"/>
    </row>
    <row r="5187" ht="15.75" customHeight="1">
      <c r="A5187" s="35"/>
      <c r="C5187" s="442"/>
      <c r="P5187" s="235"/>
      <c r="AI5187" s="38"/>
    </row>
    <row r="5188" ht="15.75" customHeight="1">
      <c r="A5188" s="35"/>
      <c r="C5188" s="442"/>
      <c r="P5188" s="235"/>
      <c r="AI5188" s="38"/>
    </row>
    <row r="5189" ht="15.75" customHeight="1">
      <c r="A5189" s="35"/>
      <c r="C5189" s="442"/>
      <c r="P5189" s="235"/>
      <c r="AI5189" s="38"/>
    </row>
    <row r="5190" ht="15.75" customHeight="1">
      <c r="A5190" s="35"/>
      <c r="C5190" s="442"/>
      <c r="P5190" s="235"/>
      <c r="AI5190" s="38"/>
    </row>
    <row r="5191" ht="15.75" customHeight="1">
      <c r="A5191" s="35"/>
      <c r="C5191" s="442"/>
      <c r="P5191" s="235"/>
      <c r="AI5191" s="38"/>
    </row>
    <row r="5192" ht="15.75" customHeight="1">
      <c r="A5192" s="35"/>
      <c r="C5192" s="442"/>
      <c r="P5192" s="235"/>
      <c r="AI5192" s="38"/>
    </row>
    <row r="5193" ht="15.75" customHeight="1">
      <c r="A5193" s="35"/>
      <c r="C5193" s="442"/>
      <c r="P5193" s="235"/>
      <c r="AI5193" s="38"/>
    </row>
    <row r="5194" ht="15.75" customHeight="1">
      <c r="A5194" s="35"/>
      <c r="C5194" s="442"/>
      <c r="P5194" s="235"/>
      <c r="AI5194" s="38"/>
    </row>
    <row r="5195" ht="15.75" customHeight="1">
      <c r="A5195" s="35"/>
      <c r="C5195" s="442"/>
      <c r="P5195" s="235"/>
      <c r="AI5195" s="38"/>
    </row>
    <row r="5196" ht="15.75" customHeight="1">
      <c r="A5196" s="35"/>
      <c r="C5196" s="442"/>
      <c r="P5196" s="235"/>
      <c r="AI5196" s="38"/>
    </row>
    <row r="5197" ht="15.75" customHeight="1">
      <c r="A5197" s="35"/>
      <c r="C5197" s="442"/>
      <c r="P5197" s="235"/>
      <c r="AI5197" s="38"/>
    </row>
    <row r="5198" ht="15.75" customHeight="1">
      <c r="A5198" s="35"/>
      <c r="C5198" s="442"/>
      <c r="P5198" s="235"/>
      <c r="AI5198" s="38"/>
    </row>
    <row r="5199" ht="15.75" customHeight="1">
      <c r="A5199" s="35"/>
      <c r="C5199" s="442"/>
      <c r="P5199" s="235"/>
      <c r="AI5199" s="38"/>
    </row>
    <row r="5200" ht="15.75" customHeight="1">
      <c r="A5200" s="35"/>
      <c r="C5200" s="442"/>
      <c r="P5200" s="235"/>
      <c r="AI5200" s="38"/>
    </row>
    <row r="5201" ht="15.75" customHeight="1">
      <c r="A5201" s="35"/>
      <c r="C5201" s="442"/>
      <c r="P5201" s="235"/>
      <c r="AI5201" s="38"/>
    </row>
    <row r="5202" ht="15.75" customHeight="1">
      <c r="A5202" s="35"/>
      <c r="C5202" s="442"/>
      <c r="P5202" s="235"/>
      <c r="AI5202" s="38"/>
    </row>
    <row r="5203" ht="15.75" customHeight="1">
      <c r="A5203" s="35"/>
      <c r="C5203" s="442"/>
      <c r="P5203" s="235"/>
      <c r="AI5203" s="38"/>
    </row>
    <row r="5204" ht="15.75" customHeight="1">
      <c r="A5204" s="35"/>
      <c r="C5204" s="442"/>
      <c r="P5204" s="235"/>
      <c r="AI5204" s="38"/>
    </row>
    <row r="5205" ht="15.75" customHeight="1">
      <c r="A5205" s="35"/>
      <c r="C5205" s="442"/>
      <c r="P5205" s="235"/>
      <c r="AI5205" s="38"/>
    </row>
    <row r="5206" ht="15.75" customHeight="1">
      <c r="A5206" s="35"/>
      <c r="C5206" s="442"/>
      <c r="P5206" s="235"/>
      <c r="AI5206" s="38"/>
    </row>
    <row r="5207" ht="15.75" customHeight="1">
      <c r="A5207" s="35"/>
      <c r="C5207" s="442"/>
      <c r="P5207" s="235"/>
      <c r="AI5207" s="38"/>
    </row>
    <row r="5208" ht="15.75" customHeight="1">
      <c r="A5208" s="35"/>
      <c r="C5208" s="442"/>
      <c r="P5208" s="235"/>
      <c r="AI5208" s="38"/>
    </row>
    <row r="5209" ht="15.75" customHeight="1">
      <c r="A5209" s="35"/>
      <c r="C5209" s="442"/>
      <c r="P5209" s="235"/>
      <c r="AI5209" s="38"/>
    </row>
    <row r="5210" ht="15.75" customHeight="1">
      <c r="A5210" s="35"/>
      <c r="C5210" s="442"/>
      <c r="P5210" s="235"/>
      <c r="AI5210" s="38"/>
    </row>
    <row r="5211" ht="15.75" customHeight="1">
      <c r="A5211" s="35"/>
      <c r="C5211" s="442"/>
      <c r="P5211" s="235"/>
      <c r="AI5211" s="38"/>
    </row>
    <row r="5212" ht="15.75" customHeight="1">
      <c r="A5212" s="35"/>
      <c r="C5212" s="442"/>
      <c r="P5212" s="235"/>
      <c r="AI5212" s="38"/>
    </row>
    <row r="5213" ht="15.75" customHeight="1">
      <c r="A5213" s="35"/>
      <c r="C5213" s="442"/>
      <c r="P5213" s="235"/>
      <c r="AI5213" s="38"/>
    </row>
    <row r="5214" ht="15.75" customHeight="1">
      <c r="A5214" s="35"/>
      <c r="C5214" s="442"/>
      <c r="P5214" s="235"/>
      <c r="AI5214" s="38"/>
    </row>
    <row r="5215" ht="15.75" customHeight="1">
      <c r="A5215" s="35"/>
      <c r="C5215" s="442"/>
      <c r="P5215" s="235"/>
      <c r="AI5215" s="38"/>
    </row>
    <row r="5216" ht="15.75" customHeight="1">
      <c r="A5216" s="35"/>
      <c r="C5216" s="442"/>
      <c r="P5216" s="235"/>
      <c r="AI5216" s="38"/>
    </row>
    <row r="5217" ht="15.75" customHeight="1">
      <c r="A5217" s="35"/>
      <c r="C5217" s="442"/>
      <c r="P5217" s="235"/>
      <c r="AI5217" s="38"/>
    </row>
    <row r="5218" ht="15.75" customHeight="1">
      <c r="A5218" s="35"/>
      <c r="C5218" s="442"/>
      <c r="P5218" s="235"/>
      <c r="AI5218" s="38"/>
    </row>
    <row r="5219" ht="15.75" customHeight="1">
      <c r="A5219" s="35"/>
      <c r="C5219" s="442"/>
      <c r="P5219" s="235"/>
      <c r="AI5219" s="38"/>
    </row>
    <row r="5220" ht="15.75" customHeight="1">
      <c r="A5220" s="35"/>
      <c r="C5220" s="442"/>
      <c r="P5220" s="235"/>
      <c r="AI5220" s="38"/>
    </row>
    <row r="5221" ht="15.75" customHeight="1">
      <c r="A5221" s="35"/>
      <c r="C5221" s="442"/>
      <c r="P5221" s="235"/>
      <c r="AI5221" s="38"/>
    </row>
    <row r="5222" ht="15.75" customHeight="1">
      <c r="A5222" s="35"/>
      <c r="C5222" s="442"/>
      <c r="P5222" s="235"/>
      <c r="AI5222" s="38"/>
    </row>
    <row r="5223" ht="15.75" customHeight="1">
      <c r="A5223" s="35"/>
      <c r="C5223" s="442"/>
      <c r="P5223" s="235"/>
      <c r="AI5223" s="38"/>
    </row>
    <row r="5224" ht="15.75" customHeight="1">
      <c r="A5224" s="35"/>
      <c r="C5224" s="442"/>
      <c r="P5224" s="235"/>
      <c r="AI5224" s="38"/>
    </row>
    <row r="5225" ht="15.75" customHeight="1">
      <c r="A5225" s="35"/>
      <c r="C5225" s="442"/>
      <c r="P5225" s="235"/>
      <c r="AI5225" s="38"/>
    </row>
    <row r="5226" ht="15.75" customHeight="1">
      <c r="A5226" s="35"/>
      <c r="C5226" s="442"/>
      <c r="P5226" s="235"/>
      <c r="AI5226" s="38"/>
    </row>
    <row r="5227" ht="15.75" customHeight="1">
      <c r="A5227" s="35"/>
      <c r="C5227" s="442"/>
      <c r="P5227" s="235"/>
      <c r="AI5227" s="38"/>
    </row>
    <row r="5228" ht="15.75" customHeight="1">
      <c r="A5228" s="35"/>
      <c r="C5228" s="442"/>
      <c r="P5228" s="235"/>
      <c r="AI5228" s="38"/>
    </row>
    <row r="5229" ht="15.75" customHeight="1">
      <c r="A5229" s="35"/>
      <c r="C5229" s="442"/>
      <c r="P5229" s="235"/>
      <c r="AI5229" s="38"/>
    </row>
    <row r="5230" ht="15.75" customHeight="1">
      <c r="A5230" s="35"/>
      <c r="C5230" s="442"/>
      <c r="P5230" s="235"/>
      <c r="AI5230" s="38"/>
    </row>
    <row r="5231" ht="15.75" customHeight="1">
      <c r="A5231" s="35"/>
      <c r="C5231" s="442"/>
      <c r="P5231" s="235"/>
      <c r="AI5231" s="38"/>
    </row>
    <row r="5232" ht="15.75" customHeight="1">
      <c r="A5232" s="35"/>
      <c r="C5232" s="442"/>
      <c r="P5232" s="235"/>
      <c r="AI5232" s="38"/>
    </row>
    <row r="5233" ht="15.75" customHeight="1">
      <c r="A5233" s="35"/>
      <c r="C5233" s="442"/>
      <c r="P5233" s="235"/>
      <c r="AI5233" s="38"/>
    </row>
    <row r="5234" ht="15.75" customHeight="1">
      <c r="A5234" s="35"/>
      <c r="C5234" s="442"/>
      <c r="P5234" s="235"/>
      <c r="AI5234" s="38"/>
    </row>
    <row r="5235" ht="15.75" customHeight="1">
      <c r="A5235" s="35"/>
      <c r="C5235" s="442"/>
      <c r="P5235" s="235"/>
      <c r="AI5235" s="38"/>
    </row>
    <row r="5236" ht="15.75" customHeight="1">
      <c r="A5236" s="35"/>
      <c r="C5236" s="442"/>
      <c r="P5236" s="235"/>
      <c r="AI5236" s="38"/>
    </row>
    <row r="5237" ht="15.75" customHeight="1">
      <c r="A5237" s="35"/>
      <c r="C5237" s="442"/>
      <c r="P5237" s="235"/>
      <c r="AI5237" s="38"/>
    </row>
    <row r="5238" ht="15.75" customHeight="1">
      <c r="A5238" s="35"/>
      <c r="C5238" s="442"/>
      <c r="P5238" s="235"/>
      <c r="AI5238" s="38"/>
    </row>
    <row r="5239" ht="15.75" customHeight="1">
      <c r="A5239" s="35"/>
      <c r="C5239" s="442"/>
      <c r="P5239" s="235"/>
      <c r="AI5239" s="38"/>
    </row>
    <row r="5240" ht="15.75" customHeight="1">
      <c r="A5240" s="35"/>
      <c r="C5240" s="442"/>
      <c r="P5240" s="235"/>
      <c r="AI5240" s="38"/>
    </row>
    <row r="5241" ht="15.75" customHeight="1">
      <c r="A5241" s="35"/>
      <c r="C5241" s="442"/>
      <c r="P5241" s="235"/>
      <c r="AI5241" s="38"/>
    </row>
    <row r="5242" ht="15.75" customHeight="1">
      <c r="A5242" s="35"/>
      <c r="C5242" s="442"/>
      <c r="P5242" s="235"/>
      <c r="AI5242" s="38"/>
    </row>
    <row r="5243" ht="15.75" customHeight="1">
      <c r="A5243" s="35"/>
      <c r="C5243" s="442"/>
      <c r="P5243" s="235"/>
      <c r="AI5243" s="38"/>
    </row>
    <row r="5244" ht="15.75" customHeight="1">
      <c r="A5244" s="35"/>
      <c r="C5244" s="442"/>
      <c r="P5244" s="235"/>
      <c r="AI5244" s="38"/>
    </row>
    <row r="5245" ht="15.75" customHeight="1">
      <c r="A5245" s="35"/>
      <c r="C5245" s="442"/>
      <c r="P5245" s="235"/>
      <c r="AI5245" s="38"/>
    </row>
    <row r="5246" ht="15.75" customHeight="1">
      <c r="A5246" s="35"/>
      <c r="C5246" s="442"/>
      <c r="P5246" s="235"/>
      <c r="AI5246" s="38"/>
    </row>
    <row r="5247" ht="15.75" customHeight="1">
      <c r="A5247" s="35"/>
      <c r="C5247" s="442"/>
      <c r="P5247" s="235"/>
      <c r="AI5247" s="38"/>
    </row>
    <row r="5248" ht="15.75" customHeight="1">
      <c r="A5248" s="35"/>
      <c r="C5248" s="442"/>
      <c r="P5248" s="235"/>
      <c r="AI5248" s="38"/>
    </row>
    <row r="5249" ht="15.75" customHeight="1">
      <c r="A5249" s="35"/>
      <c r="C5249" s="442"/>
      <c r="P5249" s="235"/>
      <c r="AI5249" s="38"/>
    </row>
    <row r="5250" ht="15.75" customHeight="1">
      <c r="A5250" s="35"/>
      <c r="C5250" s="442"/>
      <c r="P5250" s="235"/>
      <c r="AI5250" s="38"/>
    </row>
    <row r="5251" ht="15.75" customHeight="1">
      <c r="A5251" s="35"/>
      <c r="C5251" s="442"/>
      <c r="P5251" s="235"/>
      <c r="AI5251" s="38"/>
    </row>
    <row r="5252" ht="15.75" customHeight="1">
      <c r="A5252" s="35"/>
      <c r="C5252" s="442"/>
      <c r="P5252" s="235"/>
      <c r="AI5252" s="38"/>
    </row>
    <row r="5253" ht="15.75" customHeight="1">
      <c r="A5253" s="35"/>
      <c r="C5253" s="442"/>
      <c r="P5253" s="235"/>
      <c r="AI5253" s="38"/>
    </row>
    <row r="5254" ht="15.75" customHeight="1">
      <c r="A5254" s="35"/>
      <c r="C5254" s="442"/>
      <c r="P5254" s="235"/>
      <c r="AI5254" s="38"/>
    </row>
    <row r="5255" ht="15.75" customHeight="1">
      <c r="A5255" s="35"/>
      <c r="C5255" s="442"/>
      <c r="P5255" s="235"/>
      <c r="AI5255" s="38"/>
    </row>
    <row r="5256" ht="15.75" customHeight="1">
      <c r="A5256" s="35"/>
      <c r="C5256" s="442"/>
      <c r="P5256" s="235"/>
      <c r="AI5256" s="38"/>
    </row>
    <row r="5257" ht="15.75" customHeight="1">
      <c r="A5257" s="35"/>
      <c r="C5257" s="442"/>
      <c r="P5257" s="235"/>
      <c r="AI5257" s="38"/>
    </row>
    <row r="5258" ht="15.75" customHeight="1">
      <c r="A5258" s="35"/>
      <c r="C5258" s="442"/>
      <c r="P5258" s="235"/>
      <c r="AI5258" s="38"/>
    </row>
    <row r="5259" ht="15.75" customHeight="1">
      <c r="A5259" s="35"/>
      <c r="C5259" s="442"/>
      <c r="P5259" s="235"/>
      <c r="AI5259" s="38"/>
    </row>
    <row r="5260" ht="15.75" customHeight="1">
      <c r="A5260" s="35"/>
      <c r="C5260" s="442"/>
      <c r="P5260" s="235"/>
      <c r="AI5260" s="38"/>
    </row>
    <row r="5261" ht="15.75" customHeight="1">
      <c r="A5261" s="35"/>
      <c r="C5261" s="442"/>
      <c r="P5261" s="235"/>
      <c r="AI5261" s="38"/>
    </row>
    <row r="5262" ht="15.75" customHeight="1">
      <c r="A5262" s="35"/>
      <c r="C5262" s="442"/>
      <c r="P5262" s="235"/>
      <c r="AI5262" s="38"/>
    </row>
    <row r="5263" ht="15.75" customHeight="1">
      <c r="A5263" s="35"/>
      <c r="C5263" s="442"/>
      <c r="P5263" s="235"/>
      <c r="AI5263" s="38"/>
    </row>
    <row r="5264" ht="15.75" customHeight="1">
      <c r="A5264" s="35"/>
      <c r="C5264" s="442"/>
      <c r="P5264" s="235"/>
      <c r="AI5264" s="38"/>
    </row>
    <row r="5265" ht="15.75" customHeight="1">
      <c r="A5265" s="35"/>
      <c r="C5265" s="442"/>
      <c r="P5265" s="235"/>
      <c r="AI5265" s="38"/>
    </row>
    <row r="5266" ht="15.75" customHeight="1">
      <c r="A5266" s="35"/>
      <c r="C5266" s="442"/>
      <c r="P5266" s="235"/>
      <c r="AI5266" s="38"/>
    </row>
    <row r="5267" ht="15.75" customHeight="1">
      <c r="A5267" s="35"/>
      <c r="C5267" s="442"/>
      <c r="P5267" s="235"/>
      <c r="AI5267" s="38"/>
    </row>
    <row r="5268" ht="15.75" customHeight="1">
      <c r="A5268" s="35"/>
      <c r="C5268" s="442"/>
      <c r="P5268" s="235"/>
      <c r="AI5268" s="38"/>
    </row>
    <row r="5269" ht="15.75" customHeight="1">
      <c r="A5269" s="35"/>
      <c r="C5269" s="442"/>
      <c r="P5269" s="235"/>
      <c r="AI5269" s="38"/>
    </row>
    <row r="5270" ht="15.75" customHeight="1">
      <c r="A5270" s="35"/>
      <c r="C5270" s="442"/>
      <c r="P5270" s="235"/>
      <c r="AI5270" s="38"/>
    </row>
    <row r="5271" ht="15.75" customHeight="1">
      <c r="A5271" s="35"/>
      <c r="C5271" s="442"/>
      <c r="P5271" s="235"/>
      <c r="AI5271" s="38"/>
    </row>
    <row r="5272" ht="15.75" customHeight="1">
      <c r="A5272" s="35"/>
      <c r="C5272" s="442"/>
      <c r="P5272" s="235"/>
      <c r="AI5272" s="38"/>
    </row>
    <row r="5273" ht="15.75" customHeight="1">
      <c r="A5273" s="35"/>
      <c r="C5273" s="442"/>
      <c r="P5273" s="235"/>
      <c r="AI5273" s="38"/>
    </row>
    <row r="5274" ht="15.75" customHeight="1">
      <c r="A5274" s="35"/>
      <c r="C5274" s="442"/>
      <c r="P5274" s="235"/>
      <c r="AI5274" s="38"/>
    </row>
    <row r="5275" ht="15.75" customHeight="1">
      <c r="A5275" s="35"/>
      <c r="C5275" s="442"/>
      <c r="P5275" s="235"/>
      <c r="AI5275" s="38"/>
    </row>
    <row r="5276" ht="15.75" customHeight="1">
      <c r="A5276" s="35"/>
      <c r="C5276" s="442"/>
      <c r="P5276" s="235"/>
      <c r="AI5276" s="38"/>
    </row>
    <row r="5277" ht="15.75" customHeight="1">
      <c r="A5277" s="35"/>
      <c r="C5277" s="442"/>
      <c r="P5277" s="235"/>
      <c r="AI5277" s="38"/>
    </row>
    <row r="5278" ht="15.75" customHeight="1">
      <c r="A5278" s="35"/>
      <c r="C5278" s="442"/>
      <c r="P5278" s="235"/>
      <c r="AI5278" s="38"/>
    </row>
    <row r="5279" ht="15.75" customHeight="1">
      <c r="A5279" s="35"/>
      <c r="C5279" s="442"/>
      <c r="P5279" s="235"/>
      <c r="AI5279" s="38"/>
    </row>
    <row r="5280" ht="15.75" customHeight="1">
      <c r="A5280" s="35"/>
      <c r="C5280" s="442"/>
      <c r="P5280" s="235"/>
      <c r="AI5280" s="38"/>
    </row>
    <row r="5281" ht="15.75" customHeight="1">
      <c r="A5281" s="35"/>
      <c r="C5281" s="442"/>
      <c r="P5281" s="235"/>
      <c r="AI5281" s="38"/>
    </row>
    <row r="5282" ht="15.75" customHeight="1">
      <c r="A5282" s="35"/>
      <c r="C5282" s="442"/>
      <c r="P5282" s="235"/>
      <c r="AI5282" s="38"/>
    </row>
    <row r="5283" ht="15.75" customHeight="1">
      <c r="A5283" s="35"/>
      <c r="C5283" s="442"/>
      <c r="P5283" s="235"/>
      <c r="AI5283" s="38"/>
    </row>
    <row r="5284" ht="15.75" customHeight="1">
      <c r="A5284" s="35"/>
      <c r="C5284" s="442"/>
      <c r="P5284" s="235"/>
      <c r="AI5284" s="38"/>
    </row>
    <row r="5285" ht="15.75" customHeight="1">
      <c r="A5285" s="35"/>
      <c r="C5285" s="442"/>
      <c r="P5285" s="235"/>
      <c r="AI5285" s="38"/>
    </row>
    <row r="5286" ht="15.75" customHeight="1">
      <c r="A5286" s="35"/>
      <c r="C5286" s="442"/>
      <c r="P5286" s="235"/>
      <c r="AI5286" s="38"/>
    </row>
    <row r="5287" ht="15.75" customHeight="1">
      <c r="A5287" s="35"/>
      <c r="C5287" s="442"/>
      <c r="P5287" s="235"/>
      <c r="AI5287" s="38"/>
    </row>
    <row r="5288" ht="15.75" customHeight="1">
      <c r="A5288" s="35"/>
      <c r="C5288" s="442"/>
      <c r="P5288" s="235"/>
      <c r="AI5288" s="38"/>
    </row>
    <row r="5289" ht="15.75" customHeight="1">
      <c r="A5289" s="35"/>
      <c r="C5289" s="442"/>
      <c r="P5289" s="235"/>
      <c r="AI5289" s="38"/>
    </row>
    <row r="5290" ht="15.75" customHeight="1">
      <c r="A5290" s="35"/>
      <c r="C5290" s="442"/>
      <c r="P5290" s="235"/>
      <c r="AI5290" s="38"/>
    </row>
    <row r="5291" ht="15.75" customHeight="1">
      <c r="A5291" s="35"/>
      <c r="C5291" s="442"/>
      <c r="P5291" s="235"/>
      <c r="AI5291" s="38"/>
    </row>
    <row r="5292" ht="15.75" customHeight="1">
      <c r="A5292" s="35"/>
      <c r="C5292" s="442"/>
      <c r="P5292" s="235"/>
      <c r="AI5292" s="38"/>
    </row>
    <row r="5293" ht="15.75" customHeight="1">
      <c r="A5293" s="35"/>
      <c r="C5293" s="442"/>
      <c r="P5293" s="235"/>
      <c r="AI5293" s="38"/>
    </row>
    <row r="5294" ht="15.75" customHeight="1">
      <c r="A5294" s="35"/>
      <c r="C5294" s="442"/>
      <c r="P5294" s="235"/>
      <c r="AI5294" s="38"/>
    </row>
    <row r="5295" ht="15.75" customHeight="1">
      <c r="A5295" s="35"/>
      <c r="C5295" s="442"/>
      <c r="P5295" s="235"/>
      <c r="AI5295" s="38"/>
    </row>
    <row r="5296" ht="15.75" customHeight="1">
      <c r="A5296" s="35"/>
      <c r="C5296" s="442"/>
      <c r="P5296" s="235"/>
      <c r="AI5296" s="38"/>
    </row>
    <row r="5297" ht="15.75" customHeight="1">
      <c r="A5297" s="35"/>
      <c r="C5297" s="442"/>
      <c r="P5297" s="235"/>
      <c r="AI5297" s="38"/>
    </row>
    <row r="5298" ht="15.75" customHeight="1">
      <c r="A5298" s="35"/>
      <c r="C5298" s="442"/>
      <c r="P5298" s="235"/>
      <c r="AI5298" s="38"/>
    </row>
    <row r="5299" ht="15.75" customHeight="1">
      <c r="A5299" s="35"/>
      <c r="C5299" s="442"/>
      <c r="P5299" s="235"/>
      <c r="AI5299" s="38"/>
    </row>
    <row r="5300" ht="15.75" customHeight="1">
      <c r="A5300" s="35"/>
      <c r="C5300" s="442"/>
      <c r="P5300" s="235"/>
      <c r="AI5300" s="38"/>
    </row>
    <row r="5301" ht="15.75" customHeight="1">
      <c r="A5301" s="35"/>
      <c r="C5301" s="442"/>
      <c r="P5301" s="235"/>
      <c r="AI5301" s="38"/>
    </row>
    <row r="5302" ht="15.75" customHeight="1">
      <c r="A5302" s="35"/>
      <c r="C5302" s="442"/>
      <c r="P5302" s="235"/>
      <c r="AI5302" s="38"/>
    </row>
    <row r="5303" ht="15.75" customHeight="1">
      <c r="A5303" s="35"/>
      <c r="C5303" s="442"/>
      <c r="P5303" s="235"/>
      <c r="AI5303" s="38"/>
    </row>
    <row r="5304" ht="15.75" customHeight="1">
      <c r="A5304" s="35"/>
      <c r="C5304" s="442"/>
      <c r="P5304" s="235"/>
      <c r="AI5304" s="38"/>
    </row>
    <row r="5305" ht="15.75" customHeight="1">
      <c r="A5305" s="35"/>
      <c r="C5305" s="442"/>
      <c r="P5305" s="235"/>
      <c r="AI5305" s="38"/>
    </row>
    <row r="5306" ht="15.75" customHeight="1">
      <c r="A5306" s="35"/>
      <c r="C5306" s="442"/>
      <c r="P5306" s="235"/>
      <c r="AI5306" s="38"/>
    </row>
    <row r="5307" ht="15.75" customHeight="1">
      <c r="A5307" s="35"/>
      <c r="C5307" s="442"/>
      <c r="P5307" s="235"/>
      <c r="AI5307" s="38"/>
    </row>
    <row r="5308" ht="15.75" customHeight="1">
      <c r="A5308" s="35"/>
      <c r="C5308" s="442"/>
      <c r="P5308" s="235"/>
      <c r="AI5308" s="38"/>
    </row>
    <row r="5309" ht="15.75" customHeight="1">
      <c r="A5309" s="35"/>
      <c r="C5309" s="442"/>
      <c r="P5309" s="235"/>
      <c r="AI5309" s="38"/>
    </row>
    <row r="5310" ht="15.75" customHeight="1">
      <c r="A5310" s="35"/>
      <c r="C5310" s="442"/>
      <c r="P5310" s="235"/>
      <c r="AI5310" s="38"/>
    </row>
    <row r="5311" ht="15.75" customHeight="1">
      <c r="A5311" s="35"/>
      <c r="C5311" s="442"/>
      <c r="P5311" s="235"/>
      <c r="AI5311" s="38"/>
    </row>
    <row r="5312" ht="15.75" customHeight="1">
      <c r="A5312" s="35"/>
      <c r="C5312" s="442"/>
      <c r="P5312" s="235"/>
      <c r="AI5312" s="38"/>
    </row>
    <row r="5313" ht="15.75" customHeight="1">
      <c r="A5313" s="35"/>
      <c r="C5313" s="442"/>
      <c r="P5313" s="235"/>
      <c r="AI5313" s="38"/>
    </row>
    <row r="5314" ht="15.75" customHeight="1">
      <c r="A5314" s="35"/>
      <c r="C5314" s="442"/>
      <c r="P5314" s="235"/>
      <c r="AI5314" s="38"/>
    </row>
    <row r="5315" ht="15.75" customHeight="1">
      <c r="A5315" s="35"/>
      <c r="C5315" s="442"/>
      <c r="P5315" s="235"/>
      <c r="AI5315" s="38"/>
    </row>
    <row r="5316" ht="15.75" customHeight="1">
      <c r="A5316" s="35"/>
      <c r="C5316" s="442"/>
      <c r="P5316" s="235"/>
      <c r="AI5316" s="38"/>
    </row>
    <row r="5317" ht="15.75" customHeight="1">
      <c r="A5317" s="35"/>
      <c r="C5317" s="442"/>
      <c r="P5317" s="235"/>
      <c r="AI5317" s="38"/>
    </row>
    <row r="5318" ht="15.75" customHeight="1">
      <c r="A5318" s="35"/>
      <c r="C5318" s="442"/>
      <c r="P5318" s="235"/>
      <c r="AI5318" s="38"/>
    </row>
    <row r="5319" ht="15.75" customHeight="1">
      <c r="A5319" s="35"/>
      <c r="C5319" s="442"/>
      <c r="P5319" s="235"/>
      <c r="AI5319" s="38"/>
    </row>
    <row r="5320" ht="15.75" customHeight="1">
      <c r="A5320" s="35"/>
      <c r="C5320" s="442"/>
      <c r="P5320" s="235"/>
      <c r="AI5320" s="38"/>
    </row>
    <row r="5321" ht="15.75" customHeight="1">
      <c r="A5321" s="35"/>
      <c r="C5321" s="442"/>
      <c r="P5321" s="235"/>
      <c r="AI5321" s="38"/>
    </row>
    <row r="5322" ht="15.75" customHeight="1">
      <c r="A5322" s="35"/>
      <c r="C5322" s="442"/>
      <c r="P5322" s="235"/>
      <c r="AI5322" s="38"/>
    </row>
    <row r="5323" ht="15.75" customHeight="1">
      <c r="A5323" s="35"/>
      <c r="C5323" s="442"/>
      <c r="P5323" s="235"/>
      <c r="AI5323" s="38"/>
    </row>
    <row r="5324" ht="15.75" customHeight="1">
      <c r="A5324" s="35"/>
      <c r="C5324" s="442"/>
      <c r="P5324" s="235"/>
      <c r="AI5324" s="38"/>
    </row>
    <row r="5325" ht="15.75" customHeight="1">
      <c r="A5325" s="35"/>
      <c r="C5325" s="442"/>
      <c r="P5325" s="235"/>
      <c r="AI5325" s="38"/>
    </row>
    <row r="5326" ht="15.75" customHeight="1">
      <c r="A5326" s="35"/>
      <c r="C5326" s="442"/>
      <c r="P5326" s="235"/>
      <c r="AI5326" s="38"/>
    </row>
    <row r="5327" ht="15.75" customHeight="1">
      <c r="A5327" s="35"/>
      <c r="C5327" s="442"/>
      <c r="P5327" s="235"/>
      <c r="AI5327" s="38"/>
    </row>
    <row r="5328" ht="15.75" customHeight="1">
      <c r="A5328" s="35"/>
      <c r="C5328" s="442"/>
      <c r="P5328" s="235"/>
      <c r="AI5328" s="38"/>
    </row>
    <row r="5329" ht="15.75" customHeight="1">
      <c r="A5329" s="35"/>
      <c r="C5329" s="442"/>
      <c r="P5329" s="235"/>
      <c r="AI5329" s="38"/>
    </row>
    <row r="5330" ht="15.75" customHeight="1">
      <c r="A5330" s="35"/>
      <c r="C5330" s="442"/>
      <c r="P5330" s="235"/>
      <c r="AI5330" s="38"/>
    </row>
    <row r="5331" ht="15.75" customHeight="1">
      <c r="A5331" s="35"/>
      <c r="C5331" s="442"/>
      <c r="P5331" s="235"/>
      <c r="AI5331" s="38"/>
    </row>
    <row r="5332" ht="15.75" customHeight="1">
      <c r="A5332" s="35"/>
      <c r="C5332" s="442"/>
      <c r="P5332" s="235"/>
      <c r="AI5332" s="38"/>
    </row>
    <row r="5333" ht="15.75" customHeight="1">
      <c r="A5333" s="35"/>
      <c r="C5333" s="442"/>
      <c r="P5333" s="235"/>
      <c r="AI5333" s="38"/>
    </row>
    <row r="5334" ht="15.75" customHeight="1">
      <c r="A5334" s="35"/>
      <c r="C5334" s="442"/>
      <c r="P5334" s="235"/>
      <c r="AI5334" s="38"/>
    </row>
    <row r="5335" ht="15.75" customHeight="1">
      <c r="A5335" s="35"/>
      <c r="C5335" s="442"/>
      <c r="P5335" s="235"/>
      <c r="AI5335" s="38"/>
    </row>
    <row r="5336" ht="15.75" customHeight="1">
      <c r="A5336" s="35"/>
      <c r="C5336" s="442"/>
      <c r="P5336" s="235"/>
      <c r="AI5336" s="38"/>
    </row>
    <row r="5337" ht="15.75" customHeight="1">
      <c r="A5337" s="35"/>
      <c r="C5337" s="442"/>
      <c r="P5337" s="235"/>
      <c r="AI5337" s="38"/>
    </row>
    <row r="5338" ht="15.75" customHeight="1">
      <c r="A5338" s="35"/>
      <c r="C5338" s="442"/>
      <c r="P5338" s="235"/>
      <c r="AI5338" s="38"/>
    </row>
    <row r="5339" ht="15.75" customHeight="1">
      <c r="A5339" s="35"/>
      <c r="C5339" s="442"/>
      <c r="P5339" s="235"/>
      <c r="AI5339" s="38"/>
    </row>
    <row r="5340" ht="15.75" customHeight="1">
      <c r="A5340" s="35"/>
      <c r="C5340" s="442"/>
      <c r="P5340" s="235"/>
      <c r="AI5340" s="38"/>
    </row>
    <row r="5341" ht="15.75" customHeight="1">
      <c r="A5341" s="35"/>
      <c r="C5341" s="442"/>
      <c r="P5341" s="235"/>
      <c r="AI5341" s="38"/>
    </row>
    <row r="5342" ht="15.75" customHeight="1">
      <c r="A5342" s="35"/>
      <c r="C5342" s="442"/>
      <c r="P5342" s="235"/>
      <c r="AI5342" s="38"/>
    </row>
    <row r="5343" ht="15.75" customHeight="1">
      <c r="A5343" s="35"/>
      <c r="C5343" s="442"/>
      <c r="P5343" s="235"/>
      <c r="AI5343" s="38"/>
    </row>
    <row r="5344" ht="15.75" customHeight="1">
      <c r="A5344" s="35"/>
      <c r="C5344" s="442"/>
      <c r="P5344" s="235"/>
      <c r="AI5344" s="38"/>
    </row>
    <row r="5345" ht="15.75" customHeight="1">
      <c r="A5345" s="35"/>
      <c r="C5345" s="442"/>
      <c r="P5345" s="235"/>
      <c r="AI5345" s="38"/>
    </row>
    <row r="5346" ht="15.75" customHeight="1">
      <c r="A5346" s="35"/>
      <c r="C5346" s="442"/>
      <c r="P5346" s="235"/>
      <c r="AI5346" s="38"/>
    </row>
    <row r="5347" ht="15.75" customHeight="1">
      <c r="A5347" s="35"/>
      <c r="C5347" s="442"/>
      <c r="P5347" s="235"/>
      <c r="AI5347" s="38"/>
    </row>
    <row r="5348" ht="15.75" customHeight="1">
      <c r="A5348" s="35"/>
      <c r="C5348" s="442"/>
      <c r="P5348" s="235"/>
      <c r="AI5348" s="38"/>
    </row>
    <row r="5349" ht="15.75" customHeight="1">
      <c r="A5349" s="35"/>
      <c r="C5349" s="442"/>
      <c r="P5349" s="235"/>
      <c r="AI5349" s="38"/>
    </row>
    <row r="5350" ht="15.75" customHeight="1">
      <c r="A5350" s="35"/>
      <c r="C5350" s="442"/>
      <c r="P5350" s="235"/>
      <c r="AI5350" s="38"/>
    </row>
    <row r="5351" ht="15.75" customHeight="1">
      <c r="A5351" s="35"/>
      <c r="C5351" s="442"/>
      <c r="P5351" s="235"/>
      <c r="AI5351" s="38"/>
    </row>
    <row r="5352" ht="15.75" customHeight="1">
      <c r="A5352" s="35"/>
      <c r="C5352" s="442"/>
      <c r="P5352" s="235"/>
      <c r="AI5352" s="38"/>
    </row>
    <row r="5353" ht="15.75" customHeight="1">
      <c r="A5353" s="35"/>
      <c r="C5353" s="442"/>
      <c r="P5353" s="235"/>
      <c r="AI5353" s="38"/>
    </row>
    <row r="5354" ht="15.75" customHeight="1">
      <c r="A5354" s="35"/>
      <c r="C5354" s="442"/>
      <c r="P5354" s="235"/>
      <c r="AI5354" s="38"/>
    </row>
    <row r="5355" ht="15.75" customHeight="1">
      <c r="A5355" s="35"/>
      <c r="C5355" s="442"/>
      <c r="P5355" s="235"/>
      <c r="AI5355" s="38"/>
    </row>
    <row r="5356" ht="15.75" customHeight="1">
      <c r="A5356" s="35"/>
      <c r="C5356" s="442"/>
      <c r="P5356" s="235"/>
      <c r="AI5356" s="38"/>
    </row>
    <row r="5357" ht="15.75" customHeight="1">
      <c r="A5357" s="35"/>
      <c r="C5357" s="442"/>
      <c r="P5357" s="235"/>
      <c r="AI5357" s="38"/>
    </row>
    <row r="5358" ht="15.75" customHeight="1">
      <c r="A5358" s="35"/>
      <c r="C5358" s="442"/>
      <c r="P5358" s="235"/>
      <c r="AI5358" s="38"/>
    </row>
    <row r="5359" ht="15.75" customHeight="1">
      <c r="A5359" s="35"/>
      <c r="C5359" s="442"/>
      <c r="P5359" s="235"/>
      <c r="AI5359" s="38"/>
    </row>
    <row r="5360" ht="15.75" customHeight="1">
      <c r="A5360" s="35"/>
      <c r="C5360" s="442"/>
      <c r="P5360" s="235"/>
      <c r="AI5360" s="38"/>
    </row>
    <row r="5361" ht="15.75" customHeight="1">
      <c r="A5361" s="35"/>
      <c r="C5361" s="442"/>
      <c r="P5361" s="235"/>
      <c r="AI5361" s="38"/>
    </row>
    <row r="5362" ht="15.75" customHeight="1">
      <c r="A5362" s="35"/>
      <c r="C5362" s="442"/>
      <c r="P5362" s="235"/>
      <c r="AI5362" s="38"/>
    </row>
    <row r="5363" ht="15.75" customHeight="1">
      <c r="A5363" s="35"/>
      <c r="C5363" s="442"/>
      <c r="P5363" s="235"/>
      <c r="AI5363" s="38"/>
    </row>
    <row r="5364" ht="15.75" customHeight="1">
      <c r="A5364" s="35"/>
      <c r="C5364" s="442"/>
      <c r="P5364" s="235"/>
      <c r="AI5364" s="38"/>
    </row>
    <row r="5365" ht="15.75" customHeight="1">
      <c r="A5365" s="35"/>
      <c r="C5365" s="442"/>
      <c r="P5365" s="235"/>
      <c r="AI5365" s="38"/>
    </row>
    <row r="5366" ht="15.75" customHeight="1">
      <c r="A5366" s="35"/>
      <c r="C5366" s="442"/>
      <c r="P5366" s="235"/>
      <c r="AI5366" s="38"/>
    </row>
    <row r="5367" ht="15.75" customHeight="1">
      <c r="A5367" s="35"/>
      <c r="C5367" s="442"/>
      <c r="P5367" s="235"/>
      <c r="AI5367" s="38"/>
    </row>
    <row r="5368" ht="15.75" customHeight="1">
      <c r="A5368" s="35"/>
      <c r="C5368" s="442"/>
      <c r="P5368" s="235"/>
      <c r="AI5368" s="38"/>
    </row>
    <row r="5369" ht="15.75" customHeight="1">
      <c r="A5369" s="35"/>
      <c r="C5369" s="442"/>
      <c r="P5369" s="235"/>
      <c r="AI5369" s="38"/>
    </row>
    <row r="5370" ht="15.75" customHeight="1">
      <c r="A5370" s="35"/>
      <c r="C5370" s="442"/>
      <c r="P5370" s="235"/>
      <c r="AI5370" s="38"/>
    </row>
    <row r="5371" ht="15.75" customHeight="1">
      <c r="A5371" s="35"/>
      <c r="C5371" s="442"/>
      <c r="P5371" s="235"/>
      <c r="AI5371" s="38"/>
    </row>
    <row r="5372" ht="15.75" customHeight="1">
      <c r="A5372" s="35"/>
      <c r="C5372" s="442"/>
      <c r="P5372" s="235"/>
      <c r="AI5372" s="38"/>
    </row>
    <row r="5373" ht="15.75" customHeight="1">
      <c r="A5373" s="35"/>
      <c r="C5373" s="442"/>
      <c r="P5373" s="235"/>
      <c r="AI5373" s="38"/>
    </row>
    <row r="5374" ht="15.75" customHeight="1">
      <c r="A5374" s="35"/>
      <c r="C5374" s="442"/>
      <c r="P5374" s="235"/>
      <c r="AI5374" s="38"/>
    </row>
    <row r="5375" ht="15.75" customHeight="1">
      <c r="A5375" s="35"/>
      <c r="C5375" s="442"/>
      <c r="P5375" s="235"/>
      <c r="AI5375" s="38"/>
    </row>
    <row r="5376" ht="15.75" customHeight="1">
      <c r="A5376" s="35"/>
      <c r="C5376" s="442"/>
      <c r="P5376" s="235"/>
      <c r="AI5376" s="38"/>
    </row>
    <row r="5377" ht="15.75" customHeight="1">
      <c r="A5377" s="35"/>
      <c r="C5377" s="442"/>
      <c r="P5377" s="235"/>
      <c r="AI5377" s="38"/>
    </row>
    <row r="5378" ht="15.75" customHeight="1">
      <c r="A5378" s="35"/>
      <c r="C5378" s="442"/>
      <c r="P5378" s="235"/>
      <c r="AI5378" s="38"/>
    </row>
    <row r="5379" ht="15.75" customHeight="1">
      <c r="A5379" s="35"/>
      <c r="C5379" s="442"/>
      <c r="P5379" s="235"/>
      <c r="AI5379" s="38"/>
    </row>
    <row r="5380" ht="15.75" customHeight="1">
      <c r="A5380" s="35"/>
      <c r="C5380" s="442"/>
      <c r="P5380" s="235"/>
      <c r="AI5380" s="38"/>
    </row>
    <row r="5381" ht="15.75" customHeight="1">
      <c r="A5381" s="35"/>
      <c r="C5381" s="442"/>
      <c r="P5381" s="235"/>
      <c r="AI5381" s="38"/>
    </row>
    <row r="5382" ht="15.75" customHeight="1">
      <c r="A5382" s="35"/>
      <c r="C5382" s="442"/>
      <c r="P5382" s="235"/>
      <c r="AI5382" s="38"/>
    </row>
    <row r="5383" ht="15.75" customHeight="1">
      <c r="A5383" s="35"/>
      <c r="C5383" s="442"/>
      <c r="P5383" s="235"/>
      <c r="AI5383" s="38"/>
    </row>
    <row r="5384" ht="15.75" customHeight="1">
      <c r="A5384" s="35"/>
      <c r="C5384" s="442"/>
      <c r="P5384" s="235"/>
      <c r="AI5384" s="38"/>
    </row>
    <row r="5385" ht="15.75" customHeight="1">
      <c r="A5385" s="35"/>
      <c r="C5385" s="442"/>
      <c r="P5385" s="235"/>
      <c r="AI5385" s="38"/>
    </row>
    <row r="5386" ht="15.75" customHeight="1">
      <c r="A5386" s="35"/>
      <c r="C5386" s="442"/>
      <c r="P5386" s="235"/>
      <c r="AI5386" s="38"/>
    </row>
    <row r="5387" ht="15.75" customHeight="1">
      <c r="A5387" s="35"/>
      <c r="C5387" s="442"/>
      <c r="P5387" s="235"/>
      <c r="AI5387" s="38"/>
    </row>
    <row r="5388" ht="15.75" customHeight="1">
      <c r="A5388" s="35"/>
      <c r="C5388" s="442"/>
      <c r="P5388" s="235"/>
      <c r="AI5388" s="38"/>
    </row>
    <row r="5389" ht="15.75" customHeight="1">
      <c r="A5389" s="35"/>
      <c r="C5389" s="442"/>
      <c r="P5389" s="235"/>
      <c r="AI5389" s="38"/>
    </row>
    <row r="5390" ht="15.75" customHeight="1">
      <c r="A5390" s="35"/>
      <c r="C5390" s="442"/>
      <c r="P5390" s="235"/>
      <c r="AI5390" s="38"/>
    </row>
    <row r="5391" ht="15.75" customHeight="1">
      <c r="A5391" s="35"/>
      <c r="C5391" s="442"/>
      <c r="P5391" s="235"/>
      <c r="AI5391" s="38"/>
    </row>
    <row r="5392" ht="15.75" customHeight="1">
      <c r="A5392" s="35"/>
      <c r="C5392" s="442"/>
      <c r="P5392" s="235"/>
      <c r="AI5392" s="38"/>
    </row>
    <row r="5393" ht="15.75" customHeight="1">
      <c r="A5393" s="35"/>
      <c r="C5393" s="442"/>
      <c r="P5393" s="235"/>
      <c r="AI5393" s="38"/>
    </row>
    <row r="5394" ht="15.75" customHeight="1">
      <c r="A5394" s="35"/>
      <c r="C5394" s="442"/>
      <c r="P5394" s="235"/>
      <c r="AI5394" s="38"/>
    </row>
    <row r="5395" ht="15.75" customHeight="1">
      <c r="A5395" s="35"/>
      <c r="C5395" s="442"/>
      <c r="P5395" s="235"/>
      <c r="AI5395" s="38"/>
    </row>
    <row r="5396" ht="15.75" customHeight="1">
      <c r="A5396" s="35"/>
      <c r="C5396" s="442"/>
      <c r="P5396" s="235"/>
      <c r="AI5396" s="38"/>
    </row>
    <row r="5397" ht="15.75" customHeight="1">
      <c r="A5397" s="35"/>
      <c r="C5397" s="442"/>
      <c r="P5397" s="235"/>
      <c r="AI5397" s="38"/>
    </row>
    <row r="5398" ht="15.75" customHeight="1">
      <c r="A5398" s="35"/>
      <c r="C5398" s="442"/>
      <c r="P5398" s="235"/>
      <c r="AI5398" s="38"/>
    </row>
    <row r="5399" ht="15.75" customHeight="1">
      <c r="A5399" s="35"/>
      <c r="C5399" s="442"/>
      <c r="P5399" s="235"/>
      <c r="AI5399" s="38"/>
    </row>
    <row r="5400" ht="15.75" customHeight="1">
      <c r="A5400" s="35"/>
      <c r="C5400" s="442"/>
      <c r="P5400" s="235"/>
      <c r="AI5400" s="38"/>
    </row>
    <row r="5401" ht="15.75" customHeight="1">
      <c r="A5401" s="35"/>
      <c r="C5401" s="442"/>
      <c r="P5401" s="235"/>
      <c r="AI5401" s="38"/>
    </row>
    <row r="5402" ht="15.75" customHeight="1">
      <c r="A5402" s="35"/>
      <c r="C5402" s="442"/>
      <c r="P5402" s="235"/>
      <c r="AI5402" s="38"/>
    </row>
    <row r="5403" ht="15.75" customHeight="1">
      <c r="A5403" s="35"/>
      <c r="C5403" s="442"/>
      <c r="P5403" s="235"/>
      <c r="AI5403" s="38"/>
    </row>
    <row r="5404" ht="15.75" customHeight="1">
      <c r="A5404" s="35"/>
      <c r="C5404" s="442"/>
      <c r="P5404" s="235"/>
      <c r="AI5404" s="38"/>
    </row>
    <row r="5405" ht="15.75" customHeight="1">
      <c r="A5405" s="35"/>
      <c r="C5405" s="442"/>
      <c r="P5405" s="235"/>
      <c r="AI5405" s="38"/>
    </row>
    <row r="5406" ht="15.75" customHeight="1">
      <c r="A5406" s="35"/>
      <c r="C5406" s="442"/>
      <c r="P5406" s="235"/>
      <c r="AI5406" s="38"/>
    </row>
    <row r="5407" ht="15.75" customHeight="1">
      <c r="A5407" s="35"/>
      <c r="C5407" s="442"/>
      <c r="P5407" s="235"/>
      <c r="AI5407" s="38"/>
    </row>
    <row r="5408" ht="15.75" customHeight="1">
      <c r="A5408" s="35"/>
      <c r="C5408" s="442"/>
      <c r="P5408" s="235"/>
      <c r="AI5408" s="38"/>
    </row>
    <row r="5409" ht="15.75" customHeight="1">
      <c r="A5409" s="35"/>
      <c r="C5409" s="442"/>
      <c r="P5409" s="235"/>
      <c r="AI5409" s="38"/>
    </row>
    <row r="5410" ht="15.75" customHeight="1">
      <c r="A5410" s="35"/>
      <c r="C5410" s="442"/>
      <c r="P5410" s="235"/>
      <c r="AI5410" s="38"/>
    </row>
    <row r="5411" ht="15.75" customHeight="1">
      <c r="A5411" s="35"/>
      <c r="C5411" s="442"/>
      <c r="P5411" s="235"/>
      <c r="AI5411" s="38"/>
    </row>
    <row r="5412" ht="15.75" customHeight="1">
      <c r="A5412" s="35"/>
      <c r="C5412" s="442"/>
      <c r="P5412" s="235"/>
      <c r="AI5412" s="38"/>
    </row>
    <row r="5413" ht="15.75" customHeight="1">
      <c r="A5413" s="35"/>
      <c r="C5413" s="442"/>
      <c r="P5413" s="235"/>
      <c r="AI5413" s="38"/>
    </row>
    <row r="5414" ht="15.75" customHeight="1">
      <c r="A5414" s="35"/>
      <c r="C5414" s="442"/>
      <c r="P5414" s="235"/>
      <c r="AI5414" s="38"/>
    </row>
    <row r="5415" ht="15.75" customHeight="1">
      <c r="A5415" s="35"/>
      <c r="C5415" s="442"/>
      <c r="P5415" s="235"/>
      <c r="AI5415" s="38"/>
    </row>
    <row r="5416" ht="15.75" customHeight="1">
      <c r="A5416" s="35"/>
      <c r="C5416" s="442"/>
      <c r="P5416" s="235"/>
      <c r="AI5416" s="38"/>
    </row>
    <row r="5417" ht="15.75" customHeight="1">
      <c r="A5417" s="35"/>
      <c r="C5417" s="442"/>
      <c r="P5417" s="235"/>
      <c r="AI5417" s="38"/>
    </row>
    <row r="5418" ht="15.75" customHeight="1">
      <c r="A5418" s="35"/>
      <c r="C5418" s="442"/>
      <c r="P5418" s="235"/>
      <c r="AI5418" s="38"/>
    </row>
    <row r="5419" ht="15.75" customHeight="1">
      <c r="A5419" s="35"/>
      <c r="C5419" s="442"/>
      <c r="P5419" s="235"/>
      <c r="AI5419" s="38"/>
    </row>
    <row r="5420" ht="15.75" customHeight="1">
      <c r="A5420" s="35"/>
      <c r="C5420" s="442"/>
      <c r="P5420" s="235"/>
      <c r="AI5420" s="38"/>
    </row>
    <row r="5421" ht="15.75" customHeight="1">
      <c r="A5421" s="35"/>
      <c r="C5421" s="442"/>
      <c r="P5421" s="235"/>
      <c r="AI5421" s="38"/>
    </row>
    <row r="5422" ht="15.75" customHeight="1">
      <c r="A5422" s="35"/>
      <c r="C5422" s="442"/>
      <c r="P5422" s="235"/>
      <c r="AI5422" s="38"/>
    </row>
    <row r="5423" ht="15.75" customHeight="1">
      <c r="A5423" s="35"/>
      <c r="C5423" s="442"/>
      <c r="P5423" s="235"/>
      <c r="AI5423" s="38"/>
    </row>
    <row r="5424" ht="15.75" customHeight="1">
      <c r="A5424" s="35"/>
      <c r="C5424" s="442"/>
      <c r="P5424" s="235"/>
      <c r="AI5424" s="38"/>
    </row>
    <row r="5425" ht="15.75" customHeight="1">
      <c r="A5425" s="35"/>
      <c r="C5425" s="442"/>
      <c r="P5425" s="235"/>
      <c r="AI5425" s="38"/>
    </row>
    <row r="5426" ht="15.75" customHeight="1">
      <c r="A5426" s="35"/>
      <c r="C5426" s="442"/>
      <c r="P5426" s="235"/>
      <c r="AI5426" s="38"/>
    </row>
    <row r="5427" ht="15.75" customHeight="1">
      <c r="A5427" s="35"/>
      <c r="C5427" s="442"/>
      <c r="P5427" s="235"/>
      <c r="AI5427" s="38"/>
    </row>
    <row r="5428" ht="15.75" customHeight="1">
      <c r="A5428" s="35"/>
      <c r="C5428" s="442"/>
      <c r="P5428" s="235"/>
      <c r="AI5428" s="38"/>
    </row>
    <row r="5429" ht="15.75" customHeight="1">
      <c r="A5429" s="35"/>
      <c r="C5429" s="442"/>
      <c r="P5429" s="235"/>
      <c r="AI5429" s="38"/>
    </row>
    <row r="5430" ht="15.75" customHeight="1">
      <c r="A5430" s="35"/>
      <c r="C5430" s="442"/>
      <c r="P5430" s="235"/>
      <c r="AI5430" s="38"/>
    </row>
    <row r="5431" ht="15.75" customHeight="1">
      <c r="A5431" s="35"/>
      <c r="C5431" s="442"/>
      <c r="P5431" s="235"/>
      <c r="AI5431" s="38"/>
    </row>
    <row r="5432" ht="15.75" customHeight="1">
      <c r="A5432" s="35"/>
      <c r="C5432" s="442"/>
      <c r="P5432" s="235"/>
      <c r="AI5432" s="38"/>
    </row>
    <row r="5433" ht="15.75" customHeight="1">
      <c r="A5433" s="35"/>
      <c r="C5433" s="442"/>
      <c r="P5433" s="235"/>
      <c r="AI5433" s="38"/>
    </row>
    <row r="5434" ht="15.75" customHeight="1">
      <c r="A5434" s="35"/>
      <c r="C5434" s="442"/>
      <c r="P5434" s="235"/>
      <c r="AI5434" s="38"/>
    </row>
    <row r="5435" ht="15.75" customHeight="1">
      <c r="A5435" s="35"/>
      <c r="C5435" s="442"/>
      <c r="P5435" s="235"/>
      <c r="AI5435" s="38"/>
    </row>
    <row r="5436" ht="15.75" customHeight="1">
      <c r="A5436" s="35"/>
      <c r="C5436" s="442"/>
      <c r="P5436" s="235"/>
      <c r="AI5436" s="38"/>
    </row>
    <row r="5437" ht="15.75" customHeight="1">
      <c r="A5437" s="35"/>
      <c r="C5437" s="442"/>
      <c r="P5437" s="235"/>
      <c r="AI5437" s="38"/>
    </row>
    <row r="5438" ht="15.75" customHeight="1">
      <c r="A5438" s="35"/>
      <c r="C5438" s="442"/>
      <c r="P5438" s="235"/>
      <c r="AI5438" s="38"/>
    </row>
    <row r="5439" ht="15.75" customHeight="1">
      <c r="A5439" s="35"/>
      <c r="C5439" s="442"/>
      <c r="P5439" s="235"/>
      <c r="AI5439" s="38"/>
    </row>
    <row r="5440" ht="15.75" customHeight="1">
      <c r="A5440" s="35"/>
      <c r="C5440" s="442"/>
      <c r="P5440" s="235"/>
      <c r="AI5440" s="38"/>
    </row>
    <row r="5441" ht="15.75" customHeight="1">
      <c r="A5441" s="35"/>
      <c r="C5441" s="442"/>
      <c r="P5441" s="235"/>
      <c r="AI5441" s="38"/>
    </row>
    <row r="5442" ht="15.75" customHeight="1">
      <c r="A5442" s="35"/>
      <c r="C5442" s="442"/>
      <c r="P5442" s="235"/>
      <c r="AI5442" s="38"/>
    </row>
    <row r="5443" ht="15.75" customHeight="1">
      <c r="A5443" s="35"/>
      <c r="C5443" s="442"/>
      <c r="P5443" s="235"/>
      <c r="AI5443" s="38"/>
    </row>
    <row r="5444" ht="15.75" customHeight="1">
      <c r="A5444" s="35"/>
      <c r="C5444" s="442"/>
      <c r="P5444" s="235"/>
      <c r="AI5444" s="38"/>
    </row>
    <row r="5445" ht="15.75" customHeight="1">
      <c r="A5445" s="35"/>
      <c r="C5445" s="442"/>
      <c r="P5445" s="235"/>
      <c r="AI5445" s="38"/>
    </row>
    <row r="5446" ht="15.75" customHeight="1">
      <c r="A5446" s="35"/>
      <c r="C5446" s="442"/>
      <c r="P5446" s="235"/>
      <c r="AI5446" s="38"/>
    </row>
    <row r="5447" ht="15.75" customHeight="1">
      <c r="A5447" s="35"/>
      <c r="C5447" s="442"/>
      <c r="P5447" s="235"/>
      <c r="AI5447" s="38"/>
    </row>
    <row r="5448" ht="15.75" customHeight="1">
      <c r="A5448" s="35"/>
      <c r="C5448" s="442"/>
      <c r="P5448" s="235"/>
      <c r="AI5448" s="38"/>
    </row>
    <row r="5449" ht="15.75" customHeight="1">
      <c r="A5449" s="35"/>
      <c r="C5449" s="442"/>
      <c r="P5449" s="235"/>
      <c r="AI5449" s="38"/>
    </row>
    <row r="5450" ht="15.75" customHeight="1">
      <c r="A5450" s="35"/>
      <c r="C5450" s="442"/>
      <c r="P5450" s="235"/>
      <c r="AI5450" s="38"/>
    </row>
    <row r="5451" ht="15.75" customHeight="1">
      <c r="A5451" s="35"/>
      <c r="C5451" s="442"/>
      <c r="P5451" s="235"/>
      <c r="AI5451" s="38"/>
    </row>
    <row r="5452" ht="15.75" customHeight="1">
      <c r="A5452" s="35"/>
      <c r="C5452" s="442"/>
      <c r="P5452" s="235"/>
      <c r="AI5452" s="38"/>
    </row>
    <row r="5453" ht="15.75" customHeight="1">
      <c r="A5453" s="35"/>
      <c r="C5453" s="442"/>
      <c r="P5453" s="235"/>
      <c r="AI5453" s="38"/>
    </row>
    <row r="5454" ht="15.75" customHeight="1">
      <c r="A5454" s="35"/>
      <c r="C5454" s="442"/>
      <c r="P5454" s="235"/>
      <c r="AI5454" s="38"/>
    </row>
    <row r="5455" ht="15.75" customHeight="1">
      <c r="A5455" s="35"/>
      <c r="C5455" s="442"/>
      <c r="P5455" s="235"/>
      <c r="AI5455" s="38"/>
    </row>
    <row r="5456" ht="15.75" customHeight="1">
      <c r="A5456" s="35"/>
      <c r="C5456" s="442"/>
      <c r="P5456" s="235"/>
      <c r="AI5456" s="38"/>
    </row>
    <row r="5457" ht="15.75" customHeight="1">
      <c r="A5457" s="35"/>
      <c r="C5457" s="442"/>
      <c r="P5457" s="235"/>
      <c r="AI5457" s="38"/>
    </row>
    <row r="5458" ht="15.75" customHeight="1">
      <c r="A5458" s="35"/>
      <c r="C5458" s="442"/>
      <c r="P5458" s="235"/>
      <c r="AI5458" s="38"/>
    </row>
    <row r="5459" ht="15.75" customHeight="1">
      <c r="A5459" s="35"/>
      <c r="C5459" s="442"/>
      <c r="P5459" s="235"/>
      <c r="AI5459" s="38"/>
    </row>
    <row r="5460" ht="15.75" customHeight="1">
      <c r="A5460" s="35"/>
      <c r="C5460" s="442"/>
      <c r="P5460" s="235"/>
      <c r="AI5460" s="38"/>
    </row>
    <row r="5461" ht="15.75" customHeight="1">
      <c r="A5461" s="35"/>
      <c r="C5461" s="442"/>
      <c r="P5461" s="235"/>
      <c r="AI5461" s="38"/>
    </row>
    <row r="5462" ht="15.75" customHeight="1">
      <c r="A5462" s="35"/>
      <c r="C5462" s="442"/>
      <c r="P5462" s="235"/>
      <c r="AI5462" s="38"/>
    </row>
    <row r="5463" ht="15.75" customHeight="1">
      <c r="A5463" s="35"/>
      <c r="C5463" s="442"/>
      <c r="P5463" s="235"/>
      <c r="AI5463" s="38"/>
    </row>
    <row r="5464" ht="15.75" customHeight="1">
      <c r="A5464" s="35"/>
      <c r="C5464" s="442"/>
      <c r="P5464" s="235"/>
      <c r="AI5464" s="38"/>
    </row>
    <row r="5465" ht="15.75" customHeight="1">
      <c r="A5465" s="35"/>
      <c r="C5465" s="442"/>
      <c r="P5465" s="235"/>
      <c r="AI5465" s="38"/>
    </row>
    <row r="5466" ht="15.75" customHeight="1">
      <c r="A5466" s="35"/>
      <c r="C5466" s="442"/>
      <c r="P5466" s="235"/>
      <c r="AI5466" s="38"/>
    </row>
    <row r="5467" ht="15.75" customHeight="1">
      <c r="A5467" s="35"/>
      <c r="C5467" s="442"/>
      <c r="P5467" s="235"/>
      <c r="AI5467" s="38"/>
    </row>
    <row r="5468" ht="15.75" customHeight="1">
      <c r="A5468" s="35"/>
      <c r="C5468" s="442"/>
      <c r="P5468" s="235"/>
      <c r="AI5468" s="38"/>
    </row>
    <row r="5469" ht="15.75" customHeight="1">
      <c r="A5469" s="35"/>
      <c r="C5469" s="442"/>
      <c r="P5469" s="235"/>
      <c r="AI5469" s="38"/>
    </row>
    <row r="5470" ht="15.75" customHeight="1">
      <c r="A5470" s="35"/>
      <c r="C5470" s="442"/>
      <c r="P5470" s="235"/>
      <c r="AI5470" s="38"/>
    </row>
    <row r="5471" ht="15.75" customHeight="1">
      <c r="A5471" s="35"/>
      <c r="C5471" s="442"/>
      <c r="P5471" s="235"/>
      <c r="AI5471" s="38"/>
    </row>
    <row r="5472" ht="15.75" customHeight="1">
      <c r="A5472" s="35"/>
      <c r="C5472" s="442"/>
      <c r="P5472" s="235"/>
      <c r="AI5472" s="38"/>
    </row>
    <row r="5473" ht="15.75" customHeight="1">
      <c r="A5473" s="35"/>
      <c r="C5473" s="442"/>
      <c r="P5473" s="235"/>
      <c r="AI5473" s="38"/>
    </row>
    <row r="5474" ht="15.75" customHeight="1">
      <c r="A5474" s="35"/>
      <c r="C5474" s="442"/>
      <c r="P5474" s="235"/>
      <c r="AI5474" s="38"/>
    </row>
    <row r="5475" ht="15.75" customHeight="1">
      <c r="A5475" s="35"/>
      <c r="C5475" s="442"/>
      <c r="P5475" s="235"/>
      <c r="AI5475" s="38"/>
    </row>
    <row r="5476" ht="15.75" customHeight="1">
      <c r="A5476" s="35"/>
      <c r="C5476" s="442"/>
      <c r="P5476" s="235"/>
      <c r="AI5476" s="38"/>
    </row>
    <row r="5477" ht="15.75" customHeight="1">
      <c r="A5477" s="35"/>
      <c r="C5477" s="442"/>
      <c r="P5477" s="235"/>
      <c r="AI5477" s="38"/>
    </row>
    <row r="5478" ht="15.75" customHeight="1">
      <c r="A5478" s="35"/>
      <c r="C5478" s="442"/>
      <c r="P5478" s="235"/>
      <c r="AI5478" s="38"/>
    </row>
    <row r="5479" ht="15.75" customHeight="1">
      <c r="A5479" s="35"/>
      <c r="C5479" s="442"/>
      <c r="P5479" s="235"/>
      <c r="AI5479" s="38"/>
    </row>
    <row r="5480" ht="15.75" customHeight="1">
      <c r="A5480" s="35"/>
      <c r="C5480" s="442"/>
      <c r="P5480" s="235"/>
      <c r="AI5480" s="38"/>
    </row>
    <row r="5481" ht="15.75" customHeight="1">
      <c r="A5481" s="35"/>
      <c r="C5481" s="442"/>
      <c r="P5481" s="235"/>
      <c r="AI5481" s="38"/>
    </row>
    <row r="5482" ht="15.75" customHeight="1">
      <c r="A5482" s="35"/>
      <c r="C5482" s="442"/>
      <c r="P5482" s="235"/>
      <c r="AI5482" s="38"/>
    </row>
    <row r="5483" ht="15.75" customHeight="1">
      <c r="A5483" s="35"/>
      <c r="C5483" s="442"/>
      <c r="P5483" s="235"/>
      <c r="AI5483" s="38"/>
    </row>
    <row r="5484" ht="15.75" customHeight="1">
      <c r="A5484" s="35"/>
      <c r="C5484" s="442"/>
      <c r="P5484" s="235"/>
      <c r="AI5484" s="38"/>
    </row>
    <row r="5485" ht="15.75" customHeight="1">
      <c r="A5485" s="35"/>
      <c r="C5485" s="442"/>
      <c r="P5485" s="235"/>
      <c r="AI5485" s="38"/>
    </row>
    <row r="5486" ht="15.75" customHeight="1">
      <c r="A5486" s="35"/>
      <c r="C5486" s="442"/>
      <c r="P5486" s="235"/>
      <c r="AI5486" s="38"/>
    </row>
    <row r="5487" ht="15.75" customHeight="1">
      <c r="A5487" s="35"/>
      <c r="C5487" s="442"/>
      <c r="P5487" s="235"/>
      <c r="AI5487" s="38"/>
    </row>
    <row r="5488" ht="15.75" customHeight="1">
      <c r="A5488" s="35"/>
      <c r="C5488" s="442"/>
      <c r="P5488" s="235"/>
      <c r="AI5488" s="38"/>
    </row>
    <row r="5489" ht="15.75" customHeight="1">
      <c r="A5489" s="35"/>
      <c r="C5489" s="442"/>
      <c r="P5489" s="235"/>
      <c r="AI5489" s="38"/>
    </row>
    <row r="5490" ht="15.75" customHeight="1">
      <c r="A5490" s="35"/>
      <c r="C5490" s="442"/>
      <c r="P5490" s="235"/>
      <c r="AI5490" s="38"/>
    </row>
    <row r="5491" ht="15.75" customHeight="1">
      <c r="A5491" s="35"/>
      <c r="C5491" s="442"/>
      <c r="P5491" s="235"/>
      <c r="AI5491" s="38"/>
    </row>
    <row r="5492" ht="15.75" customHeight="1">
      <c r="A5492" s="35"/>
      <c r="C5492" s="442"/>
      <c r="P5492" s="235"/>
      <c r="AI5492" s="38"/>
    </row>
    <row r="5493" ht="15.75" customHeight="1">
      <c r="A5493" s="35"/>
      <c r="C5493" s="442"/>
      <c r="P5493" s="235"/>
      <c r="AI5493" s="38"/>
    </row>
    <row r="5494" ht="15.75" customHeight="1">
      <c r="A5494" s="35"/>
      <c r="C5494" s="442"/>
      <c r="P5494" s="235"/>
      <c r="AI5494" s="38"/>
    </row>
    <row r="5495" ht="15.75" customHeight="1">
      <c r="A5495" s="35"/>
      <c r="C5495" s="442"/>
      <c r="P5495" s="235"/>
      <c r="AI5495" s="38"/>
    </row>
    <row r="5496" ht="15.75" customHeight="1">
      <c r="A5496" s="35"/>
      <c r="C5496" s="442"/>
      <c r="P5496" s="235"/>
      <c r="AI5496" s="38"/>
    </row>
    <row r="5497" ht="15.75" customHeight="1">
      <c r="A5497" s="35"/>
      <c r="C5497" s="442"/>
      <c r="P5497" s="235"/>
      <c r="AI5497" s="38"/>
    </row>
    <row r="5498" ht="15.75" customHeight="1">
      <c r="A5498" s="35"/>
      <c r="C5498" s="442"/>
      <c r="P5498" s="235"/>
      <c r="AI5498" s="38"/>
    </row>
    <row r="5499" ht="15.75" customHeight="1">
      <c r="A5499" s="35"/>
      <c r="C5499" s="442"/>
      <c r="P5499" s="235"/>
      <c r="AI5499" s="38"/>
    </row>
    <row r="5500" ht="15.75" customHeight="1">
      <c r="A5500" s="35"/>
      <c r="C5500" s="442"/>
      <c r="P5500" s="235"/>
      <c r="AI5500" s="38"/>
    </row>
    <row r="5501" ht="15.75" customHeight="1">
      <c r="A5501" s="35"/>
      <c r="C5501" s="442"/>
      <c r="P5501" s="235"/>
      <c r="AI5501" s="38"/>
    </row>
    <row r="5502" ht="15.75" customHeight="1">
      <c r="A5502" s="35"/>
      <c r="C5502" s="442"/>
      <c r="P5502" s="235"/>
      <c r="AI5502" s="38"/>
    </row>
    <row r="5503" ht="15.75" customHeight="1">
      <c r="A5503" s="35"/>
      <c r="C5503" s="442"/>
      <c r="P5503" s="235"/>
      <c r="AI5503" s="38"/>
    </row>
    <row r="5504" ht="15.75" customHeight="1">
      <c r="A5504" s="35"/>
      <c r="C5504" s="442"/>
      <c r="P5504" s="235"/>
      <c r="AI5504" s="38"/>
    </row>
    <row r="5505" ht="15.75" customHeight="1">
      <c r="A5505" s="35"/>
      <c r="C5505" s="442"/>
      <c r="P5505" s="235"/>
      <c r="AI5505" s="38"/>
    </row>
    <row r="5506" ht="15.75" customHeight="1">
      <c r="A5506" s="35"/>
      <c r="C5506" s="442"/>
      <c r="P5506" s="235"/>
      <c r="AI5506" s="38"/>
    </row>
    <row r="5507" ht="15.75" customHeight="1">
      <c r="A5507" s="35"/>
      <c r="C5507" s="442"/>
      <c r="P5507" s="235"/>
      <c r="AI5507" s="38"/>
    </row>
    <row r="5508" ht="15.75" customHeight="1">
      <c r="A5508" s="35"/>
      <c r="C5508" s="442"/>
      <c r="P5508" s="235"/>
      <c r="AI5508" s="38"/>
    </row>
    <row r="5509" ht="15.75" customHeight="1">
      <c r="A5509" s="35"/>
      <c r="C5509" s="442"/>
      <c r="P5509" s="235"/>
      <c r="AI5509" s="38"/>
    </row>
    <row r="5510" ht="15.75" customHeight="1">
      <c r="A5510" s="35"/>
      <c r="C5510" s="442"/>
      <c r="P5510" s="235"/>
      <c r="AI5510" s="38"/>
    </row>
    <row r="5511" ht="15.75" customHeight="1">
      <c r="A5511" s="35"/>
      <c r="C5511" s="442"/>
      <c r="P5511" s="235"/>
      <c r="AI5511" s="38"/>
    </row>
    <row r="5512" ht="15.75" customHeight="1">
      <c r="A5512" s="35"/>
      <c r="C5512" s="442"/>
      <c r="P5512" s="235"/>
      <c r="AI5512" s="38"/>
    </row>
    <row r="5513" ht="15.75" customHeight="1">
      <c r="A5513" s="35"/>
      <c r="C5513" s="442"/>
      <c r="P5513" s="235"/>
      <c r="AI5513" s="38"/>
    </row>
    <row r="5514" ht="15.75" customHeight="1">
      <c r="A5514" s="35"/>
      <c r="C5514" s="442"/>
      <c r="P5514" s="235"/>
      <c r="AI5514" s="38"/>
    </row>
    <row r="5515" ht="15.75" customHeight="1">
      <c r="A5515" s="35"/>
      <c r="C5515" s="442"/>
      <c r="P5515" s="235"/>
      <c r="AI5515" s="38"/>
    </row>
    <row r="5516" ht="15.75" customHeight="1">
      <c r="A5516" s="35"/>
      <c r="C5516" s="442"/>
      <c r="P5516" s="235"/>
      <c r="AI5516" s="38"/>
    </row>
    <row r="5517" ht="15.75" customHeight="1">
      <c r="A5517" s="35"/>
      <c r="C5517" s="442"/>
      <c r="P5517" s="235"/>
      <c r="AI5517" s="38"/>
    </row>
    <row r="5518" ht="15.75" customHeight="1">
      <c r="A5518" s="35"/>
      <c r="C5518" s="442"/>
      <c r="P5518" s="235"/>
      <c r="AI5518" s="38"/>
    </row>
    <row r="5519" ht="15.75" customHeight="1">
      <c r="A5519" s="35"/>
      <c r="C5519" s="442"/>
      <c r="P5519" s="235"/>
      <c r="AI5519" s="38"/>
    </row>
    <row r="5520" ht="15.75" customHeight="1">
      <c r="A5520" s="35"/>
      <c r="C5520" s="442"/>
      <c r="P5520" s="235"/>
      <c r="AI5520" s="38"/>
    </row>
    <row r="5521" ht="15.75" customHeight="1">
      <c r="A5521" s="35"/>
      <c r="C5521" s="442"/>
      <c r="P5521" s="235"/>
      <c r="AI5521" s="38"/>
    </row>
    <row r="5522" ht="15.75" customHeight="1">
      <c r="A5522" s="35"/>
      <c r="C5522" s="442"/>
      <c r="P5522" s="235"/>
      <c r="AI5522" s="38"/>
    </row>
    <row r="5523" ht="15.75" customHeight="1">
      <c r="A5523" s="35"/>
      <c r="C5523" s="442"/>
      <c r="P5523" s="235"/>
      <c r="AI5523" s="38"/>
    </row>
    <row r="5524" ht="15.75" customHeight="1">
      <c r="A5524" s="35"/>
      <c r="C5524" s="442"/>
      <c r="P5524" s="235"/>
      <c r="AI5524" s="38"/>
    </row>
    <row r="5525" ht="15.75" customHeight="1">
      <c r="A5525" s="35"/>
      <c r="C5525" s="442"/>
      <c r="P5525" s="235"/>
      <c r="AI5525" s="38"/>
    </row>
    <row r="5526" ht="15.75" customHeight="1">
      <c r="A5526" s="35"/>
      <c r="C5526" s="442"/>
      <c r="P5526" s="235"/>
      <c r="AI5526" s="38"/>
    </row>
    <row r="5527" ht="15.75" customHeight="1">
      <c r="A5527" s="35"/>
      <c r="C5527" s="442"/>
      <c r="P5527" s="235"/>
      <c r="AI5527" s="38"/>
    </row>
    <row r="5528" ht="15.75" customHeight="1">
      <c r="A5528" s="35"/>
      <c r="C5528" s="442"/>
      <c r="P5528" s="235"/>
      <c r="AI5528" s="38"/>
    </row>
    <row r="5529" ht="15.75" customHeight="1">
      <c r="A5529" s="35"/>
      <c r="C5529" s="442"/>
      <c r="P5529" s="235"/>
      <c r="AI5529" s="38"/>
    </row>
    <row r="5530" ht="15.75" customHeight="1">
      <c r="A5530" s="35"/>
      <c r="C5530" s="442"/>
      <c r="P5530" s="235"/>
      <c r="AI5530" s="38"/>
    </row>
    <row r="5531" ht="15.75" customHeight="1">
      <c r="A5531" s="35"/>
      <c r="C5531" s="442"/>
      <c r="P5531" s="235"/>
      <c r="AI5531" s="38"/>
    </row>
    <row r="5532" ht="15.75" customHeight="1">
      <c r="A5532" s="35"/>
      <c r="C5532" s="442"/>
      <c r="P5532" s="235"/>
      <c r="AI5532" s="38"/>
    </row>
    <row r="5533" ht="15.75" customHeight="1">
      <c r="A5533" s="35"/>
      <c r="C5533" s="442"/>
      <c r="P5533" s="235"/>
      <c r="AI5533" s="38"/>
    </row>
    <row r="5534" ht="15.75" customHeight="1">
      <c r="A5534" s="35"/>
      <c r="C5534" s="442"/>
      <c r="P5534" s="235"/>
      <c r="AI5534" s="38"/>
    </row>
    <row r="5535" ht="15.75" customHeight="1">
      <c r="A5535" s="35"/>
      <c r="C5535" s="442"/>
      <c r="P5535" s="235"/>
      <c r="AI5535" s="38"/>
    </row>
    <row r="5536" ht="15.75" customHeight="1">
      <c r="A5536" s="35"/>
      <c r="C5536" s="442"/>
      <c r="P5536" s="235"/>
      <c r="AI5536" s="38"/>
    </row>
    <row r="5537" ht="15.75" customHeight="1">
      <c r="A5537" s="35"/>
      <c r="C5537" s="442"/>
      <c r="P5537" s="235"/>
      <c r="AI5537" s="38"/>
    </row>
    <row r="5538" ht="15.75" customHeight="1">
      <c r="A5538" s="35"/>
      <c r="C5538" s="442"/>
      <c r="P5538" s="235"/>
      <c r="AI5538" s="38"/>
    </row>
    <row r="5539" ht="15.75" customHeight="1">
      <c r="A5539" s="35"/>
      <c r="C5539" s="442"/>
      <c r="P5539" s="235"/>
      <c r="AI5539" s="38"/>
    </row>
    <row r="5540" ht="15.75" customHeight="1">
      <c r="A5540" s="35"/>
      <c r="C5540" s="442"/>
      <c r="P5540" s="235"/>
      <c r="AI5540" s="38"/>
    </row>
    <row r="5541" ht="15.75" customHeight="1">
      <c r="A5541" s="35"/>
      <c r="C5541" s="442"/>
      <c r="P5541" s="235"/>
      <c r="AI5541" s="38"/>
    </row>
    <row r="5542" ht="15.75" customHeight="1">
      <c r="A5542" s="35"/>
      <c r="C5542" s="442"/>
      <c r="P5542" s="235"/>
      <c r="AI5542" s="38"/>
    </row>
    <row r="5543" ht="15.75" customHeight="1">
      <c r="A5543" s="35"/>
      <c r="C5543" s="442"/>
      <c r="P5543" s="235"/>
      <c r="AI5543" s="38"/>
    </row>
    <row r="5544" ht="15.75" customHeight="1">
      <c r="A5544" s="35"/>
      <c r="C5544" s="442"/>
      <c r="P5544" s="235"/>
      <c r="AI5544" s="38"/>
    </row>
    <row r="5545" ht="15.75" customHeight="1">
      <c r="A5545" s="35"/>
      <c r="C5545" s="442"/>
      <c r="P5545" s="235"/>
      <c r="AI5545" s="38"/>
    </row>
    <row r="5546" ht="15.75" customHeight="1">
      <c r="A5546" s="35"/>
      <c r="C5546" s="442"/>
      <c r="P5546" s="235"/>
      <c r="AI5546" s="38"/>
    </row>
    <row r="5547" ht="15.75" customHeight="1">
      <c r="A5547" s="35"/>
      <c r="C5547" s="442"/>
      <c r="P5547" s="235"/>
      <c r="AI5547" s="38"/>
    </row>
    <row r="5548" ht="15.75" customHeight="1">
      <c r="A5548" s="35"/>
      <c r="C5548" s="442"/>
      <c r="P5548" s="235"/>
      <c r="AI5548" s="38"/>
    </row>
    <row r="5549" ht="15.75" customHeight="1">
      <c r="A5549" s="35"/>
      <c r="C5549" s="442"/>
      <c r="P5549" s="235"/>
      <c r="AI5549" s="38"/>
    </row>
    <row r="5550" ht="15.75" customHeight="1">
      <c r="A5550" s="35"/>
      <c r="C5550" s="442"/>
      <c r="P5550" s="235"/>
      <c r="AI5550" s="38"/>
    </row>
    <row r="5551" ht="15.75" customHeight="1">
      <c r="A5551" s="35"/>
      <c r="C5551" s="442"/>
      <c r="P5551" s="235"/>
      <c r="AI5551" s="38"/>
    </row>
    <row r="5552" ht="15.75" customHeight="1">
      <c r="A5552" s="35"/>
      <c r="C5552" s="442"/>
      <c r="P5552" s="235"/>
      <c r="AI5552" s="38"/>
    </row>
    <row r="5553" ht="15.75" customHeight="1">
      <c r="A5553" s="35"/>
      <c r="C5553" s="442"/>
      <c r="P5553" s="235"/>
      <c r="AI5553" s="38"/>
    </row>
    <row r="5554" ht="15.75" customHeight="1">
      <c r="A5554" s="35"/>
      <c r="C5554" s="442"/>
      <c r="P5554" s="235"/>
      <c r="AI5554" s="38"/>
    </row>
    <row r="5555" ht="15.75" customHeight="1">
      <c r="A5555" s="35"/>
      <c r="C5555" s="442"/>
      <c r="P5555" s="235"/>
      <c r="AI5555" s="38"/>
    </row>
    <row r="5556" ht="15.75" customHeight="1">
      <c r="A5556" s="35"/>
      <c r="C5556" s="442"/>
      <c r="P5556" s="235"/>
      <c r="AI5556" s="38"/>
    </row>
    <row r="5557" ht="15.75" customHeight="1">
      <c r="A5557" s="35"/>
      <c r="C5557" s="442"/>
      <c r="P5557" s="235"/>
      <c r="AI5557" s="38"/>
    </row>
    <row r="5558" ht="15.75" customHeight="1">
      <c r="A5558" s="35"/>
      <c r="C5558" s="442"/>
      <c r="P5558" s="235"/>
      <c r="AI5558" s="38"/>
    </row>
    <row r="5559" ht="15.75" customHeight="1">
      <c r="A5559" s="35"/>
      <c r="C5559" s="442"/>
      <c r="P5559" s="235"/>
      <c r="AI5559" s="38"/>
    </row>
    <row r="5560" ht="15.75" customHeight="1">
      <c r="A5560" s="35"/>
      <c r="C5560" s="442"/>
      <c r="P5560" s="235"/>
      <c r="AI5560" s="38"/>
    </row>
    <row r="5561" ht="15.75" customHeight="1">
      <c r="A5561" s="35"/>
      <c r="C5561" s="442"/>
      <c r="P5561" s="235"/>
      <c r="AI5561" s="38"/>
    </row>
    <row r="5562" ht="15.75" customHeight="1">
      <c r="A5562" s="35"/>
      <c r="C5562" s="442"/>
      <c r="P5562" s="235"/>
      <c r="AI5562" s="38"/>
    </row>
    <row r="5563" ht="15.75" customHeight="1">
      <c r="A5563" s="35"/>
      <c r="C5563" s="442"/>
      <c r="P5563" s="235"/>
      <c r="AI5563" s="38"/>
    </row>
    <row r="5564" ht="15.75" customHeight="1">
      <c r="A5564" s="35"/>
      <c r="C5564" s="442"/>
      <c r="P5564" s="235"/>
      <c r="AI5564" s="38"/>
    </row>
    <row r="5565" ht="15.75" customHeight="1">
      <c r="A5565" s="35"/>
      <c r="C5565" s="442"/>
      <c r="P5565" s="235"/>
      <c r="AI5565" s="38"/>
    </row>
    <row r="5566" ht="15.75" customHeight="1">
      <c r="A5566" s="35"/>
      <c r="C5566" s="442"/>
      <c r="P5566" s="235"/>
      <c r="AI5566" s="38"/>
    </row>
    <row r="5567" ht="15.75" customHeight="1">
      <c r="A5567" s="35"/>
      <c r="C5567" s="442"/>
      <c r="P5567" s="235"/>
      <c r="AI5567" s="38"/>
    </row>
    <row r="5568" ht="15.75" customHeight="1">
      <c r="A5568" s="35"/>
      <c r="C5568" s="442"/>
      <c r="P5568" s="235"/>
      <c r="AI5568" s="38"/>
    </row>
    <row r="5569" ht="15.75" customHeight="1">
      <c r="A5569" s="35"/>
      <c r="C5569" s="442"/>
      <c r="P5569" s="235"/>
      <c r="AI5569" s="38"/>
    </row>
    <row r="5570" ht="15.75" customHeight="1">
      <c r="A5570" s="35"/>
      <c r="C5570" s="442"/>
      <c r="P5570" s="235"/>
      <c r="AI5570" s="38"/>
    </row>
    <row r="5571" ht="15.75" customHeight="1">
      <c r="A5571" s="35"/>
      <c r="C5571" s="442"/>
      <c r="P5571" s="235"/>
      <c r="AI5571" s="38"/>
    </row>
    <row r="5572" ht="15.75" customHeight="1">
      <c r="A5572" s="35"/>
      <c r="C5572" s="442"/>
      <c r="P5572" s="235"/>
      <c r="AI5572" s="38"/>
    </row>
    <row r="5573" ht="15.75" customHeight="1">
      <c r="A5573" s="35"/>
      <c r="C5573" s="442"/>
      <c r="P5573" s="235"/>
      <c r="AI5573" s="38"/>
    </row>
    <row r="5574" ht="15.75" customHeight="1">
      <c r="A5574" s="35"/>
      <c r="C5574" s="442"/>
      <c r="P5574" s="235"/>
      <c r="AI5574" s="38"/>
    </row>
    <row r="5575" ht="15.75" customHeight="1">
      <c r="A5575" s="35"/>
      <c r="C5575" s="442"/>
      <c r="P5575" s="235"/>
      <c r="AI5575" s="38"/>
    </row>
    <row r="5576" ht="15.75" customHeight="1">
      <c r="A5576" s="35"/>
      <c r="C5576" s="442"/>
      <c r="P5576" s="235"/>
      <c r="AI5576" s="38"/>
    </row>
    <row r="5577" ht="15.75" customHeight="1">
      <c r="A5577" s="35"/>
      <c r="C5577" s="442"/>
      <c r="P5577" s="235"/>
      <c r="AI5577" s="38"/>
    </row>
    <row r="5578" ht="15.75" customHeight="1">
      <c r="A5578" s="35"/>
      <c r="C5578" s="442"/>
      <c r="P5578" s="235"/>
      <c r="AI5578" s="38"/>
    </row>
    <row r="5579" ht="15.75" customHeight="1">
      <c r="A5579" s="35"/>
      <c r="C5579" s="442"/>
      <c r="P5579" s="235"/>
      <c r="AI5579" s="38"/>
    </row>
    <row r="5580" ht="15.75" customHeight="1">
      <c r="A5580" s="35"/>
      <c r="C5580" s="442"/>
      <c r="P5580" s="235"/>
      <c r="AI5580" s="38"/>
    </row>
    <row r="5581" ht="15.75" customHeight="1">
      <c r="A5581" s="35"/>
      <c r="C5581" s="442"/>
      <c r="P5581" s="235"/>
      <c r="AI5581" s="38"/>
    </row>
    <row r="5582" ht="15.75" customHeight="1">
      <c r="A5582" s="35"/>
      <c r="C5582" s="442"/>
      <c r="P5582" s="235"/>
      <c r="AI5582" s="38"/>
    </row>
    <row r="5583" ht="15.75" customHeight="1">
      <c r="A5583" s="35"/>
      <c r="C5583" s="442"/>
      <c r="P5583" s="235"/>
      <c r="AI5583" s="38"/>
    </row>
    <row r="5584" ht="15.75" customHeight="1">
      <c r="A5584" s="35"/>
      <c r="C5584" s="442"/>
      <c r="P5584" s="235"/>
      <c r="AI5584" s="38"/>
    </row>
    <row r="5585" ht="15.75" customHeight="1">
      <c r="A5585" s="35"/>
      <c r="C5585" s="442"/>
      <c r="P5585" s="235"/>
      <c r="AI5585" s="38"/>
    </row>
    <row r="5586" ht="15.75" customHeight="1">
      <c r="A5586" s="35"/>
      <c r="C5586" s="442"/>
      <c r="P5586" s="235"/>
      <c r="AI5586" s="38"/>
    </row>
    <row r="5587" ht="15.75" customHeight="1">
      <c r="A5587" s="35"/>
      <c r="C5587" s="442"/>
      <c r="P5587" s="235"/>
      <c r="AI5587" s="38"/>
    </row>
    <row r="5588" ht="15.75" customHeight="1">
      <c r="A5588" s="35"/>
      <c r="C5588" s="442"/>
      <c r="P5588" s="235"/>
      <c r="AI5588" s="38"/>
    </row>
    <row r="5589" ht="15.75" customHeight="1">
      <c r="A5589" s="35"/>
      <c r="C5589" s="442"/>
      <c r="P5589" s="235"/>
      <c r="AI5589" s="38"/>
    </row>
    <row r="5590" ht="15.75" customHeight="1">
      <c r="A5590" s="35"/>
      <c r="C5590" s="442"/>
      <c r="P5590" s="235"/>
      <c r="AI5590" s="38"/>
    </row>
    <row r="5591" ht="15.75" customHeight="1">
      <c r="A5591" s="35"/>
      <c r="C5591" s="442"/>
      <c r="P5591" s="235"/>
      <c r="AI5591" s="38"/>
    </row>
    <row r="5592" ht="15.75" customHeight="1">
      <c r="A5592" s="35"/>
      <c r="C5592" s="442"/>
      <c r="P5592" s="235"/>
      <c r="AI5592" s="38"/>
    </row>
    <row r="5593" ht="15.75" customHeight="1">
      <c r="A5593" s="35"/>
      <c r="C5593" s="442"/>
      <c r="P5593" s="235"/>
      <c r="AI5593" s="38"/>
    </row>
    <row r="5594" ht="15.75" customHeight="1">
      <c r="A5594" s="35"/>
      <c r="C5594" s="442"/>
      <c r="P5594" s="235"/>
      <c r="AI5594" s="38"/>
    </row>
    <row r="5595" ht="15.75" customHeight="1">
      <c r="A5595" s="35"/>
      <c r="C5595" s="442"/>
      <c r="P5595" s="235"/>
      <c r="AI5595" s="38"/>
    </row>
    <row r="5596" ht="15.75" customHeight="1">
      <c r="A5596" s="35"/>
      <c r="C5596" s="442"/>
      <c r="P5596" s="235"/>
      <c r="AI5596" s="38"/>
    </row>
    <row r="5597" ht="15.75" customHeight="1">
      <c r="A5597" s="35"/>
      <c r="C5597" s="442"/>
      <c r="P5597" s="235"/>
      <c r="AI5597" s="38"/>
    </row>
    <row r="5598" ht="15.75" customHeight="1">
      <c r="A5598" s="35"/>
      <c r="C5598" s="442"/>
      <c r="P5598" s="235"/>
      <c r="AI5598" s="38"/>
    </row>
    <row r="5599" ht="15.75" customHeight="1">
      <c r="A5599" s="35"/>
      <c r="C5599" s="442"/>
      <c r="P5599" s="235"/>
      <c r="AI5599" s="38"/>
    </row>
    <row r="5600" ht="15.75" customHeight="1">
      <c r="A5600" s="35"/>
      <c r="C5600" s="442"/>
      <c r="P5600" s="235"/>
      <c r="AI5600" s="38"/>
    </row>
    <row r="5601" ht="15.75" customHeight="1">
      <c r="A5601" s="35"/>
      <c r="C5601" s="442"/>
      <c r="P5601" s="235"/>
      <c r="AI5601" s="38"/>
    </row>
    <row r="5602" ht="15.75" customHeight="1">
      <c r="A5602" s="35"/>
      <c r="C5602" s="442"/>
      <c r="P5602" s="235"/>
      <c r="AI5602" s="38"/>
    </row>
    <row r="5603" ht="15.75" customHeight="1">
      <c r="A5603" s="35"/>
      <c r="C5603" s="442"/>
      <c r="P5603" s="235"/>
      <c r="AI5603" s="38"/>
    </row>
    <row r="5604" ht="15.75" customHeight="1">
      <c r="A5604" s="35"/>
      <c r="C5604" s="442"/>
      <c r="P5604" s="235"/>
      <c r="AI5604" s="38"/>
    </row>
    <row r="5605" ht="15.75" customHeight="1">
      <c r="A5605" s="35"/>
      <c r="C5605" s="442"/>
      <c r="P5605" s="235"/>
      <c r="AI5605" s="38"/>
    </row>
    <row r="5606" ht="15.75" customHeight="1">
      <c r="A5606" s="35"/>
      <c r="C5606" s="442"/>
      <c r="P5606" s="235"/>
      <c r="AI5606" s="38"/>
    </row>
    <row r="5607" ht="15.75" customHeight="1">
      <c r="A5607" s="35"/>
      <c r="C5607" s="442"/>
      <c r="P5607" s="235"/>
      <c r="AI5607" s="38"/>
    </row>
    <row r="5608" ht="15.75" customHeight="1">
      <c r="A5608" s="35"/>
      <c r="C5608" s="442"/>
      <c r="P5608" s="235"/>
      <c r="AI5608" s="38"/>
    </row>
    <row r="5609" ht="15.75" customHeight="1">
      <c r="A5609" s="35"/>
      <c r="C5609" s="442"/>
      <c r="P5609" s="235"/>
      <c r="AI5609" s="38"/>
    </row>
    <row r="5610" ht="15.75" customHeight="1">
      <c r="A5610" s="35"/>
      <c r="C5610" s="442"/>
      <c r="P5610" s="235"/>
      <c r="AI5610" s="38"/>
    </row>
    <row r="5611" ht="15.75" customHeight="1">
      <c r="A5611" s="35"/>
      <c r="C5611" s="442"/>
      <c r="P5611" s="235"/>
      <c r="AI5611" s="38"/>
    </row>
    <row r="5612" ht="15.75" customHeight="1">
      <c r="A5612" s="35"/>
      <c r="C5612" s="442"/>
      <c r="P5612" s="235"/>
      <c r="AI5612" s="38"/>
    </row>
    <row r="5613" ht="15.75" customHeight="1">
      <c r="A5613" s="35"/>
      <c r="C5613" s="442"/>
      <c r="P5613" s="235"/>
      <c r="AI5613" s="38"/>
    </row>
    <row r="5614" ht="15.75" customHeight="1">
      <c r="A5614" s="35"/>
      <c r="C5614" s="442"/>
      <c r="P5614" s="235"/>
      <c r="AI5614" s="38"/>
    </row>
    <row r="5615" ht="15.75" customHeight="1">
      <c r="A5615" s="35"/>
      <c r="C5615" s="442"/>
      <c r="P5615" s="235"/>
      <c r="AI5615" s="38"/>
    </row>
    <row r="5616" ht="15.75" customHeight="1">
      <c r="A5616" s="35"/>
      <c r="C5616" s="442"/>
      <c r="P5616" s="235"/>
      <c r="AI5616" s="38"/>
    </row>
    <row r="5617" ht="15.75" customHeight="1">
      <c r="A5617" s="35"/>
      <c r="C5617" s="442"/>
      <c r="P5617" s="235"/>
      <c r="AI5617" s="38"/>
    </row>
    <row r="5618" ht="15.75" customHeight="1">
      <c r="A5618" s="35"/>
      <c r="C5618" s="442"/>
      <c r="P5618" s="235"/>
      <c r="AI5618" s="38"/>
    </row>
    <row r="5619" ht="15.75" customHeight="1">
      <c r="A5619" s="35"/>
      <c r="C5619" s="442"/>
      <c r="P5619" s="235"/>
      <c r="AI5619" s="38"/>
    </row>
    <row r="5620" ht="15.75" customHeight="1">
      <c r="A5620" s="35"/>
      <c r="C5620" s="442"/>
      <c r="P5620" s="235"/>
      <c r="AI5620" s="38"/>
    </row>
    <row r="5621" ht="15.75" customHeight="1">
      <c r="A5621" s="35"/>
      <c r="C5621" s="442"/>
      <c r="P5621" s="235"/>
      <c r="AI5621" s="38"/>
    </row>
    <row r="5622" ht="15.75" customHeight="1">
      <c r="A5622" s="35"/>
      <c r="C5622" s="442"/>
      <c r="P5622" s="235"/>
      <c r="AI5622" s="38"/>
    </row>
    <row r="5623" ht="15.75" customHeight="1">
      <c r="A5623" s="35"/>
      <c r="C5623" s="442"/>
      <c r="P5623" s="235"/>
      <c r="AI5623" s="38"/>
    </row>
    <row r="5624" ht="15.75" customHeight="1">
      <c r="A5624" s="35"/>
      <c r="C5624" s="442"/>
      <c r="P5624" s="235"/>
      <c r="AI5624" s="38"/>
    </row>
    <row r="5625" ht="15.75" customHeight="1">
      <c r="A5625" s="35"/>
      <c r="C5625" s="442"/>
      <c r="P5625" s="235"/>
      <c r="AI5625" s="38"/>
    </row>
    <row r="5626" ht="15.75" customHeight="1">
      <c r="A5626" s="35"/>
      <c r="C5626" s="442"/>
      <c r="P5626" s="235"/>
      <c r="AI5626" s="38"/>
    </row>
    <row r="5627" ht="15.75" customHeight="1">
      <c r="A5627" s="35"/>
      <c r="C5627" s="442"/>
      <c r="P5627" s="235"/>
      <c r="AI5627" s="38"/>
    </row>
    <row r="5628" ht="15.75" customHeight="1">
      <c r="A5628" s="35"/>
      <c r="C5628" s="442"/>
      <c r="P5628" s="235"/>
      <c r="AI5628" s="38"/>
    </row>
    <row r="5629" ht="15.75" customHeight="1">
      <c r="A5629" s="35"/>
      <c r="C5629" s="442"/>
      <c r="P5629" s="235"/>
      <c r="AI5629" s="38"/>
    </row>
    <row r="5630" ht="15.75" customHeight="1">
      <c r="A5630" s="35"/>
      <c r="C5630" s="442"/>
      <c r="P5630" s="235"/>
      <c r="AI5630" s="38"/>
    </row>
    <row r="5631" ht="15.75" customHeight="1">
      <c r="A5631" s="35"/>
      <c r="C5631" s="442"/>
      <c r="P5631" s="235"/>
      <c r="AI5631" s="38"/>
    </row>
    <row r="5632" ht="15.75" customHeight="1">
      <c r="A5632" s="35"/>
      <c r="C5632" s="442"/>
      <c r="P5632" s="235"/>
      <c r="AI5632" s="38"/>
    </row>
    <row r="5633" ht="15.75" customHeight="1">
      <c r="A5633" s="35"/>
      <c r="C5633" s="442"/>
      <c r="P5633" s="235"/>
      <c r="AI5633" s="38"/>
    </row>
    <row r="5634" ht="15.75" customHeight="1">
      <c r="A5634" s="35"/>
      <c r="C5634" s="442"/>
      <c r="P5634" s="235"/>
      <c r="AI5634" s="38"/>
    </row>
    <row r="5635" ht="15.75" customHeight="1">
      <c r="A5635" s="35"/>
      <c r="C5635" s="442"/>
      <c r="P5635" s="235"/>
      <c r="AI5635" s="38"/>
    </row>
    <row r="5636" ht="15.75" customHeight="1">
      <c r="A5636" s="35"/>
      <c r="C5636" s="442"/>
      <c r="P5636" s="235"/>
      <c r="AI5636" s="38"/>
    </row>
    <row r="5637" ht="15.75" customHeight="1">
      <c r="A5637" s="35"/>
      <c r="C5637" s="442"/>
      <c r="P5637" s="235"/>
      <c r="AI5637" s="38"/>
    </row>
    <row r="5638" ht="15.75" customHeight="1">
      <c r="A5638" s="35"/>
      <c r="C5638" s="442"/>
      <c r="P5638" s="235"/>
      <c r="AI5638" s="38"/>
    </row>
    <row r="5639" ht="15.75" customHeight="1">
      <c r="A5639" s="35"/>
      <c r="C5639" s="442"/>
      <c r="P5639" s="235"/>
      <c r="AI5639" s="38"/>
    </row>
    <row r="5640" ht="15.75" customHeight="1">
      <c r="A5640" s="35"/>
      <c r="C5640" s="442"/>
      <c r="P5640" s="235"/>
      <c r="AI5640" s="38"/>
    </row>
    <row r="5641" ht="15.75" customHeight="1">
      <c r="A5641" s="35"/>
      <c r="C5641" s="442"/>
      <c r="P5641" s="235"/>
      <c r="AI5641" s="38"/>
    </row>
    <row r="5642" ht="15.75" customHeight="1">
      <c r="A5642" s="35"/>
      <c r="C5642" s="442"/>
      <c r="P5642" s="235"/>
      <c r="AI5642" s="38"/>
    </row>
    <row r="5643" ht="15.75" customHeight="1">
      <c r="A5643" s="35"/>
      <c r="C5643" s="442"/>
      <c r="P5643" s="235"/>
      <c r="AI5643" s="38"/>
    </row>
    <row r="5644" ht="15.75" customHeight="1">
      <c r="A5644" s="35"/>
      <c r="C5644" s="442"/>
      <c r="P5644" s="235"/>
      <c r="AI5644" s="38"/>
    </row>
    <row r="5645" ht="15.75" customHeight="1">
      <c r="A5645" s="35"/>
      <c r="C5645" s="442"/>
      <c r="P5645" s="235"/>
      <c r="AI5645" s="38"/>
    </row>
    <row r="5646" ht="15.75" customHeight="1">
      <c r="A5646" s="35"/>
      <c r="C5646" s="442"/>
      <c r="P5646" s="235"/>
      <c r="AI5646" s="38"/>
    </row>
    <row r="5647" ht="15.75" customHeight="1">
      <c r="A5647" s="35"/>
      <c r="C5647" s="442"/>
      <c r="P5647" s="235"/>
      <c r="AI5647" s="38"/>
    </row>
    <row r="5648" ht="15.75" customHeight="1">
      <c r="A5648" s="35"/>
      <c r="C5648" s="442"/>
      <c r="P5648" s="235"/>
      <c r="AI5648" s="38"/>
    </row>
    <row r="5649" ht="15.75" customHeight="1">
      <c r="A5649" s="35"/>
      <c r="C5649" s="442"/>
      <c r="P5649" s="235"/>
      <c r="AI5649" s="38"/>
    </row>
    <row r="5650" ht="15.75" customHeight="1">
      <c r="A5650" s="35"/>
      <c r="C5650" s="442"/>
      <c r="P5650" s="235"/>
      <c r="AI5650" s="38"/>
    </row>
    <row r="5651" ht="15.75" customHeight="1">
      <c r="A5651" s="35"/>
      <c r="C5651" s="442"/>
      <c r="P5651" s="235"/>
      <c r="AI5651" s="38"/>
    </row>
    <row r="5652" ht="15.75" customHeight="1">
      <c r="A5652" s="35"/>
      <c r="C5652" s="442"/>
      <c r="P5652" s="235"/>
      <c r="AI5652" s="38"/>
    </row>
    <row r="5653" ht="15.75" customHeight="1">
      <c r="A5653" s="35"/>
      <c r="C5653" s="442"/>
      <c r="P5653" s="235"/>
      <c r="AI5653" s="38"/>
    </row>
    <row r="5654" ht="15.75" customHeight="1">
      <c r="A5654" s="35"/>
      <c r="C5654" s="442"/>
      <c r="P5654" s="235"/>
      <c r="AI5654" s="38"/>
    </row>
    <row r="5655" ht="15.75" customHeight="1">
      <c r="A5655" s="35"/>
      <c r="C5655" s="442"/>
      <c r="P5655" s="235"/>
      <c r="AI5655" s="38"/>
    </row>
    <row r="5656" ht="15.75" customHeight="1">
      <c r="A5656" s="35"/>
      <c r="C5656" s="442"/>
      <c r="P5656" s="235"/>
      <c r="AI5656" s="38"/>
    </row>
    <row r="5657" ht="15.75" customHeight="1">
      <c r="A5657" s="35"/>
      <c r="C5657" s="442"/>
      <c r="P5657" s="235"/>
      <c r="AI5657" s="38"/>
    </row>
    <row r="5658" ht="15.75" customHeight="1">
      <c r="A5658" s="35"/>
      <c r="C5658" s="442"/>
      <c r="P5658" s="235"/>
      <c r="AI5658" s="38"/>
    </row>
    <row r="5659" ht="15.75" customHeight="1">
      <c r="A5659" s="35"/>
      <c r="C5659" s="442"/>
      <c r="P5659" s="235"/>
      <c r="AI5659" s="38"/>
    </row>
    <row r="5660" ht="15.75" customHeight="1">
      <c r="A5660" s="35"/>
      <c r="C5660" s="442"/>
      <c r="P5660" s="235"/>
      <c r="AI5660" s="38"/>
    </row>
    <row r="5661" ht="15.75" customHeight="1">
      <c r="A5661" s="35"/>
      <c r="C5661" s="442"/>
      <c r="P5661" s="235"/>
      <c r="AI5661" s="38"/>
    </row>
    <row r="5662" ht="15.75" customHeight="1">
      <c r="A5662" s="35"/>
      <c r="C5662" s="442"/>
      <c r="P5662" s="235"/>
      <c r="AI5662" s="38"/>
    </row>
    <row r="5663" ht="15.75" customHeight="1">
      <c r="A5663" s="35"/>
      <c r="C5663" s="442"/>
      <c r="P5663" s="235"/>
      <c r="AI5663" s="38"/>
    </row>
    <row r="5664" ht="15.75" customHeight="1">
      <c r="A5664" s="35"/>
      <c r="C5664" s="442"/>
      <c r="P5664" s="235"/>
      <c r="AI5664" s="38"/>
    </row>
    <row r="5665" ht="15.75" customHeight="1">
      <c r="A5665" s="35"/>
      <c r="C5665" s="442"/>
      <c r="P5665" s="235"/>
      <c r="AI5665" s="38"/>
    </row>
    <row r="5666" ht="15.75" customHeight="1">
      <c r="A5666" s="35"/>
      <c r="C5666" s="442"/>
      <c r="P5666" s="235"/>
      <c r="AI5666" s="38"/>
    </row>
    <row r="5667" ht="15.75" customHeight="1">
      <c r="A5667" s="35"/>
      <c r="C5667" s="442"/>
      <c r="P5667" s="235"/>
      <c r="AI5667" s="38"/>
    </row>
    <row r="5668" ht="15.75" customHeight="1">
      <c r="A5668" s="35"/>
      <c r="C5668" s="442"/>
      <c r="P5668" s="235"/>
      <c r="AI5668" s="38"/>
    </row>
    <row r="5669" ht="15.75" customHeight="1">
      <c r="A5669" s="35"/>
      <c r="C5669" s="442"/>
      <c r="P5669" s="235"/>
      <c r="AI5669" s="38"/>
    </row>
    <row r="5670" ht="15.75" customHeight="1">
      <c r="A5670" s="35"/>
      <c r="C5670" s="442"/>
      <c r="P5670" s="235"/>
      <c r="AI5670" s="38"/>
    </row>
    <row r="5671" ht="15.75" customHeight="1">
      <c r="A5671" s="35"/>
      <c r="C5671" s="442"/>
      <c r="P5671" s="235"/>
      <c r="AI5671" s="38"/>
    </row>
    <row r="5672" ht="15.75" customHeight="1">
      <c r="A5672" s="35"/>
      <c r="C5672" s="442"/>
      <c r="P5672" s="235"/>
      <c r="AI5672" s="38"/>
    </row>
    <row r="5673" ht="15.75" customHeight="1">
      <c r="A5673" s="35"/>
      <c r="C5673" s="442"/>
      <c r="P5673" s="235"/>
      <c r="AI5673" s="38"/>
    </row>
    <row r="5674" ht="15.75" customHeight="1">
      <c r="A5674" s="35"/>
      <c r="C5674" s="442"/>
      <c r="P5674" s="235"/>
      <c r="AI5674" s="38"/>
    </row>
    <row r="5675" ht="15.75" customHeight="1">
      <c r="A5675" s="35"/>
      <c r="C5675" s="442"/>
      <c r="P5675" s="235"/>
      <c r="AI5675" s="38"/>
    </row>
    <row r="5676" ht="15.75" customHeight="1">
      <c r="A5676" s="35"/>
      <c r="C5676" s="442"/>
      <c r="P5676" s="235"/>
      <c r="AI5676" s="38"/>
    </row>
    <row r="5677" ht="15.75" customHeight="1">
      <c r="A5677" s="35"/>
      <c r="C5677" s="442"/>
      <c r="P5677" s="235"/>
      <c r="AI5677" s="38"/>
    </row>
    <row r="5678" ht="15.75" customHeight="1">
      <c r="A5678" s="35"/>
      <c r="C5678" s="442"/>
      <c r="P5678" s="235"/>
      <c r="AI5678" s="38"/>
    </row>
    <row r="5679" ht="15.75" customHeight="1">
      <c r="A5679" s="35"/>
      <c r="C5679" s="442"/>
      <c r="P5679" s="235"/>
      <c r="AI5679" s="38"/>
    </row>
    <row r="5680" ht="15.75" customHeight="1">
      <c r="A5680" s="35"/>
      <c r="C5680" s="442"/>
      <c r="P5680" s="235"/>
      <c r="AI5680" s="38"/>
    </row>
    <row r="5681" ht="15.75" customHeight="1">
      <c r="A5681" s="35"/>
      <c r="C5681" s="442"/>
      <c r="P5681" s="235"/>
      <c r="AI5681" s="38"/>
    </row>
    <row r="5682" ht="15.75" customHeight="1">
      <c r="A5682" s="35"/>
      <c r="C5682" s="442"/>
      <c r="P5682" s="235"/>
      <c r="AI5682" s="38"/>
    </row>
    <row r="5683" ht="15.75" customHeight="1">
      <c r="A5683" s="35"/>
      <c r="C5683" s="442"/>
      <c r="P5683" s="235"/>
      <c r="AI5683" s="38"/>
    </row>
    <row r="5684" ht="15.75" customHeight="1">
      <c r="A5684" s="35"/>
      <c r="C5684" s="442"/>
      <c r="P5684" s="235"/>
      <c r="AI5684" s="38"/>
    </row>
    <row r="5685" ht="15.75" customHeight="1">
      <c r="A5685" s="35"/>
      <c r="C5685" s="442"/>
      <c r="P5685" s="235"/>
      <c r="AI5685" s="38"/>
    </row>
    <row r="5686" ht="15.75" customHeight="1">
      <c r="A5686" s="35"/>
      <c r="C5686" s="442"/>
      <c r="P5686" s="235"/>
      <c r="AI5686" s="38"/>
    </row>
    <row r="5687" ht="15.75" customHeight="1">
      <c r="A5687" s="35"/>
      <c r="C5687" s="442"/>
      <c r="P5687" s="235"/>
      <c r="AI5687" s="38"/>
    </row>
    <row r="5688" ht="15.75" customHeight="1">
      <c r="A5688" s="35"/>
      <c r="C5688" s="442"/>
      <c r="P5688" s="235"/>
      <c r="AI5688" s="38"/>
    </row>
    <row r="5689" ht="15.75" customHeight="1">
      <c r="A5689" s="35"/>
      <c r="C5689" s="442"/>
      <c r="P5689" s="235"/>
      <c r="AI5689" s="38"/>
    </row>
    <row r="5690" ht="15.75" customHeight="1">
      <c r="A5690" s="35"/>
      <c r="C5690" s="442"/>
      <c r="P5690" s="235"/>
      <c r="AI5690" s="38"/>
    </row>
    <row r="5691" ht="15.75" customHeight="1">
      <c r="A5691" s="35"/>
      <c r="C5691" s="442"/>
      <c r="P5691" s="235"/>
      <c r="AI5691" s="38"/>
    </row>
    <row r="5692" ht="15.75" customHeight="1">
      <c r="A5692" s="35"/>
      <c r="C5692" s="442"/>
      <c r="P5692" s="235"/>
      <c r="AI5692" s="38"/>
    </row>
    <row r="5693" ht="15.75" customHeight="1">
      <c r="A5693" s="35"/>
      <c r="C5693" s="442"/>
      <c r="P5693" s="235"/>
      <c r="AI5693" s="38"/>
    </row>
    <row r="5694" ht="15.75" customHeight="1">
      <c r="A5694" s="35"/>
      <c r="C5694" s="442"/>
      <c r="P5694" s="235"/>
      <c r="AI5694" s="38"/>
    </row>
    <row r="5695" ht="15.75" customHeight="1">
      <c r="A5695" s="35"/>
      <c r="C5695" s="442"/>
      <c r="P5695" s="235"/>
      <c r="AI5695" s="38"/>
    </row>
    <row r="5696" ht="15.75" customHeight="1">
      <c r="A5696" s="35"/>
      <c r="C5696" s="442"/>
      <c r="P5696" s="235"/>
      <c r="AI5696" s="38"/>
    </row>
    <row r="5697" ht="15.75" customHeight="1">
      <c r="A5697" s="35"/>
      <c r="C5697" s="442"/>
      <c r="P5697" s="235"/>
      <c r="AI5697" s="38"/>
    </row>
    <row r="5698" ht="15.75" customHeight="1">
      <c r="A5698" s="35"/>
      <c r="C5698" s="442"/>
      <c r="P5698" s="235"/>
      <c r="AI5698" s="38"/>
    </row>
    <row r="5699" ht="15.75" customHeight="1">
      <c r="A5699" s="35"/>
      <c r="C5699" s="442"/>
      <c r="P5699" s="235"/>
      <c r="AI5699" s="38"/>
    </row>
    <row r="5700" ht="15.75" customHeight="1">
      <c r="A5700" s="35"/>
      <c r="C5700" s="442"/>
      <c r="P5700" s="235"/>
      <c r="AI5700" s="38"/>
    </row>
    <row r="5701" ht="15.75" customHeight="1">
      <c r="A5701" s="35"/>
      <c r="C5701" s="442"/>
      <c r="P5701" s="235"/>
      <c r="AI5701" s="38"/>
    </row>
    <row r="5702" ht="15.75" customHeight="1">
      <c r="A5702" s="35"/>
      <c r="C5702" s="442"/>
      <c r="P5702" s="235"/>
      <c r="AI5702" s="38"/>
    </row>
    <row r="5703" ht="15.75" customHeight="1">
      <c r="A5703" s="35"/>
      <c r="C5703" s="442"/>
      <c r="P5703" s="235"/>
      <c r="AI5703" s="38"/>
    </row>
    <row r="5704" ht="15.75" customHeight="1">
      <c r="A5704" s="35"/>
      <c r="C5704" s="442"/>
      <c r="P5704" s="235"/>
      <c r="AI5704" s="38"/>
    </row>
    <row r="5705" ht="15.75" customHeight="1">
      <c r="A5705" s="35"/>
      <c r="C5705" s="442"/>
      <c r="P5705" s="235"/>
      <c r="AI5705" s="38"/>
    </row>
    <row r="5706" ht="15.75" customHeight="1">
      <c r="A5706" s="35"/>
      <c r="C5706" s="442"/>
      <c r="P5706" s="235"/>
      <c r="AI5706" s="38"/>
    </row>
    <row r="5707" ht="15.75" customHeight="1">
      <c r="A5707" s="35"/>
      <c r="C5707" s="442"/>
      <c r="P5707" s="235"/>
      <c r="AI5707" s="38"/>
    </row>
    <row r="5708" ht="15.75" customHeight="1">
      <c r="A5708" s="35"/>
      <c r="C5708" s="442"/>
      <c r="P5708" s="235"/>
      <c r="AI5708" s="38"/>
    </row>
    <row r="5709" ht="15.75" customHeight="1">
      <c r="A5709" s="35"/>
      <c r="C5709" s="442"/>
      <c r="P5709" s="235"/>
      <c r="AI5709" s="38"/>
    </row>
    <row r="5710" ht="15.75" customHeight="1">
      <c r="A5710" s="35"/>
      <c r="C5710" s="442"/>
      <c r="P5710" s="235"/>
      <c r="AI5710" s="38"/>
    </row>
    <row r="5711" ht="15.75" customHeight="1">
      <c r="A5711" s="35"/>
      <c r="C5711" s="442"/>
      <c r="P5711" s="235"/>
      <c r="AI5711" s="38"/>
    </row>
    <row r="5712" ht="15.75" customHeight="1">
      <c r="A5712" s="35"/>
      <c r="C5712" s="442"/>
      <c r="P5712" s="235"/>
      <c r="AI5712" s="38"/>
    </row>
    <row r="5713" ht="15.75" customHeight="1">
      <c r="A5713" s="35"/>
      <c r="C5713" s="442"/>
      <c r="P5713" s="235"/>
      <c r="AI5713" s="38"/>
    </row>
    <row r="5714" ht="15.75" customHeight="1">
      <c r="A5714" s="35"/>
      <c r="C5714" s="442"/>
      <c r="P5714" s="235"/>
      <c r="AI5714" s="38"/>
    </row>
    <row r="5715" ht="15.75" customHeight="1">
      <c r="A5715" s="35"/>
      <c r="C5715" s="442"/>
      <c r="P5715" s="235"/>
      <c r="AI5715" s="38"/>
    </row>
    <row r="5716" ht="15.75" customHeight="1">
      <c r="A5716" s="35"/>
      <c r="C5716" s="442"/>
      <c r="P5716" s="235"/>
      <c r="AI5716" s="38"/>
    </row>
    <row r="5717" ht="15.75" customHeight="1">
      <c r="A5717" s="35"/>
      <c r="C5717" s="442"/>
      <c r="P5717" s="235"/>
      <c r="AI5717" s="38"/>
    </row>
    <row r="5718" ht="15.75" customHeight="1">
      <c r="A5718" s="35"/>
      <c r="C5718" s="442"/>
      <c r="P5718" s="235"/>
      <c r="AI5718" s="38"/>
    </row>
    <row r="5719" ht="15.75" customHeight="1">
      <c r="A5719" s="35"/>
      <c r="C5719" s="442"/>
      <c r="P5719" s="235"/>
      <c r="AI5719" s="38"/>
    </row>
    <row r="5720" ht="15.75" customHeight="1">
      <c r="A5720" s="35"/>
      <c r="C5720" s="442"/>
      <c r="P5720" s="235"/>
      <c r="AI5720" s="38"/>
    </row>
    <row r="5721" ht="15.75" customHeight="1">
      <c r="A5721" s="35"/>
      <c r="C5721" s="442"/>
      <c r="P5721" s="235"/>
      <c r="AI5721" s="38"/>
    </row>
    <row r="5722" ht="15.75" customHeight="1">
      <c r="A5722" s="35"/>
      <c r="C5722" s="442"/>
      <c r="P5722" s="235"/>
      <c r="AI5722" s="38"/>
    </row>
    <row r="5723" ht="15.75" customHeight="1">
      <c r="A5723" s="35"/>
      <c r="C5723" s="442"/>
      <c r="P5723" s="235"/>
      <c r="AI5723" s="38"/>
    </row>
    <row r="5724" ht="15.75" customHeight="1">
      <c r="A5724" s="35"/>
      <c r="C5724" s="442"/>
      <c r="P5724" s="235"/>
      <c r="AI5724" s="38"/>
    </row>
    <row r="5725" ht="15.75" customHeight="1">
      <c r="A5725" s="35"/>
      <c r="C5725" s="442"/>
      <c r="P5725" s="235"/>
      <c r="AI5725" s="38"/>
    </row>
    <row r="5726" ht="15.75" customHeight="1">
      <c r="A5726" s="35"/>
      <c r="C5726" s="442"/>
      <c r="P5726" s="235"/>
      <c r="AI5726" s="38"/>
    </row>
    <row r="5727" ht="15.75" customHeight="1">
      <c r="A5727" s="35"/>
      <c r="C5727" s="442"/>
      <c r="P5727" s="235"/>
      <c r="AI5727" s="38"/>
    </row>
    <row r="5728" ht="15.75" customHeight="1">
      <c r="A5728" s="35"/>
      <c r="C5728" s="442"/>
      <c r="P5728" s="235"/>
      <c r="AI5728" s="38"/>
    </row>
    <row r="5729" ht="15.75" customHeight="1">
      <c r="A5729" s="35"/>
      <c r="C5729" s="442"/>
      <c r="P5729" s="235"/>
      <c r="AI5729" s="38"/>
    </row>
    <row r="5730" ht="15.75" customHeight="1">
      <c r="A5730" s="35"/>
      <c r="C5730" s="442"/>
      <c r="P5730" s="235"/>
      <c r="AI5730" s="38"/>
    </row>
    <row r="5731" ht="15.75" customHeight="1">
      <c r="A5731" s="35"/>
      <c r="C5731" s="442"/>
      <c r="P5731" s="235"/>
      <c r="AI5731" s="38"/>
    </row>
    <row r="5732" ht="15.75" customHeight="1">
      <c r="A5732" s="35"/>
      <c r="C5732" s="442"/>
      <c r="P5732" s="235"/>
      <c r="AI5732" s="38"/>
    </row>
    <row r="5733" ht="15.75" customHeight="1">
      <c r="A5733" s="35"/>
      <c r="C5733" s="442"/>
      <c r="P5733" s="235"/>
      <c r="AI5733" s="38"/>
    </row>
    <row r="5734" ht="15.75" customHeight="1">
      <c r="A5734" s="35"/>
      <c r="C5734" s="442"/>
      <c r="P5734" s="235"/>
      <c r="AI5734" s="38"/>
    </row>
    <row r="5735" ht="15.75" customHeight="1">
      <c r="A5735" s="35"/>
      <c r="C5735" s="442"/>
      <c r="P5735" s="235"/>
      <c r="AI5735" s="38"/>
    </row>
    <row r="5736" ht="15.75" customHeight="1">
      <c r="A5736" s="35"/>
      <c r="C5736" s="442"/>
      <c r="P5736" s="235"/>
      <c r="AI5736" s="38"/>
    </row>
    <row r="5737" ht="15.75" customHeight="1">
      <c r="A5737" s="35"/>
      <c r="C5737" s="442"/>
      <c r="P5737" s="235"/>
      <c r="AI5737" s="38"/>
    </row>
    <row r="5738" ht="15.75" customHeight="1">
      <c r="A5738" s="35"/>
      <c r="C5738" s="442"/>
      <c r="P5738" s="235"/>
      <c r="AI5738" s="38"/>
    </row>
    <row r="5739" ht="15.75" customHeight="1">
      <c r="A5739" s="35"/>
      <c r="C5739" s="442"/>
      <c r="P5739" s="235"/>
      <c r="AI5739" s="38"/>
    </row>
    <row r="5740" ht="15.75" customHeight="1">
      <c r="A5740" s="35"/>
      <c r="C5740" s="442"/>
      <c r="P5740" s="235"/>
      <c r="AI5740" s="38"/>
    </row>
    <row r="5741" ht="15.75" customHeight="1">
      <c r="A5741" s="35"/>
      <c r="C5741" s="442"/>
      <c r="P5741" s="235"/>
      <c r="AI5741" s="38"/>
    </row>
    <row r="5742" ht="15.75" customHeight="1">
      <c r="A5742" s="35"/>
      <c r="C5742" s="442"/>
      <c r="P5742" s="235"/>
      <c r="AI5742" s="38"/>
    </row>
    <row r="5743" ht="15.75" customHeight="1">
      <c r="A5743" s="35"/>
      <c r="C5743" s="442"/>
      <c r="P5743" s="235"/>
      <c r="AI5743" s="38"/>
    </row>
    <row r="5744" ht="15.75" customHeight="1">
      <c r="A5744" s="35"/>
      <c r="C5744" s="442"/>
      <c r="P5744" s="235"/>
      <c r="AI5744" s="38"/>
    </row>
    <row r="5745" ht="15.75" customHeight="1">
      <c r="A5745" s="35"/>
      <c r="C5745" s="442"/>
      <c r="P5745" s="235"/>
      <c r="AI5745" s="38"/>
    </row>
    <row r="5746" ht="15.75" customHeight="1">
      <c r="A5746" s="35"/>
      <c r="C5746" s="442"/>
      <c r="P5746" s="235"/>
      <c r="AI5746" s="38"/>
    </row>
    <row r="5747" ht="15.75" customHeight="1">
      <c r="A5747" s="35"/>
      <c r="C5747" s="442"/>
      <c r="P5747" s="235"/>
      <c r="AI5747" s="38"/>
    </row>
    <row r="5748" ht="15.75" customHeight="1">
      <c r="A5748" s="35"/>
      <c r="C5748" s="442"/>
      <c r="P5748" s="235"/>
      <c r="AI5748" s="38"/>
    </row>
    <row r="5749" ht="15.75" customHeight="1">
      <c r="A5749" s="35"/>
      <c r="C5749" s="442"/>
      <c r="P5749" s="235"/>
      <c r="AI5749" s="38"/>
    </row>
    <row r="5750" ht="15.75" customHeight="1">
      <c r="A5750" s="35"/>
      <c r="C5750" s="442"/>
      <c r="P5750" s="235"/>
      <c r="AI5750" s="38"/>
    </row>
    <row r="5751" ht="15.75" customHeight="1">
      <c r="A5751" s="35"/>
      <c r="C5751" s="442"/>
      <c r="P5751" s="235"/>
      <c r="AI5751" s="38"/>
    </row>
    <row r="5752" ht="15.75" customHeight="1">
      <c r="A5752" s="35"/>
      <c r="C5752" s="442"/>
      <c r="P5752" s="235"/>
      <c r="AI5752" s="38"/>
    </row>
    <row r="5753" ht="15.75" customHeight="1">
      <c r="A5753" s="35"/>
      <c r="C5753" s="442"/>
      <c r="P5753" s="235"/>
      <c r="AI5753" s="38"/>
    </row>
    <row r="5754" ht="15.75" customHeight="1">
      <c r="A5754" s="35"/>
      <c r="C5754" s="442"/>
      <c r="P5754" s="235"/>
      <c r="AI5754" s="38"/>
    </row>
    <row r="5755" ht="15.75" customHeight="1">
      <c r="A5755" s="35"/>
      <c r="C5755" s="442"/>
      <c r="P5755" s="235"/>
      <c r="AI5755" s="38"/>
    </row>
    <row r="5756" ht="15.75" customHeight="1">
      <c r="A5756" s="35"/>
      <c r="C5756" s="442"/>
      <c r="P5756" s="235"/>
      <c r="AI5756" s="38"/>
    </row>
    <row r="5757" ht="15.75" customHeight="1">
      <c r="A5757" s="35"/>
      <c r="C5757" s="442"/>
      <c r="P5757" s="235"/>
      <c r="AI5757" s="38"/>
    </row>
    <row r="5758" ht="15.75" customHeight="1">
      <c r="A5758" s="35"/>
      <c r="C5758" s="442"/>
      <c r="P5758" s="235"/>
      <c r="AI5758" s="38"/>
    </row>
    <row r="5759" ht="15.75" customHeight="1">
      <c r="A5759" s="35"/>
      <c r="C5759" s="442"/>
      <c r="P5759" s="235"/>
      <c r="AI5759" s="38"/>
    </row>
    <row r="5760" ht="15.75" customHeight="1">
      <c r="A5760" s="35"/>
      <c r="C5760" s="442"/>
      <c r="P5760" s="235"/>
      <c r="AI5760" s="38"/>
    </row>
    <row r="5761" ht="15.75" customHeight="1">
      <c r="A5761" s="35"/>
      <c r="C5761" s="442"/>
      <c r="P5761" s="235"/>
      <c r="AI5761" s="38"/>
    </row>
    <row r="5762" ht="15.75" customHeight="1">
      <c r="A5762" s="35"/>
      <c r="C5762" s="442"/>
      <c r="P5762" s="235"/>
      <c r="AI5762" s="38"/>
    </row>
    <row r="5763" ht="15.75" customHeight="1">
      <c r="A5763" s="35"/>
      <c r="C5763" s="442"/>
      <c r="P5763" s="235"/>
      <c r="AI5763" s="38"/>
    </row>
    <row r="5764" ht="15.75" customHeight="1">
      <c r="A5764" s="35"/>
      <c r="C5764" s="442"/>
      <c r="P5764" s="235"/>
      <c r="AI5764" s="38"/>
    </row>
    <row r="5765" ht="15.75" customHeight="1">
      <c r="A5765" s="35"/>
      <c r="C5765" s="442"/>
      <c r="P5765" s="235"/>
      <c r="AI5765" s="38"/>
    </row>
    <row r="5766" ht="15.75" customHeight="1">
      <c r="A5766" s="35"/>
      <c r="C5766" s="442"/>
      <c r="P5766" s="235"/>
      <c r="AI5766" s="38"/>
    </row>
    <row r="5767" ht="15.75" customHeight="1">
      <c r="A5767" s="35"/>
      <c r="C5767" s="442"/>
      <c r="P5767" s="235"/>
      <c r="AI5767" s="38"/>
    </row>
    <row r="5768" ht="15.75" customHeight="1">
      <c r="A5768" s="35"/>
      <c r="C5768" s="442"/>
      <c r="P5768" s="235"/>
      <c r="AI5768" s="38"/>
    </row>
    <row r="5769" ht="15.75" customHeight="1">
      <c r="A5769" s="35"/>
      <c r="C5769" s="442"/>
      <c r="P5769" s="235"/>
      <c r="AI5769" s="38"/>
    </row>
    <row r="5770" ht="15.75" customHeight="1">
      <c r="A5770" s="35"/>
      <c r="C5770" s="442"/>
      <c r="P5770" s="235"/>
      <c r="AI5770" s="38"/>
    </row>
    <row r="5771" ht="15.75" customHeight="1">
      <c r="A5771" s="35"/>
      <c r="C5771" s="442"/>
      <c r="P5771" s="235"/>
      <c r="AI5771" s="38"/>
    </row>
    <row r="5772" ht="15.75" customHeight="1">
      <c r="A5772" s="35"/>
      <c r="C5772" s="442"/>
      <c r="P5772" s="235"/>
      <c r="AI5772" s="38"/>
    </row>
    <row r="5773" ht="15.75" customHeight="1">
      <c r="A5773" s="35"/>
      <c r="C5773" s="442"/>
      <c r="P5773" s="235"/>
      <c r="AI5773" s="38"/>
    </row>
    <row r="5774" ht="15.75" customHeight="1">
      <c r="A5774" s="35"/>
      <c r="C5774" s="442"/>
      <c r="P5774" s="235"/>
      <c r="AI5774" s="38"/>
    </row>
    <row r="5775" ht="15.75" customHeight="1">
      <c r="A5775" s="35"/>
      <c r="C5775" s="442"/>
      <c r="P5775" s="235"/>
      <c r="AI5775" s="38"/>
    </row>
    <row r="5776" ht="15.75" customHeight="1">
      <c r="A5776" s="35"/>
      <c r="C5776" s="442"/>
      <c r="P5776" s="235"/>
      <c r="AI5776" s="38"/>
    </row>
    <row r="5777" ht="15.75" customHeight="1">
      <c r="A5777" s="35"/>
      <c r="C5777" s="442"/>
      <c r="P5777" s="235"/>
      <c r="AI5777" s="38"/>
    </row>
    <row r="5778" ht="15.75" customHeight="1">
      <c r="A5778" s="35"/>
      <c r="C5778" s="442"/>
      <c r="P5778" s="235"/>
      <c r="AI5778" s="38"/>
    </row>
    <row r="5779" ht="15.75" customHeight="1">
      <c r="A5779" s="35"/>
      <c r="C5779" s="442"/>
      <c r="P5779" s="235"/>
      <c r="AI5779" s="38"/>
    </row>
    <row r="5780" ht="15.75" customHeight="1">
      <c r="A5780" s="35"/>
      <c r="C5780" s="442"/>
      <c r="P5780" s="235"/>
      <c r="AI5780" s="38"/>
    </row>
    <row r="5781" ht="15.75" customHeight="1">
      <c r="A5781" s="35"/>
      <c r="C5781" s="442"/>
      <c r="P5781" s="235"/>
      <c r="AI5781" s="38"/>
    </row>
    <row r="5782" ht="15.75" customHeight="1">
      <c r="A5782" s="35"/>
      <c r="C5782" s="442"/>
      <c r="P5782" s="235"/>
      <c r="AI5782" s="38"/>
    </row>
    <row r="5783" ht="15.75" customHeight="1">
      <c r="A5783" s="35"/>
      <c r="C5783" s="442"/>
      <c r="P5783" s="235"/>
      <c r="AI5783" s="38"/>
    </row>
    <row r="5784" ht="15.75" customHeight="1">
      <c r="A5784" s="35"/>
      <c r="C5784" s="442"/>
      <c r="P5784" s="235"/>
      <c r="AI5784" s="38"/>
    </row>
    <row r="5785" ht="15.75" customHeight="1">
      <c r="A5785" s="35"/>
      <c r="C5785" s="442"/>
      <c r="P5785" s="235"/>
      <c r="AI5785" s="38"/>
    </row>
    <row r="5786" ht="15.75" customHeight="1">
      <c r="A5786" s="35"/>
      <c r="C5786" s="442"/>
      <c r="P5786" s="235"/>
      <c r="AI5786" s="38"/>
    </row>
    <row r="5787" ht="15.75" customHeight="1">
      <c r="A5787" s="35"/>
      <c r="C5787" s="442"/>
      <c r="P5787" s="235"/>
      <c r="AI5787" s="38"/>
    </row>
    <row r="5788" ht="15.75" customHeight="1">
      <c r="A5788" s="35"/>
      <c r="C5788" s="442"/>
      <c r="P5788" s="235"/>
      <c r="AI5788" s="38"/>
    </row>
    <row r="5789" ht="15.75" customHeight="1">
      <c r="A5789" s="35"/>
      <c r="C5789" s="442"/>
      <c r="P5789" s="235"/>
      <c r="AI5789" s="38"/>
    </row>
    <row r="5790" ht="15.75" customHeight="1">
      <c r="A5790" s="35"/>
      <c r="C5790" s="442"/>
      <c r="P5790" s="235"/>
      <c r="AI5790" s="38"/>
    </row>
    <row r="5791" ht="15.75" customHeight="1">
      <c r="A5791" s="35"/>
      <c r="C5791" s="442"/>
      <c r="P5791" s="235"/>
      <c r="AI5791" s="38"/>
    </row>
    <row r="5792" ht="15.75" customHeight="1">
      <c r="A5792" s="35"/>
      <c r="C5792" s="442"/>
      <c r="P5792" s="235"/>
      <c r="AI5792" s="38"/>
    </row>
    <row r="5793" ht="15.75" customHeight="1">
      <c r="A5793" s="35"/>
      <c r="C5793" s="442"/>
      <c r="P5793" s="235"/>
      <c r="AI5793" s="38"/>
    </row>
    <row r="5794" ht="15.75" customHeight="1">
      <c r="A5794" s="35"/>
      <c r="C5794" s="442"/>
      <c r="P5794" s="235"/>
      <c r="AI5794" s="38"/>
    </row>
    <row r="5795" ht="15.75" customHeight="1">
      <c r="A5795" s="35"/>
      <c r="C5795" s="442"/>
      <c r="P5795" s="235"/>
      <c r="AI5795" s="38"/>
    </row>
    <row r="5796" ht="15.75" customHeight="1">
      <c r="A5796" s="35"/>
      <c r="C5796" s="442"/>
      <c r="P5796" s="235"/>
      <c r="AI5796" s="38"/>
    </row>
    <row r="5797" ht="15.75" customHeight="1">
      <c r="A5797" s="35"/>
      <c r="C5797" s="442"/>
      <c r="P5797" s="235"/>
      <c r="AI5797" s="38"/>
    </row>
    <row r="5798" ht="15.75" customHeight="1">
      <c r="A5798" s="35"/>
      <c r="C5798" s="442"/>
      <c r="P5798" s="235"/>
      <c r="AI5798" s="38"/>
    </row>
    <row r="5799" ht="15.75" customHeight="1">
      <c r="A5799" s="35"/>
      <c r="C5799" s="442"/>
      <c r="P5799" s="235"/>
      <c r="AI5799" s="38"/>
    </row>
    <row r="5800" ht="15.75" customHeight="1">
      <c r="A5800" s="35"/>
      <c r="C5800" s="442"/>
      <c r="P5800" s="235"/>
      <c r="AI5800" s="38"/>
    </row>
    <row r="5801" ht="15.75" customHeight="1">
      <c r="A5801" s="35"/>
      <c r="C5801" s="442"/>
      <c r="P5801" s="235"/>
      <c r="AI5801" s="38"/>
    </row>
    <row r="5802" ht="15.75" customHeight="1">
      <c r="A5802" s="35"/>
      <c r="C5802" s="442"/>
      <c r="P5802" s="235"/>
      <c r="AI5802" s="38"/>
    </row>
    <row r="5803" ht="15.75" customHeight="1">
      <c r="A5803" s="35"/>
      <c r="C5803" s="442"/>
      <c r="P5803" s="235"/>
      <c r="AI5803" s="38"/>
    </row>
    <row r="5804" ht="15.75" customHeight="1">
      <c r="A5804" s="35"/>
      <c r="C5804" s="442"/>
      <c r="P5804" s="235"/>
      <c r="AI5804" s="38"/>
    </row>
    <row r="5805" ht="15.75" customHeight="1">
      <c r="A5805" s="35"/>
      <c r="C5805" s="442"/>
      <c r="P5805" s="235"/>
      <c r="AI5805" s="38"/>
    </row>
    <row r="5806" ht="15.75" customHeight="1">
      <c r="A5806" s="35"/>
      <c r="C5806" s="442"/>
      <c r="P5806" s="235"/>
      <c r="AI5806" s="38"/>
    </row>
    <row r="5807" ht="15.75" customHeight="1">
      <c r="A5807" s="35"/>
      <c r="C5807" s="442"/>
      <c r="P5807" s="235"/>
      <c r="AI5807" s="38"/>
    </row>
    <row r="5808" ht="15.75" customHeight="1">
      <c r="A5808" s="35"/>
      <c r="C5808" s="442"/>
      <c r="P5808" s="235"/>
      <c r="AI5808" s="38"/>
    </row>
    <row r="5809" ht="15.75" customHeight="1">
      <c r="A5809" s="35"/>
      <c r="C5809" s="442"/>
      <c r="P5809" s="235"/>
      <c r="AI5809" s="38"/>
    </row>
    <row r="5810" ht="15.75" customHeight="1">
      <c r="A5810" s="35"/>
      <c r="C5810" s="442"/>
      <c r="P5810" s="235"/>
      <c r="AI5810" s="38"/>
    </row>
    <row r="5811" ht="15.75" customHeight="1">
      <c r="A5811" s="35"/>
      <c r="C5811" s="442"/>
      <c r="P5811" s="235"/>
      <c r="AI5811" s="38"/>
    </row>
    <row r="5812" ht="15.75" customHeight="1">
      <c r="A5812" s="35"/>
      <c r="C5812" s="442"/>
      <c r="P5812" s="235"/>
      <c r="AI5812" s="38"/>
    </row>
    <row r="5813" ht="15.75" customHeight="1">
      <c r="A5813" s="35"/>
      <c r="C5813" s="442"/>
      <c r="P5813" s="235"/>
      <c r="AI5813" s="38"/>
    </row>
    <row r="5814" ht="15.75" customHeight="1">
      <c r="A5814" s="35"/>
      <c r="C5814" s="442"/>
      <c r="P5814" s="235"/>
      <c r="AI5814" s="38"/>
    </row>
    <row r="5815" ht="15.75" customHeight="1">
      <c r="A5815" s="35"/>
      <c r="C5815" s="442"/>
      <c r="P5815" s="235"/>
      <c r="AI5815" s="38"/>
    </row>
    <row r="5816" ht="15.75" customHeight="1">
      <c r="A5816" s="35"/>
      <c r="C5816" s="442"/>
      <c r="P5816" s="235"/>
      <c r="AI5816" s="38"/>
    </row>
    <row r="5817" ht="15.75" customHeight="1">
      <c r="A5817" s="35"/>
      <c r="C5817" s="442"/>
      <c r="P5817" s="235"/>
      <c r="AI5817" s="38"/>
    </row>
    <row r="5818" ht="15.75" customHeight="1">
      <c r="A5818" s="35"/>
      <c r="C5818" s="442"/>
      <c r="P5818" s="235"/>
      <c r="AI5818" s="38"/>
    </row>
    <row r="5819" ht="15.75" customHeight="1">
      <c r="A5819" s="35"/>
      <c r="C5819" s="442"/>
      <c r="P5819" s="235"/>
      <c r="AI5819" s="38"/>
    </row>
    <row r="5820" ht="15.75" customHeight="1">
      <c r="A5820" s="35"/>
      <c r="C5820" s="442"/>
      <c r="P5820" s="235"/>
      <c r="AI5820" s="38"/>
    </row>
    <row r="5821" ht="15.75" customHeight="1">
      <c r="A5821" s="35"/>
      <c r="C5821" s="442"/>
      <c r="P5821" s="235"/>
      <c r="AI5821" s="38"/>
    </row>
    <row r="5822" ht="15.75" customHeight="1">
      <c r="A5822" s="35"/>
      <c r="C5822" s="442"/>
      <c r="P5822" s="235"/>
      <c r="AI5822" s="38"/>
    </row>
    <row r="5823" ht="15.75" customHeight="1">
      <c r="A5823" s="35"/>
      <c r="C5823" s="442"/>
      <c r="P5823" s="235"/>
      <c r="AI5823" s="38"/>
    </row>
    <row r="5824" ht="15.75" customHeight="1">
      <c r="A5824" s="35"/>
      <c r="C5824" s="442"/>
      <c r="P5824" s="235"/>
      <c r="AI5824" s="38"/>
    </row>
    <row r="5825" ht="15.75" customHeight="1">
      <c r="A5825" s="35"/>
      <c r="C5825" s="442"/>
      <c r="P5825" s="235"/>
      <c r="AI5825" s="38"/>
    </row>
    <row r="5826" ht="15.75" customHeight="1">
      <c r="A5826" s="35"/>
      <c r="C5826" s="442"/>
      <c r="P5826" s="235"/>
      <c r="AI5826" s="38"/>
    </row>
    <row r="5827" ht="15.75" customHeight="1">
      <c r="A5827" s="35"/>
      <c r="C5827" s="442"/>
      <c r="P5827" s="235"/>
      <c r="AI5827" s="38"/>
    </row>
    <row r="5828" ht="15.75" customHeight="1">
      <c r="A5828" s="35"/>
      <c r="C5828" s="442"/>
      <c r="P5828" s="235"/>
      <c r="AI5828" s="38"/>
    </row>
    <row r="5829" ht="15.75" customHeight="1">
      <c r="A5829" s="35"/>
      <c r="C5829" s="442"/>
      <c r="P5829" s="235"/>
      <c r="AI5829" s="38"/>
    </row>
    <row r="5830" ht="15.75" customHeight="1">
      <c r="A5830" s="35"/>
      <c r="C5830" s="442"/>
      <c r="P5830" s="235"/>
      <c r="AI5830" s="38"/>
    </row>
    <row r="5831" ht="15.75" customHeight="1">
      <c r="A5831" s="35"/>
      <c r="C5831" s="442"/>
      <c r="P5831" s="235"/>
      <c r="AI5831" s="38"/>
    </row>
    <row r="5832" ht="15.75" customHeight="1">
      <c r="A5832" s="35"/>
      <c r="C5832" s="442"/>
      <c r="P5832" s="235"/>
      <c r="AI5832" s="38"/>
    </row>
    <row r="5833" ht="15.75" customHeight="1">
      <c r="A5833" s="35"/>
      <c r="C5833" s="442"/>
      <c r="P5833" s="235"/>
      <c r="AI5833" s="38"/>
    </row>
    <row r="5834" ht="15.75" customHeight="1">
      <c r="A5834" s="35"/>
      <c r="C5834" s="442"/>
      <c r="P5834" s="235"/>
      <c r="AI5834" s="38"/>
    </row>
    <row r="5835" ht="15.75" customHeight="1">
      <c r="A5835" s="35"/>
      <c r="C5835" s="442"/>
      <c r="P5835" s="235"/>
      <c r="AI5835" s="38"/>
    </row>
    <row r="5836" ht="15.75" customHeight="1">
      <c r="A5836" s="35"/>
      <c r="C5836" s="442"/>
      <c r="P5836" s="235"/>
      <c r="AI5836" s="38"/>
    </row>
    <row r="5837" ht="15.75" customHeight="1">
      <c r="A5837" s="35"/>
      <c r="C5837" s="442"/>
      <c r="P5837" s="235"/>
      <c r="AI5837" s="38"/>
    </row>
    <row r="5838" ht="15.75" customHeight="1">
      <c r="A5838" s="35"/>
      <c r="C5838" s="442"/>
      <c r="P5838" s="235"/>
      <c r="AI5838" s="38"/>
    </row>
    <row r="5839" ht="15.75" customHeight="1">
      <c r="A5839" s="35"/>
      <c r="C5839" s="442"/>
      <c r="P5839" s="235"/>
      <c r="AI5839" s="38"/>
    </row>
    <row r="5840" ht="15.75" customHeight="1">
      <c r="A5840" s="35"/>
      <c r="C5840" s="442"/>
      <c r="P5840" s="235"/>
      <c r="AI5840" s="38"/>
    </row>
    <row r="5841" ht="15.75" customHeight="1">
      <c r="A5841" s="35"/>
      <c r="C5841" s="442"/>
      <c r="P5841" s="235"/>
      <c r="AI5841" s="38"/>
    </row>
    <row r="5842" ht="15.75" customHeight="1">
      <c r="A5842" s="35"/>
      <c r="C5842" s="442"/>
      <c r="P5842" s="235"/>
      <c r="AI5842" s="38"/>
    </row>
    <row r="5843" ht="15.75" customHeight="1">
      <c r="A5843" s="35"/>
      <c r="C5843" s="442"/>
      <c r="P5843" s="235"/>
      <c r="AI5843" s="38"/>
    </row>
    <row r="5844" ht="15.75" customHeight="1">
      <c r="A5844" s="35"/>
      <c r="C5844" s="442"/>
      <c r="P5844" s="235"/>
      <c r="AI5844" s="38"/>
    </row>
    <row r="5845" ht="15.75" customHeight="1">
      <c r="A5845" s="35"/>
      <c r="C5845" s="442"/>
      <c r="P5845" s="235"/>
      <c r="AI5845" s="38"/>
    </row>
    <row r="5846" ht="15.75" customHeight="1">
      <c r="A5846" s="35"/>
      <c r="C5846" s="442"/>
      <c r="P5846" s="235"/>
      <c r="AI5846" s="38"/>
    </row>
    <row r="5847" ht="15.75" customHeight="1">
      <c r="A5847" s="35"/>
      <c r="C5847" s="442"/>
      <c r="P5847" s="235"/>
      <c r="AI5847" s="38"/>
    </row>
    <row r="5848" ht="15.75" customHeight="1">
      <c r="A5848" s="35"/>
      <c r="C5848" s="442"/>
      <c r="P5848" s="235"/>
      <c r="AI5848" s="38"/>
    </row>
    <row r="5849" ht="15.75" customHeight="1">
      <c r="A5849" s="35"/>
      <c r="C5849" s="442"/>
      <c r="P5849" s="235"/>
      <c r="AI5849" s="38"/>
    </row>
    <row r="5850" ht="15.75" customHeight="1">
      <c r="A5850" s="35"/>
      <c r="C5850" s="442"/>
      <c r="P5850" s="235"/>
      <c r="AI5850" s="38"/>
    </row>
    <row r="5851" ht="15.75" customHeight="1">
      <c r="A5851" s="35"/>
      <c r="C5851" s="442"/>
      <c r="P5851" s="235"/>
      <c r="AI5851" s="38"/>
    </row>
    <row r="5852" ht="15.75" customHeight="1">
      <c r="A5852" s="35"/>
      <c r="C5852" s="442"/>
      <c r="P5852" s="235"/>
      <c r="AI5852" s="38"/>
    </row>
    <row r="5853" ht="15.75" customHeight="1">
      <c r="A5853" s="35"/>
      <c r="C5853" s="442"/>
      <c r="P5853" s="235"/>
      <c r="AI5853" s="38"/>
    </row>
    <row r="5854" ht="15.75" customHeight="1">
      <c r="A5854" s="35"/>
      <c r="C5854" s="442"/>
      <c r="P5854" s="235"/>
      <c r="AI5854" s="38"/>
    </row>
    <row r="5855" ht="15.75" customHeight="1">
      <c r="A5855" s="35"/>
      <c r="C5855" s="442"/>
      <c r="P5855" s="235"/>
      <c r="AI5855" s="38"/>
    </row>
    <row r="5856" ht="15.75" customHeight="1">
      <c r="A5856" s="35"/>
      <c r="C5856" s="442"/>
      <c r="P5856" s="235"/>
      <c r="AI5856" s="38"/>
    </row>
    <row r="5857" ht="15.75" customHeight="1">
      <c r="A5857" s="35"/>
      <c r="C5857" s="442"/>
      <c r="P5857" s="235"/>
      <c r="AI5857" s="38"/>
    </row>
    <row r="5858" ht="15.75" customHeight="1">
      <c r="A5858" s="35"/>
      <c r="C5858" s="442"/>
      <c r="P5858" s="235"/>
      <c r="AI5858" s="38"/>
    </row>
    <row r="5859" ht="15.75" customHeight="1">
      <c r="A5859" s="35"/>
      <c r="C5859" s="442"/>
      <c r="P5859" s="235"/>
      <c r="AI5859" s="38"/>
    </row>
    <row r="5860" ht="15.75" customHeight="1">
      <c r="A5860" s="35"/>
      <c r="C5860" s="442"/>
      <c r="P5860" s="235"/>
      <c r="AI5860" s="38"/>
    </row>
    <row r="5861" ht="15.75" customHeight="1">
      <c r="A5861" s="35"/>
      <c r="C5861" s="442"/>
      <c r="P5861" s="235"/>
      <c r="AI5861" s="38"/>
    </row>
    <row r="5862" ht="15.75" customHeight="1">
      <c r="A5862" s="35"/>
      <c r="C5862" s="442"/>
      <c r="P5862" s="235"/>
      <c r="AI5862" s="38"/>
    </row>
    <row r="5863" ht="15.75" customHeight="1">
      <c r="A5863" s="35"/>
      <c r="C5863" s="442"/>
      <c r="P5863" s="235"/>
      <c r="AI5863" s="38"/>
    </row>
    <row r="5864" ht="15.75" customHeight="1">
      <c r="A5864" s="35"/>
      <c r="C5864" s="442"/>
      <c r="P5864" s="235"/>
      <c r="AI5864" s="38"/>
    </row>
    <row r="5865" ht="15.75" customHeight="1">
      <c r="A5865" s="35"/>
      <c r="C5865" s="442"/>
      <c r="P5865" s="235"/>
      <c r="AI5865" s="38"/>
    </row>
    <row r="5866" ht="15.75" customHeight="1">
      <c r="A5866" s="35"/>
      <c r="C5866" s="442"/>
      <c r="P5866" s="235"/>
      <c r="AI5866" s="38"/>
    </row>
    <row r="5867" ht="15.75" customHeight="1">
      <c r="A5867" s="35"/>
      <c r="C5867" s="442"/>
      <c r="P5867" s="235"/>
      <c r="AI5867" s="38"/>
    </row>
    <row r="5868" ht="15.75" customHeight="1">
      <c r="A5868" s="35"/>
      <c r="C5868" s="442"/>
      <c r="P5868" s="235"/>
      <c r="AI5868" s="38"/>
    </row>
    <row r="5869" ht="15.75" customHeight="1">
      <c r="A5869" s="35"/>
      <c r="C5869" s="442"/>
      <c r="P5869" s="235"/>
      <c r="AI5869" s="38"/>
    </row>
    <row r="5870" ht="15.75" customHeight="1">
      <c r="A5870" s="35"/>
      <c r="C5870" s="442"/>
      <c r="P5870" s="235"/>
      <c r="AI5870" s="38"/>
    </row>
    <row r="5871" ht="15.75" customHeight="1">
      <c r="A5871" s="35"/>
      <c r="C5871" s="442"/>
      <c r="P5871" s="235"/>
      <c r="AI5871" s="38"/>
    </row>
    <row r="5872" ht="15.75" customHeight="1">
      <c r="A5872" s="35"/>
      <c r="C5872" s="442"/>
      <c r="P5872" s="235"/>
      <c r="AI5872" s="38"/>
    </row>
    <row r="5873" ht="15.75" customHeight="1">
      <c r="A5873" s="35"/>
      <c r="C5873" s="442"/>
      <c r="P5873" s="235"/>
      <c r="AI5873" s="38"/>
    </row>
    <row r="5874" ht="15.75" customHeight="1">
      <c r="A5874" s="35"/>
      <c r="C5874" s="442"/>
      <c r="P5874" s="235"/>
      <c r="AI5874" s="38"/>
    </row>
    <row r="5875" ht="15.75" customHeight="1">
      <c r="A5875" s="35"/>
      <c r="C5875" s="442"/>
      <c r="P5875" s="235"/>
      <c r="AI5875" s="38"/>
    </row>
    <row r="5876" ht="15.75" customHeight="1">
      <c r="A5876" s="35"/>
      <c r="C5876" s="442"/>
      <c r="P5876" s="235"/>
      <c r="AI5876" s="38"/>
    </row>
    <row r="5877" ht="15.75" customHeight="1">
      <c r="A5877" s="35"/>
      <c r="C5877" s="442"/>
      <c r="P5877" s="235"/>
      <c r="AI5877" s="38"/>
    </row>
    <row r="5878" ht="15.75" customHeight="1">
      <c r="A5878" s="35"/>
      <c r="C5878" s="442"/>
      <c r="P5878" s="235"/>
      <c r="AI5878" s="38"/>
    </row>
    <row r="5879" ht="15.75" customHeight="1">
      <c r="A5879" s="35"/>
      <c r="C5879" s="442"/>
      <c r="P5879" s="235"/>
      <c r="AI5879" s="38"/>
    </row>
    <row r="5880" ht="15.75" customHeight="1">
      <c r="A5880" s="35"/>
      <c r="C5880" s="442"/>
      <c r="P5880" s="235"/>
      <c r="AI5880" s="38"/>
    </row>
    <row r="5881" ht="15.75" customHeight="1">
      <c r="A5881" s="35"/>
      <c r="C5881" s="442"/>
      <c r="P5881" s="235"/>
      <c r="AI5881" s="38"/>
    </row>
    <row r="5882" ht="15.75" customHeight="1">
      <c r="A5882" s="35"/>
      <c r="C5882" s="442"/>
      <c r="P5882" s="235"/>
      <c r="AI5882" s="38"/>
    </row>
    <row r="5883" ht="15.75" customHeight="1">
      <c r="A5883" s="35"/>
      <c r="C5883" s="442"/>
      <c r="P5883" s="235"/>
      <c r="AI5883" s="38"/>
    </row>
    <row r="5884" ht="15.75" customHeight="1">
      <c r="A5884" s="35"/>
      <c r="C5884" s="442"/>
      <c r="P5884" s="235"/>
      <c r="AI5884" s="38"/>
    </row>
    <row r="5885" ht="15.75" customHeight="1">
      <c r="A5885" s="35"/>
      <c r="C5885" s="442"/>
      <c r="P5885" s="235"/>
      <c r="AI5885" s="38"/>
    </row>
    <row r="5886" ht="15.75" customHeight="1">
      <c r="A5886" s="35"/>
      <c r="C5886" s="442"/>
      <c r="P5886" s="235"/>
      <c r="AI5886" s="38"/>
    </row>
    <row r="5887" ht="15.75" customHeight="1">
      <c r="A5887" s="35"/>
      <c r="C5887" s="442"/>
      <c r="P5887" s="235"/>
      <c r="AI5887" s="38"/>
    </row>
    <row r="5888" ht="15.75" customHeight="1">
      <c r="A5888" s="35"/>
      <c r="C5888" s="442"/>
      <c r="P5888" s="235"/>
      <c r="AI5888" s="38"/>
    </row>
    <row r="5889" ht="15.75" customHeight="1">
      <c r="A5889" s="35"/>
      <c r="C5889" s="442"/>
      <c r="P5889" s="235"/>
      <c r="AI5889" s="38"/>
    </row>
    <row r="5890" ht="15.75" customHeight="1">
      <c r="A5890" s="35"/>
      <c r="C5890" s="442"/>
      <c r="P5890" s="235"/>
      <c r="AI5890" s="38"/>
    </row>
    <row r="5891" ht="15.75" customHeight="1">
      <c r="A5891" s="35"/>
      <c r="C5891" s="442"/>
      <c r="P5891" s="235"/>
      <c r="AI5891" s="38"/>
    </row>
    <row r="5892" ht="15.75" customHeight="1">
      <c r="A5892" s="35"/>
      <c r="C5892" s="442"/>
      <c r="P5892" s="235"/>
      <c r="AI5892" s="38"/>
    </row>
    <row r="5893" ht="15.75" customHeight="1">
      <c r="A5893" s="35"/>
      <c r="C5893" s="442"/>
      <c r="P5893" s="235"/>
      <c r="AI5893" s="38"/>
    </row>
    <row r="5894" ht="15.75" customHeight="1">
      <c r="A5894" s="35"/>
      <c r="C5894" s="442"/>
      <c r="P5894" s="235"/>
      <c r="AI5894" s="38"/>
    </row>
    <row r="5895" ht="15.75" customHeight="1">
      <c r="A5895" s="35"/>
      <c r="C5895" s="442"/>
      <c r="P5895" s="235"/>
      <c r="AI5895" s="38"/>
    </row>
    <row r="5896" ht="15.75" customHeight="1">
      <c r="A5896" s="35"/>
      <c r="C5896" s="442"/>
      <c r="P5896" s="235"/>
      <c r="AI5896" s="38"/>
    </row>
    <row r="5897" ht="15.75" customHeight="1">
      <c r="A5897" s="35"/>
      <c r="C5897" s="442"/>
      <c r="P5897" s="235"/>
      <c r="AI5897" s="38"/>
    </row>
    <row r="5898" ht="15.75" customHeight="1">
      <c r="A5898" s="35"/>
      <c r="C5898" s="442"/>
      <c r="P5898" s="235"/>
      <c r="AI5898" s="38"/>
    </row>
    <row r="5899" ht="15.75" customHeight="1">
      <c r="A5899" s="35"/>
      <c r="C5899" s="442"/>
      <c r="P5899" s="235"/>
      <c r="AI5899" s="38"/>
    </row>
    <row r="5900" ht="15.75" customHeight="1">
      <c r="A5900" s="35"/>
      <c r="C5900" s="442"/>
      <c r="P5900" s="235"/>
      <c r="AI5900" s="38"/>
    </row>
    <row r="5901" ht="15.75" customHeight="1">
      <c r="A5901" s="35"/>
      <c r="C5901" s="442"/>
      <c r="P5901" s="235"/>
      <c r="AI5901" s="38"/>
    </row>
    <row r="5902" ht="15.75" customHeight="1">
      <c r="A5902" s="35"/>
      <c r="C5902" s="442"/>
      <c r="P5902" s="235"/>
      <c r="AI5902" s="38"/>
    </row>
    <row r="5903" ht="15.75" customHeight="1">
      <c r="A5903" s="35"/>
      <c r="C5903" s="442"/>
      <c r="P5903" s="235"/>
      <c r="AI5903" s="38"/>
    </row>
    <row r="5904" ht="15.75" customHeight="1">
      <c r="A5904" s="35"/>
      <c r="C5904" s="442"/>
      <c r="P5904" s="235"/>
      <c r="AI5904" s="38"/>
    </row>
    <row r="5905" ht="15.75" customHeight="1">
      <c r="A5905" s="35"/>
      <c r="C5905" s="442"/>
      <c r="P5905" s="235"/>
      <c r="AI5905" s="38"/>
    </row>
    <row r="5906" ht="15.75" customHeight="1">
      <c r="A5906" s="35"/>
      <c r="C5906" s="442"/>
      <c r="P5906" s="235"/>
      <c r="AI5906" s="38"/>
    </row>
    <row r="5907" ht="15.75" customHeight="1">
      <c r="A5907" s="35"/>
      <c r="C5907" s="442"/>
      <c r="P5907" s="235"/>
      <c r="AI5907" s="38"/>
    </row>
    <row r="5908" ht="15.75" customHeight="1">
      <c r="A5908" s="35"/>
      <c r="C5908" s="442"/>
      <c r="P5908" s="235"/>
      <c r="AI5908" s="38"/>
    </row>
    <row r="5909" ht="15.75" customHeight="1">
      <c r="A5909" s="35"/>
      <c r="C5909" s="442"/>
      <c r="P5909" s="235"/>
      <c r="AI5909" s="38"/>
    </row>
    <row r="5910" ht="15.75" customHeight="1">
      <c r="A5910" s="35"/>
      <c r="C5910" s="442"/>
      <c r="P5910" s="235"/>
      <c r="AI5910" s="38"/>
    </row>
    <row r="5911" ht="15.75" customHeight="1">
      <c r="A5911" s="35"/>
      <c r="C5911" s="442"/>
      <c r="P5911" s="235"/>
      <c r="AI5911" s="38"/>
    </row>
    <row r="5912" ht="15.75" customHeight="1">
      <c r="A5912" s="35"/>
      <c r="C5912" s="442"/>
      <c r="P5912" s="235"/>
      <c r="AI5912" s="38"/>
    </row>
    <row r="5913" ht="15.75" customHeight="1">
      <c r="A5913" s="35"/>
      <c r="C5913" s="442"/>
      <c r="P5913" s="235"/>
      <c r="AI5913" s="38"/>
    </row>
    <row r="5914" ht="15.75" customHeight="1">
      <c r="A5914" s="35"/>
      <c r="C5914" s="442"/>
      <c r="P5914" s="235"/>
      <c r="AI5914" s="38"/>
    </row>
    <row r="5915" ht="15.75" customHeight="1">
      <c r="A5915" s="35"/>
      <c r="C5915" s="442"/>
      <c r="P5915" s="235"/>
      <c r="AI5915" s="38"/>
    </row>
    <row r="5916" ht="15.75" customHeight="1">
      <c r="A5916" s="35"/>
      <c r="C5916" s="442"/>
      <c r="P5916" s="235"/>
      <c r="AI5916" s="38"/>
    </row>
    <row r="5917" ht="15.75" customHeight="1">
      <c r="A5917" s="35"/>
      <c r="C5917" s="442"/>
      <c r="P5917" s="235"/>
      <c r="AI5917" s="38"/>
    </row>
    <row r="5918" ht="15.75" customHeight="1">
      <c r="A5918" s="35"/>
      <c r="C5918" s="442"/>
      <c r="P5918" s="235"/>
      <c r="AI5918" s="38"/>
    </row>
    <row r="5919" ht="15.75" customHeight="1">
      <c r="A5919" s="35"/>
      <c r="C5919" s="442"/>
      <c r="P5919" s="235"/>
      <c r="AI5919" s="38"/>
    </row>
    <row r="5920" ht="15.75" customHeight="1">
      <c r="A5920" s="35"/>
      <c r="C5920" s="442"/>
      <c r="P5920" s="235"/>
      <c r="AI5920" s="38"/>
    </row>
    <row r="5921" ht="15.75" customHeight="1">
      <c r="A5921" s="35"/>
      <c r="C5921" s="442"/>
      <c r="P5921" s="235"/>
      <c r="AI5921" s="38"/>
    </row>
    <row r="5922" ht="15.75" customHeight="1">
      <c r="A5922" s="35"/>
      <c r="C5922" s="442"/>
      <c r="P5922" s="235"/>
      <c r="AI5922" s="38"/>
    </row>
    <row r="5923" ht="15.75" customHeight="1">
      <c r="A5923" s="35"/>
      <c r="C5923" s="442"/>
      <c r="P5923" s="235"/>
      <c r="AI5923" s="38"/>
    </row>
    <row r="5924" ht="15.75" customHeight="1">
      <c r="A5924" s="35"/>
      <c r="C5924" s="442"/>
      <c r="P5924" s="235"/>
      <c r="AI5924" s="38"/>
    </row>
    <row r="5925" ht="15.75" customHeight="1">
      <c r="A5925" s="35"/>
      <c r="C5925" s="442"/>
      <c r="P5925" s="235"/>
      <c r="AI5925" s="38"/>
    </row>
    <row r="5926" ht="15.75" customHeight="1">
      <c r="A5926" s="35"/>
      <c r="C5926" s="442"/>
      <c r="P5926" s="235"/>
      <c r="AI5926" s="38"/>
    </row>
    <row r="5927" ht="15.75" customHeight="1">
      <c r="A5927" s="35"/>
      <c r="C5927" s="442"/>
      <c r="P5927" s="235"/>
      <c r="AI5927" s="38"/>
    </row>
    <row r="5928" ht="15.75" customHeight="1">
      <c r="A5928" s="35"/>
      <c r="C5928" s="442"/>
      <c r="P5928" s="235"/>
      <c r="AI5928" s="38"/>
    </row>
    <row r="5929" ht="15.75" customHeight="1">
      <c r="A5929" s="35"/>
      <c r="C5929" s="442"/>
      <c r="P5929" s="235"/>
      <c r="AI5929" s="38"/>
    </row>
    <row r="5930" ht="15.75" customHeight="1">
      <c r="A5930" s="35"/>
      <c r="C5930" s="442"/>
      <c r="P5930" s="235"/>
      <c r="AI5930" s="38"/>
    </row>
    <row r="5931" ht="15.75" customHeight="1">
      <c r="A5931" s="35"/>
      <c r="C5931" s="442"/>
      <c r="P5931" s="235"/>
      <c r="AI5931" s="38"/>
    </row>
    <row r="5932" ht="15.75" customHeight="1">
      <c r="A5932" s="35"/>
      <c r="C5932" s="442"/>
      <c r="P5932" s="235"/>
      <c r="AI5932" s="38"/>
    </row>
    <row r="5933" ht="15.75" customHeight="1">
      <c r="A5933" s="35"/>
      <c r="C5933" s="442"/>
      <c r="P5933" s="235"/>
      <c r="AI5933" s="38"/>
    </row>
    <row r="5934" ht="15.75" customHeight="1">
      <c r="A5934" s="35"/>
      <c r="C5934" s="442"/>
      <c r="P5934" s="235"/>
      <c r="AI5934" s="38"/>
    </row>
    <row r="5935" ht="15.75" customHeight="1">
      <c r="A5935" s="35"/>
      <c r="C5935" s="442"/>
      <c r="P5935" s="235"/>
      <c r="AI5935" s="38"/>
    </row>
    <row r="5936" ht="15.75" customHeight="1">
      <c r="A5936" s="35"/>
      <c r="C5936" s="442"/>
      <c r="P5936" s="235"/>
      <c r="AI5936" s="38"/>
    </row>
    <row r="5937" ht="15.75" customHeight="1">
      <c r="A5937" s="35"/>
      <c r="C5937" s="442"/>
      <c r="P5937" s="235"/>
      <c r="AI5937" s="38"/>
    </row>
    <row r="5938" ht="15.75" customHeight="1">
      <c r="A5938" s="35"/>
      <c r="C5938" s="442"/>
      <c r="P5938" s="235"/>
      <c r="AI5938" s="38"/>
    </row>
    <row r="5939" ht="15.75" customHeight="1">
      <c r="A5939" s="35"/>
      <c r="C5939" s="442"/>
      <c r="P5939" s="235"/>
      <c r="AI5939" s="38"/>
    </row>
    <row r="5940" ht="15.75" customHeight="1">
      <c r="A5940" s="35"/>
      <c r="C5940" s="442"/>
      <c r="P5940" s="235"/>
      <c r="AI5940" s="38"/>
    </row>
    <row r="5941" ht="15.75" customHeight="1">
      <c r="A5941" s="35"/>
      <c r="C5941" s="442"/>
      <c r="P5941" s="235"/>
      <c r="AI5941" s="38"/>
    </row>
    <row r="5942" ht="15.75" customHeight="1">
      <c r="A5942" s="35"/>
      <c r="C5942" s="442"/>
      <c r="P5942" s="235"/>
      <c r="AI5942" s="38"/>
    </row>
    <row r="5943" ht="15.75" customHeight="1">
      <c r="A5943" s="35"/>
      <c r="C5943" s="442"/>
      <c r="P5943" s="235"/>
      <c r="AI5943" s="38"/>
    </row>
    <row r="5944" ht="15.75" customHeight="1">
      <c r="A5944" s="35"/>
      <c r="C5944" s="442"/>
      <c r="P5944" s="235"/>
      <c r="AI5944" s="38"/>
    </row>
    <row r="5945" ht="15.75" customHeight="1">
      <c r="A5945" s="35"/>
      <c r="C5945" s="442"/>
      <c r="P5945" s="235"/>
      <c r="AI5945" s="38"/>
    </row>
    <row r="5946" ht="15.75" customHeight="1">
      <c r="A5946" s="35"/>
      <c r="C5946" s="442"/>
      <c r="P5946" s="235"/>
      <c r="AI5946" s="38"/>
    </row>
    <row r="5947" ht="15.75" customHeight="1">
      <c r="A5947" s="35"/>
      <c r="C5947" s="442"/>
      <c r="P5947" s="235"/>
      <c r="AI5947" s="38"/>
    </row>
    <row r="5948" ht="15.75" customHeight="1">
      <c r="A5948" s="35"/>
      <c r="C5948" s="442"/>
      <c r="P5948" s="235"/>
      <c r="AI5948" s="38"/>
    </row>
    <row r="5949" ht="15.75" customHeight="1">
      <c r="A5949" s="35"/>
      <c r="C5949" s="442"/>
      <c r="P5949" s="235"/>
      <c r="AI5949" s="38"/>
    </row>
    <row r="5950" ht="15.75" customHeight="1">
      <c r="A5950" s="35"/>
      <c r="C5950" s="442"/>
      <c r="P5950" s="235"/>
      <c r="AI5950" s="38"/>
    </row>
    <row r="5951" ht="15.75" customHeight="1">
      <c r="A5951" s="35"/>
      <c r="C5951" s="442"/>
      <c r="P5951" s="235"/>
      <c r="AI5951" s="38"/>
    </row>
    <row r="5952" ht="15.75" customHeight="1">
      <c r="A5952" s="35"/>
      <c r="C5952" s="442"/>
      <c r="P5952" s="235"/>
      <c r="AI5952" s="38"/>
    </row>
    <row r="5953" ht="15.75" customHeight="1">
      <c r="A5953" s="35"/>
      <c r="C5953" s="442"/>
      <c r="P5953" s="235"/>
      <c r="AI5953" s="38"/>
    </row>
    <row r="5954" ht="15.75" customHeight="1">
      <c r="A5954" s="35"/>
      <c r="C5954" s="442"/>
      <c r="P5954" s="235"/>
      <c r="AI5954" s="38"/>
    </row>
    <row r="5955" ht="15.75" customHeight="1">
      <c r="A5955" s="35"/>
      <c r="C5955" s="442"/>
      <c r="P5955" s="235"/>
      <c r="AI5955" s="38"/>
    </row>
    <row r="5956" ht="15.75" customHeight="1">
      <c r="A5956" s="35"/>
      <c r="C5956" s="442"/>
      <c r="P5956" s="235"/>
      <c r="AI5956" s="38"/>
    </row>
    <row r="5957" ht="15.75" customHeight="1">
      <c r="A5957" s="35"/>
      <c r="C5957" s="442"/>
      <c r="P5957" s="235"/>
      <c r="AI5957" s="38"/>
    </row>
    <row r="5958" ht="15.75" customHeight="1">
      <c r="A5958" s="35"/>
      <c r="C5958" s="442"/>
      <c r="P5958" s="235"/>
      <c r="AI5958" s="38"/>
    </row>
    <row r="5959" ht="15.75" customHeight="1">
      <c r="A5959" s="35"/>
      <c r="C5959" s="442"/>
      <c r="P5959" s="235"/>
      <c r="AI5959" s="38"/>
    </row>
    <row r="5960" ht="15.75" customHeight="1">
      <c r="A5960" s="35"/>
      <c r="C5960" s="442"/>
      <c r="P5960" s="235"/>
      <c r="AI5960" s="38"/>
    </row>
    <row r="5961" ht="15.75" customHeight="1">
      <c r="A5961" s="35"/>
      <c r="C5961" s="442"/>
      <c r="P5961" s="235"/>
      <c r="AI5961" s="38"/>
    </row>
    <row r="5962" ht="15.75" customHeight="1">
      <c r="A5962" s="35"/>
      <c r="C5962" s="442"/>
      <c r="P5962" s="235"/>
      <c r="AI5962" s="38"/>
    </row>
    <row r="5963" ht="15.75" customHeight="1">
      <c r="A5963" s="35"/>
      <c r="C5963" s="442"/>
      <c r="P5963" s="235"/>
      <c r="AI5963" s="38"/>
    </row>
    <row r="5964" ht="15.75" customHeight="1">
      <c r="A5964" s="35"/>
      <c r="C5964" s="442"/>
      <c r="P5964" s="235"/>
      <c r="AI5964" s="38"/>
    </row>
    <row r="5965" ht="15.75" customHeight="1">
      <c r="A5965" s="35"/>
      <c r="C5965" s="442"/>
      <c r="P5965" s="235"/>
      <c r="AI5965" s="38"/>
    </row>
    <row r="5966" ht="15.75" customHeight="1">
      <c r="A5966" s="35"/>
      <c r="C5966" s="442"/>
      <c r="P5966" s="235"/>
      <c r="AI5966" s="38"/>
    </row>
    <row r="5967" ht="15.75" customHeight="1">
      <c r="A5967" s="35"/>
      <c r="C5967" s="442"/>
      <c r="P5967" s="235"/>
      <c r="AI5967" s="38"/>
    </row>
    <row r="5968" ht="15.75" customHeight="1">
      <c r="A5968" s="35"/>
      <c r="C5968" s="442"/>
      <c r="P5968" s="235"/>
      <c r="AI5968" s="38"/>
    </row>
    <row r="5969" ht="15.75" customHeight="1">
      <c r="A5969" s="35"/>
      <c r="C5969" s="442"/>
      <c r="P5969" s="235"/>
      <c r="AI5969" s="38"/>
    </row>
    <row r="5970" ht="15.75" customHeight="1">
      <c r="A5970" s="35"/>
      <c r="C5970" s="442"/>
      <c r="P5970" s="235"/>
      <c r="AI5970" s="38"/>
    </row>
    <row r="5971" ht="15.75" customHeight="1">
      <c r="A5971" s="35"/>
      <c r="C5971" s="442"/>
      <c r="P5971" s="235"/>
      <c r="AI5971" s="38"/>
    </row>
    <row r="5972" ht="15.75" customHeight="1">
      <c r="A5972" s="35"/>
      <c r="C5972" s="442"/>
      <c r="P5972" s="235"/>
      <c r="AI5972" s="38"/>
    </row>
    <row r="5973" ht="15.75" customHeight="1">
      <c r="A5973" s="35"/>
      <c r="C5973" s="442"/>
      <c r="P5973" s="235"/>
      <c r="AI5973" s="38"/>
    </row>
    <row r="5974" ht="15.75" customHeight="1">
      <c r="A5974" s="35"/>
      <c r="C5974" s="442"/>
      <c r="P5974" s="235"/>
      <c r="AI5974" s="38"/>
    </row>
    <row r="5975" ht="15.75" customHeight="1">
      <c r="A5975" s="35"/>
      <c r="C5975" s="442"/>
      <c r="P5975" s="235"/>
      <c r="AI5975" s="38"/>
    </row>
    <row r="5976" ht="15.75" customHeight="1">
      <c r="A5976" s="35"/>
      <c r="C5976" s="442"/>
      <c r="P5976" s="235"/>
      <c r="AI5976" s="38"/>
    </row>
    <row r="5977" ht="15.75" customHeight="1">
      <c r="A5977" s="35"/>
      <c r="C5977" s="442"/>
      <c r="P5977" s="235"/>
      <c r="AI5977" s="38"/>
    </row>
    <row r="5978" ht="15.75" customHeight="1">
      <c r="A5978" s="35"/>
      <c r="C5978" s="442"/>
      <c r="P5978" s="235"/>
      <c r="AI5978" s="38"/>
    </row>
    <row r="5979" ht="15.75" customHeight="1">
      <c r="A5979" s="35"/>
      <c r="C5979" s="442"/>
      <c r="P5979" s="235"/>
      <c r="AI5979" s="38"/>
    </row>
    <row r="5980" ht="15.75" customHeight="1">
      <c r="A5980" s="35"/>
      <c r="C5980" s="442"/>
      <c r="P5980" s="235"/>
      <c r="AI5980" s="38"/>
    </row>
    <row r="5981" ht="15.75" customHeight="1">
      <c r="A5981" s="35"/>
      <c r="C5981" s="442"/>
      <c r="P5981" s="235"/>
      <c r="AI5981" s="38"/>
    </row>
    <row r="5982" ht="15.75" customHeight="1">
      <c r="A5982" s="35"/>
      <c r="C5982" s="442"/>
      <c r="P5982" s="235"/>
      <c r="AI5982" s="38"/>
    </row>
    <row r="5983" ht="15.75" customHeight="1">
      <c r="A5983" s="35"/>
      <c r="C5983" s="442"/>
      <c r="P5983" s="235"/>
      <c r="AI5983" s="38"/>
    </row>
    <row r="5984" ht="15.75" customHeight="1">
      <c r="A5984" s="35"/>
      <c r="C5984" s="442"/>
      <c r="P5984" s="235"/>
      <c r="AI5984" s="38"/>
    </row>
    <row r="5985" ht="15.75" customHeight="1">
      <c r="A5985" s="35"/>
      <c r="C5985" s="442"/>
      <c r="P5985" s="235"/>
      <c r="AI5985" s="38"/>
    </row>
    <row r="5986" ht="15.75" customHeight="1">
      <c r="A5986" s="35"/>
      <c r="C5986" s="442"/>
      <c r="P5986" s="235"/>
      <c r="AI5986" s="38"/>
    </row>
    <row r="5987" ht="15.75" customHeight="1">
      <c r="A5987" s="35"/>
      <c r="C5987" s="442"/>
      <c r="P5987" s="235"/>
      <c r="AI5987" s="38"/>
    </row>
    <row r="5988" ht="15.75" customHeight="1">
      <c r="A5988" s="35"/>
      <c r="C5988" s="442"/>
      <c r="P5988" s="235"/>
      <c r="AI5988" s="38"/>
    </row>
    <row r="5989" ht="15.75" customHeight="1">
      <c r="A5989" s="35"/>
      <c r="C5989" s="442"/>
      <c r="P5989" s="235"/>
      <c r="AI5989" s="38"/>
    </row>
    <row r="5990" ht="15.75" customHeight="1">
      <c r="A5990" s="35"/>
      <c r="C5990" s="442"/>
      <c r="P5990" s="235"/>
      <c r="AI5990" s="38"/>
    </row>
    <row r="5991" ht="15.75" customHeight="1">
      <c r="A5991" s="35"/>
      <c r="C5991" s="442"/>
      <c r="P5991" s="235"/>
      <c r="AI5991" s="38"/>
    </row>
    <row r="5992" ht="15.75" customHeight="1">
      <c r="A5992" s="35"/>
      <c r="C5992" s="442"/>
      <c r="P5992" s="235"/>
      <c r="AI5992" s="38"/>
    </row>
    <row r="5993" ht="15.75" customHeight="1">
      <c r="A5993" s="35"/>
      <c r="C5993" s="442"/>
      <c r="P5993" s="235"/>
      <c r="AI5993" s="38"/>
    </row>
    <row r="5994" ht="15.75" customHeight="1">
      <c r="A5994" s="35"/>
      <c r="C5994" s="442"/>
      <c r="P5994" s="235"/>
      <c r="AI5994" s="38"/>
    </row>
    <row r="5995" ht="15.75" customHeight="1">
      <c r="A5995" s="35"/>
      <c r="C5995" s="442"/>
      <c r="P5995" s="235"/>
      <c r="AI5995" s="38"/>
    </row>
    <row r="5996" ht="15.75" customHeight="1">
      <c r="A5996" s="35"/>
      <c r="C5996" s="442"/>
      <c r="P5996" s="235"/>
      <c r="AI5996" s="38"/>
    </row>
    <row r="5997" ht="15.75" customHeight="1">
      <c r="A5997" s="35"/>
      <c r="C5997" s="442"/>
      <c r="P5997" s="235"/>
      <c r="AI5997" s="38"/>
    </row>
    <row r="5998" ht="15.75" customHeight="1">
      <c r="A5998" s="35"/>
      <c r="C5998" s="442"/>
      <c r="P5998" s="235"/>
      <c r="AI5998" s="38"/>
    </row>
    <row r="5999" ht="15.75" customHeight="1">
      <c r="A5999" s="35"/>
      <c r="C5999" s="442"/>
      <c r="P5999" s="235"/>
      <c r="AI5999" s="38"/>
    </row>
    <row r="6000" ht="15.75" customHeight="1">
      <c r="A6000" s="35"/>
      <c r="C6000" s="442"/>
      <c r="P6000" s="235"/>
      <c r="AI6000" s="38"/>
    </row>
    <row r="6001" ht="15.75" customHeight="1">
      <c r="A6001" s="35"/>
      <c r="C6001" s="442"/>
      <c r="P6001" s="235"/>
      <c r="AI6001" s="38"/>
    </row>
    <row r="6002" ht="15.75" customHeight="1">
      <c r="A6002" s="35"/>
      <c r="C6002" s="442"/>
      <c r="P6002" s="235"/>
      <c r="AI6002" s="38"/>
    </row>
    <row r="6003" ht="15.75" customHeight="1">
      <c r="A6003" s="35"/>
      <c r="C6003" s="442"/>
      <c r="P6003" s="235"/>
      <c r="AI6003" s="38"/>
    </row>
    <row r="6004" ht="15.75" customHeight="1">
      <c r="A6004" s="35"/>
      <c r="C6004" s="442"/>
      <c r="P6004" s="235"/>
      <c r="AI6004" s="38"/>
    </row>
    <row r="6005" ht="15.75" customHeight="1">
      <c r="A6005" s="35"/>
      <c r="C6005" s="442"/>
      <c r="P6005" s="235"/>
      <c r="AI6005" s="38"/>
    </row>
    <row r="6006" ht="15.75" customHeight="1">
      <c r="A6006" s="35"/>
      <c r="C6006" s="442"/>
      <c r="P6006" s="235"/>
      <c r="AI6006" s="38"/>
    </row>
    <row r="6007" ht="15.75" customHeight="1">
      <c r="A6007" s="35"/>
      <c r="C6007" s="442"/>
      <c r="P6007" s="235"/>
      <c r="AI6007" s="38"/>
    </row>
    <row r="6008" ht="15.75" customHeight="1">
      <c r="A6008" s="35"/>
      <c r="C6008" s="442"/>
      <c r="P6008" s="235"/>
      <c r="AI6008" s="38"/>
    </row>
    <row r="6009" ht="15.75" customHeight="1">
      <c r="A6009" s="35"/>
      <c r="C6009" s="442"/>
      <c r="P6009" s="235"/>
      <c r="AI6009" s="38"/>
    </row>
    <row r="6010" ht="15.75" customHeight="1">
      <c r="A6010" s="35"/>
      <c r="C6010" s="442"/>
      <c r="P6010" s="235"/>
      <c r="AI6010" s="38"/>
    </row>
    <row r="6011" ht="15.75" customHeight="1">
      <c r="A6011" s="35"/>
      <c r="C6011" s="442"/>
      <c r="P6011" s="235"/>
      <c r="AI6011" s="38"/>
    </row>
    <row r="6012" ht="15.75" customHeight="1">
      <c r="A6012" s="35"/>
      <c r="C6012" s="442"/>
      <c r="P6012" s="235"/>
      <c r="AI6012" s="38"/>
    </row>
    <row r="6013" ht="15.75" customHeight="1">
      <c r="A6013" s="35"/>
      <c r="C6013" s="442"/>
      <c r="P6013" s="235"/>
      <c r="AI6013" s="38"/>
    </row>
    <row r="6014" ht="15.75" customHeight="1">
      <c r="A6014" s="35"/>
      <c r="C6014" s="442"/>
      <c r="P6014" s="235"/>
      <c r="AI6014" s="38"/>
    </row>
    <row r="6015" ht="15.75" customHeight="1">
      <c r="A6015" s="35"/>
      <c r="C6015" s="442"/>
      <c r="P6015" s="235"/>
      <c r="AI6015" s="38"/>
    </row>
    <row r="6016" ht="15.75" customHeight="1">
      <c r="A6016" s="35"/>
      <c r="C6016" s="442"/>
      <c r="P6016" s="235"/>
      <c r="AI6016" s="38"/>
    </row>
    <row r="6017" ht="15.75" customHeight="1">
      <c r="A6017" s="35"/>
      <c r="C6017" s="442"/>
      <c r="P6017" s="235"/>
      <c r="AI6017" s="38"/>
    </row>
    <row r="6018" ht="15.75" customHeight="1">
      <c r="A6018" s="35"/>
      <c r="C6018" s="442"/>
      <c r="P6018" s="235"/>
      <c r="AI6018" s="38"/>
    </row>
    <row r="6019" ht="15.75" customHeight="1">
      <c r="A6019" s="35"/>
      <c r="C6019" s="442"/>
      <c r="P6019" s="235"/>
      <c r="AI6019" s="38"/>
    </row>
    <row r="6020" ht="15.75" customHeight="1">
      <c r="A6020" s="35"/>
      <c r="C6020" s="442"/>
      <c r="P6020" s="235"/>
      <c r="AI6020" s="38"/>
    </row>
    <row r="6021" ht="15.75" customHeight="1">
      <c r="A6021" s="35"/>
      <c r="C6021" s="442"/>
      <c r="P6021" s="235"/>
      <c r="AI6021" s="38"/>
    </row>
    <row r="6022" ht="15.75" customHeight="1">
      <c r="A6022" s="35"/>
      <c r="C6022" s="442"/>
      <c r="P6022" s="235"/>
      <c r="AI6022" s="38"/>
    </row>
    <row r="6023" ht="15.75" customHeight="1">
      <c r="A6023" s="35"/>
      <c r="C6023" s="442"/>
      <c r="P6023" s="235"/>
      <c r="AI6023" s="38"/>
    </row>
    <row r="6024" ht="15.75" customHeight="1">
      <c r="A6024" s="35"/>
      <c r="C6024" s="442"/>
      <c r="P6024" s="235"/>
      <c r="AI6024" s="38"/>
    </row>
    <row r="6025" ht="15.75" customHeight="1">
      <c r="A6025" s="35"/>
      <c r="C6025" s="442"/>
      <c r="P6025" s="235"/>
      <c r="AI6025" s="38"/>
    </row>
    <row r="6026" ht="15.75" customHeight="1">
      <c r="A6026" s="35"/>
      <c r="C6026" s="442"/>
      <c r="P6026" s="235"/>
      <c r="AI6026" s="38"/>
    </row>
    <row r="6027" ht="15.75" customHeight="1">
      <c r="A6027" s="35"/>
      <c r="C6027" s="442"/>
      <c r="P6027" s="235"/>
      <c r="AI6027" s="38"/>
    </row>
    <row r="6028" ht="15.75" customHeight="1">
      <c r="A6028" s="35"/>
      <c r="C6028" s="442"/>
      <c r="P6028" s="235"/>
      <c r="AI6028" s="38"/>
    </row>
    <row r="6029" ht="15.75" customHeight="1">
      <c r="A6029" s="35"/>
      <c r="C6029" s="442"/>
      <c r="P6029" s="235"/>
      <c r="AI6029" s="38"/>
    </row>
    <row r="6030" ht="15.75" customHeight="1">
      <c r="A6030" s="35"/>
      <c r="C6030" s="442"/>
      <c r="P6030" s="235"/>
      <c r="AI6030" s="38"/>
    </row>
    <row r="6031" ht="15.75" customHeight="1">
      <c r="A6031" s="35"/>
      <c r="C6031" s="442"/>
      <c r="P6031" s="235"/>
      <c r="AI6031" s="38"/>
    </row>
    <row r="6032" ht="15.75" customHeight="1">
      <c r="A6032" s="35"/>
      <c r="C6032" s="442"/>
      <c r="P6032" s="235"/>
      <c r="AI6032" s="38"/>
    </row>
    <row r="6033" ht="15.75" customHeight="1">
      <c r="A6033" s="35"/>
      <c r="C6033" s="442"/>
      <c r="P6033" s="235"/>
      <c r="AI6033" s="38"/>
    </row>
    <row r="6034" ht="15.75" customHeight="1">
      <c r="A6034" s="35"/>
      <c r="C6034" s="442"/>
      <c r="P6034" s="235"/>
      <c r="AI6034" s="38"/>
    </row>
    <row r="6035" ht="15.75" customHeight="1">
      <c r="A6035" s="35"/>
      <c r="C6035" s="442"/>
      <c r="P6035" s="235"/>
      <c r="AI6035" s="38"/>
    </row>
    <row r="6036" ht="15.75" customHeight="1">
      <c r="A6036" s="35"/>
      <c r="C6036" s="442"/>
      <c r="P6036" s="235"/>
      <c r="AI6036" s="38"/>
    </row>
    <row r="6037" ht="15.75" customHeight="1">
      <c r="A6037" s="35"/>
      <c r="C6037" s="442"/>
      <c r="P6037" s="235"/>
      <c r="AI6037" s="38"/>
    </row>
    <row r="6038" ht="15.75" customHeight="1">
      <c r="A6038" s="35"/>
      <c r="C6038" s="442"/>
      <c r="P6038" s="235"/>
      <c r="AI6038" s="38"/>
    </row>
    <row r="6039" ht="15.75" customHeight="1">
      <c r="A6039" s="35"/>
      <c r="C6039" s="442"/>
      <c r="P6039" s="235"/>
      <c r="AI6039" s="38"/>
    </row>
    <row r="6040" ht="15.75" customHeight="1">
      <c r="A6040" s="35"/>
      <c r="C6040" s="442"/>
      <c r="P6040" s="235"/>
      <c r="AI6040" s="38"/>
    </row>
    <row r="6041" ht="15.75" customHeight="1">
      <c r="A6041" s="35"/>
      <c r="C6041" s="442"/>
      <c r="P6041" s="235"/>
      <c r="AI6041" s="38"/>
    </row>
    <row r="6042" ht="15.75" customHeight="1">
      <c r="A6042" s="35"/>
      <c r="C6042" s="442"/>
      <c r="P6042" s="235"/>
      <c r="AI6042" s="38"/>
    </row>
    <row r="6043" ht="15.75" customHeight="1">
      <c r="A6043" s="35"/>
      <c r="C6043" s="442"/>
      <c r="P6043" s="235"/>
      <c r="AI6043" s="38"/>
    </row>
    <row r="6044" ht="15.75" customHeight="1">
      <c r="A6044" s="35"/>
      <c r="C6044" s="442"/>
      <c r="P6044" s="235"/>
      <c r="AI6044" s="38"/>
    </row>
    <row r="6045" ht="15.75" customHeight="1">
      <c r="A6045" s="35"/>
      <c r="C6045" s="442"/>
      <c r="P6045" s="235"/>
      <c r="AI6045" s="38"/>
    </row>
    <row r="6046" ht="15.75" customHeight="1">
      <c r="A6046" s="35"/>
      <c r="C6046" s="442"/>
      <c r="P6046" s="235"/>
      <c r="AI6046" s="38"/>
    </row>
    <row r="6047" ht="15.75" customHeight="1">
      <c r="A6047" s="35"/>
      <c r="C6047" s="442"/>
      <c r="P6047" s="235"/>
      <c r="AI6047" s="38"/>
    </row>
    <row r="6048" ht="15.75" customHeight="1">
      <c r="A6048" s="35"/>
      <c r="C6048" s="442"/>
      <c r="P6048" s="235"/>
      <c r="AI6048" s="38"/>
    </row>
    <row r="6049" ht="15.75" customHeight="1">
      <c r="A6049" s="35"/>
      <c r="C6049" s="442"/>
      <c r="P6049" s="235"/>
      <c r="AI6049" s="38"/>
    </row>
    <row r="6050" ht="15.75" customHeight="1">
      <c r="A6050" s="35"/>
      <c r="C6050" s="442"/>
      <c r="P6050" s="235"/>
      <c r="AI6050" s="38"/>
    </row>
    <row r="6051" ht="15.75" customHeight="1">
      <c r="A6051" s="35"/>
      <c r="C6051" s="442"/>
      <c r="P6051" s="235"/>
      <c r="AI6051" s="38"/>
    </row>
    <row r="6052" ht="15.75" customHeight="1">
      <c r="A6052" s="35"/>
      <c r="C6052" s="442"/>
      <c r="P6052" s="235"/>
      <c r="AI6052" s="38"/>
    </row>
    <row r="6053" ht="15.75" customHeight="1">
      <c r="A6053" s="35"/>
      <c r="C6053" s="442"/>
      <c r="P6053" s="235"/>
      <c r="AI6053" s="38"/>
    </row>
    <row r="6054" ht="15.75" customHeight="1">
      <c r="A6054" s="35"/>
      <c r="C6054" s="442"/>
      <c r="P6054" s="235"/>
      <c r="AI6054" s="38"/>
    </row>
    <row r="6055" ht="15.75" customHeight="1">
      <c r="A6055" s="35"/>
      <c r="C6055" s="442"/>
      <c r="P6055" s="235"/>
      <c r="AI6055" s="38"/>
    </row>
    <row r="6056" ht="15.75" customHeight="1">
      <c r="A6056" s="35"/>
      <c r="C6056" s="442"/>
      <c r="P6056" s="235"/>
      <c r="AI6056" s="38"/>
    </row>
    <row r="6057" ht="15.75" customHeight="1">
      <c r="A6057" s="35"/>
      <c r="C6057" s="442"/>
      <c r="P6057" s="235"/>
      <c r="AI6057" s="38"/>
    </row>
    <row r="6058" ht="15.75" customHeight="1">
      <c r="A6058" s="35"/>
      <c r="C6058" s="442"/>
      <c r="P6058" s="235"/>
      <c r="AI6058" s="38"/>
    </row>
    <row r="6059" ht="15.75" customHeight="1">
      <c r="A6059" s="35"/>
      <c r="C6059" s="442"/>
      <c r="P6059" s="235"/>
      <c r="AI6059" s="38"/>
    </row>
    <row r="6060" ht="15.75" customHeight="1">
      <c r="A6060" s="35"/>
      <c r="C6060" s="442"/>
      <c r="P6060" s="235"/>
      <c r="AI6060" s="38"/>
    </row>
    <row r="6061" ht="15.75" customHeight="1">
      <c r="A6061" s="35"/>
      <c r="C6061" s="442"/>
      <c r="P6061" s="235"/>
      <c r="AI6061" s="38"/>
    </row>
    <row r="6062" ht="15.75" customHeight="1">
      <c r="A6062" s="35"/>
      <c r="C6062" s="442"/>
      <c r="P6062" s="235"/>
      <c r="AI6062" s="38"/>
    </row>
    <row r="6063" ht="15.75" customHeight="1">
      <c r="A6063" s="35"/>
      <c r="C6063" s="442"/>
      <c r="P6063" s="235"/>
      <c r="AI6063" s="38"/>
    </row>
    <row r="6064" ht="15.75" customHeight="1">
      <c r="A6064" s="35"/>
      <c r="C6064" s="442"/>
      <c r="P6064" s="235"/>
      <c r="AI6064" s="38"/>
    </row>
    <row r="6065" ht="15.75" customHeight="1">
      <c r="A6065" s="35"/>
      <c r="C6065" s="442"/>
      <c r="P6065" s="235"/>
      <c r="AI6065" s="38"/>
    </row>
    <row r="6066" ht="15.75" customHeight="1">
      <c r="A6066" s="35"/>
      <c r="C6066" s="442"/>
      <c r="P6066" s="235"/>
      <c r="AI6066" s="38"/>
    </row>
    <row r="6067" ht="15.75" customHeight="1">
      <c r="A6067" s="35"/>
      <c r="C6067" s="442"/>
      <c r="P6067" s="235"/>
      <c r="AI6067" s="38"/>
    </row>
    <row r="6068" ht="15.75" customHeight="1">
      <c r="A6068" s="35"/>
      <c r="C6068" s="442"/>
      <c r="P6068" s="235"/>
      <c r="AI6068" s="38"/>
    </row>
    <row r="6069" ht="15.75" customHeight="1">
      <c r="A6069" s="35"/>
      <c r="C6069" s="442"/>
      <c r="P6069" s="235"/>
      <c r="AI6069" s="38"/>
    </row>
    <row r="6070" ht="15.75" customHeight="1">
      <c r="A6070" s="35"/>
      <c r="C6070" s="442"/>
      <c r="P6070" s="235"/>
      <c r="AI6070" s="38"/>
    </row>
    <row r="6071" ht="15.75" customHeight="1">
      <c r="A6071" s="35"/>
      <c r="C6071" s="442"/>
      <c r="P6071" s="235"/>
      <c r="AI6071" s="38"/>
    </row>
    <row r="6072" ht="15.75" customHeight="1">
      <c r="A6072" s="35"/>
      <c r="C6072" s="442"/>
      <c r="P6072" s="235"/>
      <c r="AI6072" s="38"/>
    </row>
    <row r="6073" ht="15.75" customHeight="1">
      <c r="A6073" s="35"/>
      <c r="C6073" s="442"/>
      <c r="P6073" s="235"/>
      <c r="AI6073" s="38"/>
    </row>
    <row r="6074" ht="15.75" customHeight="1">
      <c r="A6074" s="35"/>
      <c r="C6074" s="442"/>
      <c r="P6074" s="235"/>
      <c r="AI6074" s="38"/>
    </row>
    <row r="6075" ht="15.75" customHeight="1">
      <c r="A6075" s="35"/>
      <c r="C6075" s="442"/>
      <c r="P6075" s="235"/>
      <c r="AI6075" s="38"/>
    </row>
    <row r="6076" ht="15.75" customHeight="1">
      <c r="A6076" s="35"/>
      <c r="C6076" s="442"/>
      <c r="P6076" s="235"/>
      <c r="AI6076" s="38"/>
    </row>
    <row r="6077" ht="15.75" customHeight="1">
      <c r="A6077" s="35"/>
      <c r="C6077" s="442"/>
      <c r="P6077" s="235"/>
      <c r="AI6077" s="38"/>
    </row>
    <row r="6078" ht="15.75" customHeight="1">
      <c r="A6078" s="35"/>
      <c r="C6078" s="442"/>
      <c r="P6078" s="235"/>
      <c r="AI6078" s="38"/>
    </row>
    <row r="6079" ht="15.75" customHeight="1">
      <c r="A6079" s="35"/>
      <c r="C6079" s="442"/>
      <c r="P6079" s="235"/>
      <c r="AI6079" s="38"/>
    </row>
    <row r="6080" ht="15.75" customHeight="1">
      <c r="A6080" s="35"/>
      <c r="C6080" s="442"/>
      <c r="P6080" s="235"/>
      <c r="AI6080" s="38"/>
    </row>
    <row r="6081" ht="15.75" customHeight="1">
      <c r="A6081" s="35"/>
      <c r="C6081" s="442"/>
      <c r="P6081" s="235"/>
      <c r="AI6081" s="38"/>
    </row>
    <row r="6082" ht="15.75" customHeight="1">
      <c r="A6082" s="35"/>
      <c r="C6082" s="442"/>
      <c r="P6082" s="235"/>
      <c r="AI6082" s="38"/>
    </row>
    <row r="6083" ht="15.75" customHeight="1">
      <c r="A6083" s="35"/>
      <c r="C6083" s="442"/>
      <c r="P6083" s="235"/>
      <c r="AI6083" s="38"/>
    </row>
    <row r="6084" ht="15.75" customHeight="1">
      <c r="A6084" s="35"/>
      <c r="C6084" s="442"/>
      <c r="P6084" s="235"/>
      <c r="AI6084" s="38"/>
    </row>
    <row r="6085" ht="15.75" customHeight="1">
      <c r="A6085" s="35"/>
      <c r="C6085" s="442"/>
      <c r="P6085" s="235"/>
      <c r="AI6085" s="38"/>
    </row>
    <row r="6086" ht="15.75" customHeight="1">
      <c r="A6086" s="35"/>
      <c r="C6086" s="442"/>
      <c r="P6086" s="235"/>
      <c r="AI6086" s="38"/>
    </row>
    <row r="6087" ht="15.75" customHeight="1">
      <c r="A6087" s="35"/>
      <c r="C6087" s="442"/>
      <c r="P6087" s="235"/>
      <c r="AI6087" s="38"/>
    </row>
    <row r="6088" ht="15.75" customHeight="1">
      <c r="A6088" s="35"/>
      <c r="C6088" s="442"/>
      <c r="P6088" s="235"/>
      <c r="AI6088" s="38"/>
    </row>
    <row r="6089" ht="15.75" customHeight="1">
      <c r="A6089" s="35"/>
      <c r="C6089" s="442"/>
      <c r="P6089" s="235"/>
      <c r="AI6089" s="38"/>
    </row>
    <row r="6090" ht="15.75" customHeight="1">
      <c r="A6090" s="35"/>
      <c r="C6090" s="442"/>
      <c r="P6090" s="235"/>
      <c r="AI6090" s="38"/>
    </row>
    <row r="6091" ht="15.75" customHeight="1">
      <c r="A6091" s="35"/>
      <c r="C6091" s="442"/>
      <c r="P6091" s="235"/>
      <c r="AI6091" s="38"/>
    </row>
    <row r="6092" ht="15.75" customHeight="1">
      <c r="A6092" s="35"/>
      <c r="C6092" s="442"/>
      <c r="P6092" s="235"/>
      <c r="AI6092" s="38"/>
    </row>
    <row r="6093" ht="15.75" customHeight="1">
      <c r="A6093" s="35"/>
      <c r="C6093" s="442"/>
      <c r="P6093" s="235"/>
      <c r="AI6093" s="38"/>
    </row>
    <row r="6094" ht="15.75" customHeight="1">
      <c r="A6094" s="35"/>
      <c r="C6094" s="442"/>
      <c r="P6094" s="235"/>
      <c r="AI6094" s="38"/>
    </row>
    <row r="6095" ht="15.75" customHeight="1">
      <c r="A6095" s="35"/>
      <c r="C6095" s="442"/>
      <c r="P6095" s="235"/>
      <c r="AI6095" s="38"/>
    </row>
    <row r="6096" ht="15.75" customHeight="1">
      <c r="A6096" s="35"/>
      <c r="C6096" s="442"/>
      <c r="P6096" s="235"/>
      <c r="AI6096" s="38"/>
    </row>
    <row r="6097" ht="15.75" customHeight="1">
      <c r="A6097" s="35"/>
      <c r="C6097" s="442"/>
      <c r="P6097" s="235"/>
      <c r="AI6097" s="38"/>
    </row>
    <row r="6098" ht="15.75" customHeight="1">
      <c r="A6098" s="35"/>
      <c r="C6098" s="442"/>
      <c r="P6098" s="235"/>
      <c r="AI6098" s="38"/>
    </row>
    <row r="6099" ht="15.75" customHeight="1">
      <c r="A6099" s="35"/>
      <c r="C6099" s="442"/>
      <c r="P6099" s="235"/>
      <c r="AI6099" s="38"/>
    </row>
    <row r="6100" ht="15.75" customHeight="1">
      <c r="A6100" s="35"/>
      <c r="C6100" s="442"/>
      <c r="P6100" s="235"/>
      <c r="AI6100" s="38"/>
    </row>
    <row r="6101" ht="15.75" customHeight="1">
      <c r="A6101" s="35"/>
      <c r="C6101" s="442"/>
      <c r="P6101" s="235"/>
      <c r="AI6101" s="38"/>
    </row>
    <row r="6102" ht="15.75" customHeight="1">
      <c r="A6102" s="35"/>
      <c r="C6102" s="442"/>
      <c r="P6102" s="235"/>
      <c r="AI6102" s="38"/>
    </row>
    <row r="6103" ht="15.75" customHeight="1">
      <c r="A6103" s="35"/>
      <c r="C6103" s="442"/>
      <c r="P6103" s="235"/>
      <c r="AI6103" s="38"/>
    </row>
    <row r="6104" ht="15.75" customHeight="1">
      <c r="A6104" s="35"/>
      <c r="C6104" s="442"/>
      <c r="P6104" s="235"/>
      <c r="AI6104" s="38"/>
    </row>
    <row r="6105" ht="15.75" customHeight="1">
      <c r="A6105" s="35"/>
      <c r="C6105" s="442"/>
      <c r="P6105" s="235"/>
      <c r="AI6105" s="38"/>
    </row>
    <row r="6106" ht="15.75" customHeight="1">
      <c r="A6106" s="35"/>
      <c r="C6106" s="442"/>
      <c r="P6106" s="235"/>
      <c r="AI6106" s="38"/>
    </row>
    <row r="6107" ht="15.75" customHeight="1">
      <c r="A6107" s="35"/>
      <c r="C6107" s="442"/>
      <c r="P6107" s="235"/>
      <c r="AI6107" s="38"/>
    </row>
    <row r="6108" ht="15.75" customHeight="1">
      <c r="A6108" s="35"/>
      <c r="C6108" s="442"/>
      <c r="P6108" s="235"/>
      <c r="AI6108" s="38"/>
    </row>
    <row r="6109" ht="15.75" customHeight="1">
      <c r="A6109" s="35"/>
      <c r="C6109" s="442"/>
      <c r="P6109" s="235"/>
      <c r="AI6109" s="38"/>
    </row>
    <row r="6110" ht="15.75" customHeight="1">
      <c r="A6110" s="35"/>
      <c r="C6110" s="442"/>
      <c r="P6110" s="235"/>
      <c r="AI6110" s="38"/>
    </row>
    <row r="6111" ht="15.75" customHeight="1">
      <c r="A6111" s="35"/>
      <c r="C6111" s="442"/>
      <c r="P6111" s="235"/>
      <c r="AI6111" s="38"/>
    </row>
    <row r="6112" ht="15.75" customHeight="1">
      <c r="A6112" s="35"/>
      <c r="C6112" s="442"/>
      <c r="P6112" s="235"/>
      <c r="AI6112" s="38"/>
    </row>
    <row r="6113" ht="15.75" customHeight="1">
      <c r="A6113" s="35"/>
      <c r="C6113" s="442"/>
      <c r="P6113" s="235"/>
      <c r="AI6113" s="38"/>
    </row>
    <row r="6114" ht="15.75" customHeight="1">
      <c r="A6114" s="35"/>
      <c r="C6114" s="442"/>
      <c r="P6114" s="235"/>
      <c r="AI6114" s="38"/>
    </row>
    <row r="6115" ht="15.75" customHeight="1">
      <c r="A6115" s="35"/>
      <c r="C6115" s="442"/>
      <c r="P6115" s="235"/>
      <c r="AI6115" s="38"/>
    </row>
    <row r="6116" ht="15.75" customHeight="1">
      <c r="A6116" s="35"/>
      <c r="C6116" s="442"/>
      <c r="P6116" s="235"/>
      <c r="AI6116" s="38"/>
    </row>
    <row r="6117" ht="15.75" customHeight="1">
      <c r="A6117" s="35"/>
      <c r="C6117" s="442"/>
      <c r="P6117" s="235"/>
      <c r="AI6117" s="38"/>
    </row>
    <row r="6118" ht="15.75" customHeight="1">
      <c r="A6118" s="35"/>
      <c r="C6118" s="442"/>
      <c r="P6118" s="235"/>
      <c r="AI6118" s="38"/>
    </row>
    <row r="6119" ht="15.75" customHeight="1">
      <c r="A6119" s="35"/>
      <c r="C6119" s="442"/>
      <c r="P6119" s="235"/>
      <c r="AI6119" s="38"/>
    </row>
    <row r="6120" ht="15.75" customHeight="1">
      <c r="A6120" s="35"/>
      <c r="C6120" s="442"/>
      <c r="P6120" s="235"/>
      <c r="AI6120" s="38"/>
    </row>
    <row r="6121" ht="15.75" customHeight="1">
      <c r="A6121" s="35"/>
      <c r="C6121" s="442"/>
      <c r="P6121" s="235"/>
      <c r="AI6121" s="38"/>
    </row>
    <row r="6122" ht="15.75" customHeight="1">
      <c r="A6122" s="35"/>
      <c r="C6122" s="442"/>
      <c r="P6122" s="235"/>
      <c r="AI6122" s="38"/>
    </row>
    <row r="6123" ht="15.75" customHeight="1">
      <c r="A6123" s="35"/>
      <c r="C6123" s="442"/>
      <c r="P6123" s="235"/>
      <c r="AI6123" s="38"/>
    </row>
    <row r="6124" ht="15.75" customHeight="1">
      <c r="A6124" s="35"/>
      <c r="C6124" s="442"/>
      <c r="P6124" s="235"/>
      <c r="AI6124" s="38"/>
    </row>
    <row r="6125" ht="15.75" customHeight="1">
      <c r="A6125" s="35"/>
      <c r="C6125" s="442"/>
      <c r="P6125" s="235"/>
      <c r="AI6125" s="38"/>
    </row>
    <row r="6126" ht="15.75" customHeight="1">
      <c r="A6126" s="35"/>
      <c r="C6126" s="442"/>
      <c r="P6126" s="235"/>
      <c r="AI6126" s="38"/>
    </row>
    <row r="6127" ht="15.75" customHeight="1">
      <c r="A6127" s="35"/>
      <c r="C6127" s="442"/>
      <c r="P6127" s="235"/>
      <c r="AI6127" s="38"/>
    </row>
    <row r="6128" ht="15.75" customHeight="1">
      <c r="A6128" s="35"/>
      <c r="C6128" s="442"/>
      <c r="P6128" s="235"/>
      <c r="AI6128" s="38"/>
    </row>
    <row r="6129" ht="15.75" customHeight="1">
      <c r="A6129" s="35"/>
      <c r="C6129" s="442"/>
      <c r="P6129" s="235"/>
      <c r="AI6129" s="38"/>
    </row>
    <row r="6130" ht="15.75" customHeight="1">
      <c r="A6130" s="35"/>
      <c r="C6130" s="442"/>
      <c r="P6130" s="235"/>
      <c r="AI6130" s="38"/>
    </row>
    <row r="6131" ht="15.75" customHeight="1">
      <c r="A6131" s="35"/>
      <c r="C6131" s="442"/>
      <c r="P6131" s="235"/>
      <c r="AI6131" s="38"/>
    </row>
    <row r="6132" ht="15.75" customHeight="1">
      <c r="A6132" s="35"/>
      <c r="C6132" s="442"/>
      <c r="P6132" s="235"/>
      <c r="AI6132" s="38"/>
    </row>
    <row r="6133" ht="15.75" customHeight="1">
      <c r="A6133" s="35"/>
      <c r="C6133" s="442"/>
      <c r="P6133" s="235"/>
      <c r="AI6133" s="38"/>
    </row>
    <row r="6134" ht="15.75" customHeight="1">
      <c r="A6134" s="35"/>
      <c r="C6134" s="442"/>
      <c r="P6134" s="235"/>
      <c r="AI6134" s="38"/>
    </row>
    <row r="6135" ht="15.75" customHeight="1">
      <c r="A6135" s="35"/>
      <c r="C6135" s="442"/>
      <c r="P6135" s="235"/>
      <c r="AI6135" s="38"/>
    </row>
    <row r="6136" ht="15.75" customHeight="1">
      <c r="A6136" s="35"/>
      <c r="C6136" s="442"/>
      <c r="P6136" s="235"/>
      <c r="AI6136" s="38"/>
    </row>
    <row r="6137" ht="15.75" customHeight="1">
      <c r="A6137" s="35"/>
      <c r="C6137" s="442"/>
      <c r="P6137" s="235"/>
      <c r="AI6137" s="38"/>
    </row>
    <row r="6138" ht="15.75" customHeight="1">
      <c r="A6138" s="35"/>
      <c r="C6138" s="442"/>
      <c r="P6138" s="235"/>
      <c r="AI6138" s="38"/>
    </row>
    <row r="6139" ht="15.75" customHeight="1">
      <c r="A6139" s="35"/>
      <c r="C6139" s="442"/>
      <c r="P6139" s="235"/>
      <c r="AI6139" s="38"/>
    </row>
    <row r="6140" ht="15.75" customHeight="1">
      <c r="A6140" s="35"/>
      <c r="C6140" s="442"/>
      <c r="P6140" s="235"/>
      <c r="AI6140" s="38"/>
    </row>
    <row r="6141" ht="15.75" customHeight="1">
      <c r="A6141" s="35"/>
      <c r="C6141" s="442"/>
      <c r="P6141" s="235"/>
      <c r="AI6141" s="38"/>
    </row>
    <row r="6142" ht="15.75" customHeight="1">
      <c r="A6142" s="35"/>
      <c r="C6142" s="442"/>
      <c r="P6142" s="235"/>
      <c r="AI6142" s="38"/>
    </row>
    <row r="6143" ht="15.75" customHeight="1">
      <c r="A6143" s="35"/>
      <c r="C6143" s="442"/>
      <c r="P6143" s="235"/>
      <c r="AI6143" s="38"/>
    </row>
    <row r="6144" ht="15.75" customHeight="1">
      <c r="A6144" s="35"/>
      <c r="C6144" s="442"/>
      <c r="P6144" s="235"/>
      <c r="AI6144" s="38"/>
    </row>
    <row r="6145" ht="15.75" customHeight="1">
      <c r="A6145" s="35"/>
      <c r="C6145" s="442"/>
      <c r="P6145" s="235"/>
      <c r="AI6145" s="38"/>
    </row>
    <row r="6146" ht="15.75" customHeight="1">
      <c r="A6146" s="35"/>
      <c r="C6146" s="442"/>
      <c r="P6146" s="235"/>
      <c r="AI6146" s="38"/>
    </row>
    <row r="6147" ht="15.75" customHeight="1">
      <c r="A6147" s="35"/>
      <c r="C6147" s="442"/>
      <c r="P6147" s="235"/>
      <c r="AI6147" s="38"/>
    </row>
    <row r="6148" ht="15.75" customHeight="1">
      <c r="A6148" s="35"/>
      <c r="C6148" s="442"/>
      <c r="P6148" s="235"/>
      <c r="AI6148" s="38"/>
    </row>
    <row r="6149" ht="15.75" customHeight="1">
      <c r="A6149" s="35"/>
      <c r="C6149" s="442"/>
      <c r="P6149" s="235"/>
      <c r="AI6149" s="38"/>
    </row>
    <row r="6150" ht="15.75" customHeight="1">
      <c r="A6150" s="35"/>
      <c r="C6150" s="442"/>
      <c r="P6150" s="235"/>
      <c r="AI6150" s="38"/>
    </row>
    <row r="6151" ht="15.75" customHeight="1">
      <c r="A6151" s="35"/>
      <c r="C6151" s="442"/>
      <c r="P6151" s="235"/>
      <c r="AI6151" s="38"/>
    </row>
    <row r="6152" ht="15.75" customHeight="1">
      <c r="A6152" s="35"/>
      <c r="C6152" s="442"/>
      <c r="P6152" s="235"/>
      <c r="AI6152" s="38"/>
    </row>
    <row r="6153" ht="15.75" customHeight="1">
      <c r="A6153" s="35"/>
      <c r="C6153" s="442"/>
      <c r="P6153" s="235"/>
      <c r="AI6153" s="38"/>
    </row>
    <row r="6154" ht="15.75" customHeight="1">
      <c r="A6154" s="35"/>
      <c r="C6154" s="442"/>
      <c r="P6154" s="235"/>
      <c r="AI6154" s="38"/>
    </row>
    <row r="6155" ht="15.75" customHeight="1">
      <c r="A6155" s="35"/>
      <c r="C6155" s="442"/>
      <c r="P6155" s="235"/>
      <c r="AI6155" s="38"/>
    </row>
    <row r="6156" ht="15.75" customHeight="1">
      <c r="A6156" s="35"/>
      <c r="C6156" s="442"/>
      <c r="P6156" s="235"/>
      <c r="AI6156" s="38"/>
    </row>
    <row r="6157" ht="15.75" customHeight="1">
      <c r="A6157" s="35"/>
      <c r="C6157" s="442"/>
      <c r="P6157" s="235"/>
      <c r="AI6157" s="38"/>
    </row>
    <row r="6158" ht="15.75" customHeight="1">
      <c r="A6158" s="35"/>
      <c r="C6158" s="442"/>
      <c r="P6158" s="235"/>
      <c r="AI6158" s="38"/>
    </row>
    <row r="6159" ht="15.75" customHeight="1">
      <c r="A6159" s="35"/>
      <c r="C6159" s="442"/>
      <c r="P6159" s="235"/>
      <c r="AI6159" s="38"/>
    </row>
    <row r="6160" ht="15.75" customHeight="1">
      <c r="A6160" s="35"/>
      <c r="C6160" s="442"/>
      <c r="P6160" s="235"/>
      <c r="AI6160" s="38"/>
    </row>
    <row r="6161" ht="15.75" customHeight="1">
      <c r="A6161" s="35"/>
      <c r="C6161" s="442"/>
      <c r="P6161" s="235"/>
      <c r="AI6161" s="38"/>
    </row>
    <row r="6162" ht="15.75" customHeight="1">
      <c r="A6162" s="35"/>
      <c r="C6162" s="442"/>
      <c r="P6162" s="235"/>
      <c r="AI6162" s="38"/>
    </row>
    <row r="6163" ht="15.75" customHeight="1">
      <c r="A6163" s="35"/>
      <c r="C6163" s="442"/>
      <c r="P6163" s="235"/>
      <c r="AI6163" s="38"/>
    </row>
    <row r="6164" ht="15.75" customHeight="1">
      <c r="A6164" s="35"/>
      <c r="C6164" s="442"/>
      <c r="P6164" s="235"/>
      <c r="AI6164" s="38"/>
    </row>
    <row r="6165" ht="15.75" customHeight="1">
      <c r="A6165" s="35"/>
      <c r="C6165" s="442"/>
      <c r="P6165" s="235"/>
      <c r="AI6165" s="38"/>
    </row>
    <row r="6166" ht="15.75" customHeight="1">
      <c r="A6166" s="35"/>
      <c r="C6166" s="442"/>
      <c r="P6166" s="235"/>
      <c r="AI6166" s="38"/>
    </row>
    <row r="6167" ht="15.75" customHeight="1">
      <c r="A6167" s="35"/>
      <c r="C6167" s="442"/>
      <c r="P6167" s="235"/>
      <c r="AI6167" s="38"/>
    </row>
    <row r="6168" ht="15.75" customHeight="1">
      <c r="A6168" s="35"/>
      <c r="C6168" s="442"/>
      <c r="P6168" s="235"/>
      <c r="AI6168" s="38"/>
    </row>
    <row r="6169" ht="15.75" customHeight="1">
      <c r="A6169" s="35"/>
      <c r="C6169" s="442"/>
      <c r="P6169" s="235"/>
      <c r="AI6169" s="38"/>
    </row>
    <row r="6170" ht="15.75" customHeight="1">
      <c r="A6170" s="35"/>
      <c r="C6170" s="442"/>
      <c r="P6170" s="235"/>
      <c r="AI6170" s="38"/>
    </row>
    <row r="6171" ht="15.75" customHeight="1">
      <c r="A6171" s="35"/>
      <c r="C6171" s="442"/>
      <c r="P6171" s="235"/>
      <c r="AI6171" s="38"/>
    </row>
    <row r="6172" ht="15.75" customHeight="1">
      <c r="A6172" s="35"/>
      <c r="C6172" s="442"/>
      <c r="P6172" s="235"/>
      <c r="AI6172" s="38"/>
    </row>
    <row r="6173" ht="15.75" customHeight="1">
      <c r="A6173" s="35"/>
      <c r="C6173" s="442"/>
      <c r="P6173" s="235"/>
      <c r="AI6173" s="38"/>
    </row>
    <row r="6174" ht="15.75" customHeight="1">
      <c r="A6174" s="35"/>
      <c r="C6174" s="442"/>
      <c r="P6174" s="235"/>
      <c r="AI6174" s="38"/>
    </row>
    <row r="6175" ht="15.75" customHeight="1">
      <c r="A6175" s="35"/>
      <c r="C6175" s="442"/>
      <c r="P6175" s="235"/>
      <c r="AI6175" s="38"/>
    </row>
    <row r="6176" ht="15.75" customHeight="1">
      <c r="A6176" s="35"/>
      <c r="C6176" s="442"/>
      <c r="P6176" s="235"/>
      <c r="AI6176" s="38"/>
    </row>
    <row r="6177" ht="15.75" customHeight="1">
      <c r="A6177" s="35"/>
      <c r="C6177" s="442"/>
      <c r="P6177" s="235"/>
      <c r="AI6177" s="38"/>
    </row>
    <row r="6178" ht="15.75" customHeight="1">
      <c r="A6178" s="35"/>
      <c r="C6178" s="442"/>
      <c r="P6178" s="235"/>
      <c r="AI6178" s="38"/>
    </row>
    <row r="6179" ht="15.75" customHeight="1">
      <c r="A6179" s="35"/>
      <c r="C6179" s="442"/>
      <c r="P6179" s="235"/>
      <c r="AI6179" s="38"/>
    </row>
    <row r="6180" ht="15.75" customHeight="1">
      <c r="A6180" s="35"/>
      <c r="C6180" s="442"/>
      <c r="P6180" s="235"/>
      <c r="AI6180" s="38"/>
    </row>
    <row r="6181" ht="15.75" customHeight="1">
      <c r="A6181" s="35"/>
      <c r="C6181" s="442"/>
      <c r="P6181" s="235"/>
      <c r="AI6181" s="38"/>
    </row>
    <row r="6182" ht="15.75" customHeight="1">
      <c r="A6182" s="35"/>
      <c r="C6182" s="442"/>
      <c r="P6182" s="235"/>
      <c r="AI6182" s="38"/>
    </row>
    <row r="6183" ht="15.75" customHeight="1">
      <c r="A6183" s="35"/>
      <c r="C6183" s="442"/>
      <c r="P6183" s="235"/>
      <c r="AI6183" s="38"/>
    </row>
    <row r="6184" ht="15.75" customHeight="1">
      <c r="A6184" s="35"/>
      <c r="C6184" s="442"/>
      <c r="P6184" s="235"/>
      <c r="AI6184" s="38"/>
    </row>
    <row r="6185" ht="15.75" customHeight="1">
      <c r="A6185" s="35"/>
      <c r="C6185" s="442"/>
      <c r="P6185" s="235"/>
      <c r="AI6185" s="38"/>
    </row>
    <row r="6186" ht="15.75" customHeight="1">
      <c r="A6186" s="35"/>
      <c r="C6186" s="442"/>
      <c r="P6186" s="235"/>
      <c r="AI6186" s="38"/>
    </row>
    <row r="6187" ht="15.75" customHeight="1">
      <c r="A6187" s="35"/>
      <c r="C6187" s="442"/>
      <c r="P6187" s="235"/>
      <c r="AI6187" s="38"/>
    </row>
    <row r="6188" ht="15.75" customHeight="1">
      <c r="A6188" s="35"/>
      <c r="C6188" s="442"/>
      <c r="P6188" s="235"/>
      <c r="AI6188" s="38"/>
    </row>
    <row r="6189" ht="15.75" customHeight="1">
      <c r="A6189" s="35"/>
      <c r="C6189" s="442"/>
      <c r="P6189" s="235"/>
      <c r="AI6189" s="38"/>
    </row>
    <row r="6190" ht="15.75" customHeight="1">
      <c r="A6190" s="35"/>
      <c r="C6190" s="442"/>
      <c r="P6190" s="235"/>
      <c r="AI6190" s="38"/>
    </row>
    <row r="6191" ht="15.75" customHeight="1">
      <c r="A6191" s="35"/>
      <c r="C6191" s="442"/>
      <c r="P6191" s="235"/>
      <c r="AI6191" s="38"/>
    </row>
    <row r="6192" ht="15.75" customHeight="1">
      <c r="A6192" s="35"/>
      <c r="C6192" s="442"/>
      <c r="P6192" s="235"/>
      <c r="AI6192" s="38"/>
    </row>
    <row r="6193" ht="15.75" customHeight="1">
      <c r="A6193" s="35"/>
      <c r="C6193" s="442"/>
      <c r="P6193" s="235"/>
      <c r="AI6193" s="38"/>
    </row>
    <row r="6194" ht="15.75" customHeight="1">
      <c r="A6194" s="35"/>
      <c r="C6194" s="442"/>
      <c r="P6194" s="235"/>
      <c r="AI6194" s="38"/>
    </row>
    <row r="6195" ht="15.75" customHeight="1">
      <c r="A6195" s="35"/>
      <c r="C6195" s="442"/>
      <c r="P6195" s="235"/>
      <c r="AI6195" s="38"/>
    </row>
    <row r="6196" ht="15.75" customHeight="1">
      <c r="A6196" s="35"/>
      <c r="C6196" s="442"/>
      <c r="P6196" s="235"/>
      <c r="AI6196" s="38"/>
    </row>
    <row r="6197" ht="15.75" customHeight="1">
      <c r="A6197" s="35"/>
      <c r="C6197" s="442"/>
      <c r="P6197" s="235"/>
      <c r="AI6197" s="38"/>
    </row>
    <row r="6198" ht="15.75" customHeight="1">
      <c r="A6198" s="35"/>
      <c r="C6198" s="442"/>
      <c r="P6198" s="235"/>
      <c r="AI6198" s="38"/>
    </row>
    <row r="6199" ht="15.75" customHeight="1">
      <c r="A6199" s="35"/>
      <c r="C6199" s="442"/>
      <c r="P6199" s="235"/>
      <c r="AI6199" s="38"/>
    </row>
    <row r="6200" ht="15.75" customHeight="1">
      <c r="A6200" s="35"/>
      <c r="C6200" s="442"/>
      <c r="P6200" s="235"/>
      <c r="AI6200" s="38"/>
    </row>
    <row r="6201" ht="15.75" customHeight="1">
      <c r="A6201" s="35"/>
      <c r="C6201" s="442"/>
      <c r="P6201" s="235"/>
      <c r="AI6201" s="38"/>
    </row>
    <row r="6202" ht="15.75" customHeight="1">
      <c r="A6202" s="35"/>
      <c r="C6202" s="442"/>
      <c r="P6202" s="235"/>
      <c r="AI6202" s="38"/>
    </row>
    <row r="6203" ht="15.75" customHeight="1">
      <c r="A6203" s="35"/>
      <c r="C6203" s="442"/>
      <c r="P6203" s="235"/>
      <c r="AI6203" s="38"/>
    </row>
    <row r="6204" ht="15.75" customHeight="1">
      <c r="A6204" s="35"/>
      <c r="C6204" s="442"/>
      <c r="P6204" s="235"/>
      <c r="AI6204" s="38"/>
    </row>
    <row r="6205" ht="15.75" customHeight="1">
      <c r="A6205" s="35"/>
      <c r="C6205" s="442"/>
      <c r="P6205" s="235"/>
      <c r="AI6205" s="38"/>
    </row>
    <row r="6206" ht="15.75" customHeight="1">
      <c r="A6206" s="35"/>
      <c r="C6206" s="442"/>
      <c r="P6206" s="235"/>
      <c r="AI6206" s="38"/>
    </row>
    <row r="6207" ht="15.75" customHeight="1">
      <c r="A6207" s="35"/>
      <c r="C6207" s="442"/>
      <c r="P6207" s="235"/>
      <c r="AI6207" s="38"/>
    </row>
    <row r="6208" ht="15.75" customHeight="1">
      <c r="A6208" s="35"/>
      <c r="C6208" s="442"/>
      <c r="P6208" s="235"/>
      <c r="AI6208" s="38"/>
    </row>
    <row r="6209" ht="15.75" customHeight="1">
      <c r="A6209" s="35"/>
      <c r="C6209" s="442"/>
      <c r="P6209" s="235"/>
      <c r="AI6209" s="38"/>
    </row>
    <row r="6210" ht="15.75" customHeight="1">
      <c r="A6210" s="35"/>
      <c r="C6210" s="442"/>
      <c r="P6210" s="235"/>
      <c r="AI6210" s="38"/>
    </row>
    <row r="6211" ht="15.75" customHeight="1">
      <c r="A6211" s="35"/>
      <c r="C6211" s="442"/>
      <c r="P6211" s="235"/>
      <c r="AI6211" s="38"/>
    </row>
    <row r="6212" ht="15.75" customHeight="1">
      <c r="A6212" s="35"/>
      <c r="C6212" s="442"/>
      <c r="P6212" s="235"/>
      <c r="AI6212" s="38"/>
    </row>
    <row r="6213" ht="15.75" customHeight="1">
      <c r="A6213" s="35"/>
      <c r="C6213" s="442"/>
      <c r="P6213" s="235"/>
      <c r="AI6213" s="38"/>
    </row>
    <row r="6214" ht="15.75" customHeight="1">
      <c r="A6214" s="35"/>
      <c r="C6214" s="442"/>
      <c r="P6214" s="235"/>
      <c r="AI6214" s="38"/>
    </row>
    <row r="6215" ht="15.75" customHeight="1">
      <c r="A6215" s="35"/>
      <c r="C6215" s="442"/>
      <c r="P6215" s="235"/>
      <c r="AI6215" s="38"/>
    </row>
    <row r="6216" ht="15.75" customHeight="1">
      <c r="A6216" s="35"/>
      <c r="C6216" s="442"/>
      <c r="P6216" s="235"/>
      <c r="AI6216" s="38"/>
    </row>
    <row r="6217" ht="15.75" customHeight="1">
      <c r="A6217" s="35"/>
      <c r="C6217" s="442"/>
      <c r="P6217" s="235"/>
      <c r="AI6217" s="38"/>
    </row>
    <row r="6218" ht="15.75" customHeight="1">
      <c r="A6218" s="35"/>
      <c r="C6218" s="442"/>
      <c r="P6218" s="235"/>
      <c r="AI6218" s="38"/>
    </row>
    <row r="6219" ht="15.75" customHeight="1">
      <c r="A6219" s="35"/>
      <c r="C6219" s="442"/>
      <c r="P6219" s="235"/>
      <c r="AI6219" s="38"/>
    </row>
    <row r="6220" ht="15.75" customHeight="1">
      <c r="A6220" s="35"/>
      <c r="C6220" s="442"/>
      <c r="P6220" s="235"/>
      <c r="AI6220" s="38"/>
    </row>
    <row r="6221" ht="15.75" customHeight="1">
      <c r="A6221" s="35"/>
      <c r="C6221" s="442"/>
      <c r="P6221" s="235"/>
      <c r="AI6221" s="38"/>
    </row>
    <row r="6222" ht="15.75" customHeight="1">
      <c r="A6222" s="35"/>
      <c r="C6222" s="442"/>
      <c r="P6222" s="235"/>
      <c r="AI6222" s="38"/>
    </row>
    <row r="6223" ht="15.75" customHeight="1">
      <c r="A6223" s="35"/>
      <c r="C6223" s="442"/>
      <c r="P6223" s="235"/>
      <c r="AI6223" s="38"/>
    </row>
    <row r="6224" ht="15.75" customHeight="1">
      <c r="A6224" s="35"/>
      <c r="C6224" s="442"/>
      <c r="P6224" s="235"/>
      <c r="AI6224" s="38"/>
    </row>
    <row r="6225" ht="15.75" customHeight="1">
      <c r="A6225" s="35"/>
      <c r="C6225" s="442"/>
      <c r="P6225" s="235"/>
      <c r="AI6225" s="38"/>
    </row>
    <row r="6226" ht="15.75" customHeight="1">
      <c r="A6226" s="35"/>
      <c r="C6226" s="442"/>
      <c r="P6226" s="235"/>
      <c r="AI6226" s="38"/>
    </row>
    <row r="6227" ht="15.75" customHeight="1">
      <c r="A6227" s="35"/>
      <c r="C6227" s="442"/>
      <c r="P6227" s="235"/>
      <c r="AI6227" s="38"/>
    </row>
    <row r="6228" ht="15.75" customHeight="1">
      <c r="A6228" s="35"/>
      <c r="C6228" s="442"/>
      <c r="P6228" s="235"/>
      <c r="AI6228" s="38"/>
    </row>
    <row r="6229" ht="15.75" customHeight="1">
      <c r="A6229" s="35"/>
      <c r="C6229" s="442"/>
      <c r="P6229" s="235"/>
      <c r="AI6229" s="38"/>
    </row>
    <row r="6230" ht="15.75" customHeight="1">
      <c r="A6230" s="35"/>
      <c r="C6230" s="442"/>
      <c r="P6230" s="235"/>
      <c r="AI6230" s="38"/>
    </row>
    <row r="6231" ht="15.75" customHeight="1">
      <c r="A6231" s="35"/>
      <c r="C6231" s="442"/>
      <c r="P6231" s="235"/>
      <c r="AI6231" s="38"/>
    </row>
    <row r="6232" ht="15.75" customHeight="1">
      <c r="A6232" s="35"/>
      <c r="C6232" s="442"/>
      <c r="P6232" s="235"/>
      <c r="AI6232" s="38"/>
    </row>
    <row r="6233" ht="15.75" customHeight="1">
      <c r="A6233" s="35"/>
      <c r="C6233" s="442"/>
      <c r="P6233" s="235"/>
      <c r="AI6233" s="38"/>
    </row>
    <row r="6234" ht="15.75" customHeight="1">
      <c r="A6234" s="35"/>
      <c r="C6234" s="442"/>
      <c r="P6234" s="235"/>
      <c r="AI6234" s="38"/>
    </row>
    <row r="6235" ht="15.75" customHeight="1">
      <c r="A6235" s="35"/>
      <c r="C6235" s="442"/>
      <c r="P6235" s="235"/>
      <c r="AI6235" s="38"/>
    </row>
    <row r="6236" ht="15.75" customHeight="1">
      <c r="A6236" s="35"/>
      <c r="C6236" s="442"/>
      <c r="P6236" s="235"/>
      <c r="AI6236" s="38"/>
    </row>
    <row r="6237" ht="15.75" customHeight="1">
      <c r="A6237" s="35"/>
      <c r="C6237" s="442"/>
      <c r="P6237" s="235"/>
      <c r="AI6237" s="38"/>
    </row>
    <row r="6238" ht="15.75" customHeight="1">
      <c r="A6238" s="35"/>
      <c r="C6238" s="442"/>
      <c r="P6238" s="235"/>
      <c r="AI6238" s="38"/>
    </row>
    <row r="6239" ht="15.75" customHeight="1">
      <c r="A6239" s="35"/>
      <c r="C6239" s="442"/>
      <c r="P6239" s="235"/>
      <c r="AI6239" s="38"/>
    </row>
    <row r="6240" ht="15.75" customHeight="1">
      <c r="A6240" s="35"/>
      <c r="C6240" s="442"/>
      <c r="P6240" s="235"/>
      <c r="AI6240" s="38"/>
    </row>
    <row r="6241" ht="15.75" customHeight="1">
      <c r="A6241" s="35"/>
      <c r="C6241" s="442"/>
      <c r="P6241" s="235"/>
      <c r="AI6241" s="38"/>
    </row>
    <row r="6242" ht="15.75" customHeight="1">
      <c r="A6242" s="35"/>
      <c r="C6242" s="442"/>
      <c r="P6242" s="235"/>
      <c r="AI6242" s="38"/>
    </row>
    <row r="6243" ht="15.75" customHeight="1">
      <c r="A6243" s="35"/>
      <c r="C6243" s="442"/>
      <c r="P6243" s="235"/>
      <c r="AI6243" s="38"/>
    </row>
    <row r="6244" ht="15.75" customHeight="1">
      <c r="A6244" s="35"/>
      <c r="C6244" s="442"/>
      <c r="P6244" s="235"/>
      <c r="AI6244" s="38"/>
    </row>
    <row r="6245" ht="15.75" customHeight="1">
      <c r="A6245" s="35"/>
      <c r="C6245" s="442"/>
      <c r="P6245" s="235"/>
      <c r="AI6245" s="38"/>
    </row>
    <row r="6246" ht="15.75" customHeight="1">
      <c r="A6246" s="35"/>
      <c r="C6246" s="442"/>
      <c r="P6246" s="235"/>
      <c r="AI6246" s="38"/>
    </row>
    <row r="6247" ht="15.75" customHeight="1">
      <c r="A6247" s="35"/>
      <c r="C6247" s="442"/>
      <c r="P6247" s="235"/>
      <c r="AI6247" s="38"/>
    </row>
    <row r="6248" ht="15.75" customHeight="1">
      <c r="A6248" s="35"/>
      <c r="C6248" s="442"/>
      <c r="P6248" s="235"/>
      <c r="AI6248" s="38"/>
    </row>
    <row r="6249" ht="15.75" customHeight="1">
      <c r="A6249" s="35"/>
      <c r="C6249" s="442"/>
      <c r="P6249" s="235"/>
      <c r="AI6249" s="38"/>
    </row>
    <row r="6250" ht="15.75" customHeight="1">
      <c r="A6250" s="35"/>
      <c r="C6250" s="442"/>
      <c r="P6250" s="235"/>
      <c r="AI6250" s="38"/>
    </row>
    <row r="6251" ht="15.75" customHeight="1">
      <c r="A6251" s="35"/>
      <c r="C6251" s="442"/>
      <c r="P6251" s="235"/>
      <c r="AI6251" s="38"/>
    </row>
    <row r="6252" ht="15.75" customHeight="1">
      <c r="A6252" s="35"/>
      <c r="C6252" s="442"/>
      <c r="P6252" s="235"/>
      <c r="AI6252" s="38"/>
    </row>
    <row r="6253" ht="15.75" customHeight="1">
      <c r="A6253" s="35"/>
      <c r="C6253" s="442"/>
      <c r="P6253" s="235"/>
      <c r="AI6253" s="38"/>
    </row>
    <row r="6254" ht="15.75" customHeight="1">
      <c r="A6254" s="35"/>
      <c r="C6254" s="442"/>
      <c r="P6254" s="235"/>
      <c r="AI6254" s="38"/>
    </row>
    <row r="6255" ht="15.75" customHeight="1">
      <c r="A6255" s="35"/>
      <c r="C6255" s="442"/>
      <c r="P6255" s="235"/>
      <c r="AI6255" s="38"/>
    </row>
    <row r="6256" ht="15.75" customHeight="1">
      <c r="A6256" s="35"/>
      <c r="C6256" s="442"/>
      <c r="P6256" s="235"/>
      <c r="AI6256" s="38"/>
    </row>
    <row r="6257" ht="15.75" customHeight="1">
      <c r="A6257" s="35"/>
      <c r="C6257" s="442"/>
      <c r="P6257" s="235"/>
      <c r="AI6257" s="38"/>
    </row>
    <row r="6258" ht="15.75" customHeight="1">
      <c r="A6258" s="35"/>
      <c r="C6258" s="442"/>
      <c r="P6258" s="235"/>
      <c r="AI6258" s="38"/>
    </row>
    <row r="6259" ht="15.75" customHeight="1">
      <c r="A6259" s="35"/>
      <c r="C6259" s="442"/>
      <c r="P6259" s="235"/>
      <c r="AI6259" s="38"/>
    </row>
    <row r="6260" ht="15.75" customHeight="1">
      <c r="A6260" s="35"/>
      <c r="C6260" s="442"/>
      <c r="P6260" s="235"/>
      <c r="AI6260" s="38"/>
    </row>
    <row r="6261" ht="15.75" customHeight="1">
      <c r="A6261" s="35"/>
      <c r="C6261" s="442"/>
      <c r="P6261" s="235"/>
      <c r="AI6261" s="38"/>
    </row>
    <row r="6262" ht="15.75" customHeight="1">
      <c r="A6262" s="35"/>
      <c r="C6262" s="442"/>
      <c r="P6262" s="235"/>
      <c r="AI6262" s="38"/>
    </row>
    <row r="6263" ht="15.75" customHeight="1">
      <c r="A6263" s="35"/>
      <c r="C6263" s="442"/>
      <c r="P6263" s="235"/>
      <c r="AI6263" s="38"/>
    </row>
    <row r="6264" ht="15.75" customHeight="1">
      <c r="A6264" s="35"/>
      <c r="C6264" s="442"/>
      <c r="P6264" s="235"/>
      <c r="AI6264" s="38"/>
    </row>
    <row r="6265" ht="15.75" customHeight="1">
      <c r="A6265" s="35"/>
      <c r="C6265" s="442"/>
      <c r="P6265" s="235"/>
      <c r="AI6265" s="38"/>
    </row>
    <row r="6266" ht="15.75" customHeight="1">
      <c r="A6266" s="35"/>
      <c r="C6266" s="442"/>
      <c r="P6266" s="235"/>
      <c r="AI6266" s="38"/>
    </row>
    <row r="6267" ht="15.75" customHeight="1">
      <c r="A6267" s="35"/>
      <c r="C6267" s="442"/>
      <c r="P6267" s="235"/>
      <c r="AI6267" s="38"/>
    </row>
    <row r="6268" ht="15.75" customHeight="1">
      <c r="A6268" s="35"/>
      <c r="C6268" s="442"/>
      <c r="P6268" s="235"/>
      <c r="AI6268" s="38"/>
    </row>
    <row r="6269" ht="15.75" customHeight="1">
      <c r="A6269" s="35"/>
      <c r="C6269" s="442"/>
      <c r="P6269" s="235"/>
      <c r="AI6269" s="38"/>
    </row>
    <row r="6270" ht="15.75" customHeight="1">
      <c r="A6270" s="35"/>
      <c r="C6270" s="442"/>
      <c r="P6270" s="235"/>
      <c r="AI6270" s="38"/>
    </row>
    <row r="6271" ht="15.75" customHeight="1">
      <c r="A6271" s="35"/>
      <c r="C6271" s="442"/>
      <c r="P6271" s="235"/>
      <c r="AI6271" s="38"/>
    </row>
    <row r="6272" ht="15.75" customHeight="1">
      <c r="A6272" s="35"/>
      <c r="C6272" s="442"/>
      <c r="P6272" s="235"/>
      <c r="AI6272" s="38"/>
    </row>
    <row r="6273" ht="15.75" customHeight="1">
      <c r="A6273" s="35"/>
      <c r="C6273" s="442"/>
      <c r="P6273" s="235"/>
      <c r="AI6273" s="38"/>
    </row>
    <row r="6274" ht="15.75" customHeight="1">
      <c r="A6274" s="35"/>
      <c r="C6274" s="442"/>
      <c r="P6274" s="235"/>
      <c r="AI6274" s="38"/>
    </row>
    <row r="6275" ht="15.75" customHeight="1">
      <c r="A6275" s="35"/>
      <c r="C6275" s="442"/>
      <c r="P6275" s="235"/>
      <c r="AI6275" s="38"/>
    </row>
    <row r="6276" ht="15.75" customHeight="1">
      <c r="A6276" s="35"/>
      <c r="C6276" s="442"/>
      <c r="P6276" s="235"/>
      <c r="AI6276" s="38"/>
    </row>
    <row r="6277" ht="15.75" customHeight="1">
      <c r="A6277" s="35"/>
      <c r="C6277" s="442"/>
      <c r="P6277" s="235"/>
      <c r="AI6277" s="38"/>
    </row>
    <row r="6278" ht="15.75" customHeight="1">
      <c r="A6278" s="35"/>
      <c r="C6278" s="442"/>
      <c r="P6278" s="235"/>
      <c r="AI6278" s="38"/>
    </row>
    <row r="6279" ht="15.75" customHeight="1">
      <c r="A6279" s="35"/>
      <c r="C6279" s="442"/>
      <c r="P6279" s="235"/>
      <c r="AI6279" s="38"/>
    </row>
    <row r="6280" ht="15.75" customHeight="1">
      <c r="A6280" s="35"/>
      <c r="C6280" s="442"/>
      <c r="P6280" s="235"/>
      <c r="AI6280" s="38"/>
    </row>
    <row r="6281" ht="15.75" customHeight="1">
      <c r="A6281" s="35"/>
      <c r="C6281" s="442"/>
      <c r="P6281" s="235"/>
      <c r="AI6281" s="38"/>
    </row>
    <row r="6282" ht="15.75" customHeight="1">
      <c r="A6282" s="35"/>
      <c r="C6282" s="442"/>
      <c r="P6282" s="235"/>
      <c r="AI6282" s="38"/>
    </row>
    <row r="6283" ht="15.75" customHeight="1">
      <c r="A6283" s="35"/>
      <c r="C6283" s="442"/>
      <c r="P6283" s="235"/>
      <c r="AI6283" s="38"/>
    </row>
    <row r="6284" ht="15.75" customHeight="1">
      <c r="A6284" s="35"/>
      <c r="C6284" s="442"/>
      <c r="P6284" s="235"/>
      <c r="AI6284" s="38"/>
    </row>
    <row r="6285" ht="15.75" customHeight="1">
      <c r="A6285" s="35"/>
      <c r="C6285" s="442"/>
      <c r="P6285" s="235"/>
      <c r="AI6285" s="38"/>
    </row>
    <row r="6286" ht="15.75" customHeight="1">
      <c r="A6286" s="35"/>
      <c r="C6286" s="442"/>
      <c r="P6286" s="235"/>
      <c r="AI6286" s="38"/>
    </row>
    <row r="6287" ht="15.75" customHeight="1">
      <c r="A6287" s="35"/>
      <c r="C6287" s="442"/>
      <c r="P6287" s="235"/>
      <c r="AI6287" s="38"/>
    </row>
    <row r="6288" ht="15.75" customHeight="1">
      <c r="A6288" s="35"/>
      <c r="C6288" s="442"/>
      <c r="P6288" s="235"/>
      <c r="AI6288" s="38"/>
    </row>
    <row r="6289" ht="15.75" customHeight="1">
      <c r="A6289" s="35"/>
      <c r="C6289" s="442"/>
      <c r="P6289" s="235"/>
      <c r="AI6289" s="38"/>
    </row>
    <row r="6290" ht="15.75" customHeight="1">
      <c r="A6290" s="35"/>
      <c r="C6290" s="442"/>
      <c r="P6290" s="235"/>
      <c r="AI6290" s="38"/>
    </row>
    <row r="6291" ht="15.75" customHeight="1">
      <c r="A6291" s="35"/>
      <c r="C6291" s="442"/>
      <c r="P6291" s="235"/>
      <c r="AI6291" s="38"/>
    </row>
    <row r="6292" ht="15.75" customHeight="1">
      <c r="A6292" s="35"/>
      <c r="C6292" s="442"/>
      <c r="P6292" s="235"/>
      <c r="AI6292" s="38"/>
    </row>
    <row r="6293" ht="15.75" customHeight="1">
      <c r="A6293" s="35"/>
      <c r="C6293" s="442"/>
      <c r="P6293" s="235"/>
      <c r="AI6293" s="38"/>
    </row>
    <row r="6294" ht="15.75" customHeight="1">
      <c r="A6294" s="35"/>
      <c r="C6294" s="442"/>
      <c r="P6294" s="235"/>
      <c r="AI6294" s="38"/>
    </row>
    <row r="6295" ht="15.75" customHeight="1">
      <c r="A6295" s="35"/>
      <c r="C6295" s="442"/>
      <c r="P6295" s="235"/>
      <c r="AI6295" s="38"/>
    </row>
    <row r="6296" ht="15.75" customHeight="1">
      <c r="A6296" s="35"/>
      <c r="C6296" s="442"/>
      <c r="P6296" s="235"/>
      <c r="AI6296" s="38"/>
    </row>
    <row r="6297" ht="15.75" customHeight="1">
      <c r="A6297" s="35"/>
      <c r="C6297" s="442"/>
      <c r="P6297" s="235"/>
      <c r="AI6297" s="38"/>
    </row>
    <row r="6298" ht="15.75" customHeight="1">
      <c r="A6298" s="35"/>
      <c r="C6298" s="442"/>
      <c r="P6298" s="235"/>
      <c r="AI6298" s="38"/>
    </row>
    <row r="6299" ht="15.75" customHeight="1">
      <c r="A6299" s="35"/>
      <c r="C6299" s="442"/>
      <c r="P6299" s="235"/>
      <c r="AI6299" s="38"/>
    </row>
    <row r="6300" ht="15.75" customHeight="1">
      <c r="A6300" s="35"/>
      <c r="C6300" s="442"/>
      <c r="P6300" s="235"/>
      <c r="AI6300" s="38"/>
    </row>
    <row r="6301" ht="15.75" customHeight="1">
      <c r="A6301" s="35"/>
      <c r="C6301" s="442"/>
      <c r="P6301" s="235"/>
      <c r="AI6301" s="38"/>
    </row>
    <row r="6302" ht="15.75" customHeight="1">
      <c r="A6302" s="35"/>
      <c r="C6302" s="442"/>
      <c r="P6302" s="235"/>
      <c r="AI6302" s="38"/>
    </row>
    <row r="6303" ht="15.75" customHeight="1">
      <c r="A6303" s="35"/>
      <c r="C6303" s="442"/>
      <c r="P6303" s="235"/>
      <c r="AI6303" s="38"/>
    </row>
    <row r="6304" ht="15.75" customHeight="1">
      <c r="A6304" s="35"/>
      <c r="C6304" s="442"/>
      <c r="P6304" s="235"/>
      <c r="AI6304" s="38"/>
    </row>
    <row r="6305" ht="15.75" customHeight="1">
      <c r="A6305" s="35"/>
      <c r="C6305" s="442"/>
      <c r="P6305" s="235"/>
      <c r="AI6305" s="38"/>
    </row>
    <row r="6306" ht="15.75" customHeight="1">
      <c r="A6306" s="35"/>
      <c r="C6306" s="442"/>
      <c r="P6306" s="235"/>
      <c r="AI6306" s="38"/>
    </row>
    <row r="6307" ht="15.75" customHeight="1">
      <c r="A6307" s="35"/>
      <c r="C6307" s="442"/>
      <c r="P6307" s="235"/>
      <c r="AI6307" s="38"/>
    </row>
    <row r="6308" ht="15.75" customHeight="1">
      <c r="A6308" s="35"/>
      <c r="C6308" s="442"/>
      <c r="P6308" s="235"/>
      <c r="AI6308" s="38"/>
    </row>
    <row r="6309" ht="15.75" customHeight="1">
      <c r="A6309" s="35"/>
      <c r="C6309" s="442"/>
      <c r="P6309" s="235"/>
      <c r="AI6309" s="38"/>
    </row>
    <row r="6310" ht="15.75" customHeight="1">
      <c r="A6310" s="35"/>
      <c r="C6310" s="442"/>
      <c r="P6310" s="235"/>
      <c r="AI6310" s="38"/>
    </row>
    <row r="6311" ht="15.75" customHeight="1">
      <c r="A6311" s="35"/>
      <c r="C6311" s="442"/>
      <c r="P6311" s="235"/>
      <c r="AI6311" s="38"/>
    </row>
    <row r="6312" ht="15.75" customHeight="1">
      <c r="A6312" s="35"/>
      <c r="C6312" s="442"/>
      <c r="P6312" s="235"/>
      <c r="AI6312" s="38"/>
    </row>
    <row r="6313" ht="15.75" customHeight="1">
      <c r="A6313" s="35"/>
      <c r="C6313" s="442"/>
      <c r="P6313" s="235"/>
      <c r="AI6313" s="38"/>
    </row>
    <row r="6314" ht="15.75" customHeight="1">
      <c r="A6314" s="35"/>
      <c r="C6314" s="442"/>
      <c r="P6314" s="235"/>
      <c r="AI6314" s="38"/>
    </row>
    <row r="6315" ht="15.75" customHeight="1">
      <c r="A6315" s="35"/>
      <c r="C6315" s="442"/>
      <c r="P6315" s="235"/>
      <c r="AI6315" s="38"/>
    </row>
    <row r="6316" ht="15.75" customHeight="1">
      <c r="A6316" s="35"/>
      <c r="C6316" s="442"/>
      <c r="P6316" s="235"/>
      <c r="AI6316" s="38"/>
    </row>
    <row r="6317" ht="15.75" customHeight="1">
      <c r="A6317" s="35"/>
      <c r="C6317" s="442"/>
      <c r="P6317" s="235"/>
      <c r="AI6317" s="38"/>
    </row>
    <row r="6318" ht="15.75" customHeight="1">
      <c r="A6318" s="35"/>
      <c r="C6318" s="442"/>
      <c r="P6318" s="235"/>
      <c r="AI6318" s="38"/>
    </row>
    <row r="6319" ht="15.75" customHeight="1">
      <c r="A6319" s="35"/>
      <c r="C6319" s="442"/>
      <c r="P6319" s="235"/>
      <c r="AI6319" s="38"/>
    </row>
    <row r="6320" ht="15.75" customHeight="1">
      <c r="A6320" s="35"/>
      <c r="C6320" s="442"/>
      <c r="P6320" s="235"/>
      <c r="AI6320" s="38"/>
    </row>
    <row r="6321" ht="15.75" customHeight="1">
      <c r="A6321" s="35"/>
      <c r="C6321" s="442"/>
      <c r="P6321" s="235"/>
      <c r="AI6321" s="38"/>
    </row>
    <row r="6322" ht="15.75" customHeight="1">
      <c r="A6322" s="35"/>
      <c r="C6322" s="442"/>
      <c r="P6322" s="235"/>
      <c r="AI6322" s="38"/>
    </row>
    <row r="6323" ht="15.75" customHeight="1">
      <c r="A6323" s="35"/>
      <c r="C6323" s="442"/>
      <c r="P6323" s="235"/>
      <c r="AI6323" s="38"/>
    </row>
    <row r="6324" ht="15.75" customHeight="1">
      <c r="A6324" s="35"/>
      <c r="C6324" s="442"/>
      <c r="P6324" s="235"/>
      <c r="AI6324" s="38"/>
    </row>
    <row r="6325" ht="15.75" customHeight="1">
      <c r="A6325" s="35"/>
      <c r="C6325" s="442"/>
      <c r="P6325" s="235"/>
      <c r="AI6325" s="38"/>
    </row>
    <row r="6326" ht="15.75" customHeight="1">
      <c r="A6326" s="35"/>
      <c r="C6326" s="442"/>
      <c r="P6326" s="235"/>
      <c r="AI6326" s="38"/>
    </row>
    <row r="6327" ht="15.75" customHeight="1">
      <c r="A6327" s="35"/>
      <c r="C6327" s="442"/>
      <c r="P6327" s="235"/>
      <c r="AI6327" s="38"/>
    </row>
    <row r="6328" ht="15.75" customHeight="1">
      <c r="A6328" s="35"/>
      <c r="C6328" s="442"/>
      <c r="P6328" s="235"/>
      <c r="AI6328" s="38"/>
    </row>
    <row r="6329" ht="15.75" customHeight="1">
      <c r="A6329" s="35"/>
      <c r="C6329" s="442"/>
      <c r="P6329" s="235"/>
      <c r="AI6329" s="38"/>
    </row>
    <row r="6330" ht="15.75" customHeight="1">
      <c r="A6330" s="35"/>
      <c r="C6330" s="442"/>
      <c r="P6330" s="235"/>
      <c r="AI6330" s="38"/>
    </row>
    <row r="6331" ht="15.75" customHeight="1">
      <c r="A6331" s="35"/>
      <c r="C6331" s="442"/>
      <c r="P6331" s="235"/>
      <c r="AI6331" s="38"/>
    </row>
    <row r="6332" ht="15.75" customHeight="1">
      <c r="A6332" s="35"/>
      <c r="C6332" s="442"/>
      <c r="P6332" s="235"/>
      <c r="AI6332" s="38"/>
    </row>
    <row r="6333" ht="15.75" customHeight="1">
      <c r="A6333" s="35"/>
      <c r="C6333" s="442"/>
      <c r="P6333" s="235"/>
      <c r="AI6333" s="38"/>
    </row>
    <row r="6334" ht="15.75" customHeight="1">
      <c r="A6334" s="35"/>
      <c r="C6334" s="442"/>
      <c r="P6334" s="235"/>
      <c r="AI6334" s="38"/>
    </row>
    <row r="6335" ht="15.75" customHeight="1">
      <c r="A6335" s="35"/>
      <c r="C6335" s="442"/>
      <c r="P6335" s="235"/>
      <c r="AI6335" s="38"/>
    </row>
    <row r="6336" ht="15.75" customHeight="1">
      <c r="A6336" s="35"/>
      <c r="C6336" s="442"/>
      <c r="P6336" s="235"/>
      <c r="AI6336" s="38"/>
    </row>
    <row r="6337" ht="15.75" customHeight="1">
      <c r="A6337" s="35"/>
      <c r="C6337" s="442"/>
      <c r="P6337" s="235"/>
      <c r="AI6337" s="38"/>
    </row>
    <row r="6338" ht="15.75" customHeight="1">
      <c r="A6338" s="35"/>
      <c r="C6338" s="442"/>
      <c r="P6338" s="235"/>
      <c r="AI6338" s="38"/>
    </row>
    <row r="6339" ht="15.75" customHeight="1">
      <c r="A6339" s="35"/>
      <c r="C6339" s="442"/>
      <c r="P6339" s="235"/>
      <c r="AI6339" s="38"/>
    </row>
    <row r="6340" ht="15.75" customHeight="1">
      <c r="A6340" s="35"/>
      <c r="C6340" s="442"/>
      <c r="P6340" s="235"/>
      <c r="AI6340" s="38"/>
    </row>
    <row r="6341" ht="15.75" customHeight="1">
      <c r="A6341" s="35"/>
      <c r="C6341" s="442"/>
      <c r="P6341" s="235"/>
      <c r="AI6341" s="38"/>
    </row>
    <row r="6342" ht="15.75" customHeight="1">
      <c r="A6342" s="35"/>
      <c r="C6342" s="442"/>
      <c r="P6342" s="235"/>
      <c r="AI6342" s="38"/>
    </row>
    <row r="6343" ht="15.75" customHeight="1">
      <c r="A6343" s="35"/>
      <c r="C6343" s="442"/>
      <c r="P6343" s="235"/>
      <c r="AI6343" s="38"/>
    </row>
    <row r="6344" ht="15.75" customHeight="1">
      <c r="A6344" s="35"/>
      <c r="C6344" s="442"/>
      <c r="P6344" s="235"/>
      <c r="AI6344" s="38"/>
    </row>
    <row r="6345" ht="15.75" customHeight="1">
      <c r="A6345" s="35"/>
      <c r="C6345" s="442"/>
      <c r="P6345" s="235"/>
      <c r="AI6345" s="38"/>
    </row>
    <row r="6346" ht="15.75" customHeight="1">
      <c r="A6346" s="35"/>
      <c r="C6346" s="442"/>
      <c r="P6346" s="235"/>
      <c r="AI6346" s="38"/>
    </row>
    <row r="6347" ht="15.75" customHeight="1">
      <c r="A6347" s="35"/>
      <c r="C6347" s="442"/>
      <c r="P6347" s="235"/>
      <c r="AI6347" s="38"/>
    </row>
    <row r="6348" ht="15.75" customHeight="1">
      <c r="A6348" s="35"/>
      <c r="C6348" s="442"/>
      <c r="P6348" s="235"/>
      <c r="AI6348" s="38"/>
    </row>
    <row r="6349" ht="15.75" customHeight="1">
      <c r="A6349" s="35"/>
      <c r="C6349" s="442"/>
      <c r="P6349" s="235"/>
      <c r="AI6349" s="38"/>
    </row>
    <row r="6350" ht="15.75" customHeight="1">
      <c r="A6350" s="35"/>
      <c r="C6350" s="442"/>
      <c r="P6350" s="235"/>
      <c r="AI6350" s="38"/>
    </row>
    <row r="6351" ht="15.75" customHeight="1">
      <c r="A6351" s="35"/>
      <c r="C6351" s="442"/>
      <c r="P6351" s="235"/>
      <c r="AI6351" s="38"/>
    </row>
    <row r="6352" ht="15.75" customHeight="1">
      <c r="A6352" s="35"/>
      <c r="C6352" s="442"/>
      <c r="P6352" s="235"/>
      <c r="AI6352" s="38"/>
    </row>
    <row r="6353" ht="15.75" customHeight="1">
      <c r="A6353" s="35"/>
      <c r="C6353" s="442"/>
      <c r="P6353" s="235"/>
      <c r="AI6353" s="38"/>
    </row>
    <row r="6354" ht="15.75" customHeight="1">
      <c r="A6354" s="35"/>
      <c r="C6354" s="442"/>
      <c r="P6354" s="235"/>
      <c r="AI6354" s="38"/>
    </row>
    <row r="6355" ht="15.75" customHeight="1">
      <c r="A6355" s="35"/>
      <c r="C6355" s="442"/>
      <c r="P6355" s="235"/>
      <c r="AI6355" s="38"/>
    </row>
    <row r="6356" ht="15.75" customHeight="1">
      <c r="A6356" s="35"/>
      <c r="C6356" s="442"/>
      <c r="P6356" s="235"/>
      <c r="AI6356" s="38"/>
    </row>
    <row r="6357" ht="15.75" customHeight="1">
      <c r="A6357" s="35"/>
      <c r="C6357" s="442"/>
      <c r="P6357" s="235"/>
      <c r="AI6357" s="38"/>
    </row>
    <row r="6358" ht="15.75" customHeight="1">
      <c r="A6358" s="35"/>
      <c r="C6358" s="442"/>
      <c r="P6358" s="235"/>
      <c r="AI6358" s="38"/>
    </row>
    <row r="6359" ht="15.75" customHeight="1">
      <c r="A6359" s="35"/>
      <c r="C6359" s="442"/>
      <c r="P6359" s="235"/>
      <c r="AI6359" s="38"/>
    </row>
    <row r="6360" ht="15.75" customHeight="1">
      <c r="A6360" s="35"/>
      <c r="C6360" s="442"/>
      <c r="P6360" s="235"/>
      <c r="AI6360" s="38"/>
    </row>
    <row r="6361" ht="15.75" customHeight="1">
      <c r="A6361" s="35"/>
      <c r="C6361" s="442"/>
      <c r="P6361" s="235"/>
      <c r="AI6361" s="38"/>
    </row>
    <row r="6362" ht="15.75" customHeight="1">
      <c r="A6362" s="35"/>
      <c r="C6362" s="442"/>
      <c r="P6362" s="235"/>
      <c r="AI6362" s="38"/>
    </row>
    <row r="6363" ht="15.75" customHeight="1">
      <c r="A6363" s="35"/>
      <c r="C6363" s="442"/>
      <c r="P6363" s="235"/>
      <c r="AI6363" s="38"/>
    </row>
    <row r="6364" ht="15.75" customHeight="1">
      <c r="A6364" s="35"/>
      <c r="C6364" s="442"/>
      <c r="P6364" s="235"/>
      <c r="AI6364" s="38"/>
    </row>
    <row r="6365" ht="15.75" customHeight="1">
      <c r="A6365" s="35"/>
      <c r="C6365" s="442"/>
      <c r="P6365" s="235"/>
      <c r="AI6365" s="38"/>
    </row>
    <row r="6366" ht="15.75" customHeight="1">
      <c r="A6366" s="35"/>
      <c r="C6366" s="442"/>
      <c r="P6366" s="235"/>
      <c r="AI6366" s="38"/>
    </row>
    <row r="6367" ht="15.75" customHeight="1">
      <c r="A6367" s="35"/>
      <c r="C6367" s="442"/>
      <c r="P6367" s="235"/>
      <c r="AI6367" s="38"/>
    </row>
    <row r="6368" ht="15.75" customHeight="1">
      <c r="A6368" s="35"/>
      <c r="C6368" s="442"/>
      <c r="P6368" s="235"/>
      <c r="AI6368" s="38"/>
    </row>
    <row r="6369" ht="15.75" customHeight="1">
      <c r="A6369" s="35"/>
      <c r="C6369" s="442"/>
      <c r="P6369" s="235"/>
      <c r="AI6369" s="38"/>
    </row>
    <row r="6370" ht="15.75" customHeight="1">
      <c r="A6370" s="35"/>
      <c r="C6370" s="442"/>
      <c r="P6370" s="235"/>
      <c r="AI6370" s="38"/>
    </row>
    <row r="6371" ht="15.75" customHeight="1">
      <c r="A6371" s="35"/>
      <c r="C6371" s="442"/>
      <c r="P6371" s="235"/>
      <c r="AI6371" s="38"/>
    </row>
    <row r="6372" ht="15.75" customHeight="1">
      <c r="A6372" s="35"/>
      <c r="C6372" s="442"/>
      <c r="P6372" s="235"/>
      <c r="AI6372" s="38"/>
    </row>
    <row r="6373" ht="15.75" customHeight="1">
      <c r="A6373" s="35"/>
      <c r="C6373" s="442"/>
      <c r="P6373" s="235"/>
      <c r="AI6373" s="38"/>
    </row>
    <row r="6374" ht="15.75" customHeight="1">
      <c r="A6374" s="35"/>
      <c r="C6374" s="442"/>
      <c r="P6374" s="235"/>
      <c r="AI6374" s="38"/>
    </row>
    <row r="6375" ht="15.75" customHeight="1">
      <c r="A6375" s="35"/>
      <c r="C6375" s="442"/>
      <c r="P6375" s="235"/>
      <c r="AI6375" s="38"/>
    </row>
    <row r="6376" ht="15.75" customHeight="1">
      <c r="A6376" s="35"/>
      <c r="C6376" s="442"/>
      <c r="P6376" s="235"/>
      <c r="AI6376" s="38"/>
    </row>
    <row r="6377" ht="15.75" customHeight="1">
      <c r="A6377" s="35"/>
      <c r="C6377" s="442"/>
      <c r="P6377" s="235"/>
      <c r="AI6377" s="38"/>
    </row>
    <row r="6378" ht="15.75" customHeight="1">
      <c r="A6378" s="35"/>
      <c r="C6378" s="442"/>
      <c r="P6378" s="235"/>
      <c r="AI6378" s="38"/>
    </row>
    <row r="6379" ht="15.75" customHeight="1">
      <c r="A6379" s="35"/>
      <c r="C6379" s="442"/>
      <c r="P6379" s="235"/>
      <c r="AI6379" s="38"/>
    </row>
    <row r="6380" ht="15.75" customHeight="1">
      <c r="A6380" s="35"/>
      <c r="C6380" s="442"/>
      <c r="P6380" s="235"/>
      <c r="AI6380" s="38"/>
    </row>
    <row r="6381" ht="15.75" customHeight="1">
      <c r="A6381" s="35"/>
      <c r="C6381" s="442"/>
      <c r="P6381" s="235"/>
      <c r="AI6381" s="38"/>
    </row>
    <row r="6382" ht="15.75" customHeight="1">
      <c r="A6382" s="35"/>
      <c r="C6382" s="442"/>
      <c r="P6382" s="235"/>
      <c r="AI6382" s="38"/>
    </row>
    <row r="6383" ht="15.75" customHeight="1">
      <c r="A6383" s="35"/>
      <c r="C6383" s="442"/>
      <c r="P6383" s="235"/>
      <c r="AI6383" s="38"/>
    </row>
    <row r="6384" ht="15.75" customHeight="1">
      <c r="A6384" s="35"/>
      <c r="C6384" s="442"/>
      <c r="P6384" s="235"/>
      <c r="AI6384" s="38"/>
    </row>
    <row r="6385" ht="15.75" customHeight="1">
      <c r="A6385" s="35"/>
      <c r="C6385" s="442"/>
      <c r="P6385" s="235"/>
      <c r="AI6385" s="38"/>
    </row>
    <row r="6386" ht="15.75" customHeight="1">
      <c r="A6386" s="35"/>
      <c r="C6386" s="442"/>
      <c r="P6386" s="235"/>
      <c r="AI6386" s="38"/>
    </row>
    <row r="6387" ht="15.75" customHeight="1">
      <c r="A6387" s="35"/>
      <c r="C6387" s="442"/>
      <c r="P6387" s="235"/>
      <c r="AI6387" s="38"/>
    </row>
    <row r="6388" ht="15.75" customHeight="1">
      <c r="A6388" s="35"/>
      <c r="C6388" s="442"/>
      <c r="P6388" s="235"/>
      <c r="AI6388" s="38"/>
    </row>
    <row r="6389" ht="15.75" customHeight="1">
      <c r="A6389" s="35"/>
      <c r="C6389" s="442"/>
      <c r="P6389" s="235"/>
      <c r="AI6389" s="38"/>
    </row>
    <row r="6390" ht="15.75" customHeight="1">
      <c r="A6390" s="35"/>
      <c r="C6390" s="442"/>
      <c r="P6390" s="235"/>
      <c r="AI6390" s="38"/>
    </row>
    <row r="6391" ht="15.75" customHeight="1">
      <c r="A6391" s="35"/>
      <c r="C6391" s="442"/>
      <c r="P6391" s="235"/>
      <c r="AI6391" s="38"/>
    </row>
    <row r="6392" ht="15.75" customHeight="1">
      <c r="A6392" s="35"/>
      <c r="C6392" s="442"/>
      <c r="P6392" s="235"/>
      <c r="AI6392" s="38"/>
    </row>
    <row r="6393" ht="15.75" customHeight="1">
      <c r="A6393" s="35"/>
      <c r="C6393" s="442"/>
      <c r="P6393" s="235"/>
      <c r="AI6393" s="38"/>
    </row>
    <row r="6394" ht="15.75" customHeight="1">
      <c r="A6394" s="35"/>
      <c r="C6394" s="442"/>
      <c r="P6394" s="235"/>
      <c r="AI6394" s="38"/>
    </row>
    <row r="6395" ht="15.75" customHeight="1">
      <c r="A6395" s="35"/>
      <c r="C6395" s="442"/>
      <c r="P6395" s="235"/>
      <c r="AI6395" s="38"/>
    </row>
    <row r="6396" ht="15.75" customHeight="1">
      <c r="A6396" s="35"/>
      <c r="C6396" s="442"/>
      <c r="P6396" s="235"/>
      <c r="AI6396" s="38"/>
    </row>
    <row r="6397" ht="15.75" customHeight="1">
      <c r="A6397" s="35"/>
      <c r="C6397" s="442"/>
      <c r="P6397" s="235"/>
      <c r="AI6397" s="38"/>
    </row>
    <row r="6398" ht="15.75" customHeight="1">
      <c r="A6398" s="35"/>
      <c r="C6398" s="442"/>
      <c r="P6398" s="235"/>
      <c r="AI6398" s="38"/>
    </row>
    <row r="6399" ht="15.75" customHeight="1">
      <c r="A6399" s="35"/>
      <c r="C6399" s="442"/>
      <c r="P6399" s="235"/>
      <c r="AI6399" s="38"/>
    </row>
    <row r="6400" ht="15.75" customHeight="1">
      <c r="A6400" s="35"/>
      <c r="C6400" s="442"/>
      <c r="P6400" s="235"/>
      <c r="AI6400" s="38"/>
    </row>
    <row r="6401" ht="15.75" customHeight="1">
      <c r="A6401" s="35"/>
      <c r="C6401" s="442"/>
      <c r="P6401" s="235"/>
      <c r="AI6401" s="38"/>
    </row>
    <row r="6402" ht="15.75" customHeight="1">
      <c r="A6402" s="35"/>
      <c r="C6402" s="442"/>
      <c r="P6402" s="235"/>
      <c r="AI6402" s="38"/>
    </row>
    <row r="6403" ht="15.75" customHeight="1">
      <c r="A6403" s="35"/>
      <c r="C6403" s="442"/>
      <c r="P6403" s="235"/>
      <c r="AI6403" s="38"/>
    </row>
    <row r="6404" ht="15.75" customHeight="1">
      <c r="A6404" s="35"/>
      <c r="C6404" s="442"/>
      <c r="P6404" s="235"/>
      <c r="AI6404" s="38"/>
    </row>
    <row r="6405" ht="15.75" customHeight="1">
      <c r="A6405" s="35"/>
      <c r="C6405" s="442"/>
      <c r="P6405" s="235"/>
      <c r="AI6405" s="38"/>
    </row>
    <row r="6406" ht="15.75" customHeight="1">
      <c r="A6406" s="35"/>
      <c r="C6406" s="442"/>
      <c r="P6406" s="235"/>
      <c r="AI6406" s="38"/>
    </row>
    <row r="6407" ht="15.75" customHeight="1">
      <c r="A6407" s="35"/>
      <c r="C6407" s="442"/>
      <c r="P6407" s="235"/>
      <c r="AI6407" s="38"/>
    </row>
    <row r="6408" ht="15.75" customHeight="1">
      <c r="A6408" s="35"/>
      <c r="C6408" s="442"/>
      <c r="P6408" s="235"/>
      <c r="AI6408" s="38"/>
    </row>
    <row r="6409" ht="15.75" customHeight="1">
      <c r="A6409" s="35"/>
      <c r="C6409" s="442"/>
      <c r="P6409" s="235"/>
      <c r="AI6409" s="38"/>
    </row>
    <row r="6410" ht="15.75" customHeight="1">
      <c r="A6410" s="35"/>
      <c r="C6410" s="442"/>
      <c r="P6410" s="235"/>
      <c r="AI6410" s="38"/>
    </row>
    <row r="6411" ht="15.75" customHeight="1">
      <c r="A6411" s="35"/>
      <c r="C6411" s="442"/>
      <c r="P6411" s="235"/>
      <c r="AI6411" s="38"/>
    </row>
    <row r="6412" ht="15.75" customHeight="1">
      <c r="A6412" s="35"/>
      <c r="C6412" s="442"/>
      <c r="P6412" s="235"/>
      <c r="AI6412" s="38"/>
    </row>
    <row r="6413" ht="15.75" customHeight="1">
      <c r="A6413" s="35"/>
      <c r="C6413" s="442"/>
      <c r="P6413" s="235"/>
      <c r="AI6413" s="38"/>
    </row>
    <row r="6414" ht="15.75" customHeight="1">
      <c r="A6414" s="35"/>
      <c r="C6414" s="442"/>
      <c r="P6414" s="235"/>
      <c r="AI6414" s="38"/>
    </row>
    <row r="6415" ht="15.75" customHeight="1">
      <c r="A6415" s="35"/>
      <c r="C6415" s="442"/>
      <c r="P6415" s="235"/>
      <c r="AI6415" s="38"/>
    </row>
    <row r="6416" ht="15.75" customHeight="1">
      <c r="A6416" s="35"/>
      <c r="C6416" s="442"/>
      <c r="P6416" s="235"/>
      <c r="AI6416" s="38"/>
    </row>
    <row r="6417" ht="15.75" customHeight="1">
      <c r="A6417" s="35"/>
      <c r="C6417" s="442"/>
      <c r="P6417" s="235"/>
      <c r="AI6417" s="38"/>
    </row>
    <row r="6418" ht="15.75" customHeight="1">
      <c r="A6418" s="35"/>
      <c r="C6418" s="442"/>
      <c r="P6418" s="235"/>
      <c r="AI6418" s="38"/>
    </row>
    <row r="6419" ht="15.75" customHeight="1">
      <c r="A6419" s="35"/>
      <c r="C6419" s="442"/>
      <c r="P6419" s="235"/>
      <c r="AI6419" s="38"/>
    </row>
    <row r="6420" ht="15.75" customHeight="1">
      <c r="A6420" s="35"/>
      <c r="C6420" s="442"/>
      <c r="P6420" s="235"/>
      <c r="AI6420" s="38"/>
    </row>
    <row r="6421" ht="15.75" customHeight="1">
      <c r="A6421" s="35"/>
      <c r="C6421" s="442"/>
      <c r="P6421" s="235"/>
      <c r="AI6421" s="38"/>
    </row>
    <row r="6422" ht="15.75" customHeight="1">
      <c r="A6422" s="35"/>
      <c r="C6422" s="442"/>
      <c r="P6422" s="235"/>
      <c r="AI6422" s="38"/>
    </row>
    <row r="6423" ht="15.75" customHeight="1">
      <c r="A6423" s="35"/>
      <c r="C6423" s="442"/>
      <c r="P6423" s="235"/>
      <c r="AI6423" s="38"/>
    </row>
    <row r="6424" ht="15.75" customHeight="1">
      <c r="A6424" s="35"/>
      <c r="C6424" s="442"/>
      <c r="P6424" s="235"/>
      <c r="AI6424" s="38"/>
    </row>
    <row r="6425" ht="15.75" customHeight="1">
      <c r="A6425" s="35"/>
      <c r="C6425" s="442"/>
      <c r="P6425" s="235"/>
      <c r="AI6425" s="38"/>
    </row>
    <row r="6426" ht="15.75" customHeight="1">
      <c r="A6426" s="35"/>
      <c r="C6426" s="442"/>
      <c r="P6426" s="235"/>
      <c r="AI6426" s="38"/>
    </row>
    <row r="6427" ht="15.75" customHeight="1">
      <c r="A6427" s="35"/>
      <c r="C6427" s="442"/>
      <c r="P6427" s="235"/>
      <c r="AI6427" s="38"/>
    </row>
    <row r="6428" ht="15.75" customHeight="1">
      <c r="A6428" s="35"/>
      <c r="C6428" s="442"/>
      <c r="P6428" s="235"/>
      <c r="AI6428" s="38"/>
    </row>
    <row r="6429" ht="15.75" customHeight="1">
      <c r="A6429" s="35"/>
      <c r="C6429" s="442"/>
      <c r="P6429" s="235"/>
      <c r="AI6429" s="38"/>
    </row>
    <row r="6430" ht="15.75" customHeight="1">
      <c r="A6430" s="35"/>
      <c r="C6430" s="442"/>
      <c r="P6430" s="235"/>
      <c r="AI6430" s="38"/>
    </row>
    <row r="6431" ht="15.75" customHeight="1">
      <c r="A6431" s="35"/>
      <c r="C6431" s="442"/>
      <c r="P6431" s="235"/>
      <c r="AI6431" s="38"/>
    </row>
    <row r="6432" ht="15.75" customHeight="1">
      <c r="A6432" s="35"/>
      <c r="C6432" s="442"/>
      <c r="P6432" s="235"/>
      <c r="AI6432" s="38"/>
    </row>
    <row r="6433" ht="15.75" customHeight="1">
      <c r="A6433" s="35"/>
      <c r="C6433" s="442"/>
      <c r="P6433" s="235"/>
      <c r="AI6433" s="38"/>
    </row>
    <row r="6434" ht="15.75" customHeight="1">
      <c r="A6434" s="35"/>
      <c r="C6434" s="442"/>
      <c r="P6434" s="235"/>
      <c r="AI6434" s="38"/>
    </row>
    <row r="6435" ht="15.75" customHeight="1">
      <c r="A6435" s="35"/>
      <c r="C6435" s="442"/>
      <c r="P6435" s="235"/>
      <c r="AI6435" s="38"/>
    </row>
    <row r="6436" ht="15.75" customHeight="1">
      <c r="A6436" s="35"/>
      <c r="C6436" s="442"/>
      <c r="P6436" s="235"/>
      <c r="AI6436" s="38"/>
    </row>
    <row r="6437" ht="15.75" customHeight="1">
      <c r="A6437" s="35"/>
      <c r="C6437" s="442"/>
      <c r="P6437" s="235"/>
      <c r="AI6437" s="38"/>
    </row>
    <row r="6438" ht="15.75" customHeight="1">
      <c r="A6438" s="35"/>
      <c r="C6438" s="442"/>
      <c r="P6438" s="235"/>
      <c r="AI6438" s="38"/>
    </row>
    <row r="6439" ht="15.75" customHeight="1">
      <c r="A6439" s="35"/>
      <c r="C6439" s="442"/>
      <c r="P6439" s="235"/>
      <c r="AI6439" s="38"/>
    </row>
    <row r="6440" ht="15.75" customHeight="1">
      <c r="A6440" s="35"/>
      <c r="C6440" s="442"/>
      <c r="P6440" s="235"/>
      <c r="AI6440" s="38"/>
    </row>
    <row r="6441" ht="15.75" customHeight="1">
      <c r="A6441" s="35"/>
      <c r="C6441" s="442"/>
      <c r="P6441" s="235"/>
      <c r="AI6441" s="38"/>
    </row>
    <row r="6442" ht="15.75" customHeight="1">
      <c r="A6442" s="35"/>
      <c r="C6442" s="442"/>
      <c r="P6442" s="235"/>
      <c r="AI6442" s="38"/>
    </row>
    <row r="6443" ht="15.75" customHeight="1">
      <c r="A6443" s="35"/>
      <c r="C6443" s="442"/>
      <c r="P6443" s="235"/>
      <c r="AI6443" s="38"/>
    </row>
    <row r="6444" ht="15.75" customHeight="1">
      <c r="A6444" s="35"/>
      <c r="C6444" s="442"/>
      <c r="P6444" s="235"/>
      <c r="AI6444" s="38"/>
    </row>
    <row r="6445" ht="15.75" customHeight="1">
      <c r="A6445" s="35"/>
      <c r="C6445" s="442"/>
      <c r="P6445" s="235"/>
      <c r="AI6445" s="38"/>
    </row>
    <row r="6446" ht="15.75" customHeight="1">
      <c r="A6446" s="35"/>
      <c r="C6446" s="442"/>
      <c r="P6446" s="235"/>
      <c r="AI6446" s="38"/>
    </row>
    <row r="6447" ht="15.75" customHeight="1">
      <c r="A6447" s="35"/>
      <c r="C6447" s="442"/>
      <c r="P6447" s="235"/>
      <c r="AI6447" s="38"/>
    </row>
    <row r="6448" ht="15.75" customHeight="1">
      <c r="A6448" s="35"/>
      <c r="C6448" s="442"/>
      <c r="P6448" s="235"/>
      <c r="AI6448" s="38"/>
    </row>
    <row r="6449" ht="15.75" customHeight="1">
      <c r="A6449" s="35"/>
      <c r="C6449" s="442"/>
      <c r="P6449" s="235"/>
      <c r="AI6449" s="38"/>
    </row>
    <row r="6450" ht="15.75" customHeight="1">
      <c r="A6450" s="35"/>
      <c r="C6450" s="442"/>
      <c r="P6450" s="235"/>
      <c r="AI6450" s="38"/>
    </row>
    <row r="6451" ht="15.75" customHeight="1">
      <c r="A6451" s="35"/>
      <c r="C6451" s="442"/>
      <c r="P6451" s="235"/>
      <c r="AI6451" s="38"/>
    </row>
    <row r="6452" ht="15.75" customHeight="1">
      <c r="A6452" s="35"/>
      <c r="C6452" s="442"/>
      <c r="P6452" s="235"/>
      <c r="AI6452" s="38"/>
    </row>
    <row r="6453" ht="15.75" customHeight="1">
      <c r="A6453" s="35"/>
      <c r="C6453" s="442"/>
      <c r="P6453" s="235"/>
      <c r="AI6453" s="38"/>
    </row>
    <row r="6454" ht="15.75" customHeight="1">
      <c r="A6454" s="35"/>
      <c r="C6454" s="442"/>
      <c r="P6454" s="235"/>
      <c r="AI6454" s="38"/>
    </row>
    <row r="6455" ht="15.75" customHeight="1">
      <c r="A6455" s="35"/>
      <c r="C6455" s="442"/>
      <c r="P6455" s="235"/>
      <c r="AI6455" s="38"/>
    </row>
    <row r="6456" ht="15.75" customHeight="1">
      <c r="A6456" s="35"/>
      <c r="C6456" s="442"/>
      <c r="P6456" s="235"/>
      <c r="AI6456" s="38"/>
    </row>
    <row r="6457" ht="15.75" customHeight="1">
      <c r="A6457" s="35"/>
      <c r="C6457" s="442"/>
      <c r="P6457" s="235"/>
      <c r="AI6457" s="38"/>
    </row>
    <row r="6458" ht="15.75" customHeight="1">
      <c r="A6458" s="35"/>
      <c r="C6458" s="442"/>
      <c r="P6458" s="235"/>
      <c r="AI6458" s="38"/>
    </row>
    <row r="6459" ht="15.75" customHeight="1">
      <c r="A6459" s="35"/>
      <c r="C6459" s="442"/>
      <c r="P6459" s="235"/>
      <c r="AI6459" s="38"/>
    </row>
    <row r="6460" ht="15.75" customHeight="1">
      <c r="A6460" s="35"/>
      <c r="C6460" s="442"/>
      <c r="P6460" s="235"/>
      <c r="AI6460" s="38"/>
    </row>
    <row r="6461" ht="15.75" customHeight="1">
      <c r="A6461" s="35"/>
      <c r="C6461" s="442"/>
      <c r="P6461" s="235"/>
      <c r="AI6461" s="38"/>
    </row>
    <row r="6462" ht="15.75" customHeight="1">
      <c r="A6462" s="35"/>
      <c r="C6462" s="442"/>
      <c r="P6462" s="235"/>
      <c r="AI6462" s="38"/>
    </row>
    <row r="6463" ht="15.75" customHeight="1">
      <c r="A6463" s="35"/>
      <c r="C6463" s="442"/>
      <c r="P6463" s="235"/>
      <c r="AI6463" s="38"/>
    </row>
    <row r="6464" ht="15.75" customHeight="1">
      <c r="A6464" s="35"/>
      <c r="C6464" s="442"/>
      <c r="P6464" s="235"/>
      <c r="AI6464" s="38"/>
    </row>
    <row r="6465" ht="15.75" customHeight="1">
      <c r="A6465" s="35"/>
      <c r="C6465" s="442"/>
      <c r="P6465" s="235"/>
      <c r="AI6465" s="38"/>
    </row>
    <row r="6466" ht="15.75" customHeight="1">
      <c r="A6466" s="35"/>
      <c r="C6466" s="442"/>
      <c r="P6466" s="235"/>
      <c r="AI6466" s="38"/>
    </row>
    <row r="6467" ht="15.75" customHeight="1">
      <c r="A6467" s="35"/>
      <c r="C6467" s="442"/>
      <c r="P6467" s="235"/>
      <c r="AI6467" s="38"/>
    </row>
    <row r="6468" ht="15.75" customHeight="1">
      <c r="A6468" s="35"/>
      <c r="C6468" s="442"/>
      <c r="P6468" s="235"/>
      <c r="AI6468" s="38"/>
    </row>
    <row r="6469" ht="15.75" customHeight="1">
      <c r="A6469" s="35"/>
      <c r="C6469" s="442"/>
      <c r="P6469" s="235"/>
      <c r="AI6469" s="38"/>
    </row>
    <row r="6470" ht="15.75" customHeight="1">
      <c r="A6470" s="35"/>
      <c r="C6470" s="442"/>
      <c r="P6470" s="235"/>
      <c r="AI6470" s="38"/>
    </row>
    <row r="6471" ht="15.75" customHeight="1">
      <c r="A6471" s="35"/>
      <c r="C6471" s="442"/>
      <c r="P6471" s="235"/>
      <c r="AI6471" s="38"/>
    </row>
    <row r="6472" ht="15.75" customHeight="1">
      <c r="A6472" s="35"/>
      <c r="C6472" s="442"/>
      <c r="P6472" s="235"/>
      <c r="AI6472" s="38"/>
    </row>
    <row r="6473" ht="15.75" customHeight="1">
      <c r="A6473" s="35"/>
      <c r="C6473" s="442"/>
      <c r="P6473" s="235"/>
      <c r="AI6473" s="38"/>
    </row>
    <row r="6474" ht="15.75" customHeight="1">
      <c r="A6474" s="35"/>
      <c r="C6474" s="442"/>
      <c r="P6474" s="235"/>
      <c r="AI6474" s="38"/>
    </row>
    <row r="6475" ht="15.75" customHeight="1">
      <c r="A6475" s="35"/>
      <c r="C6475" s="442"/>
      <c r="P6475" s="235"/>
      <c r="AI6475" s="38"/>
    </row>
    <row r="6476" ht="15.75" customHeight="1">
      <c r="A6476" s="35"/>
      <c r="C6476" s="442"/>
      <c r="P6476" s="235"/>
      <c r="AI6476" s="38"/>
    </row>
    <row r="6477" ht="15.75" customHeight="1">
      <c r="A6477" s="35"/>
      <c r="C6477" s="442"/>
      <c r="P6477" s="235"/>
      <c r="AI6477" s="38"/>
    </row>
    <row r="6478" ht="15.75" customHeight="1">
      <c r="A6478" s="35"/>
      <c r="C6478" s="442"/>
      <c r="P6478" s="235"/>
      <c r="AI6478" s="38"/>
    </row>
    <row r="6479" ht="15.75" customHeight="1">
      <c r="A6479" s="35"/>
      <c r="C6479" s="442"/>
      <c r="P6479" s="235"/>
      <c r="AI6479" s="38"/>
    </row>
    <row r="6480" ht="15.75" customHeight="1">
      <c r="A6480" s="35"/>
      <c r="C6480" s="442"/>
      <c r="P6480" s="235"/>
      <c r="AI6480" s="38"/>
    </row>
    <row r="6481" ht="15.75" customHeight="1">
      <c r="A6481" s="35"/>
      <c r="C6481" s="442"/>
      <c r="P6481" s="235"/>
      <c r="AI6481" s="38"/>
    </row>
    <row r="6482" ht="15.75" customHeight="1">
      <c r="A6482" s="35"/>
      <c r="C6482" s="442"/>
      <c r="P6482" s="235"/>
      <c r="AI6482" s="38"/>
    </row>
    <row r="6483" ht="15.75" customHeight="1">
      <c r="A6483" s="35"/>
      <c r="C6483" s="442"/>
      <c r="P6483" s="235"/>
      <c r="AI6483" s="38"/>
    </row>
    <row r="6484" ht="15.75" customHeight="1">
      <c r="A6484" s="35"/>
      <c r="C6484" s="442"/>
      <c r="P6484" s="235"/>
      <c r="AI6484" s="38"/>
    </row>
    <row r="6485" ht="15.75" customHeight="1">
      <c r="A6485" s="35"/>
      <c r="C6485" s="442"/>
      <c r="P6485" s="235"/>
      <c r="AI6485" s="38"/>
    </row>
    <row r="6486" ht="15.75" customHeight="1">
      <c r="A6486" s="35"/>
      <c r="C6486" s="442"/>
      <c r="P6486" s="235"/>
      <c r="AI6486" s="38"/>
    </row>
    <row r="6487" ht="15.75" customHeight="1">
      <c r="A6487" s="35"/>
      <c r="C6487" s="442"/>
      <c r="P6487" s="235"/>
      <c r="AI6487" s="38"/>
    </row>
    <row r="6488" ht="15.75" customHeight="1">
      <c r="A6488" s="35"/>
      <c r="C6488" s="442"/>
      <c r="P6488" s="235"/>
      <c r="AI6488" s="38"/>
    </row>
    <row r="6489" ht="15.75" customHeight="1">
      <c r="A6489" s="35"/>
      <c r="C6489" s="442"/>
      <c r="P6489" s="235"/>
      <c r="AI6489" s="38"/>
    </row>
    <row r="6490" ht="15.75" customHeight="1">
      <c r="A6490" s="35"/>
      <c r="C6490" s="442"/>
      <c r="P6490" s="235"/>
      <c r="AI6490" s="38"/>
    </row>
    <row r="6491" ht="15.75" customHeight="1">
      <c r="A6491" s="35"/>
      <c r="C6491" s="442"/>
      <c r="P6491" s="235"/>
      <c r="AI6491" s="38"/>
    </row>
    <row r="6492" ht="15.75" customHeight="1">
      <c r="A6492" s="35"/>
      <c r="C6492" s="442"/>
      <c r="P6492" s="235"/>
      <c r="AI6492" s="38"/>
    </row>
    <row r="6493" ht="15.75" customHeight="1">
      <c r="A6493" s="35"/>
      <c r="C6493" s="442"/>
      <c r="P6493" s="235"/>
      <c r="AI6493" s="38"/>
    </row>
    <row r="6494" ht="15.75" customHeight="1">
      <c r="A6494" s="35"/>
      <c r="C6494" s="442"/>
      <c r="P6494" s="235"/>
      <c r="AI6494" s="38"/>
    </row>
    <row r="6495" ht="15.75" customHeight="1">
      <c r="A6495" s="35"/>
      <c r="C6495" s="442"/>
      <c r="P6495" s="235"/>
      <c r="AI6495" s="38"/>
    </row>
    <row r="6496" ht="15.75" customHeight="1">
      <c r="A6496" s="35"/>
      <c r="C6496" s="442"/>
      <c r="P6496" s="235"/>
      <c r="AI6496" s="38"/>
    </row>
    <row r="6497" ht="15.75" customHeight="1">
      <c r="A6497" s="35"/>
      <c r="C6497" s="442"/>
      <c r="P6497" s="235"/>
      <c r="AI6497" s="38"/>
    </row>
    <row r="6498" ht="15.75" customHeight="1">
      <c r="A6498" s="35"/>
      <c r="C6498" s="442"/>
      <c r="P6498" s="235"/>
      <c r="AI6498" s="38"/>
    </row>
    <row r="6499" ht="15.75" customHeight="1">
      <c r="A6499" s="35"/>
      <c r="C6499" s="442"/>
      <c r="P6499" s="235"/>
      <c r="AI6499" s="38"/>
    </row>
    <row r="6500" ht="15.75" customHeight="1">
      <c r="A6500" s="35"/>
      <c r="C6500" s="442"/>
      <c r="P6500" s="235"/>
      <c r="AI6500" s="38"/>
    </row>
    <row r="6501" ht="15.75" customHeight="1">
      <c r="A6501" s="35"/>
      <c r="C6501" s="442"/>
      <c r="P6501" s="235"/>
      <c r="AI6501" s="38"/>
    </row>
    <row r="6502" ht="15.75" customHeight="1">
      <c r="A6502" s="35"/>
      <c r="C6502" s="442"/>
      <c r="P6502" s="235"/>
      <c r="AI6502" s="38"/>
    </row>
    <row r="6503" ht="15.75" customHeight="1">
      <c r="A6503" s="35"/>
      <c r="C6503" s="442"/>
      <c r="P6503" s="235"/>
      <c r="AI6503" s="38"/>
    </row>
    <row r="6504" ht="15.75" customHeight="1">
      <c r="A6504" s="35"/>
      <c r="C6504" s="442"/>
      <c r="P6504" s="235"/>
      <c r="AI6504" s="38"/>
    </row>
    <row r="6505" ht="15.75" customHeight="1">
      <c r="A6505" s="35"/>
      <c r="C6505" s="442"/>
      <c r="P6505" s="235"/>
      <c r="AI6505" s="38"/>
    </row>
    <row r="6506" ht="15.75" customHeight="1">
      <c r="A6506" s="35"/>
      <c r="C6506" s="442"/>
      <c r="P6506" s="235"/>
      <c r="AI6506" s="38"/>
    </row>
    <row r="6507" ht="15.75" customHeight="1">
      <c r="A6507" s="35"/>
      <c r="C6507" s="442"/>
      <c r="P6507" s="235"/>
      <c r="AI6507" s="38"/>
    </row>
    <row r="6508" ht="15.75" customHeight="1">
      <c r="A6508" s="35"/>
      <c r="C6508" s="442"/>
      <c r="P6508" s="235"/>
      <c r="AI6508" s="38"/>
    </row>
    <row r="6509" ht="15.75" customHeight="1">
      <c r="A6509" s="35"/>
      <c r="C6509" s="442"/>
      <c r="P6509" s="235"/>
      <c r="AI6509" s="38"/>
    </row>
    <row r="6510" ht="15.75" customHeight="1">
      <c r="A6510" s="35"/>
      <c r="C6510" s="442"/>
      <c r="P6510" s="235"/>
      <c r="AI6510" s="38"/>
    </row>
    <row r="6511" ht="15.75" customHeight="1">
      <c r="A6511" s="35"/>
      <c r="C6511" s="442"/>
      <c r="P6511" s="235"/>
      <c r="AI6511" s="38"/>
    </row>
    <row r="6512" ht="15.75" customHeight="1">
      <c r="A6512" s="35"/>
      <c r="C6512" s="442"/>
      <c r="P6512" s="235"/>
      <c r="AI6512" s="38"/>
    </row>
    <row r="6513" ht="15.75" customHeight="1">
      <c r="A6513" s="35"/>
      <c r="C6513" s="442"/>
      <c r="P6513" s="235"/>
      <c r="AI6513" s="38"/>
    </row>
    <row r="6514" ht="15.75" customHeight="1">
      <c r="A6514" s="35"/>
      <c r="C6514" s="442"/>
      <c r="P6514" s="235"/>
      <c r="AI6514" s="38"/>
    </row>
    <row r="6515" ht="15.75" customHeight="1">
      <c r="A6515" s="35"/>
      <c r="C6515" s="442"/>
      <c r="P6515" s="235"/>
      <c r="AI6515" s="38"/>
    </row>
    <row r="6516" ht="15.75" customHeight="1">
      <c r="A6516" s="35"/>
      <c r="C6516" s="442"/>
      <c r="P6516" s="235"/>
      <c r="AI6516" s="38"/>
    </row>
    <row r="6517" ht="15.75" customHeight="1">
      <c r="A6517" s="35"/>
      <c r="C6517" s="442"/>
      <c r="P6517" s="235"/>
      <c r="AI6517" s="38"/>
    </row>
    <row r="6518" ht="15.75" customHeight="1">
      <c r="A6518" s="35"/>
      <c r="C6518" s="442"/>
      <c r="P6518" s="235"/>
      <c r="AI6518" s="38"/>
    </row>
    <row r="6519" ht="15.75" customHeight="1">
      <c r="A6519" s="35"/>
      <c r="C6519" s="442"/>
      <c r="P6519" s="235"/>
      <c r="AI6519" s="38"/>
    </row>
    <row r="6520" ht="15.75" customHeight="1">
      <c r="A6520" s="35"/>
      <c r="C6520" s="442"/>
      <c r="P6520" s="235"/>
      <c r="AI6520" s="38"/>
    </row>
    <row r="6521" ht="15.75" customHeight="1">
      <c r="A6521" s="35"/>
      <c r="C6521" s="442"/>
      <c r="P6521" s="235"/>
      <c r="AI6521" s="38"/>
    </row>
    <row r="6522" ht="15.75" customHeight="1">
      <c r="A6522" s="35"/>
      <c r="C6522" s="442"/>
      <c r="P6522" s="235"/>
      <c r="AI6522" s="38"/>
    </row>
    <row r="6523" ht="15.75" customHeight="1">
      <c r="A6523" s="35"/>
      <c r="C6523" s="442"/>
      <c r="P6523" s="235"/>
      <c r="AI6523" s="38"/>
    </row>
    <row r="6524" ht="15.75" customHeight="1">
      <c r="A6524" s="35"/>
      <c r="C6524" s="442"/>
      <c r="P6524" s="235"/>
      <c r="AI6524" s="38"/>
    </row>
    <row r="6525" ht="15.75" customHeight="1">
      <c r="A6525" s="35"/>
      <c r="C6525" s="442"/>
      <c r="P6525" s="235"/>
      <c r="AI6525" s="38"/>
    </row>
    <row r="6526" ht="15.75" customHeight="1">
      <c r="A6526" s="35"/>
      <c r="C6526" s="442"/>
      <c r="P6526" s="235"/>
      <c r="AI6526" s="38"/>
    </row>
    <row r="6527" ht="15.75" customHeight="1">
      <c r="A6527" s="35"/>
      <c r="C6527" s="442"/>
      <c r="P6527" s="235"/>
      <c r="AI6527" s="38"/>
    </row>
    <row r="6528" ht="15.75" customHeight="1">
      <c r="A6528" s="35"/>
      <c r="C6528" s="442"/>
      <c r="P6528" s="235"/>
      <c r="AI6528" s="38"/>
    </row>
    <row r="6529" ht="15.75" customHeight="1">
      <c r="A6529" s="35"/>
      <c r="C6529" s="442"/>
      <c r="P6529" s="235"/>
      <c r="AI6529" s="38"/>
    </row>
    <row r="6530" ht="15.75" customHeight="1">
      <c r="A6530" s="35"/>
      <c r="C6530" s="442"/>
      <c r="P6530" s="235"/>
      <c r="AI6530" s="38"/>
    </row>
    <row r="6531" ht="15.75" customHeight="1">
      <c r="A6531" s="35"/>
      <c r="C6531" s="442"/>
      <c r="P6531" s="235"/>
      <c r="AI6531" s="38"/>
    </row>
    <row r="6532" ht="15.75" customHeight="1">
      <c r="A6532" s="35"/>
      <c r="C6532" s="442"/>
      <c r="P6532" s="235"/>
      <c r="AI6532" s="38"/>
    </row>
    <row r="6533" ht="15.75" customHeight="1">
      <c r="A6533" s="35"/>
      <c r="C6533" s="442"/>
      <c r="P6533" s="235"/>
      <c r="AI6533" s="38"/>
    </row>
    <row r="6534" ht="15.75" customHeight="1">
      <c r="A6534" s="35"/>
      <c r="C6534" s="442"/>
      <c r="P6534" s="235"/>
      <c r="AI6534" s="38"/>
    </row>
    <row r="6535" ht="15.75" customHeight="1">
      <c r="A6535" s="35"/>
      <c r="C6535" s="442"/>
      <c r="P6535" s="235"/>
      <c r="AI6535" s="38"/>
    </row>
    <row r="6536" ht="15.75" customHeight="1">
      <c r="A6536" s="35"/>
      <c r="C6536" s="442"/>
      <c r="P6536" s="235"/>
      <c r="AI6536" s="38"/>
    </row>
    <row r="6537" ht="15.75" customHeight="1">
      <c r="A6537" s="35"/>
      <c r="C6537" s="442"/>
      <c r="P6537" s="235"/>
      <c r="AI6537" s="38"/>
    </row>
    <row r="6538" ht="15.75" customHeight="1">
      <c r="A6538" s="35"/>
      <c r="C6538" s="442"/>
      <c r="P6538" s="235"/>
      <c r="AI6538" s="38"/>
    </row>
    <row r="6539" ht="15.75" customHeight="1">
      <c r="A6539" s="35"/>
      <c r="C6539" s="442"/>
      <c r="P6539" s="235"/>
      <c r="AI6539" s="38"/>
    </row>
    <row r="6540" ht="15.75" customHeight="1">
      <c r="A6540" s="35"/>
      <c r="C6540" s="442"/>
      <c r="P6540" s="235"/>
      <c r="AI6540" s="38"/>
    </row>
    <row r="6541" ht="15.75" customHeight="1">
      <c r="A6541" s="35"/>
      <c r="C6541" s="442"/>
      <c r="P6541" s="235"/>
      <c r="AI6541" s="38"/>
    </row>
    <row r="6542" ht="15.75" customHeight="1">
      <c r="A6542" s="35"/>
      <c r="C6542" s="442"/>
      <c r="P6542" s="235"/>
      <c r="AI6542" s="38"/>
    </row>
    <row r="6543" ht="15.75" customHeight="1">
      <c r="A6543" s="35"/>
      <c r="C6543" s="442"/>
      <c r="P6543" s="235"/>
      <c r="AI6543" s="38"/>
    </row>
    <row r="6544" ht="15.75" customHeight="1">
      <c r="A6544" s="35"/>
      <c r="C6544" s="442"/>
      <c r="P6544" s="235"/>
      <c r="AI6544" s="38"/>
    </row>
    <row r="6545" ht="15.75" customHeight="1">
      <c r="A6545" s="35"/>
      <c r="C6545" s="442"/>
      <c r="P6545" s="235"/>
      <c r="AI6545" s="38"/>
    </row>
    <row r="6546" ht="15.75" customHeight="1">
      <c r="A6546" s="35"/>
      <c r="C6546" s="442"/>
      <c r="P6546" s="235"/>
      <c r="AI6546" s="38"/>
    </row>
    <row r="6547" ht="15.75" customHeight="1">
      <c r="A6547" s="35"/>
      <c r="C6547" s="442"/>
      <c r="P6547" s="235"/>
      <c r="AI6547" s="38"/>
    </row>
    <row r="6548" ht="15.75" customHeight="1">
      <c r="A6548" s="35"/>
      <c r="C6548" s="442"/>
      <c r="P6548" s="235"/>
      <c r="AI6548" s="38"/>
    </row>
    <row r="6549" ht="15.75" customHeight="1">
      <c r="A6549" s="35"/>
      <c r="C6549" s="442"/>
      <c r="P6549" s="235"/>
      <c r="AI6549" s="38"/>
    </row>
    <row r="6550" ht="15.75" customHeight="1">
      <c r="A6550" s="35"/>
      <c r="C6550" s="442"/>
      <c r="P6550" s="235"/>
      <c r="AI6550" s="38"/>
    </row>
    <row r="6551" ht="15.75" customHeight="1">
      <c r="A6551" s="35"/>
      <c r="C6551" s="442"/>
      <c r="P6551" s="235"/>
      <c r="AI6551" s="38"/>
    </row>
    <row r="6552" ht="15.75" customHeight="1">
      <c r="A6552" s="35"/>
      <c r="C6552" s="442"/>
      <c r="P6552" s="235"/>
      <c r="AI6552" s="38"/>
    </row>
    <row r="6553" ht="15.75" customHeight="1">
      <c r="A6553" s="35"/>
      <c r="C6553" s="442"/>
      <c r="P6553" s="235"/>
      <c r="AI6553" s="38"/>
    </row>
    <row r="6554" ht="15.75" customHeight="1">
      <c r="A6554" s="35"/>
      <c r="C6554" s="442"/>
      <c r="P6554" s="235"/>
      <c r="AI6554" s="38"/>
    </row>
    <row r="6555" ht="15.75" customHeight="1">
      <c r="A6555" s="35"/>
      <c r="C6555" s="442"/>
      <c r="P6555" s="235"/>
      <c r="AI6555" s="38"/>
    </row>
    <row r="6556" ht="15.75" customHeight="1">
      <c r="A6556" s="35"/>
      <c r="C6556" s="442"/>
      <c r="P6556" s="235"/>
      <c r="AI6556" s="38"/>
    </row>
    <row r="6557" ht="15.75" customHeight="1">
      <c r="A6557" s="35"/>
      <c r="C6557" s="442"/>
      <c r="P6557" s="235"/>
      <c r="AI6557" s="38"/>
    </row>
    <row r="6558" ht="15.75" customHeight="1">
      <c r="A6558" s="35"/>
      <c r="C6558" s="442"/>
      <c r="P6558" s="235"/>
      <c r="AI6558" s="38"/>
    </row>
    <row r="6559" ht="15.75" customHeight="1">
      <c r="A6559" s="35"/>
      <c r="C6559" s="442"/>
      <c r="P6559" s="235"/>
      <c r="AI6559" s="38"/>
    </row>
    <row r="6560" ht="15.75" customHeight="1">
      <c r="A6560" s="35"/>
      <c r="C6560" s="442"/>
      <c r="P6560" s="235"/>
      <c r="AI6560" s="38"/>
    </row>
    <row r="6561" ht="15.75" customHeight="1">
      <c r="A6561" s="35"/>
      <c r="C6561" s="442"/>
      <c r="P6561" s="235"/>
      <c r="AI6561" s="38"/>
    </row>
    <row r="6562" ht="15.75" customHeight="1">
      <c r="A6562" s="35"/>
      <c r="C6562" s="442"/>
      <c r="P6562" s="235"/>
      <c r="AI6562" s="38"/>
    </row>
    <row r="6563" ht="15.75" customHeight="1">
      <c r="A6563" s="35"/>
      <c r="C6563" s="442"/>
      <c r="P6563" s="235"/>
      <c r="AI6563" s="38"/>
    </row>
    <row r="6564" ht="15.75" customHeight="1">
      <c r="A6564" s="35"/>
      <c r="C6564" s="442"/>
      <c r="P6564" s="235"/>
      <c r="AI6564" s="38"/>
    </row>
    <row r="6565" ht="15.75" customHeight="1">
      <c r="A6565" s="35"/>
      <c r="C6565" s="442"/>
      <c r="P6565" s="235"/>
      <c r="AI6565" s="38"/>
    </row>
    <row r="6566" ht="15.75" customHeight="1">
      <c r="A6566" s="35"/>
      <c r="C6566" s="442"/>
      <c r="P6566" s="235"/>
      <c r="AI6566" s="38"/>
    </row>
    <row r="6567" ht="15.75" customHeight="1">
      <c r="A6567" s="35"/>
      <c r="C6567" s="442"/>
      <c r="P6567" s="235"/>
      <c r="AI6567" s="38"/>
    </row>
    <row r="6568" ht="15.75" customHeight="1">
      <c r="A6568" s="35"/>
      <c r="C6568" s="442"/>
      <c r="P6568" s="235"/>
      <c r="AI6568" s="38"/>
    </row>
    <row r="6569" ht="15.75" customHeight="1">
      <c r="A6569" s="35"/>
      <c r="C6569" s="442"/>
      <c r="P6569" s="235"/>
      <c r="AI6569" s="38"/>
    </row>
    <row r="6570" ht="15.75" customHeight="1">
      <c r="A6570" s="35"/>
      <c r="C6570" s="442"/>
      <c r="P6570" s="235"/>
      <c r="AI6570" s="38"/>
    </row>
    <row r="6571" ht="15.75" customHeight="1">
      <c r="A6571" s="35"/>
      <c r="C6571" s="442"/>
      <c r="P6571" s="235"/>
      <c r="AI6571" s="38"/>
    </row>
    <row r="6572" ht="15.75" customHeight="1">
      <c r="A6572" s="35"/>
      <c r="C6572" s="442"/>
      <c r="P6572" s="235"/>
      <c r="AI6572" s="38"/>
    </row>
    <row r="6573" ht="15.75" customHeight="1">
      <c r="A6573" s="35"/>
      <c r="C6573" s="442"/>
      <c r="P6573" s="235"/>
      <c r="AI6573" s="38"/>
    </row>
    <row r="6574" ht="15.75" customHeight="1">
      <c r="A6574" s="35"/>
      <c r="C6574" s="442"/>
      <c r="P6574" s="235"/>
      <c r="AI6574" s="38"/>
    </row>
    <row r="6575" ht="15.75" customHeight="1">
      <c r="A6575" s="35"/>
      <c r="C6575" s="442"/>
      <c r="P6575" s="235"/>
      <c r="AI6575" s="38"/>
    </row>
    <row r="6576" ht="15.75" customHeight="1">
      <c r="A6576" s="35"/>
      <c r="C6576" s="442"/>
      <c r="P6576" s="235"/>
      <c r="AI6576" s="38"/>
    </row>
    <row r="6577" ht="15.75" customHeight="1">
      <c r="A6577" s="35"/>
      <c r="C6577" s="442"/>
      <c r="P6577" s="235"/>
      <c r="AI6577" s="38"/>
    </row>
    <row r="6578" ht="15.75" customHeight="1">
      <c r="A6578" s="35"/>
      <c r="C6578" s="442"/>
      <c r="P6578" s="235"/>
      <c r="AI6578" s="38"/>
    </row>
    <row r="6579" ht="15.75" customHeight="1">
      <c r="A6579" s="35"/>
      <c r="C6579" s="442"/>
      <c r="P6579" s="235"/>
      <c r="AI6579" s="38"/>
    </row>
    <row r="6580" ht="15.75" customHeight="1">
      <c r="A6580" s="35"/>
      <c r="C6580" s="442"/>
      <c r="P6580" s="235"/>
      <c r="AI6580" s="38"/>
    </row>
    <row r="6581" ht="15.75" customHeight="1">
      <c r="A6581" s="35"/>
      <c r="C6581" s="442"/>
      <c r="P6581" s="235"/>
      <c r="AI6581" s="38"/>
    </row>
    <row r="6582" ht="15.75" customHeight="1">
      <c r="A6582" s="35"/>
      <c r="C6582" s="442"/>
      <c r="P6582" s="235"/>
      <c r="AI6582" s="38"/>
    </row>
    <row r="6583" ht="15.75" customHeight="1">
      <c r="A6583" s="35"/>
      <c r="C6583" s="442"/>
      <c r="P6583" s="235"/>
      <c r="AI6583" s="38"/>
    </row>
    <row r="6584" ht="15.75" customHeight="1">
      <c r="A6584" s="35"/>
      <c r="C6584" s="442"/>
      <c r="P6584" s="235"/>
      <c r="AI6584" s="38"/>
    </row>
    <row r="6585" ht="15.75" customHeight="1">
      <c r="A6585" s="35"/>
      <c r="C6585" s="442"/>
      <c r="P6585" s="235"/>
      <c r="AI6585" s="38"/>
    </row>
    <row r="6586" ht="15.75" customHeight="1">
      <c r="A6586" s="35"/>
      <c r="C6586" s="442"/>
      <c r="P6586" s="235"/>
      <c r="AI6586" s="38"/>
    </row>
    <row r="6587" ht="15.75" customHeight="1">
      <c r="A6587" s="35"/>
      <c r="C6587" s="442"/>
      <c r="P6587" s="235"/>
      <c r="AI6587" s="38"/>
    </row>
    <row r="6588" ht="15.75" customHeight="1">
      <c r="A6588" s="35"/>
      <c r="C6588" s="442"/>
      <c r="P6588" s="235"/>
      <c r="AI6588" s="38"/>
    </row>
    <row r="6589" ht="15.75" customHeight="1">
      <c r="A6589" s="35"/>
      <c r="C6589" s="442"/>
      <c r="P6589" s="235"/>
      <c r="AI6589" s="38"/>
    </row>
    <row r="6590" ht="15.75" customHeight="1">
      <c r="A6590" s="35"/>
      <c r="C6590" s="442"/>
      <c r="P6590" s="235"/>
      <c r="AI6590" s="38"/>
    </row>
    <row r="6591" ht="15.75" customHeight="1">
      <c r="A6591" s="35"/>
      <c r="C6591" s="442"/>
      <c r="P6591" s="235"/>
      <c r="AI6591" s="38"/>
    </row>
    <row r="6592" ht="15.75" customHeight="1">
      <c r="A6592" s="35"/>
      <c r="C6592" s="442"/>
      <c r="P6592" s="235"/>
      <c r="AI6592" s="38"/>
    </row>
    <row r="6593" ht="15.75" customHeight="1">
      <c r="A6593" s="35"/>
      <c r="C6593" s="442"/>
      <c r="P6593" s="235"/>
      <c r="AI6593" s="38"/>
    </row>
    <row r="6594" ht="15.75" customHeight="1">
      <c r="A6594" s="35"/>
      <c r="C6594" s="442"/>
      <c r="P6594" s="235"/>
      <c r="AI6594" s="38"/>
    </row>
    <row r="6595" ht="15.75" customHeight="1">
      <c r="A6595" s="35"/>
      <c r="C6595" s="442"/>
      <c r="P6595" s="235"/>
      <c r="AI6595" s="38"/>
    </row>
    <row r="6596" ht="15.75" customHeight="1">
      <c r="A6596" s="35"/>
      <c r="C6596" s="442"/>
      <c r="P6596" s="235"/>
      <c r="AI6596" s="38"/>
    </row>
    <row r="6597" ht="15.75" customHeight="1">
      <c r="A6597" s="35"/>
      <c r="C6597" s="442"/>
      <c r="P6597" s="235"/>
      <c r="AI6597" s="38"/>
    </row>
    <row r="6598" ht="15.75" customHeight="1">
      <c r="A6598" s="35"/>
      <c r="C6598" s="442"/>
      <c r="P6598" s="235"/>
      <c r="AI6598" s="38"/>
    </row>
    <row r="6599" ht="15.75" customHeight="1">
      <c r="A6599" s="35"/>
      <c r="C6599" s="442"/>
      <c r="P6599" s="235"/>
      <c r="AI6599" s="38"/>
    </row>
    <row r="6600" ht="15.75" customHeight="1">
      <c r="A6600" s="35"/>
      <c r="C6600" s="442"/>
      <c r="P6600" s="235"/>
      <c r="AI6600" s="38"/>
    </row>
    <row r="6601" ht="15.75" customHeight="1">
      <c r="A6601" s="35"/>
      <c r="C6601" s="442"/>
      <c r="P6601" s="235"/>
      <c r="AI6601" s="38"/>
    </row>
    <row r="6602" ht="15.75" customHeight="1">
      <c r="A6602" s="35"/>
      <c r="C6602" s="442"/>
      <c r="P6602" s="235"/>
      <c r="AI6602" s="38"/>
    </row>
    <row r="6603" ht="15.75" customHeight="1">
      <c r="A6603" s="35"/>
      <c r="C6603" s="442"/>
      <c r="P6603" s="235"/>
      <c r="AI6603" s="38"/>
    </row>
    <row r="6604" ht="15.75" customHeight="1">
      <c r="A6604" s="35"/>
      <c r="C6604" s="442"/>
      <c r="P6604" s="235"/>
      <c r="AI6604" s="38"/>
    </row>
    <row r="6605" ht="15.75" customHeight="1">
      <c r="A6605" s="35"/>
      <c r="C6605" s="442"/>
      <c r="P6605" s="235"/>
      <c r="AI6605" s="38"/>
    </row>
    <row r="6606" ht="15.75" customHeight="1">
      <c r="A6606" s="35"/>
      <c r="C6606" s="442"/>
      <c r="P6606" s="235"/>
      <c r="AI6606" s="38"/>
    </row>
    <row r="6607" ht="15.75" customHeight="1">
      <c r="A6607" s="35"/>
      <c r="C6607" s="442"/>
      <c r="P6607" s="235"/>
      <c r="AI6607" s="38"/>
    </row>
    <row r="6608" ht="15.75" customHeight="1">
      <c r="A6608" s="35"/>
      <c r="C6608" s="442"/>
      <c r="P6608" s="235"/>
      <c r="AI6608" s="38"/>
    </row>
    <row r="6609" ht="15.75" customHeight="1">
      <c r="A6609" s="35"/>
      <c r="C6609" s="442"/>
      <c r="P6609" s="235"/>
      <c r="AI6609" s="38"/>
    </row>
    <row r="6610" ht="15.75" customHeight="1">
      <c r="A6610" s="35"/>
      <c r="C6610" s="442"/>
      <c r="P6610" s="235"/>
      <c r="AI6610" s="38"/>
    </row>
    <row r="6611" ht="15.75" customHeight="1">
      <c r="A6611" s="35"/>
      <c r="C6611" s="442"/>
      <c r="P6611" s="235"/>
      <c r="AI6611" s="38"/>
    </row>
    <row r="6612" ht="15.75" customHeight="1">
      <c r="A6612" s="35"/>
      <c r="C6612" s="442"/>
      <c r="P6612" s="235"/>
      <c r="AI6612" s="38"/>
    </row>
    <row r="6613" ht="15.75" customHeight="1">
      <c r="A6613" s="35"/>
      <c r="C6613" s="442"/>
      <c r="P6613" s="235"/>
      <c r="AI6613" s="38"/>
    </row>
    <row r="6614" ht="15.75" customHeight="1">
      <c r="A6614" s="35"/>
      <c r="C6614" s="442"/>
      <c r="P6614" s="235"/>
      <c r="AI6614" s="38"/>
    </row>
    <row r="6615" ht="15.75" customHeight="1">
      <c r="A6615" s="35"/>
      <c r="C6615" s="442"/>
      <c r="P6615" s="235"/>
      <c r="AI6615" s="38"/>
    </row>
    <row r="6616" ht="15.75" customHeight="1">
      <c r="A6616" s="35"/>
      <c r="C6616" s="442"/>
      <c r="P6616" s="235"/>
      <c r="AI6616" s="38"/>
    </row>
    <row r="6617" ht="15.75" customHeight="1">
      <c r="A6617" s="35"/>
      <c r="C6617" s="442"/>
      <c r="P6617" s="235"/>
      <c r="AI6617" s="38"/>
    </row>
    <row r="6618" ht="15.75" customHeight="1">
      <c r="A6618" s="35"/>
      <c r="C6618" s="442"/>
      <c r="P6618" s="235"/>
      <c r="AI6618" s="38"/>
    </row>
    <row r="6619" ht="15.75" customHeight="1">
      <c r="A6619" s="35"/>
      <c r="C6619" s="442"/>
      <c r="P6619" s="235"/>
      <c r="AI6619" s="38"/>
    </row>
    <row r="6620" ht="15.75" customHeight="1">
      <c r="A6620" s="35"/>
      <c r="C6620" s="442"/>
      <c r="P6620" s="235"/>
      <c r="AI6620" s="38"/>
    </row>
    <row r="6621" ht="15.75" customHeight="1">
      <c r="A6621" s="35"/>
      <c r="C6621" s="442"/>
      <c r="P6621" s="235"/>
      <c r="AI6621" s="38"/>
    </row>
    <row r="6622" ht="15.75" customHeight="1">
      <c r="A6622" s="35"/>
      <c r="C6622" s="442"/>
      <c r="P6622" s="235"/>
      <c r="AI6622" s="38"/>
    </row>
    <row r="6623" ht="15.75" customHeight="1">
      <c r="A6623" s="35"/>
      <c r="C6623" s="442"/>
      <c r="P6623" s="235"/>
      <c r="AI6623" s="38"/>
    </row>
    <row r="6624" ht="15.75" customHeight="1">
      <c r="A6624" s="35"/>
      <c r="C6624" s="442"/>
      <c r="P6624" s="235"/>
      <c r="AI6624" s="38"/>
    </row>
    <row r="6625" ht="15.75" customHeight="1">
      <c r="A6625" s="35"/>
      <c r="C6625" s="442"/>
      <c r="P6625" s="235"/>
      <c r="AI6625" s="38"/>
    </row>
    <row r="6626" ht="15.75" customHeight="1">
      <c r="A6626" s="35"/>
      <c r="C6626" s="442"/>
      <c r="P6626" s="235"/>
      <c r="AI6626" s="38"/>
    </row>
    <row r="6627" ht="15.75" customHeight="1">
      <c r="A6627" s="35"/>
      <c r="C6627" s="442"/>
      <c r="P6627" s="235"/>
      <c r="AI6627" s="38"/>
    </row>
    <row r="6628" ht="15.75" customHeight="1">
      <c r="A6628" s="35"/>
      <c r="C6628" s="442"/>
      <c r="P6628" s="235"/>
      <c r="AI6628" s="38"/>
    </row>
    <row r="6629" ht="15.75" customHeight="1">
      <c r="A6629" s="35"/>
      <c r="C6629" s="442"/>
      <c r="P6629" s="235"/>
      <c r="AI6629" s="38"/>
    </row>
    <row r="6630" ht="15.75" customHeight="1">
      <c r="A6630" s="35"/>
      <c r="C6630" s="442"/>
      <c r="P6630" s="235"/>
      <c r="AI6630" s="38"/>
    </row>
    <row r="6631" ht="15.75" customHeight="1">
      <c r="A6631" s="35"/>
      <c r="C6631" s="442"/>
      <c r="P6631" s="235"/>
      <c r="AI6631" s="38"/>
    </row>
    <row r="6632" ht="15.75" customHeight="1">
      <c r="A6632" s="35"/>
      <c r="C6632" s="442"/>
      <c r="P6632" s="235"/>
      <c r="AI6632" s="38"/>
    </row>
    <row r="6633" ht="15.75" customHeight="1">
      <c r="A6633" s="35"/>
      <c r="C6633" s="442"/>
      <c r="P6633" s="235"/>
      <c r="AI6633" s="38"/>
    </row>
    <row r="6634" ht="15.75" customHeight="1">
      <c r="A6634" s="35"/>
      <c r="C6634" s="442"/>
      <c r="P6634" s="235"/>
      <c r="AI6634" s="38"/>
    </row>
    <row r="6635" ht="15.75" customHeight="1">
      <c r="A6635" s="35"/>
      <c r="C6635" s="442"/>
      <c r="P6635" s="235"/>
      <c r="AI6635" s="38"/>
    </row>
    <row r="6636" ht="15.75" customHeight="1">
      <c r="A6636" s="35"/>
      <c r="C6636" s="442"/>
      <c r="P6636" s="235"/>
      <c r="AI6636" s="38"/>
    </row>
    <row r="6637" ht="15.75" customHeight="1">
      <c r="A6637" s="35"/>
      <c r="C6637" s="442"/>
      <c r="P6637" s="235"/>
      <c r="AI6637" s="38"/>
    </row>
    <row r="6638" ht="15.75" customHeight="1">
      <c r="A6638" s="35"/>
      <c r="C6638" s="442"/>
      <c r="P6638" s="235"/>
      <c r="AI6638" s="38"/>
    </row>
    <row r="6639" ht="15.75" customHeight="1">
      <c r="A6639" s="35"/>
      <c r="C6639" s="442"/>
      <c r="P6639" s="235"/>
      <c r="AI6639" s="38"/>
    </row>
    <row r="6640" ht="15.75" customHeight="1">
      <c r="A6640" s="35"/>
      <c r="C6640" s="442"/>
      <c r="P6640" s="235"/>
      <c r="AI6640" s="38"/>
    </row>
    <row r="6641" ht="15.75" customHeight="1">
      <c r="A6641" s="35"/>
      <c r="C6641" s="442"/>
      <c r="P6641" s="235"/>
      <c r="AI6641" s="38"/>
    </row>
    <row r="6642" ht="15.75" customHeight="1">
      <c r="A6642" s="35"/>
      <c r="C6642" s="442"/>
      <c r="P6642" s="235"/>
      <c r="AI6642" s="38"/>
    </row>
    <row r="6643" ht="15.75" customHeight="1">
      <c r="A6643" s="35"/>
      <c r="C6643" s="442"/>
      <c r="P6643" s="235"/>
      <c r="AI6643" s="38"/>
    </row>
    <row r="6644" ht="15.75" customHeight="1">
      <c r="A6644" s="35"/>
      <c r="C6644" s="442"/>
      <c r="P6644" s="235"/>
      <c r="AI6644" s="38"/>
    </row>
    <row r="6645" ht="15.75" customHeight="1">
      <c r="A6645" s="35"/>
      <c r="C6645" s="442"/>
      <c r="P6645" s="235"/>
      <c r="AI6645" s="38"/>
    </row>
    <row r="6646" ht="15.75" customHeight="1">
      <c r="A6646" s="35"/>
      <c r="C6646" s="442"/>
      <c r="P6646" s="235"/>
      <c r="AI6646" s="38"/>
    </row>
    <row r="6647" ht="15.75" customHeight="1">
      <c r="A6647" s="35"/>
      <c r="C6647" s="442"/>
      <c r="P6647" s="235"/>
      <c r="AI6647" s="38"/>
    </row>
    <row r="6648" ht="15.75" customHeight="1">
      <c r="A6648" s="35"/>
      <c r="C6648" s="442"/>
      <c r="P6648" s="235"/>
      <c r="AI6648" s="38"/>
    </row>
    <row r="6649" ht="15.75" customHeight="1">
      <c r="A6649" s="35"/>
      <c r="C6649" s="442"/>
      <c r="P6649" s="235"/>
      <c r="AI6649" s="38"/>
    </row>
    <row r="6650" ht="15.75" customHeight="1">
      <c r="A6650" s="35"/>
      <c r="C6650" s="442"/>
      <c r="P6650" s="235"/>
      <c r="AI6650" s="38"/>
    </row>
    <row r="6651" ht="15.75" customHeight="1">
      <c r="A6651" s="35"/>
      <c r="C6651" s="442"/>
      <c r="P6651" s="235"/>
      <c r="AI6651" s="38"/>
    </row>
    <row r="6652" ht="15.75" customHeight="1">
      <c r="A6652" s="35"/>
      <c r="C6652" s="442"/>
      <c r="P6652" s="235"/>
      <c r="AI6652" s="38"/>
    </row>
    <row r="6653" ht="15.75" customHeight="1">
      <c r="A6653" s="35"/>
      <c r="C6653" s="442"/>
      <c r="P6653" s="235"/>
      <c r="AI6653" s="38"/>
    </row>
    <row r="6654" ht="15.75" customHeight="1">
      <c r="A6654" s="35"/>
      <c r="C6654" s="442"/>
      <c r="P6654" s="235"/>
      <c r="AI6654" s="38"/>
    </row>
    <row r="6655" ht="15.75" customHeight="1">
      <c r="A6655" s="35"/>
      <c r="C6655" s="442"/>
      <c r="P6655" s="235"/>
      <c r="AI6655" s="38"/>
    </row>
    <row r="6656" ht="15.75" customHeight="1">
      <c r="A6656" s="35"/>
      <c r="C6656" s="442"/>
      <c r="P6656" s="235"/>
      <c r="AI6656" s="38"/>
    </row>
    <row r="6657" ht="15.75" customHeight="1">
      <c r="A6657" s="35"/>
      <c r="C6657" s="442"/>
      <c r="P6657" s="235"/>
      <c r="AI6657" s="38"/>
    </row>
    <row r="6658" ht="15.75" customHeight="1">
      <c r="A6658" s="35"/>
      <c r="C6658" s="442"/>
      <c r="P6658" s="235"/>
      <c r="AI6658" s="38"/>
    </row>
    <row r="6659" ht="15.75" customHeight="1">
      <c r="A6659" s="35"/>
      <c r="C6659" s="442"/>
      <c r="P6659" s="235"/>
      <c r="AI6659" s="38"/>
    </row>
    <row r="6660" ht="15.75" customHeight="1">
      <c r="A6660" s="35"/>
      <c r="C6660" s="442"/>
      <c r="P6660" s="235"/>
      <c r="AI6660" s="38"/>
    </row>
    <row r="6661" ht="15.75" customHeight="1">
      <c r="A6661" s="35"/>
      <c r="C6661" s="442"/>
      <c r="P6661" s="235"/>
      <c r="AI6661" s="38"/>
    </row>
    <row r="6662" ht="15.75" customHeight="1">
      <c r="A6662" s="35"/>
      <c r="C6662" s="442"/>
      <c r="P6662" s="235"/>
      <c r="AI6662" s="38"/>
    </row>
    <row r="6663" ht="15.75" customHeight="1">
      <c r="A6663" s="35"/>
      <c r="C6663" s="442"/>
      <c r="P6663" s="235"/>
      <c r="AI6663" s="38"/>
    </row>
    <row r="6664" ht="15.75" customHeight="1">
      <c r="A6664" s="35"/>
      <c r="C6664" s="442"/>
      <c r="P6664" s="235"/>
      <c r="AI6664" s="38"/>
    </row>
    <row r="6665" ht="15.75" customHeight="1">
      <c r="A6665" s="35"/>
      <c r="C6665" s="442"/>
      <c r="P6665" s="235"/>
      <c r="AI6665" s="38"/>
    </row>
    <row r="6666" ht="15.75" customHeight="1">
      <c r="A6666" s="35"/>
      <c r="C6666" s="442"/>
      <c r="P6666" s="235"/>
      <c r="AI6666" s="38"/>
    </row>
    <row r="6667" ht="15.75" customHeight="1">
      <c r="A6667" s="35"/>
      <c r="C6667" s="442"/>
      <c r="P6667" s="235"/>
      <c r="AI6667" s="38"/>
    </row>
    <row r="6668" ht="15.75" customHeight="1">
      <c r="A6668" s="35"/>
      <c r="C6668" s="442"/>
      <c r="P6668" s="235"/>
      <c r="AI6668" s="38"/>
    </row>
    <row r="6669" ht="15.75" customHeight="1">
      <c r="A6669" s="35"/>
      <c r="C6669" s="442"/>
      <c r="P6669" s="235"/>
      <c r="AI6669" s="38"/>
    </row>
    <row r="6670" ht="15.75" customHeight="1">
      <c r="A6670" s="35"/>
      <c r="C6670" s="442"/>
      <c r="P6670" s="235"/>
      <c r="AI6670" s="38"/>
    </row>
    <row r="6671" ht="15.75" customHeight="1">
      <c r="A6671" s="35"/>
      <c r="C6671" s="442"/>
      <c r="P6671" s="235"/>
      <c r="AI6671" s="38"/>
    </row>
    <row r="6672" ht="15.75" customHeight="1">
      <c r="A6672" s="35"/>
      <c r="C6672" s="442"/>
      <c r="P6672" s="235"/>
      <c r="AI6672" s="38"/>
    </row>
    <row r="6673" ht="15.75" customHeight="1">
      <c r="A6673" s="35"/>
      <c r="C6673" s="442"/>
      <c r="P6673" s="235"/>
      <c r="AI6673" s="38"/>
    </row>
    <row r="6674" ht="15.75" customHeight="1">
      <c r="A6674" s="35"/>
      <c r="C6674" s="442"/>
      <c r="P6674" s="235"/>
      <c r="AI6674" s="38"/>
    </row>
    <row r="6675" ht="15.75" customHeight="1">
      <c r="A6675" s="35"/>
      <c r="C6675" s="442"/>
      <c r="P6675" s="235"/>
      <c r="AI6675" s="38"/>
    </row>
    <row r="6676" ht="15.75" customHeight="1">
      <c r="A6676" s="35"/>
      <c r="C6676" s="442"/>
      <c r="P6676" s="235"/>
      <c r="AI6676" s="38"/>
    </row>
    <row r="6677" ht="15.75" customHeight="1">
      <c r="A6677" s="35"/>
      <c r="C6677" s="442"/>
      <c r="P6677" s="235"/>
      <c r="AI6677" s="38"/>
    </row>
    <row r="6678" ht="15.75" customHeight="1">
      <c r="A6678" s="35"/>
      <c r="C6678" s="442"/>
      <c r="P6678" s="235"/>
      <c r="AI6678" s="38"/>
    </row>
    <row r="6679" ht="15.75" customHeight="1">
      <c r="A6679" s="35"/>
      <c r="C6679" s="442"/>
      <c r="P6679" s="235"/>
      <c r="AI6679" s="38"/>
    </row>
    <row r="6680" ht="15.75" customHeight="1">
      <c r="A6680" s="35"/>
      <c r="C6680" s="442"/>
      <c r="P6680" s="235"/>
      <c r="AI6680" s="38"/>
    </row>
    <row r="6681" ht="15.75" customHeight="1">
      <c r="A6681" s="35"/>
      <c r="C6681" s="442"/>
      <c r="P6681" s="235"/>
      <c r="AI6681" s="38"/>
    </row>
    <row r="6682" ht="15.75" customHeight="1">
      <c r="A6682" s="35"/>
      <c r="C6682" s="442"/>
      <c r="P6682" s="235"/>
      <c r="AI6682" s="38"/>
    </row>
    <row r="6683" ht="15.75" customHeight="1">
      <c r="A6683" s="35"/>
      <c r="C6683" s="442"/>
      <c r="P6683" s="235"/>
      <c r="AI6683" s="38"/>
    </row>
    <row r="6684" ht="15.75" customHeight="1">
      <c r="A6684" s="35"/>
      <c r="C6684" s="442"/>
      <c r="P6684" s="235"/>
      <c r="AI6684" s="38"/>
    </row>
    <row r="6685" ht="15.75" customHeight="1">
      <c r="A6685" s="35"/>
      <c r="C6685" s="442"/>
      <c r="P6685" s="235"/>
      <c r="AI6685" s="38"/>
    </row>
    <row r="6686" ht="15.75" customHeight="1">
      <c r="A6686" s="35"/>
      <c r="C6686" s="442"/>
      <c r="P6686" s="235"/>
      <c r="AI6686" s="38"/>
    </row>
    <row r="6687" ht="15.75" customHeight="1">
      <c r="A6687" s="35"/>
      <c r="C6687" s="442"/>
      <c r="P6687" s="235"/>
      <c r="AI6687" s="38"/>
    </row>
    <row r="6688" ht="15.75" customHeight="1">
      <c r="A6688" s="35"/>
      <c r="C6688" s="442"/>
      <c r="P6688" s="235"/>
      <c r="AI6688" s="38"/>
    </row>
    <row r="6689" ht="15.75" customHeight="1">
      <c r="A6689" s="35"/>
      <c r="C6689" s="442"/>
      <c r="P6689" s="235"/>
      <c r="AI6689" s="38"/>
    </row>
    <row r="6690" ht="15.75" customHeight="1">
      <c r="A6690" s="35"/>
      <c r="C6690" s="442"/>
      <c r="P6690" s="235"/>
      <c r="AI6690" s="38"/>
    </row>
    <row r="6691" ht="15.75" customHeight="1">
      <c r="A6691" s="35"/>
      <c r="C6691" s="442"/>
      <c r="P6691" s="235"/>
      <c r="AI6691" s="38"/>
    </row>
    <row r="6692" ht="15.75" customHeight="1">
      <c r="A6692" s="35"/>
      <c r="C6692" s="442"/>
      <c r="P6692" s="235"/>
      <c r="AI6692" s="38"/>
    </row>
    <row r="6693" ht="15.75" customHeight="1">
      <c r="A6693" s="35"/>
      <c r="C6693" s="442"/>
      <c r="P6693" s="235"/>
      <c r="AI6693" s="38"/>
    </row>
    <row r="6694" ht="15.75" customHeight="1">
      <c r="A6694" s="35"/>
      <c r="C6694" s="442"/>
      <c r="P6694" s="235"/>
      <c r="AI6694" s="38"/>
    </row>
    <row r="6695" ht="15.75" customHeight="1">
      <c r="A6695" s="35"/>
      <c r="C6695" s="442"/>
      <c r="P6695" s="235"/>
      <c r="AI6695" s="38"/>
    </row>
    <row r="6696" ht="15.75" customHeight="1">
      <c r="A6696" s="35"/>
      <c r="C6696" s="442"/>
      <c r="P6696" s="235"/>
      <c r="AI6696" s="38"/>
    </row>
    <row r="6697" ht="15.75" customHeight="1">
      <c r="A6697" s="35"/>
      <c r="C6697" s="442"/>
      <c r="P6697" s="235"/>
      <c r="AI6697" s="38"/>
    </row>
    <row r="6698" ht="15.75" customHeight="1">
      <c r="A6698" s="35"/>
      <c r="C6698" s="442"/>
      <c r="P6698" s="235"/>
      <c r="AI6698" s="38"/>
    </row>
    <row r="6699" ht="15.75" customHeight="1">
      <c r="A6699" s="35"/>
      <c r="C6699" s="442"/>
      <c r="P6699" s="235"/>
      <c r="AI6699" s="38"/>
    </row>
    <row r="6700" ht="15.75" customHeight="1">
      <c r="A6700" s="35"/>
      <c r="C6700" s="442"/>
      <c r="P6700" s="235"/>
      <c r="AI6700" s="38"/>
    </row>
    <row r="6701" ht="15.75" customHeight="1">
      <c r="A6701" s="35"/>
      <c r="C6701" s="442"/>
      <c r="P6701" s="235"/>
      <c r="AI6701" s="38"/>
    </row>
    <row r="6702" ht="15.75" customHeight="1">
      <c r="A6702" s="35"/>
      <c r="C6702" s="442"/>
      <c r="P6702" s="235"/>
      <c r="AI6702" s="38"/>
    </row>
    <row r="6703" ht="15.75" customHeight="1">
      <c r="A6703" s="35"/>
      <c r="C6703" s="442"/>
      <c r="P6703" s="235"/>
      <c r="AI6703" s="38"/>
    </row>
    <row r="6704" ht="15.75" customHeight="1">
      <c r="A6704" s="35"/>
      <c r="C6704" s="442"/>
      <c r="P6704" s="235"/>
      <c r="AI6704" s="38"/>
    </row>
    <row r="6705" ht="15.75" customHeight="1">
      <c r="A6705" s="35"/>
      <c r="C6705" s="442"/>
      <c r="P6705" s="235"/>
      <c r="AI6705" s="38"/>
    </row>
    <row r="6706" ht="15.75" customHeight="1">
      <c r="A6706" s="35"/>
      <c r="C6706" s="442"/>
      <c r="P6706" s="235"/>
      <c r="AI6706" s="38"/>
    </row>
    <row r="6707" ht="15.75" customHeight="1">
      <c r="A6707" s="35"/>
      <c r="C6707" s="442"/>
      <c r="P6707" s="235"/>
      <c r="AI6707" s="38"/>
    </row>
    <row r="6708" ht="15.75" customHeight="1">
      <c r="A6708" s="35"/>
      <c r="C6708" s="442"/>
      <c r="P6708" s="235"/>
      <c r="AI6708" s="38"/>
    </row>
    <row r="6709" ht="15.75" customHeight="1">
      <c r="A6709" s="35"/>
      <c r="C6709" s="442"/>
      <c r="P6709" s="235"/>
      <c r="AI6709" s="38"/>
    </row>
    <row r="6710" ht="15.75" customHeight="1">
      <c r="A6710" s="35"/>
      <c r="C6710" s="442"/>
      <c r="P6710" s="235"/>
      <c r="AI6710" s="38"/>
    </row>
    <row r="6711" ht="15.75" customHeight="1">
      <c r="A6711" s="35"/>
      <c r="C6711" s="442"/>
      <c r="P6711" s="235"/>
      <c r="AI6711" s="38"/>
    </row>
    <row r="6712" ht="15.75" customHeight="1">
      <c r="A6712" s="35"/>
      <c r="C6712" s="442"/>
      <c r="P6712" s="235"/>
      <c r="AI6712" s="38"/>
    </row>
    <row r="6713" ht="15.75" customHeight="1">
      <c r="A6713" s="35"/>
      <c r="C6713" s="442"/>
      <c r="P6713" s="235"/>
      <c r="AI6713" s="38"/>
    </row>
    <row r="6714" ht="15.75" customHeight="1">
      <c r="A6714" s="35"/>
      <c r="C6714" s="442"/>
      <c r="P6714" s="235"/>
      <c r="AI6714" s="38"/>
    </row>
    <row r="6715" ht="15.75" customHeight="1">
      <c r="A6715" s="35"/>
      <c r="C6715" s="442"/>
      <c r="P6715" s="235"/>
      <c r="AI6715" s="38"/>
    </row>
    <row r="6716" ht="15.75" customHeight="1">
      <c r="A6716" s="35"/>
      <c r="C6716" s="442"/>
      <c r="P6716" s="235"/>
      <c r="AI6716" s="38"/>
    </row>
    <row r="6717" ht="15.75" customHeight="1">
      <c r="A6717" s="35"/>
      <c r="C6717" s="442"/>
      <c r="P6717" s="235"/>
      <c r="AI6717" s="38"/>
    </row>
    <row r="6718" ht="15.75" customHeight="1">
      <c r="A6718" s="35"/>
      <c r="C6718" s="442"/>
      <c r="P6718" s="235"/>
      <c r="AI6718" s="38"/>
    </row>
    <row r="6719" ht="15.75" customHeight="1">
      <c r="A6719" s="35"/>
      <c r="C6719" s="442"/>
      <c r="P6719" s="235"/>
      <c r="AI6719" s="38"/>
    </row>
    <row r="6720" ht="15.75" customHeight="1">
      <c r="A6720" s="35"/>
      <c r="C6720" s="442"/>
      <c r="P6720" s="235"/>
      <c r="AI6720" s="38"/>
    </row>
    <row r="6721" ht="15.75" customHeight="1">
      <c r="A6721" s="35"/>
      <c r="C6721" s="442"/>
      <c r="P6721" s="235"/>
      <c r="AI6721" s="38"/>
    </row>
    <row r="6722" ht="15.75" customHeight="1">
      <c r="A6722" s="35"/>
      <c r="C6722" s="442"/>
      <c r="P6722" s="235"/>
      <c r="AI6722" s="38"/>
    </row>
    <row r="6723" ht="15.75" customHeight="1">
      <c r="A6723" s="35"/>
      <c r="C6723" s="442"/>
      <c r="P6723" s="235"/>
      <c r="AI6723" s="38"/>
    </row>
    <row r="6724" ht="15.75" customHeight="1">
      <c r="A6724" s="35"/>
      <c r="C6724" s="442"/>
      <c r="P6724" s="235"/>
      <c r="AI6724" s="38"/>
    </row>
    <row r="6725" ht="15.75" customHeight="1">
      <c r="A6725" s="35"/>
      <c r="C6725" s="442"/>
      <c r="P6725" s="235"/>
      <c r="AI6725" s="38"/>
    </row>
    <row r="6726" ht="15.75" customHeight="1">
      <c r="A6726" s="35"/>
      <c r="C6726" s="442"/>
      <c r="P6726" s="235"/>
      <c r="AI6726" s="38"/>
    </row>
    <row r="6727" ht="15.75" customHeight="1">
      <c r="A6727" s="35"/>
      <c r="C6727" s="442"/>
      <c r="P6727" s="235"/>
      <c r="AI6727" s="38"/>
    </row>
    <row r="6728" ht="15.75" customHeight="1">
      <c r="A6728" s="35"/>
      <c r="C6728" s="442"/>
      <c r="P6728" s="235"/>
      <c r="AI6728" s="38"/>
    </row>
    <row r="6729" ht="15.75" customHeight="1">
      <c r="A6729" s="35"/>
      <c r="C6729" s="442"/>
      <c r="P6729" s="235"/>
      <c r="AI6729" s="38"/>
    </row>
    <row r="6730" ht="15.75" customHeight="1">
      <c r="A6730" s="35"/>
      <c r="C6730" s="442"/>
      <c r="P6730" s="235"/>
      <c r="AI6730" s="38"/>
    </row>
    <row r="6731" ht="15.75" customHeight="1">
      <c r="A6731" s="35"/>
      <c r="C6731" s="442"/>
      <c r="P6731" s="235"/>
      <c r="AI6731" s="38"/>
    </row>
    <row r="6732" ht="15.75" customHeight="1">
      <c r="A6732" s="35"/>
      <c r="C6732" s="442"/>
      <c r="P6732" s="235"/>
      <c r="AI6732" s="38"/>
    </row>
    <row r="6733" ht="15.75" customHeight="1">
      <c r="A6733" s="35"/>
      <c r="C6733" s="442"/>
      <c r="P6733" s="235"/>
      <c r="AI6733" s="38"/>
    </row>
    <row r="6734" ht="15.75" customHeight="1">
      <c r="A6734" s="35"/>
      <c r="C6734" s="442"/>
      <c r="P6734" s="235"/>
      <c r="AI6734" s="38"/>
    </row>
    <row r="6735" ht="15.75" customHeight="1">
      <c r="A6735" s="35"/>
      <c r="C6735" s="442"/>
      <c r="P6735" s="235"/>
      <c r="AI6735" s="38"/>
    </row>
    <row r="6736" ht="15.75" customHeight="1">
      <c r="A6736" s="35"/>
      <c r="C6736" s="442"/>
      <c r="P6736" s="235"/>
      <c r="AI6736" s="38"/>
    </row>
    <row r="6737" ht="15.75" customHeight="1">
      <c r="A6737" s="35"/>
      <c r="C6737" s="442"/>
      <c r="P6737" s="235"/>
      <c r="AI6737" s="38"/>
    </row>
    <row r="6738" ht="15.75" customHeight="1">
      <c r="A6738" s="35"/>
      <c r="C6738" s="442"/>
      <c r="P6738" s="235"/>
      <c r="AI6738" s="38"/>
    </row>
    <row r="6739" ht="15.75" customHeight="1">
      <c r="A6739" s="35"/>
      <c r="C6739" s="442"/>
      <c r="P6739" s="235"/>
      <c r="AI6739" s="38"/>
    </row>
    <row r="6740" ht="15.75" customHeight="1">
      <c r="A6740" s="35"/>
      <c r="C6740" s="442"/>
      <c r="P6740" s="235"/>
      <c r="AI6740" s="38"/>
    </row>
    <row r="6741" ht="15.75" customHeight="1">
      <c r="A6741" s="35"/>
      <c r="C6741" s="442"/>
      <c r="P6741" s="235"/>
      <c r="AI6741" s="38"/>
    </row>
    <row r="6742" ht="15.75" customHeight="1">
      <c r="A6742" s="35"/>
      <c r="C6742" s="442"/>
      <c r="P6742" s="235"/>
      <c r="AI6742" s="38"/>
    </row>
    <row r="6743" ht="15.75" customHeight="1">
      <c r="A6743" s="35"/>
      <c r="C6743" s="442"/>
      <c r="P6743" s="235"/>
      <c r="AI6743" s="38"/>
    </row>
    <row r="6744" ht="15.75" customHeight="1">
      <c r="A6744" s="35"/>
      <c r="C6744" s="442"/>
      <c r="P6744" s="235"/>
      <c r="AI6744" s="38"/>
    </row>
    <row r="6745" ht="15.75" customHeight="1">
      <c r="A6745" s="35"/>
      <c r="C6745" s="442"/>
      <c r="P6745" s="235"/>
      <c r="AI6745" s="38"/>
    </row>
    <row r="6746" ht="15.75" customHeight="1">
      <c r="A6746" s="35"/>
      <c r="C6746" s="442"/>
      <c r="P6746" s="235"/>
      <c r="AI6746" s="38"/>
    </row>
    <row r="6747" ht="15.75" customHeight="1">
      <c r="A6747" s="35"/>
      <c r="C6747" s="442"/>
      <c r="P6747" s="235"/>
      <c r="AI6747" s="38"/>
    </row>
    <row r="6748" ht="15.75" customHeight="1">
      <c r="A6748" s="35"/>
      <c r="C6748" s="442"/>
      <c r="P6748" s="235"/>
      <c r="AI6748" s="38"/>
    </row>
    <row r="6749" ht="15.75" customHeight="1">
      <c r="A6749" s="35"/>
      <c r="C6749" s="442"/>
      <c r="P6749" s="235"/>
      <c r="AI6749" s="38"/>
    </row>
    <row r="6750" ht="15.75" customHeight="1">
      <c r="A6750" s="35"/>
      <c r="C6750" s="442"/>
      <c r="P6750" s="235"/>
      <c r="AI6750" s="38"/>
    </row>
    <row r="6751" ht="15.75" customHeight="1">
      <c r="A6751" s="35"/>
      <c r="C6751" s="442"/>
      <c r="P6751" s="235"/>
      <c r="AI6751" s="38"/>
    </row>
    <row r="6752" ht="15.75" customHeight="1">
      <c r="A6752" s="35"/>
      <c r="C6752" s="442"/>
      <c r="P6752" s="235"/>
      <c r="AI6752" s="38"/>
    </row>
    <row r="6753" ht="15.75" customHeight="1">
      <c r="A6753" s="35"/>
      <c r="C6753" s="442"/>
      <c r="P6753" s="235"/>
      <c r="AI6753" s="38"/>
    </row>
    <row r="6754" ht="15.75" customHeight="1">
      <c r="A6754" s="35"/>
      <c r="C6754" s="442"/>
      <c r="P6754" s="235"/>
      <c r="AI6754" s="38"/>
    </row>
    <row r="6755" ht="15.75" customHeight="1">
      <c r="A6755" s="35"/>
      <c r="C6755" s="442"/>
      <c r="P6755" s="235"/>
      <c r="AI6755" s="38"/>
    </row>
    <row r="6756" ht="15.75" customHeight="1">
      <c r="A6756" s="35"/>
      <c r="C6756" s="442"/>
      <c r="P6756" s="235"/>
      <c r="AI6756" s="38"/>
    </row>
    <row r="6757" ht="15.75" customHeight="1">
      <c r="A6757" s="35"/>
      <c r="C6757" s="442"/>
      <c r="P6757" s="235"/>
      <c r="AI6757" s="38"/>
    </row>
    <row r="6758" ht="15.75" customHeight="1">
      <c r="A6758" s="35"/>
      <c r="C6758" s="442"/>
      <c r="P6758" s="235"/>
      <c r="AI6758" s="38"/>
    </row>
    <row r="6759" ht="15.75" customHeight="1">
      <c r="A6759" s="35"/>
      <c r="C6759" s="442"/>
      <c r="P6759" s="235"/>
      <c r="AI6759" s="38"/>
    </row>
    <row r="6760" ht="15.75" customHeight="1">
      <c r="A6760" s="35"/>
      <c r="C6760" s="442"/>
      <c r="P6760" s="235"/>
      <c r="AI6760" s="38"/>
    </row>
    <row r="6761" ht="15.75" customHeight="1">
      <c r="A6761" s="35"/>
      <c r="C6761" s="442"/>
      <c r="P6761" s="235"/>
      <c r="AI6761" s="38"/>
    </row>
    <row r="6762" ht="15.75" customHeight="1">
      <c r="A6762" s="35"/>
      <c r="C6762" s="442"/>
      <c r="P6762" s="235"/>
      <c r="AI6762" s="38"/>
    </row>
    <row r="6763" ht="15.75" customHeight="1">
      <c r="A6763" s="35"/>
      <c r="C6763" s="442"/>
      <c r="P6763" s="235"/>
      <c r="AI6763" s="38"/>
    </row>
    <row r="6764" ht="15.75" customHeight="1">
      <c r="A6764" s="35"/>
      <c r="C6764" s="442"/>
      <c r="P6764" s="235"/>
      <c r="AI6764" s="38"/>
    </row>
    <row r="6765" ht="15.75" customHeight="1">
      <c r="A6765" s="35"/>
      <c r="C6765" s="442"/>
      <c r="P6765" s="235"/>
      <c r="AI6765" s="38"/>
    </row>
    <row r="6766" ht="15.75" customHeight="1">
      <c r="A6766" s="35"/>
      <c r="C6766" s="442"/>
      <c r="P6766" s="235"/>
      <c r="AI6766" s="38"/>
    </row>
    <row r="6767" ht="15.75" customHeight="1">
      <c r="A6767" s="35"/>
      <c r="C6767" s="442"/>
      <c r="P6767" s="235"/>
      <c r="AI6767" s="38"/>
    </row>
    <row r="6768" ht="15.75" customHeight="1">
      <c r="A6768" s="35"/>
      <c r="C6768" s="442"/>
      <c r="P6768" s="235"/>
      <c r="AI6768" s="38"/>
    </row>
    <row r="6769" ht="15.75" customHeight="1">
      <c r="A6769" s="35"/>
      <c r="C6769" s="442"/>
      <c r="P6769" s="235"/>
      <c r="AI6769" s="38"/>
    </row>
    <row r="6770" ht="15.75" customHeight="1">
      <c r="A6770" s="35"/>
      <c r="C6770" s="442"/>
      <c r="P6770" s="235"/>
      <c r="AI6770" s="38"/>
    </row>
    <row r="6771" ht="15.75" customHeight="1">
      <c r="A6771" s="35"/>
      <c r="C6771" s="442"/>
      <c r="P6771" s="235"/>
      <c r="AI6771" s="38"/>
    </row>
    <row r="6772" ht="15.75" customHeight="1">
      <c r="A6772" s="35"/>
      <c r="C6772" s="442"/>
      <c r="P6772" s="235"/>
      <c r="AI6772" s="38"/>
    </row>
    <row r="6773" ht="15.75" customHeight="1">
      <c r="A6773" s="35"/>
      <c r="C6773" s="442"/>
      <c r="P6773" s="235"/>
      <c r="AI6773" s="38"/>
    </row>
    <row r="6774" ht="15.75" customHeight="1">
      <c r="A6774" s="35"/>
      <c r="C6774" s="442"/>
      <c r="P6774" s="235"/>
      <c r="AI6774" s="38"/>
    </row>
    <row r="6775" ht="15.75" customHeight="1">
      <c r="A6775" s="35"/>
      <c r="C6775" s="442"/>
      <c r="P6775" s="235"/>
      <c r="AI6775" s="38"/>
    </row>
    <row r="6776" ht="15.75" customHeight="1">
      <c r="A6776" s="35"/>
      <c r="C6776" s="442"/>
      <c r="P6776" s="235"/>
      <c r="AI6776" s="38"/>
    </row>
    <row r="6777" ht="15.75" customHeight="1">
      <c r="A6777" s="35"/>
      <c r="C6777" s="442"/>
      <c r="P6777" s="235"/>
      <c r="AI6777" s="38"/>
    </row>
    <row r="6778" ht="15.75" customHeight="1">
      <c r="A6778" s="35"/>
      <c r="C6778" s="442"/>
      <c r="P6778" s="235"/>
      <c r="AI6778" s="38"/>
    </row>
    <row r="6779" ht="15.75" customHeight="1">
      <c r="A6779" s="35"/>
      <c r="C6779" s="442"/>
      <c r="P6779" s="235"/>
      <c r="AI6779" s="38"/>
    </row>
    <row r="6780" ht="15.75" customHeight="1">
      <c r="A6780" s="35"/>
      <c r="C6780" s="442"/>
      <c r="P6780" s="235"/>
      <c r="AI6780" s="38"/>
    </row>
    <row r="6781" ht="15.75" customHeight="1">
      <c r="A6781" s="35"/>
      <c r="C6781" s="442"/>
      <c r="P6781" s="235"/>
      <c r="AI6781" s="38"/>
    </row>
    <row r="6782" ht="15.75" customHeight="1">
      <c r="A6782" s="35"/>
      <c r="C6782" s="442"/>
      <c r="P6782" s="235"/>
      <c r="AI6782" s="38"/>
    </row>
    <row r="6783" ht="15.75" customHeight="1">
      <c r="A6783" s="35"/>
      <c r="C6783" s="442"/>
      <c r="P6783" s="235"/>
      <c r="AI6783" s="38"/>
    </row>
    <row r="6784" ht="15.75" customHeight="1">
      <c r="A6784" s="35"/>
      <c r="C6784" s="442"/>
      <c r="P6784" s="235"/>
      <c r="AI6784" s="38"/>
    </row>
    <row r="6785" ht="15.75" customHeight="1">
      <c r="A6785" s="35"/>
      <c r="C6785" s="442"/>
      <c r="P6785" s="235"/>
      <c r="AI6785" s="38"/>
    </row>
    <row r="6786" ht="15.75" customHeight="1">
      <c r="A6786" s="35"/>
      <c r="C6786" s="442"/>
      <c r="P6786" s="235"/>
      <c r="AI6786" s="38"/>
    </row>
    <row r="6787" ht="15.75" customHeight="1">
      <c r="A6787" s="35"/>
      <c r="C6787" s="442"/>
      <c r="P6787" s="235"/>
      <c r="AI6787" s="38"/>
    </row>
    <row r="6788" ht="15.75" customHeight="1">
      <c r="A6788" s="35"/>
      <c r="C6788" s="442"/>
      <c r="P6788" s="235"/>
      <c r="AI6788" s="38"/>
    </row>
    <row r="6789" ht="15.75" customHeight="1">
      <c r="A6789" s="35"/>
      <c r="C6789" s="442"/>
      <c r="P6789" s="235"/>
      <c r="AI6789" s="38"/>
    </row>
    <row r="6790" ht="15.75" customHeight="1">
      <c r="A6790" s="35"/>
      <c r="C6790" s="442"/>
      <c r="P6790" s="235"/>
      <c r="AI6790" s="38"/>
    </row>
    <row r="6791" ht="15.75" customHeight="1">
      <c r="A6791" s="35"/>
      <c r="C6791" s="442"/>
      <c r="P6791" s="235"/>
      <c r="AI6791" s="38"/>
    </row>
    <row r="6792" ht="15.75" customHeight="1">
      <c r="A6792" s="35"/>
      <c r="C6792" s="442"/>
      <c r="P6792" s="235"/>
      <c r="AI6792" s="38"/>
    </row>
    <row r="6793" ht="15.75" customHeight="1">
      <c r="A6793" s="35"/>
      <c r="C6793" s="442"/>
      <c r="P6793" s="235"/>
      <c r="AI6793" s="38"/>
    </row>
    <row r="6794" ht="15.75" customHeight="1">
      <c r="A6794" s="35"/>
      <c r="C6794" s="442"/>
      <c r="P6794" s="235"/>
      <c r="AI6794" s="38"/>
    </row>
    <row r="6795" ht="15.75" customHeight="1">
      <c r="A6795" s="35"/>
      <c r="C6795" s="442"/>
      <c r="P6795" s="235"/>
      <c r="AI6795" s="38"/>
    </row>
    <row r="6796" ht="15.75" customHeight="1">
      <c r="A6796" s="35"/>
      <c r="C6796" s="442"/>
      <c r="P6796" s="235"/>
      <c r="AI6796" s="38"/>
    </row>
    <row r="6797" ht="15.75" customHeight="1">
      <c r="A6797" s="35"/>
      <c r="C6797" s="442"/>
      <c r="P6797" s="235"/>
      <c r="AI6797" s="38"/>
    </row>
    <row r="6798" ht="15.75" customHeight="1">
      <c r="A6798" s="35"/>
      <c r="C6798" s="442"/>
      <c r="P6798" s="235"/>
      <c r="AI6798" s="38"/>
    </row>
    <row r="6799" ht="15.75" customHeight="1">
      <c r="A6799" s="35"/>
      <c r="C6799" s="442"/>
      <c r="P6799" s="235"/>
      <c r="AI6799" s="38"/>
    </row>
    <row r="6800" ht="15.75" customHeight="1">
      <c r="A6800" s="35"/>
      <c r="C6800" s="442"/>
      <c r="P6800" s="235"/>
      <c r="AI6800" s="38"/>
    </row>
    <row r="6801" ht="15.75" customHeight="1">
      <c r="A6801" s="35"/>
      <c r="C6801" s="442"/>
      <c r="P6801" s="235"/>
      <c r="AI6801" s="38"/>
    </row>
    <row r="6802" ht="15.75" customHeight="1">
      <c r="A6802" s="35"/>
      <c r="C6802" s="442"/>
      <c r="P6802" s="235"/>
      <c r="AI6802" s="38"/>
    </row>
    <row r="6803" ht="15.75" customHeight="1">
      <c r="A6803" s="35"/>
      <c r="C6803" s="442"/>
      <c r="P6803" s="235"/>
      <c r="AI6803" s="38"/>
    </row>
    <row r="6804" ht="15.75" customHeight="1">
      <c r="A6804" s="35"/>
      <c r="C6804" s="442"/>
      <c r="P6804" s="235"/>
      <c r="AI6804" s="38"/>
    </row>
    <row r="6805" ht="15.75" customHeight="1">
      <c r="A6805" s="35"/>
      <c r="C6805" s="442"/>
      <c r="P6805" s="235"/>
      <c r="AI6805" s="38"/>
    </row>
    <row r="6806" ht="15.75" customHeight="1">
      <c r="A6806" s="35"/>
      <c r="C6806" s="442"/>
      <c r="P6806" s="235"/>
      <c r="AI6806" s="38"/>
    </row>
    <row r="6807" ht="15.75" customHeight="1">
      <c r="A6807" s="35"/>
      <c r="C6807" s="442"/>
      <c r="P6807" s="235"/>
      <c r="AI6807" s="38"/>
    </row>
    <row r="6808" ht="15.75" customHeight="1">
      <c r="A6808" s="35"/>
      <c r="C6808" s="442"/>
      <c r="P6808" s="235"/>
      <c r="AI6808" s="38"/>
    </row>
    <row r="6809" ht="15.75" customHeight="1">
      <c r="A6809" s="35"/>
      <c r="C6809" s="442"/>
      <c r="P6809" s="235"/>
      <c r="AI6809" s="38"/>
    </row>
    <row r="6810" ht="15.75" customHeight="1">
      <c r="A6810" s="35"/>
      <c r="C6810" s="442"/>
      <c r="P6810" s="235"/>
      <c r="AI6810" s="38"/>
    </row>
    <row r="6811" ht="15.75" customHeight="1">
      <c r="A6811" s="35"/>
      <c r="C6811" s="442"/>
      <c r="P6811" s="235"/>
      <c r="AI6811" s="38"/>
    </row>
    <row r="6812" ht="15.75" customHeight="1">
      <c r="A6812" s="35"/>
      <c r="C6812" s="442"/>
      <c r="P6812" s="235"/>
      <c r="AI6812" s="38"/>
    </row>
    <row r="6813" ht="15.75" customHeight="1">
      <c r="A6813" s="35"/>
      <c r="C6813" s="442"/>
      <c r="P6813" s="235"/>
      <c r="AI6813" s="38"/>
    </row>
    <row r="6814" ht="15.75" customHeight="1">
      <c r="A6814" s="35"/>
      <c r="C6814" s="442"/>
      <c r="P6814" s="235"/>
      <c r="AI6814" s="38"/>
    </row>
    <row r="6815" ht="15.75" customHeight="1">
      <c r="A6815" s="35"/>
      <c r="C6815" s="442"/>
      <c r="P6815" s="235"/>
      <c r="AI6815" s="38"/>
    </row>
    <row r="6816" ht="15.75" customHeight="1">
      <c r="A6816" s="35"/>
      <c r="C6816" s="442"/>
      <c r="P6816" s="235"/>
      <c r="AI6816" s="38"/>
    </row>
    <row r="6817" ht="15.75" customHeight="1">
      <c r="A6817" s="35"/>
      <c r="C6817" s="442"/>
      <c r="P6817" s="235"/>
      <c r="AI6817" s="38"/>
    </row>
    <row r="6818" ht="15.75" customHeight="1">
      <c r="A6818" s="35"/>
      <c r="C6818" s="442"/>
      <c r="P6818" s="235"/>
      <c r="AI6818" s="38"/>
    </row>
    <row r="6819" ht="15.75" customHeight="1">
      <c r="A6819" s="35"/>
      <c r="C6819" s="442"/>
      <c r="P6819" s="235"/>
      <c r="AI6819" s="38"/>
    </row>
    <row r="6820" ht="15.75" customHeight="1">
      <c r="A6820" s="35"/>
      <c r="C6820" s="442"/>
      <c r="P6820" s="235"/>
      <c r="AI6820" s="38"/>
    </row>
    <row r="6821" ht="15.75" customHeight="1">
      <c r="A6821" s="35"/>
      <c r="C6821" s="442"/>
      <c r="P6821" s="235"/>
      <c r="AI6821" s="38"/>
    </row>
    <row r="6822" ht="15.75" customHeight="1">
      <c r="A6822" s="35"/>
      <c r="C6822" s="442"/>
      <c r="P6822" s="235"/>
      <c r="AI6822" s="38"/>
    </row>
    <row r="6823" ht="15.75" customHeight="1">
      <c r="A6823" s="35"/>
      <c r="C6823" s="442"/>
      <c r="P6823" s="235"/>
      <c r="AI6823" s="38"/>
    </row>
    <row r="6824" ht="15.75" customHeight="1">
      <c r="A6824" s="35"/>
      <c r="C6824" s="442"/>
      <c r="P6824" s="235"/>
      <c r="AI6824" s="38"/>
    </row>
    <row r="6825" ht="15.75" customHeight="1">
      <c r="A6825" s="35"/>
      <c r="C6825" s="442"/>
      <c r="P6825" s="235"/>
      <c r="AI6825" s="38"/>
    </row>
    <row r="6826" ht="15.75" customHeight="1">
      <c r="A6826" s="35"/>
      <c r="C6826" s="442"/>
      <c r="P6826" s="235"/>
      <c r="AI6826" s="38"/>
    </row>
    <row r="6827" ht="15.75" customHeight="1">
      <c r="A6827" s="35"/>
      <c r="C6827" s="442"/>
      <c r="P6827" s="235"/>
      <c r="AI6827" s="38"/>
    </row>
    <row r="6828" ht="15.75" customHeight="1">
      <c r="A6828" s="35"/>
      <c r="C6828" s="442"/>
      <c r="P6828" s="235"/>
      <c r="AI6828" s="38"/>
    </row>
    <row r="6829" ht="15.75" customHeight="1">
      <c r="A6829" s="35"/>
      <c r="C6829" s="442"/>
      <c r="P6829" s="235"/>
      <c r="AI6829" s="38"/>
    </row>
    <row r="6830" ht="15.75" customHeight="1">
      <c r="A6830" s="35"/>
      <c r="C6830" s="442"/>
      <c r="P6830" s="235"/>
      <c r="AI6830" s="38"/>
    </row>
    <row r="6831" ht="15.75" customHeight="1">
      <c r="A6831" s="35"/>
      <c r="C6831" s="442"/>
      <c r="P6831" s="235"/>
      <c r="AI6831" s="38"/>
    </row>
    <row r="6832" ht="15.75" customHeight="1">
      <c r="A6832" s="35"/>
      <c r="C6832" s="442"/>
      <c r="P6832" s="235"/>
      <c r="AI6832" s="38"/>
    </row>
    <row r="6833" ht="15.75" customHeight="1">
      <c r="A6833" s="35"/>
      <c r="C6833" s="442"/>
      <c r="P6833" s="235"/>
      <c r="AI6833" s="38"/>
    </row>
    <row r="6834" ht="15.75" customHeight="1">
      <c r="A6834" s="35"/>
      <c r="C6834" s="442"/>
      <c r="P6834" s="235"/>
      <c r="AI6834" s="38"/>
    </row>
    <row r="6835" ht="15.75" customHeight="1">
      <c r="A6835" s="35"/>
      <c r="C6835" s="442"/>
      <c r="P6835" s="235"/>
      <c r="AI6835" s="38"/>
    </row>
    <row r="6836" ht="15.75" customHeight="1">
      <c r="A6836" s="35"/>
      <c r="C6836" s="442"/>
      <c r="P6836" s="235"/>
      <c r="AI6836" s="38"/>
    </row>
    <row r="6837" ht="15.75" customHeight="1">
      <c r="A6837" s="35"/>
      <c r="C6837" s="442"/>
      <c r="P6837" s="235"/>
      <c r="AI6837" s="38"/>
    </row>
    <row r="6838" ht="15.75" customHeight="1">
      <c r="A6838" s="35"/>
      <c r="C6838" s="442"/>
      <c r="P6838" s="235"/>
      <c r="AI6838" s="38"/>
    </row>
    <row r="6839" ht="15.75" customHeight="1">
      <c r="A6839" s="35"/>
      <c r="C6839" s="442"/>
      <c r="P6839" s="235"/>
      <c r="AI6839" s="38"/>
    </row>
    <row r="6840" ht="15.75" customHeight="1">
      <c r="A6840" s="35"/>
      <c r="C6840" s="442"/>
      <c r="P6840" s="235"/>
      <c r="AI6840" s="38"/>
    </row>
    <row r="6841" ht="15.75" customHeight="1">
      <c r="A6841" s="35"/>
      <c r="C6841" s="442"/>
      <c r="P6841" s="235"/>
      <c r="AI6841" s="38"/>
    </row>
    <row r="6842" ht="15.75" customHeight="1">
      <c r="A6842" s="35"/>
      <c r="C6842" s="442"/>
      <c r="P6842" s="235"/>
      <c r="AI6842" s="38"/>
    </row>
    <row r="6843" ht="15.75" customHeight="1">
      <c r="A6843" s="35"/>
      <c r="C6843" s="442"/>
      <c r="P6843" s="235"/>
      <c r="AI6843" s="38"/>
    </row>
    <row r="6844" ht="15.75" customHeight="1">
      <c r="A6844" s="35"/>
      <c r="C6844" s="442"/>
      <c r="P6844" s="235"/>
      <c r="AI6844" s="38"/>
    </row>
    <row r="6845" ht="15.75" customHeight="1">
      <c r="A6845" s="35"/>
      <c r="C6845" s="442"/>
      <c r="P6845" s="235"/>
      <c r="AI6845" s="38"/>
    </row>
    <row r="6846" ht="15.75" customHeight="1">
      <c r="A6846" s="35"/>
      <c r="C6846" s="442"/>
      <c r="P6846" s="235"/>
      <c r="AI6846" s="38"/>
    </row>
    <row r="6847" ht="15.75" customHeight="1">
      <c r="A6847" s="35"/>
      <c r="C6847" s="442"/>
      <c r="P6847" s="235"/>
      <c r="AI6847" s="38"/>
    </row>
    <row r="6848" ht="15.75" customHeight="1">
      <c r="A6848" s="35"/>
      <c r="C6848" s="442"/>
      <c r="P6848" s="235"/>
      <c r="AI6848" s="38"/>
    </row>
    <row r="6849" ht="15.75" customHeight="1">
      <c r="A6849" s="35"/>
      <c r="C6849" s="442"/>
      <c r="P6849" s="235"/>
      <c r="AI6849" s="38"/>
    </row>
    <row r="6850" ht="15.75" customHeight="1">
      <c r="A6850" s="35"/>
      <c r="C6850" s="442"/>
      <c r="P6850" s="235"/>
      <c r="AI6850" s="38"/>
    </row>
    <row r="6851" ht="15.75" customHeight="1">
      <c r="A6851" s="35"/>
      <c r="C6851" s="442"/>
      <c r="P6851" s="235"/>
      <c r="AI6851" s="38"/>
    </row>
    <row r="6852" ht="15.75" customHeight="1">
      <c r="A6852" s="35"/>
      <c r="C6852" s="442"/>
      <c r="P6852" s="235"/>
      <c r="AI6852" s="38"/>
    </row>
    <row r="6853" ht="15.75" customHeight="1">
      <c r="A6853" s="35"/>
      <c r="C6853" s="442"/>
      <c r="P6853" s="235"/>
      <c r="AI6853" s="38"/>
    </row>
    <row r="6854" ht="15.75" customHeight="1">
      <c r="A6854" s="35"/>
      <c r="C6854" s="442"/>
      <c r="P6854" s="235"/>
      <c r="AI6854" s="38"/>
    </row>
    <row r="6855" ht="15.75" customHeight="1">
      <c r="A6855" s="35"/>
      <c r="C6855" s="442"/>
      <c r="P6855" s="235"/>
      <c r="AI6855" s="38"/>
    </row>
    <row r="6856" ht="15.75" customHeight="1">
      <c r="A6856" s="35"/>
      <c r="C6856" s="442"/>
      <c r="P6856" s="235"/>
      <c r="AI6856" s="38"/>
    </row>
    <row r="6857" ht="15.75" customHeight="1">
      <c r="A6857" s="35"/>
      <c r="C6857" s="442"/>
      <c r="P6857" s="235"/>
      <c r="AI6857" s="38"/>
    </row>
    <row r="6858" ht="15.75" customHeight="1">
      <c r="A6858" s="35"/>
      <c r="C6858" s="442"/>
      <c r="P6858" s="235"/>
      <c r="AI6858" s="38"/>
    </row>
    <row r="6859" ht="15.75" customHeight="1">
      <c r="A6859" s="35"/>
      <c r="C6859" s="442"/>
      <c r="P6859" s="235"/>
      <c r="AI6859" s="38"/>
    </row>
    <row r="6860" ht="15.75" customHeight="1">
      <c r="A6860" s="35"/>
      <c r="C6860" s="442"/>
      <c r="P6860" s="235"/>
      <c r="AI6860" s="38"/>
    </row>
    <row r="6861" ht="15.75" customHeight="1">
      <c r="A6861" s="35"/>
      <c r="C6861" s="442"/>
      <c r="P6861" s="235"/>
      <c r="AI6861" s="38"/>
    </row>
    <row r="6862" ht="15.75" customHeight="1">
      <c r="A6862" s="35"/>
      <c r="C6862" s="442"/>
      <c r="P6862" s="235"/>
      <c r="AI6862" s="38"/>
    </row>
    <row r="6863" ht="15.75" customHeight="1">
      <c r="A6863" s="35"/>
      <c r="C6863" s="442"/>
      <c r="P6863" s="235"/>
      <c r="AI6863" s="38"/>
    </row>
    <row r="6864" ht="15.75" customHeight="1">
      <c r="A6864" s="35"/>
      <c r="C6864" s="442"/>
      <c r="P6864" s="235"/>
      <c r="AI6864" s="38"/>
    </row>
    <row r="6865" ht="15.75" customHeight="1">
      <c r="A6865" s="35"/>
      <c r="C6865" s="442"/>
      <c r="P6865" s="235"/>
      <c r="AI6865" s="38"/>
    </row>
    <row r="6866" ht="15.75" customHeight="1">
      <c r="A6866" s="35"/>
      <c r="C6866" s="442"/>
      <c r="P6866" s="235"/>
      <c r="AI6866" s="38"/>
    </row>
    <row r="6867" ht="15.75" customHeight="1">
      <c r="A6867" s="35"/>
      <c r="C6867" s="442"/>
      <c r="P6867" s="235"/>
      <c r="AI6867" s="38"/>
    </row>
    <row r="6868" ht="15.75" customHeight="1">
      <c r="A6868" s="35"/>
      <c r="C6868" s="442"/>
      <c r="P6868" s="235"/>
      <c r="AI6868" s="38"/>
    </row>
    <row r="6869" ht="15.75" customHeight="1">
      <c r="A6869" s="35"/>
      <c r="C6869" s="442"/>
      <c r="P6869" s="235"/>
      <c r="AI6869" s="38"/>
    </row>
    <row r="6870" ht="15.75" customHeight="1">
      <c r="A6870" s="35"/>
      <c r="C6870" s="442"/>
      <c r="P6870" s="235"/>
      <c r="AI6870" s="38"/>
    </row>
    <row r="6871" ht="15.75" customHeight="1">
      <c r="A6871" s="35"/>
      <c r="C6871" s="442"/>
      <c r="P6871" s="235"/>
      <c r="AI6871" s="38"/>
    </row>
    <row r="6872" ht="15.75" customHeight="1">
      <c r="A6872" s="35"/>
      <c r="C6872" s="442"/>
      <c r="P6872" s="235"/>
      <c r="AI6872" s="38"/>
    </row>
    <row r="6873" ht="15.75" customHeight="1">
      <c r="A6873" s="35"/>
      <c r="C6873" s="442"/>
      <c r="P6873" s="235"/>
      <c r="AI6873" s="38"/>
    </row>
    <row r="6874" ht="15.75" customHeight="1">
      <c r="A6874" s="35"/>
      <c r="C6874" s="442"/>
      <c r="P6874" s="235"/>
      <c r="AI6874" s="38"/>
    </row>
    <row r="6875" ht="15.75" customHeight="1">
      <c r="A6875" s="35"/>
      <c r="C6875" s="442"/>
      <c r="P6875" s="235"/>
      <c r="AI6875" s="38"/>
    </row>
    <row r="6876" ht="15.75" customHeight="1">
      <c r="A6876" s="35"/>
      <c r="C6876" s="442"/>
      <c r="P6876" s="235"/>
      <c r="AI6876" s="38"/>
    </row>
    <row r="6877" ht="15.75" customHeight="1">
      <c r="A6877" s="35"/>
      <c r="C6877" s="442"/>
      <c r="P6877" s="235"/>
      <c r="AI6877" s="38"/>
    </row>
    <row r="6878" ht="15.75" customHeight="1">
      <c r="A6878" s="35"/>
      <c r="C6878" s="442"/>
      <c r="P6878" s="235"/>
      <c r="AI6878" s="38"/>
    </row>
    <row r="6879" ht="15.75" customHeight="1">
      <c r="A6879" s="35"/>
      <c r="C6879" s="442"/>
      <c r="P6879" s="235"/>
      <c r="AI6879" s="38"/>
    </row>
    <row r="6880" ht="15.75" customHeight="1">
      <c r="A6880" s="35"/>
      <c r="C6880" s="442"/>
      <c r="P6880" s="235"/>
      <c r="AI6880" s="38"/>
    </row>
    <row r="6881" ht="15.75" customHeight="1">
      <c r="A6881" s="35"/>
      <c r="C6881" s="442"/>
      <c r="P6881" s="235"/>
      <c r="AI6881" s="38"/>
    </row>
    <row r="6882" ht="15.75" customHeight="1">
      <c r="A6882" s="35"/>
      <c r="C6882" s="442"/>
      <c r="P6882" s="235"/>
      <c r="AI6882" s="38"/>
    </row>
    <row r="6883" ht="15.75" customHeight="1">
      <c r="A6883" s="35"/>
      <c r="C6883" s="442"/>
      <c r="P6883" s="235"/>
      <c r="AI6883" s="38"/>
    </row>
    <row r="6884" ht="15.75" customHeight="1">
      <c r="A6884" s="35"/>
      <c r="C6884" s="442"/>
      <c r="P6884" s="235"/>
      <c r="AI6884" s="38"/>
    </row>
    <row r="6885" ht="15.75" customHeight="1">
      <c r="A6885" s="35"/>
      <c r="C6885" s="442"/>
      <c r="P6885" s="235"/>
      <c r="AI6885" s="38"/>
    </row>
    <row r="6886" ht="15.75" customHeight="1">
      <c r="A6886" s="35"/>
      <c r="C6886" s="442"/>
      <c r="P6886" s="235"/>
      <c r="AI6886" s="38"/>
    </row>
    <row r="6887" ht="15.75" customHeight="1">
      <c r="A6887" s="35"/>
      <c r="C6887" s="442"/>
      <c r="P6887" s="235"/>
      <c r="AI6887" s="38"/>
    </row>
    <row r="6888" ht="15.75" customHeight="1">
      <c r="A6888" s="35"/>
      <c r="C6888" s="442"/>
      <c r="P6888" s="235"/>
      <c r="AI6888" s="38"/>
    </row>
    <row r="6889" ht="15.75" customHeight="1">
      <c r="A6889" s="35"/>
      <c r="C6889" s="442"/>
      <c r="P6889" s="235"/>
      <c r="AI6889" s="38"/>
    </row>
    <row r="6890" ht="15.75" customHeight="1">
      <c r="A6890" s="35"/>
      <c r="C6890" s="442"/>
      <c r="P6890" s="235"/>
      <c r="AI6890" s="38"/>
    </row>
    <row r="6891" ht="15.75" customHeight="1">
      <c r="A6891" s="35"/>
      <c r="C6891" s="442"/>
      <c r="P6891" s="235"/>
      <c r="AI6891" s="38"/>
    </row>
    <row r="6892" ht="15.75" customHeight="1">
      <c r="A6892" s="35"/>
      <c r="C6892" s="442"/>
      <c r="P6892" s="235"/>
      <c r="AI6892" s="38"/>
    </row>
    <row r="6893" ht="15.75" customHeight="1">
      <c r="A6893" s="35"/>
      <c r="C6893" s="442"/>
      <c r="P6893" s="235"/>
      <c r="AI6893" s="38"/>
    </row>
    <row r="6894" ht="15.75" customHeight="1">
      <c r="A6894" s="35"/>
      <c r="C6894" s="442"/>
      <c r="P6894" s="235"/>
      <c r="AI6894" s="38"/>
    </row>
    <row r="6895" ht="15.75" customHeight="1">
      <c r="A6895" s="35"/>
      <c r="C6895" s="442"/>
      <c r="P6895" s="235"/>
      <c r="AI6895" s="38"/>
    </row>
    <row r="6896" ht="15.75" customHeight="1">
      <c r="A6896" s="35"/>
      <c r="C6896" s="442"/>
      <c r="P6896" s="235"/>
      <c r="AI6896" s="38"/>
    </row>
    <row r="6897" ht="15.75" customHeight="1">
      <c r="A6897" s="35"/>
      <c r="C6897" s="442"/>
      <c r="P6897" s="235"/>
      <c r="AI6897" s="38"/>
    </row>
    <row r="6898" ht="15.75" customHeight="1">
      <c r="A6898" s="35"/>
      <c r="C6898" s="442"/>
      <c r="P6898" s="235"/>
      <c r="AI6898" s="38"/>
    </row>
    <row r="6899" ht="15.75" customHeight="1">
      <c r="A6899" s="35"/>
      <c r="C6899" s="442"/>
      <c r="P6899" s="235"/>
      <c r="AI6899" s="38"/>
    </row>
    <row r="6900" ht="15.75" customHeight="1">
      <c r="A6900" s="35"/>
      <c r="C6900" s="442"/>
      <c r="P6900" s="235"/>
      <c r="AI6900" s="38"/>
    </row>
    <row r="6901" ht="15.75" customHeight="1">
      <c r="A6901" s="35"/>
      <c r="C6901" s="442"/>
      <c r="P6901" s="235"/>
      <c r="AI6901" s="38"/>
    </row>
    <row r="6902" ht="15.75" customHeight="1">
      <c r="A6902" s="35"/>
      <c r="C6902" s="442"/>
      <c r="P6902" s="235"/>
      <c r="AI6902" s="38"/>
    </row>
    <row r="6903" ht="15.75" customHeight="1">
      <c r="A6903" s="35"/>
      <c r="C6903" s="442"/>
      <c r="P6903" s="235"/>
      <c r="AI6903" s="38"/>
    </row>
    <row r="6904" ht="15.75" customHeight="1">
      <c r="A6904" s="35"/>
      <c r="C6904" s="442"/>
      <c r="P6904" s="235"/>
      <c r="AI6904" s="38"/>
    </row>
    <row r="6905" ht="15.75" customHeight="1">
      <c r="A6905" s="35"/>
      <c r="C6905" s="442"/>
      <c r="P6905" s="235"/>
      <c r="AI6905" s="38"/>
    </row>
    <row r="6906" ht="15.75" customHeight="1">
      <c r="A6906" s="35"/>
      <c r="C6906" s="442"/>
      <c r="P6906" s="235"/>
      <c r="AI6906" s="38"/>
    </row>
    <row r="6907" ht="15.75" customHeight="1">
      <c r="A6907" s="35"/>
      <c r="C6907" s="442"/>
      <c r="P6907" s="235"/>
      <c r="AI6907" s="38"/>
    </row>
    <row r="6908" ht="15.75" customHeight="1">
      <c r="A6908" s="35"/>
      <c r="C6908" s="442"/>
      <c r="P6908" s="235"/>
      <c r="AI6908" s="38"/>
    </row>
    <row r="6909" ht="15.75" customHeight="1">
      <c r="A6909" s="35"/>
      <c r="C6909" s="442"/>
      <c r="P6909" s="235"/>
      <c r="AI6909" s="38"/>
    </row>
    <row r="6910" ht="15.75" customHeight="1">
      <c r="A6910" s="35"/>
      <c r="C6910" s="442"/>
      <c r="P6910" s="235"/>
      <c r="AI6910" s="38"/>
    </row>
    <row r="6911" ht="15.75" customHeight="1">
      <c r="A6911" s="35"/>
      <c r="C6911" s="442"/>
      <c r="P6911" s="235"/>
      <c r="AI6911" s="38"/>
    </row>
    <row r="6912" ht="15.75" customHeight="1">
      <c r="A6912" s="35"/>
      <c r="C6912" s="442"/>
      <c r="P6912" s="235"/>
      <c r="AI6912" s="38"/>
    </row>
    <row r="6913" ht="15.75" customHeight="1">
      <c r="A6913" s="35"/>
      <c r="C6913" s="442"/>
      <c r="P6913" s="235"/>
      <c r="AI6913" s="38"/>
    </row>
    <row r="6914" ht="15.75" customHeight="1">
      <c r="A6914" s="35"/>
      <c r="C6914" s="442"/>
      <c r="P6914" s="235"/>
      <c r="AI6914" s="38"/>
    </row>
    <row r="6915" ht="15.75" customHeight="1">
      <c r="A6915" s="35"/>
      <c r="C6915" s="442"/>
      <c r="P6915" s="235"/>
      <c r="AI6915" s="38"/>
    </row>
    <row r="6916" ht="15.75" customHeight="1">
      <c r="A6916" s="35"/>
      <c r="C6916" s="442"/>
      <c r="P6916" s="235"/>
      <c r="AI6916" s="38"/>
    </row>
    <row r="6917" ht="15.75" customHeight="1">
      <c r="A6917" s="35"/>
      <c r="C6917" s="442"/>
      <c r="P6917" s="235"/>
      <c r="AI6917" s="38"/>
    </row>
    <row r="6918" ht="15.75" customHeight="1">
      <c r="A6918" s="35"/>
      <c r="C6918" s="442"/>
      <c r="P6918" s="235"/>
      <c r="AI6918" s="38"/>
    </row>
    <row r="6919" ht="15.75" customHeight="1">
      <c r="A6919" s="35"/>
      <c r="C6919" s="442"/>
      <c r="P6919" s="235"/>
      <c r="AI6919" s="38"/>
    </row>
    <row r="6920" ht="15.75" customHeight="1">
      <c r="A6920" s="35"/>
      <c r="C6920" s="442"/>
      <c r="P6920" s="235"/>
      <c r="AI6920" s="38"/>
    </row>
    <row r="6921" ht="15.75" customHeight="1">
      <c r="A6921" s="35"/>
      <c r="C6921" s="442"/>
      <c r="P6921" s="235"/>
      <c r="AI6921" s="38"/>
    </row>
    <row r="6922" ht="15.75" customHeight="1">
      <c r="A6922" s="35"/>
      <c r="C6922" s="442"/>
      <c r="P6922" s="235"/>
      <c r="AI6922" s="38"/>
    </row>
    <row r="6923" ht="15.75" customHeight="1">
      <c r="A6923" s="35"/>
      <c r="C6923" s="442"/>
      <c r="P6923" s="235"/>
      <c r="AI6923" s="38"/>
    </row>
    <row r="6924" ht="15.75" customHeight="1">
      <c r="A6924" s="35"/>
      <c r="C6924" s="442"/>
      <c r="P6924" s="235"/>
      <c r="AI6924" s="38"/>
    </row>
    <row r="6925" ht="15.75" customHeight="1">
      <c r="A6925" s="35"/>
      <c r="C6925" s="442"/>
      <c r="P6925" s="235"/>
      <c r="AI6925" s="38"/>
    </row>
    <row r="6926" ht="15.75" customHeight="1">
      <c r="A6926" s="35"/>
      <c r="C6926" s="442"/>
      <c r="P6926" s="235"/>
      <c r="AI6926" s="38"/>
    </row>
    <row r="6927" ht="15.75" customHeight="1">
      <c r="A6927" s="35"/>
      <c r="C6927" s="442"/>
      <c r="P6927" s="235"/>
      <c r="AI6927" s="38"/>
    </row>
    <row r="6928" ht="15.75" customHeight="1">
      <c r="A6928" s="35"/>
      <c r="C6928" s="442"/>
      <c r="P6928" s="235"/>
      <c r="AI6928" s="38"/>
    </row>
    <row r="6929" ht="15.75" customHeight="1">
      <c r="A6929" s="35"/>
      <c r="C6929" s="442"/>
      <c r="P6929" s="235"/>
      <c r="AI6929" s="38"/>
    </row>
    <row r="6930" ht="15.75" customHeight="1">
      <c r="A6930" s="35"/>
      <c r="C6930" s="442"/>
      <c r="P6930" s="235"/>
      <c r="AI6930" s="38"/>
    </row>
    <row r="6931" ht="15.75" customHeight="1">
      <c r="A6931" s="35"/>
      <c r="C6931" s="442"/>
      <c r="P6931" s="235"/>
      <c r="AI6931" s="38"/>
    </row>
    <row r="6932" ht="15.75" customHeight="1">
      <c r="A6932" s="35"/>
      <c r="C6932" s="442"/>
      <c r="P6932" s="235"/>
      <c r="AI6932" s="38"/>
    </row>
    <row r="6933" ht="15.75" customHeight="1">
      <c r="A6933" s="35"/>
      <c r="C6933" s="442"/>
      <c r="P6933" s="235"/>
      <c r="AI6933" s="38"/>
    </row>
    <row r="6934" ht="15.75" customHeight="1">
      <c r="A6934" s="35"/>
      <c r="C6934" s="442"/>
      <c r="P6934" s="235"/>
      <c r="AI6934" s="38"/>
    </row>
    <row r="6935" ht="15.75" customHeight="1">
      <c r="A6935" s="35"/>
      <c r="C6935" s="442"/>
      <c r="P6935" s="235"/>
      <c r="AI6935" s="38"/>
    </row>
    <row r="6936" ht="15.75" customHeight="1">
      <c r="A6936" s="35"/>
      <c r="C6936" s="442"/>
      <c r="P6936" s="235"/>
      <c r="AI6936" s="38"/>
    </row>
    <row r="6937" ht="15.75" customHeight="1">
      <c r="A6937" s="35"/>
      <c r="C6937" s="442"/>
      <c r="P6937" s="235"/>
      <c r="AI6937" s="38"/>
    </row>
    <row r="6938" ht="15.75" customHeight="1">
      <c r="A6938" s="35"/>
      <c r="C6938" s="442"/>
      <c r="P6938" s="235"/>
      <c r="AI6938" s="38"/>
    </row>
    <row r="6939" ht="15.75" customHeight="1">
      <c r="A6939" s="35"/>
      <c r="C6939" s="442"/>
      <c r="P6939" s="235"/>
      <c r="AI6939" s="38"/>
    </row>
    <row r="6940" ht="15.75" customHeight="1">
      <c r="A6940" s="35"/>
      <c r="C6940" s="442"/>
      <c r="P6940" s="235"/>
      <c r="AI6940" s="38"/>
    </row>
    <row r="6941" ht="15.75" customHeight="1">
      <c r="A6941" s="35"/>
      <c r="C6941" s="442"/>
      <c r="P6941" s="235"/>
      <c r="AI6941" s="38"/>
    </row>
    <row r="6942" ht="15.75" customHeight="1">
      <c r="A6942" s="35"/>
      <c r="C6942" s="442"/>
      <c r="P6942" s="235"/>
      <c r="AI6942" s="38"/>
    </row>
    <row r="6943" ht="15.75" customHeight="1">
      <c r="A6943" s="35"/>
      <c r="C6943" s="442"/>
      <c r="P6943" s="235"/>
      <c r="AI6943" s="38"/>
    </row>
    <row r="6944" ht="15.75" customHeight="1">
      <c r="A6944" s="35"/>
      <c r="C6944" s="442"/>
      <c r="P6944" s="235"/>
      <c r="AI6944" s="38"/>
    </row>
    <row r="6945" ht="15.75" customHeight="1">
      <c r="A6945" s="35"/>
      <c r="C6945" s="442"/>
      <c r="P6945" s="235"/>
      <c r="AI6945" s="38"/>
    </row>
    <row r="6946" ht="15.75" customHeight="1">
      <c r="A6946" s="35"/>
      <c r="C6946" s="442"/>
      <c r="P6946" s="235"/>
      <c r="AI6946" s="38"/>
    </row>
    <row r="6947" ht="15.75" customHeight="1">
      <c r="A6947" s="35"/>
      <c r="C6947" s="442"/>
      <c r="P6947" s="235"/>
      <c r="AI6947" s="38"/>
    </row>
    <row r="6948" ht="15.75" customHeight="1">
      <c r="A6948" s="35"/>
      <c r="C6948" s="442"/>
      <c r="P6948" s="235"/>
      <c r="AI6948" s="38"/>
    </row>
    <row r="6949" ht="15.75" customHeight="1">
      <c r="A6949" s="35"/>
      <c r="C6949" s="442"/>
      <c r="P6949" s="235"/>
      <c r="AI6949" s="38"/>
    </row>
    <row r="6950" ht="15.75" customHeight="1">
      <c r="A6950" s="35"/>
      <c r="C6950" s="442"/>
      <c r="P6950" s="235"/>
      <c r="AI6950" s="38"/>
    </row>
    <row r="6951" ht="15.75" customHeight="1">
      <c r="A6951" s="35"/>
      <c r="C6951" s="442"/>
      <c r="P6951" s="235"/>
      <c r="AI6951" s="38"/>
    </row>
    <row r="6952" ht="15.75" customHeight="1">
      <c r="A6952" s="35"/>
      <c r="C6952" s="442"/>
      <c r="P6952" s="235"/>
      <c r="AI6952" s="38"/>
    </row>
    <row r="6953" ht="15.75" customHeight="1">
      <c r="A6953" s="35"/>
      <c r="C6953" s="442"/>
      <c r="P6953" s="235"/>
      <c r="AI6953" s="38"/>
    </row>
    <row r="6954" ht="15.75" customHeight="1">
      <c r="A6954" s="35"/>
      <c r="C6954" s="442"/>
      <c r="P6954" s="235"/>
      <c r="AI6954" s="38"/>
    </row>
    <row r="6955" ht="15.75" customHeight="1">
      <c r="A6955" s="35"/>
      <c r="C6955" s="442"/>
      <c r="P6955" s="235"/>
      <c r="AI6955" s="38"/>
    </row>
    <row r="6956" ht="15.75" customHeight="1">
      <c r="A6956" s="35"/>
      <c r="C6956" s="442"/>
      <c r="P6956" s="235"/>
      <c r="AI6956" s="38"/>
    </row>
    <row r="6957" ht="15.75" customHeight="1">
      <c r="A6957" s="35"/>
      <c r="C6957" s="442"/>
      <c r="P6957" s="235"/>
      <c r="AI6957" s="38"/>
    </row>
    <row r="6958" ht="15.75" customHeight="1">
      <c r="A6958" s="35"/>
      <c r="C6958" s="442"/>
      <c r="P6958" s="235"/>
      <c r="AI6958" s="38"/>
    </row>
    <row r="6959" ht="15.75" customHeight="1">
      <c r="A6959" s="35"/>
      <c r="C6959" s="442"/>
      <c r="P6959" s="235"/>
      <c r="AI6959" s="38"/>
    </row>
    <row r="6960" ht="15.75" customHeight="1">
      <c r="A6960" s="35"/>
      <c r="C6960" s="442"/>
      <c r="P6960" s="235"/>
      <c r="AI6960" s="38"/>
    </row>
    <row r="6961" ht="15.75" customHeight="1">
      <c r="A6961" s="35"/>
      <c r="C6961" s="442"/>
      <c r="P6961" s="235"/>
      <c r="AI6961" s="38"/>
    </row>
    <row r="6962" ht="15.75" customHeight="1">
      <c r="A6962" s="35"/>
      <c r="C6962" s="442"/>
      <c r="P6962" s="235"/>
      <c r="AI6962" s="38"/>
    </row>
    <row r="6963" ht="15.75" customHeight="1">
      <c r="A6963" s="35"/>
      <c r="C6963" s="442"/>
      <c r="P6963" s="235"/>
      <c r="AI6963" s="38"/>
    </row>
    <row r="6964" ht="15.75" customHeight="1">
      <c r="A6964" s="35"/>
      <c r="C6964" s="442"/>
      <c r="P6964" s="235"/>
      <c r="AI6964" s="38"/>
    </row>
    <row r="6965" ht="15.75" customHeight="1">
      <c r="A6965" s="35"/>
      <c r="C6965" s="442"/>
      <c r="P6965" s="235"/>
      <c r="AI6965" s="38"/>
    </row>
    <row r="6966" ht="15.75" customHeight="1">
      <c r="A6966" s="35"/>
      <c r="C6966" s="442"/>
      <c r="P6966" s="235"/>
      <c r="AI6966" s="38"/>
    </row>
    <row r="6967" ht="15.75" customHeight="1">
      <c r="A6967" s="35"/>
      <c r="C6967" s="442"/>
      <c r="P6967" s="235"/>
      <c r="AI6967" s="38"/>
    </row>
    <row r="6968" ht="15.75" customHeight="1">
      <c r="A6968" s="35"/>
      <c r="C6968" s="442"/>
      <c r="P6968" s="235"/>
      <c r="AI6968" s="38"/>
    </row>
    <row r="6969" ht="15.75" customHeight="1">
      <c r="A6969" s="35"/>
      <c r="C6969" s="442"/>
      <c r="P6969" s="235"/>
      <c r="AI6969" s="38"/>
    </row>
    <row r="6970" ht="15.75" customHeight="1">
      <c r="A6970" s="35"/>
      <c r="C6970" s="442"/>
      <c r="P6970" s="235"/>
      <c r="AI6970" s="38"/>
    </row>
    <row r="6971" ht="15.75" customHeight="1">
      <c r="A6971" s="35"/>
      <c r="C6971" s="442"/>
      <c r="P6971" s="235"/>
      <c r="AI6971" s="38"/>
    </row>
    <row r="6972" ht="15.75" customHeight="1">
      <c r="A6972" s="35"/>
      <c r="C6972" s="442"/>
      <c r="P6972" s="235"/>
      <c r="AI6972" s="38"/>
    </row>
    <row r="6973" ht="15.75" customHeight="1">
      <c r="A6973" s="35"/>
      <c r="C6973" s="442"/>
      <c r="P6973" s="235"/>
      <c r="AI6973" s="38"/>
    </row>
    <row r="6974" ht="15.75" customHeight="1">
      <c r="A6974" s="35"/>
      <c r="C6974" s="442"/>
      <c r="P6974" s="235"/>
      <c r="AI6974" s="38"/>
    </row>
    <row r="6975" ht="15.75" customHeight="1">
      <c r="A6975" s="35"/>
      <c r="C6975" s="442"/>
      <c r="P6975" s="235"/>
      <c r="AI6975" s="38"/>
    </row>
    <row r="6976" ht="15.75" customHeight="1">
      <c r="A6976" s="35"/>
      <c r="C6976" s="442"/>
      <c r="P6976" s="235"/>
      <c r="AI6976" s="38"/>
    </row>
    <row r="6977" ht="15.75" customHeight="1">
      <c r="A6977" s="35"/>
      <c r="C6977" s="442"/>
      <c r="P6977" s="235"/>
      <c r="AI6977" s="38"/>
    </row>
    <row r="6978" ht="15.75" customHeight="1">
      <c r="A6978" s="35"/>
      <c r="C6978" s="442"/>
      <c r="P6978" s="235"/>
      <c r="AI6978" s="38"/>
    </row>
    <row r="6979" ht="15.75" customHeight="1">
      <c r="A6979" s="35"/>
      <c r="C6979" s="442"/>
      <c r="P6979" s="235"/>
      <c r="AI6979" s="38"/>
    </row>
    <row r="6980" ht="15.75" customHeight="1">
      <c r="A6980" s="35"/>
      <c r="C6980" s="442"/>
      <c r="P6980" s="235"/>
      <c r="AI6980" s="38"/>
    </row>
    <row r="6981" ht="15.75" customHeight="1">
      <c r="A6981" s="35"/>
      <c r="C6981" s="442"/>
      <c r="P6981" s="235"/>
      <c r="AI6981" s="38"/>
    </row>
    <row r="6982" ht="15.75" customHeight="1">
      <c r="A6982" s="35"/>
      <c r="C6982" s="442"/>
      <c r="P6982" s="235"/>
      <c r="AI6982" s="38"/>
    </row>
    <row r="6983" ht="15.75" customHeight="1">
      <c r="A6983" s="35"/>
      <c r="C6983" s="442"/>
      <c r="P6983" s="235"/>
      <c r="AI6983" s="38"/>
    </row>
    <row r="6984" ht="15.75" customHeight="1">
      <c r="A6984" s="35"/>
      <c r="C6984" s="442"/>
      <c r="P6984" s="235"/>
      <c r="AI6984" s="38"/>
    </row>
    <row r="6985" ht="15.75" customHeight="1">
      <c r="A6985" s="35"/>
      <c r="C6985" s="442"/>
      <c r="P6985" s="235"/>
      <c r="AI6985" s="38"/>
    </row>
    <row r="6986" ht="15.75" customHeight="1">
      <c r="A6986" s="35"/>
      <c r="C6986" s="442"/>
      <c r="P6986" s="235"/>
      <c r="AI6986" s="38"/>
    </row>
    <row r="6987" ht="15.75" customHeight="1">
      <c r="A6987" s="35"/>
      <c r="C6987" s="442"/>
      <c r="P6987" s="235"/>
      <c r="AI6987" s="38"/>
    </row>
    <row r="6988" ht="15.75" customHeight="1">
      <c r="A6988" s="35"/>
      <c r="C6988" s="442"/>
      <c r="P6988" s="235"/>
      <c r="AI6988" s="38"/>
    </row>
    <row r="6989" ht="15.75" customHeight="1">
      <c r="A6989" s="35"/>
      <c r="C6989" s="442"/>
      <c r="P6989" s="235"/>
      <c r="AI6989" s="38"/>
    </row>
    <row r="6990" ht="15.75" customHeight="1">
      <c r="A6990" s="35"/>
      <c r="C6990" s="442"/>
      <c r="P6990" s="235"/>
      <c r="AI6990" s="38"/>
    </row>
    <row r="6991" ht="15.75" customHeight="1">
      <c r="A6991" s="35"/>
      <c r="C6991" s="442"/>
      <c r="P6991" s="235"/>
      <c r="AI6991" s="38"/>
    </row>
    <row r="6992" ht="15.75" customHeight="1">
      <c r="A6992" s="35"/>
      <c r="C6992" s="442"/>
      <c r="P6992" s="235"/>
      <c r="AI6992" s="38"/>
    </row>
    <row r="6993" ht="15.75" customHeight="1">
      <c r="A6993" s="35"/>
      <c r="C6993" s="442"/>
      <c r="P6993" s="235"/>
      <c r="AI6993" s="38"/>
    </row>
    <row r="6994" ht="15.75" customHeight="1">
      <c r="A6994" s="35"/>
      <c r="C6994" s="442"/>
      <c r="P6994" s="235"/>
      <c r="AI6994" s="38"/>
    </row>
    <row r="6995" ht="15.75" customHeight="1">
      <c r="A6995" s="35"/>
      <c r="C6995" s="442"/>
      <c r="P6995" s="235"/>
      <c r="AI6995" s="38"/>
    </row>
    <row r="6996" ht="15.75" customHeight="1">
      <c r="A6996" s="35"/>
      <c r="C6996" s="442"/>
      <c r="P6996" s="235"/>
      <c r="AI6996" s="38"/>
    </row>
    <row r="6997" ht="15.75" customHeight="1">
      <c r="A6997" s="35"/>
      <c r="C6997" s="442"/>
      <c r="P6997" s="235"/>
      <c r="AI6997" s="38"/>
    </row>
    <row r="6998" ht="15.75" customHeight="1">
      <c r="A6998" s="35"/>
      <c r="C6998" s="442"/>
      <c r="P6998" s="235"/>
      <c r="AI6998" s="38"/>
    </row>
    <row r="6999" ht="15.75" customHeight="1">
      <c r="A6999" s="35"/>
      <c r="C6999" s="442"/>
      <c r="P6999" s="235"/>
      <c r="AI6999" s="38"/>
    </row>
    <row r="7000" ht="15.75" customHeight="1">
      <c r="A7000" s="35"/>
      <c r="C7000" s="442"/>
      <c r="P7000" s="235"/>
      <c r="AI7000" s="38"/>
    </row>
    <row r="7001" ht="15.75" customHeight="1">
      <c r="A7001" s="35"/>
      <c r="C7001" s="442"/>
      <c r="P7001" s="235"/>
      <c r="AI7001" s="38"/>
    </row>
    <row r="7002" ht="15.75" customHeight="1">
      <c r="A7002" s="35"/>
      <c r="C7002" s="442"/>
      <c r="P7002" s="235"/>
      <c r="AI7002" s="38"/>
    </row>
    <row r="7003" ht="15.75" customHeight="1">
      <c r="A7003" s="35"/>
      <c r="C7003" s="442"/>
      <c r="P7003" s="235"/>
      <c r="AI7003" s="38"/>
    </row>
    <row r="7004" ht="15.75" customHeight="1">
      <c r="A7004" s="35"/>
      <c r="C7004" s="442"/>
      <c r="P7004" s="235"/>
      <c r="AI7004" s="38"/>
    </row>
    <row r="7005" ht="15.75" customHeight="1">
      <c r="A7005" s="35"/>
      <c r="C7005" s="442"/>
      <c r="P7005" s="235"/>
      <c r="AI7005" s="38"/>
    </row>
    <row r="7006" ht="15.75" customHeight="1">
      <c r="A7006" s="35"/>
      <c r="C7006" s="442"/>
      <c r="P7006" s="235"/>
      <c r="AI7006" s="38"/>
    </row>
    <row r="7007" ht="15.75" customHeight="1">
      <c r="A7007" s="35"/>
      <c r="C7007" s="442"/>
      <c r="P7007" s="235"/>
      <c r="AI7007" s="38"/>
    </row>
    <row r="7008" ht="15.75" customHeight="1">
      <c r="A7008" s="35"/>
      <c r="C7008" s="442"/>
      <c r="P7008" s="235"/>
      <c r="AI7008" s="38"/>
    </row>
    <row r="7009" ht="15.75" customHeight="1">
      <c r="A7009" s="35"/>
      <c r="C7009" s="442"/>
      <c r="P7009" s="235"/>
      <c r="AI7009" s="38"/>
    </row>
    <row r="7010" ht="15.75" customHeight="1">
      <c r="A7010" s="35"/>
      <c r="C7010" s="442"/>
      <c r="P7010" s="235"/>
      <c r="AI7010" s="38"/>
    </row>
    <row r="7011" ht="15.75" customHeight="1">
      <c r="A7011" s="35"/>
      <c r="C7011" s="442"/>
      <c r="P7011" s="235"/>
      <c r="AI7011" s="38"/>
    </row>
    <row r="7012" ht="15.75" customHeight="1">
      <c r="A7012" s="35"/>
      <c r="C7012" s="442"/>
      <c r="P7012" s="235"/>
      <c r="AI7012" s="38"/>
    </row>
    <row r="7013" ht="15.75" customHeight="1">
      <c r="A7013" s="35"/>
      <c r="C7013" s="442"/>
      <c r="P7013" s="235"/>
      <c r="AI7013" s="38"/>
    </row>
    <row r="7014" ht="15.75" customHeight="1">
      <c r="A7014" s="35"/>
      <c r="C7014" s="442"/>
      <c r="P7014" s="235"/>
      <c r="AI7014" s="38"/>
    </row>
    <row r="7015" ht="15.75" customHeight="1">
      <c r="A7015" s="35"/>
      <c r="C7015" s="442"/>
      <c r="P7015" s="235"/>
      <c r="AI7015" s="38"/>
    </row>
    <row r="7016" ht="15.75" customHeight="1">
      <c r="A7016" s="35"/>
      <c r="C7016" s="442"/>
      <c r="P7016" s="235"/>
      <c r="AI7016" s="38"/>
    </row>
    <row r="7017" ht="15.75" customHeight="1">
      <c r="A7017" s="35"/>
      <c r="C7017" s="442"/>
      <c r="P7017" s="235"/>
      <c r="AI7017" s="38"/>
    </row>
    <row r="7018" ht="15.75" customHeight="1">
      <c r="A7018" s="35"/>
      <c r="C7018" s="442"/>
      <c r="P7018" s="235"/>
      <c r="AI7018" s="38"/>
    </row>
    <row r="7019" ht="15.75" customHeight="1">
      <c r="A7019" s="35"/>
      <c r="C7019" s="442"/>
      <c r="P7019" s="235"/>
      <c r="AI7019" s="38"/>
    </row>
    <row r="7020" ht="15.75" customHeight="1">
      <c r="A7020" s="35"/>
      <c r="C7020" s="442"/>
      <c r="P7020" s="235"/>
      <c r="AI7020" s="38"/>
    </row>
    <row r="7021" ht="15.75" customHeight="1">
      <c r="A7021" s="35"/>
      <c r="C7021" s="442"/>
      <c r="P7021" s="235"/>
      <c r="AI7021" s="38"/>
    </row>
    <row r="7022" ht="15.75" customHeight="1">
      <c r="A7022" s="35"/>
      <c r="C7022" s="442"/>
      <c r="P7022" s="235"/>
      <c r="AI7022" s="38"/>
    </row>
    <row r="7023" ht="15.75" customHeight="1">
      <c r="A7023" s="35"/>
      <c r="C7023" s="442"/>
      <c r="P7023" s="235"/>
      <c r="AI7023" s="38"/>
    </row>
    <row r="7024" ht="15.75" customHeight="1">
      <c r="A7024" s="35"/>
      <c r="C7024" s="442"/>
      <c r="P7024" s="235"/>
      <c r="AI7024" s="38"/>
    </row>
    <row r="7025" ht="15.75" customHeight="1">
      <c r="A7025" s="35"/>
      <c r="C7025" s="442"/>
      <c r="P7025" s="235"/>
      <c r="AI7025" s="38"/>
    </row>
    <row r="7026" ht="15.75" customHeight="1">
      <c r="A7026" s="35"/>
      <c r="C7026" s="442"/>
      <c r="P7026" s="235"/>
      <c r="AI7026" s="38"/>
    </row>
    <row r="7027" ht="15.75" customHeight="1">
      <c r="A7027" s="35"/>
      <c r="C7027" s="442"/>
      <c r="P7027" s="235"/>
      <c r="AI7027" s="38"/>
    </row>
    <row r="7028" ht="15.75" customHeight="1">
      <c r="A7028" s="35"/>
      <c r="C7028" s="442"/>
      <c r="P7028" s="235"/>
      <c r="AI7028" s="38"/>
    </row>
    <row r="7029" ht="15.75" customHeight="1">
      <c r="A7029" s="35"/>
      <c r="C7029" s="442"/>
      <c r="P7029" s="235"/>
      <c r="AI7029" s="38"/>
    </row>
    <row r="7030" ht="15.75" customHeight="1">
      <c r="A7030" s="35"/>
      <c r="C7030" s="442"/>
      <c r="P7030" s="235"/>
      <c r="AI7030" s="38"/>
    </row>
    <row r="7031" ht="15.75" customHeight="1">
      <c r="A7031" s="35"/>
      <c r="C7031" s="442"/>
      <c r="P7031" s="235"/>
      <c r="AI7031" s="38"/>
    </row>
    <row r="7032" ht="15.75" customHeight="1">
      <c r="A7032" s="35"/>
      <c r="C7032" s="442"/>
      <c r="P7032" s="235"/>
      <c r="AI7032" s="38"/>
    </row>
    <row r="7033" ht="15.75" customHeight="1">
      <c r="A7033" s="35"/>
      <c r="C7033" s="442"/>
      <c r="P7033" s="235"/>
      <c r="AI7033" s="38"/>
    </row>
    <row r="7034" ht="15.75" customHeight="1">
      <c r="A7034" s="35"/>
      <c r="C7034" s="442"/>
      <c r="P7034" s="235"/>
      <c r="AI7034" s="38"/>
    </row>
    <row r="7035" ht="15.75" customHeight="1">
      <c r="A7035" s="35"/>
      <c r="C7035" s="442"/>
      <c r="P7035" s="235"/>
      <c r="AI7035" s="38"/>
    </row>
    <row r="7036" ht="15.75" customHeight="1">
      <c r="A7036" s="35"/>
      <c r="C7036" s="442"/>
      <c r="P7036" s="235"/>
      <c r="AI7036" s="38"/>
    </row>
    <row r="7037" ht="15.75" customHeight="1">
      <c r="A7037" s="35"/>
      <c r="C7037" s="442"/>
      <c r="P7037" s="235"/>
      <c r="AI7037" s="38"/>
    </row>
    <row r="7038" ht="15.75" customHeight="1">
      <c r="A7038" s="35"/>
      <c r="C7038" s="442"/>
      <c r="P7038" s="235"/>
      <c r="AI7038" s="38"/>
    </row>
    <row r="7039" ht="15.75" customHeight="1">
      <c r="A7039" s="35"/>
      <c r="C7039" s="442"/>
      <c r="P7039" s="235"/>
      <c r="AI7039" s="38"/>
    </row>
    <row r="7040" ht="15.75" customHeight="1">
      <c r="A7040" s="35"/>
      <c r="C7040" s="442"/>
      <c r="P7040" s="235"/>
      <c r="AI7040" s="38"/>
    </row>
    <row r="7041" ht="15.75" customHeight="1">
      <c r="A7041" s="35"/>
      <c r="C7041" s="442"/>
      <c r="P7041" s="235"/>
      <c r="AI7041" s="38"/>
    </row>
    <row r="7042" ht="15.75" customHeight="1">
      <c r="A7042" s="35"/>
      <c r="C7042" s="442"/>
      <c r="P7042" s="235"/>
      <c r="AI7042" s="38"/>
    </row>
    <row r="7043" ht="15.75" customHeight="1">
      <c r="A7043" s="35"/>
      <c r="C7043" s="442"/>
      <c r="P7043" s="235"/>
      <c r="AI7043" s="38"/>
    </row>
    <row r="7044" ht="15.75" customHeight="1">
      <c r="A7044" s="35"/>
      <c r="C7044" s="442"/>
      <c r="P7044" s="235"/>
      <c r="AI7044" s="38"/>
    </row>
    <row r="7045" ht="15.75" customHeight="1">
      <c r="A7045" s="35"/>
      <c r="C7045" s="442"/>
      <c r="P7045" s="235"/>
      <c r="AI7045" s="38"/>
    </row>
    <row r="7046" ht="15.75" customHeight="1">
      <c r="A7046" s="35"/>
      <c r="C7046" s="442"/>
      <c r="P7046" s="235"/>
      <c r="AI7046" s="38"/>
    </row>
    <row r="7047" ht="15.75" customHeight="1">
      <c r="A7047" s="35"/>
      <c r="C7047" s="442"/>
      <c r="P7047" s="235"/>
      <c r="AI7047" s="38"/>
    </row>
    <row r="7048" ht="15.75" customHeight="1">
      <c r="A7048" s="35"/>
      <c r="C7048" s="442"/>
      <c r="P7048" s="235"/>
      <c r="AI7048" s="38"/>
    </row>
    <row r="7049" ht="15.75" customHeight="1">
      <c r="A7049" s="35"/>
      <c r="C7049" s="442"/>
      <c r="P7049" s="235"/>
      <c r="AI7049" s="38"/>
    </row>
    <row r="7050" ht="15.75" customHeight="1">
      <c r="A7050" s="35"/>
      <c r="C7050" s="442"/>
      <c r="P7050" s="235"/>
      <c r="AI7050" s="38"/>
    </row>
    <row r="7051" ht="15.75" customHeight="1">
      <c r="A7051" s="35"/>
      <c r="C7051" s="442"/>
      <c r="P7051" s="235"/>
      <c r="AI7051" s="38"/>
    </row>
    <row r="7052" ht="15.75" customHeight="1">
      <c r="A7052" s="35"/>
      <c r="C7052" s="442"/>
      <c r="P7052" s="235"/>
      <c r="AI7052" s="38"/>
    </row>
    <row r="7053" ht="15.75" customHeight="1">
      <c r="A7053" s="35"/>
      <c r="C7053" s="442"/>
      <c r="P7053" s="235"/>
      <c r="AI7053" s="38"/>
    </row>
    <row r="7054" ht="15.75" customHeight="1">
      <c r="A7054" s="35"/>
      <c r="C7054" s="442"/>
      <c r="P7054" s="235"/>
      <c r="AI7054" s="38"/>
    </row>
    <row r="7055" ht="15.75" customHeight="1">
      <c r="A7055" s="35"/>
      <c r="C7055" s="442"/>
      <c r="P7055" s="235"/>
      <c r="AI7055" s="38"/>
    </row>
    <row r="7056" ht="15.75" customHeight="1">
      <c r="A7056" s="35"/>
      <c r="C7056" s="442"/>
      <c r="P7056" s="235"/>
      <c r="AI7056" s="38"/>
    </row>
    <row r="7057" ht="15.75" customHeight="1">
      <c r="A7057" s="35"/>
      <c r="C7057" s="442"/>
      <c r="P7057" s="235"/>
      <c r="AI7057" s="38"/>
    </row>
    <row r="7058" ht="15.75" customHeight="1">
      <c r="A7058" s="35"/>
      <c r="C7058" s="442"/>
      <c r="P7058" s="235"/>
      <c r="AI7058" s="38"/>
    </row>
    <row r="7059" ht="15.75" customHeight="1">
      <c r="A7059" s="35"/>
      <c r="C7059" s="442"/>
      <c r="P7059" s="235"/>
      <c r="AI7059" s="38"/>
    </row>
    <row r="7060" ht="15.75" customHeight="1">
      <c r="A7060" s="35"/>
      <c r="C7060" s="442"/>
      <c r="P7060" s="235"/>
      <c r="AI7060" s="38"/>
    </row>
    <row r="7061" ht="15.75" customHeight="1">
      <c r="A7061" s="35"/>
      <c r="C7061" s="442"/>
      <c r="P7061" s="235"/>
      <c r="AI7061" s="38"/>
    </row>
    <row r="7062" ht="15.75" customHeight="1">
      <c r="A7062" s="35"/>
      <c r="C7062" s="442"/>
      <c r="P7062" s="235"/>
      <c r="AI7062" s="38"/>
    </row>
    <row r="7063" ht="15.75" customHeight="1">
      <c r="A7063" s="35"/>
      <c r="C7063" s="442"/>
      <c r="P7063" s="235"/>
      <c r="AI7063" s="38"/>
    </row>
    <row r="7064" ht="15.75" customHeight="1">
      <c r="A7064" s="35"/>
      <c r="C7064" s="442"/>
      <c r="P7064" s="235"/>
      <c r="AI7064" s="38"/>
    </row>
    <row r="7065" ht="15.75" customHeight="1">
      <c r="A7065" s="35"/>
      <c r="C7065" s="442"/>
      <c r="P7065" s="235"/>
      <c r="AI7065" s="38"/>
    </row>
    <row r="7066" ht="15.75" customHeight="1">
      <c r="A7066" s="35"/>
      <c r="C7066" s="442"/>
      <c r="P7066" s="235"/>
      <c r="AI7066" s="38"/>
    </row>
    <row r="7067" ht="15.75" customHeight="1">
      <c r="A7067" s="35"/>
      <c r="C7067" s="442"/>
      <c r="P7067" s="235"/>
      <c r="AI7067" s="38"/>
    </row>
    <row r="7068" ht="15.75" customHeight="1">
      <c r="A7068" s="35"/>
      <c r="C7068" s="442"/>
      <c r="P7068" s="235"/>
      <c r="AI7068" s="38"/>
    </row>
    <row r="7069" ht="15.75" customHeight="1">
      <c r="A7069" s="35"/>
      <c r="C7069" s="442"/>
      <c r="P7069" s="235"/>
      <c r="AI7069" s="38"/>
    </row>
    <row r="7070" ht="15.75" customHeight="1">
      <c r="A7070" s="35"/>
      <c r="C7070" s="442"/>
      <c r="P7070" s="235"/>
      <c r="AI7070" s="38"/>
    </row>
    <row r="7071" ht="15.75" customHeight="1">
      <c r="A7071" s="35"/>
      <c r="C7071" s="442"/>
      <c r="P7071" s="235"/>
      <c r="AI7071" s="38"/>
    </row>
    <row r="7072" ht="15.75" customHeight="1">
      <c r="A7072" s="35"/>
      <c r="C7072" s="442"/>
      <c r="P7072" s="235"/>
      <c r="AI7072" s="38"/>
    </row>
    <row r="7073" ht="15.75" customHeight="1">
      <c r="A7073" s="35"/>
      <c r="C7073" s="442"/>
      <c r="P7073" s="235"/>
      <c r="AI7073" s="38"/>
    </row>
    <row r="7074" ht="15.75" customHeight="1">
      <c r="A7074" s="35"/>
      <c r="C7074" s="442"/>
      <c r="P7074" s="235"/>
      <c r="AI7074" s="38"/>
    </row>
    <row r="7075" ht="15.75" customHeight="1">
      <c r="A7075" s="35"/>
      <c r="C7075" s="442"/>
      <c r="P7075" s="235"/>
      <c r="AI7075" s="38"/>
    </row>
    <row r="7076" ht="15.75" customHeight="1">
      <c r="A7076" s="35"/>
      <c r="C7076" s="442"/>
      <c r="P7076" s="235"/>
      <c r="AI7076" s="38"/>
    </row>
    <row r="7077" ht="15.75" customHeight="1">
      <c r="A7077" s="35"/>
      <c r="C7077" s="442"/>
      <c r="P7077" s="235"/>
      <c r="AI7077" s="38"/>
    </row>
    <row r="7078" ht="15.75" customHeight="1">
      <c r="A7078" s="35"/>
      <c r="C7078" s="442"/>
      <c r="P7078" s="235"/>
      <c r="AI7078" s="38"/>
    </row>
    <row r="7079" ht="15.75" customHeight="1">
      <c r="A7079" s="35"/>
      <c r="C7079" s="442"/>
      <c r="P7079" s="235"/>
      <c r="AI7079" s="38"/>
    </row>
    <row r="7080" ht="15.75" customHeight="1">
      <c r="A7080" s="35"/>
      <c r="C7080" s="442"/>
      <c r="P7080" s="235"/>
      <c r="AI7080" s="38"/>
    </row>
    <row r="7081" ht="15.75" customHeight="1">
      <c r="A7081" s="35"/>
      <c r="C7081" s="442"/>
      <c r="P7081" s="235"/>
      <c r="AI7081" s="38"/>
    </row>
    <row r="7082" ht="15.75" customHeight="1">
      <c r="A7082" s="35"/>
      <c r="C7082" s="442"/>
      <c r="P7082" s="235"/>
      <c r="AI7082" s="38"/>
    </row>
    <row r="7083" ht="15.75" customHeight="1">
      <c r="A7083" s="35"/>
      <c r="C7083" s="442"/>
      <c r="P7083" s="235"/>
      <c r="AI7083" s="38"/>
    </row>
    <row r="7084" ht="15.75" customHeight="1">
      <c r="A7084" s="35"/>
      <c r="C7084" s="442"/>
      <c r="P7084" s="235"/>
      <c r="AI7084" s="38"/>
    </row>
    <row r="7085" ht="15.75" customHeight="1">
      <c r="A7085" s="35"/>
      <c r="C7085" s="442"/>
      <c r="P7085" s="235"/>
      <c r="AI7085" s="38"/>
    </row>
    <row r="7086" ht="15.75" customHeight="1">
      <c r="A7086" s="35"/>
      <c r="C7086" s="442"/>
      <c r="P7086" s="235"/>
      <c r="AI7086" s="38"/>
    </row>
    <row r="7087" ht="15.75" customHeight="1">
      <c r="A7087" s="35"/>
      <c r="C7087" s="442"/>
      <c r="P7087" s="235"/>
      <c r="AI7087" s="38"/>
    </row>
    <row r="7088" ht="15.75" customHeight="1">
      <c r="A7088" s="35"/>
      <c r="C7088" s="442"/>
      <c r="P7088" s="235"/>
      <c r="AI7088" s="38"/>
    </row>
    <row r="7089" ht="15.75" customHeight="1">
      <c r="A7089" s="35"/>
      <c r="C7089" s="442"/>
      <c r="P7089" s="235"/>
      <c r="AI7089" s="38"/>
    </row>
    <row r="7090" ht="15.75" customHeight="1">
      <c r="A7090" s="35"/>
      <c r="C7090" s="442"/>
      <c r="P7090" s="235"/>
      <c r="AI7090" s="38"/>
    </row>
    <row r="7091" ht="15.75" customHeight="1">
      <c r="A7091" s="35"/>
      <c r="C7091" s="442"/>
      <c r="P7091" s="235"/>
      <c r="AI7091" s="38"/>
    </row>
    <row r="7092" ht="15.75" customHeight="1">
      <c r="A7092" s="35"/>
      <c r="C7092" s="442"/>
      <c r="P7092" s="235"/>
      <c r="AI7092" s="38"/>
    </row>
    <row r="7093" ht="15.75" customHeight="1">
      <c r="A7093" s="35"/>
      <c r="C7093" s="442"/>
      <c r="P7093" s="235"/>
      <c r="AI7093" s="38"/>
    </row>
    <row r="7094" ht="15.75" customHeight="1">
      <c r="A7094" s="35"/>
      <c r="C7094" s="442"/>
      <c r="P7094" s="235"/>
      <c r="AI7094" s="38"/>
    </row>
    <row r="7095" ht="15.75" customHeight="1">
      <c r="A7095" s="35"/>
      <c r="C7095" s="442"/>
      <c r="P7095" s="235"/>
      <c r="AI7095" s="38"/>
    </row>
    <row r="7096" ht="15.75" customHeight="1">
      <c r="A7096" s="35"/>
      <c r="C7096" s="442"/>
      <c r="P7096" s="235"/>
      <c r="AI7096" s="38"/>
    </row>
    <row r="7097" ht="15.75" customHeight="1">
      <c r="A7097" s="35"/>
      <c r="C7097" s="442"/>
      <c r="P7097" s="235"/>
      <c r="AI7097" s="38"/>
    </row>
    <row r="7098" ht="15.75" customHeight="1">
      <c r="A7098" s="35"/>
      <c r="C7098" s="442"/>
      <c r="P7098" s="235"/>
      <c r="AI7098" s="38"/>
    </row>
    <row r="7099" ht="15.75" customHeight="1">
      <c r="A7099" s="35"/>
      <c r="C7099" s="442"/>
      <c r="P7099" s="235"/>
      <c r="AI7099" s="38"/>
    </row>
    <row r="7100" ht="15.75" customHeight="1">
      <c r="A7100" s="35"/>
      <c r="C7100" s="442"/>
      <c r="P7100" s="235"/>
      <c r="AI7100" s="38"/>
    </row>
    <row r="7101" ht="15.75" customHeight="1">
      <c r="A7101" s="35"/>
      <c r="C7101" s="442"/>
      <c r="P7101" s="235"/>
      <c r="AI7101" s="38"/>
    </row>
    <row r="7102" ht="15.75" customHeight="1">
      <c r="A7102" s="35"/>
      <c r="C7102" s="442"/>
      <c r="P7102" s="235"/>
      <c r="AI7102" s="38"/>
    </row>
    <row r="7103" ht="15.75" customHeight="1">
      <c r="A7103" s="35"/>
      <c r="C7103" s="442"/>
      <c r="P7103" s="235"/>
      <c r="AI7103" s="38"/>
    </row>
    <row r="7104" ht="15.75" customHeight="1">
      <c r="A7104" s="35"/>
      <c r="C7104" s="442"/>
      <c r="P7104" s="235"/>
      <c r="AI7104" s="38"/>
    </row>
    <row r="7105" ht="15.75" customHeight="1">
      <c r="A7105" s="35"/>
      <c r="C7105" s="442"/>
      <c r="P7105" s="235"/>
      <c r="AI7105" s="38"/>
    </row>
    <row r="7106" ht="15.75" customHeight="1">
      <c r="A7106" s="35"/>
      <c r="C7106" s="442"/>
      <c r="P7106" s="235"/>
      <c r="AI7106" s="38"/>
    </row>
    <row r="7107" ht="15.75" customHeight="1">
      <c r="A7107" s="35"/>
      <c r="C7107" s="442"/>
      <c r="P7107" s="235"/>
      <c r="AI7107" s="38"/>
    </row>
    <row r="7108" ht="15.75" customHeight="1">
      <c r="A7108" s="35"/>
      <c r="C7108" s="442"/>
      <c r="P7108" s="235"/>
      <c r="AI7108" s="38"/>
    </row>
    <row r="7109" ht="15.75" customHeight="1">
      <c r="A7109" s="35"/>
      <c r="C7109" s="442"/>
      <c r="P7109" s="235"/>
      <c r="AI7109" s="38"/>
    </row>
    <row r="7110" ht="15.75" customHeight="1">
      <c r="A7110" s="35"/>
      <c r="C7110" s="442"/>
      <c r="P7110" s="235"/>
      <c r="AI7110" s="38"/>
    </row>
    <row r="7111" ht="15.75" customHeight="1">
      <c r="A7111" s="35"/>
      <c r="C7111" s="442"/>
      <c r="P7111" s="235"/>
      <c r="AI7111" s="38"/>
    </row>
    <row r="7112" ht="15.75" customHeight="1">
      <c r="A7112" s="35"/>
      <c r="C7112" s="442"/>
      <c r="P7112" s="235"/>
      <c r="AI7112" s="38"/>
    </row>
    <row r="7113" ht="15.75" customHeight="1">
      <c r="A7113" s="35"/>
      <c r="C7113" s="442"/>
      <c r="P7113" s="235"/>
      <c r="AI7113" s="38"/>
    </row>
    <row r="7114" ht="15.75" customHeight="1">
      <c r="A7114" s="35"/>
      <c r="C7114" s="442"/>
      <c r="P7114" s="235"/>
      <c r="AI7114" s="38"/>
    </row>
    <row r="7115" ht="15.75" customHeight="1">
      <c r="A7115" s="35"/>
      <c r="C7115" s="442"/>
      <c r="P7115" s="235"/>
      <c r="AI7115" s="38"/>
    </row>
    <row r="7116" ht="15.75" customHeight="1">
      <c r="A7116" s="35"/>
      <c r="C7116" s="442"/>
      <c r="P7116" s="235"/>
      <c r="AI7116" s="38"/>
    </row>
    <row r="7117" ht="15.75" customHeight="1">
      <c r="A7117" s="35"/>
      <c r="C7117" s="442"/>
      <c r="P7117" s="235"/>
      <c r="AI7117" s="38"/>
    </row>
    <row r="7118" ht="15.75" customHeight="1">
      <c r="A7118" s="35"/>
      <c r="C7118" s="442"/>
      <c r="P7118" s="235"/>
      <c r="AI7118" s="38"/>
    </row>
    <row r="7119" ht="15.75" customHeight="1">
      <c r="A7119" s="35"/>
      <c r="C7119" s="442"/>
      <c r="P7119" s="235"/>
      <c r="AI7119" s="38"/>
    </row>
    <row r="7120" ht="15.75" customHeight="1">
      <c r="A7120" s="35"/>
      <c r="C7120" s="442"/>
      <c r="P7120" s="235"/>
      <c r="AI7120" s="38"/>
    </row>
    <row r="7121" ht="15.75" customHeight="1">
      <c r="A7121" s="35"/>
      <c r="C7121" s="442"/>
      <c r="P7121" s="235"/>
      <c r="AI7121" s="38"/>
    </row>
    <row r="7122" ht="15.75" customHeight="1">
      <c r="A7122" s="35"/>
      <c r="C7122" s="442"/>
      <c r="P7122" s="235"/>
      <c r="AI7122" s="38"/>
    </row>
    <row r="7123" ht="15.75" customHeight="1">
      <c r="A7123" s="35"/>
      <c r="C7123" s="442"/>
      <c r="P7123" s="235"/>
      <c r="AI7123" s="38"/>
    </row>
    <row r="7124" ht="15.75" customHeight="1">
      <c r="A7124" s="35"/>
      <c r="C7124" s="442"/>
      <c r="P7124" s="235"/>
      <c r="AI7124" s="38"/>
    </row>
    <row r="7125" ht="15.75" customHeight="1">
      <c r="A7125" s="35"/>
      <c r="C7125" s="442"/>
      <c r="P7125" s="235"/>
      <c r="AI7125" s="38"/>
    </row>
    <row r="7126" ht="15.75" customHeight="1">
      <c r="A7126" s="35"/>
      <c r="C7126" s="442"/>
      <c r="P7126" s="235"/>
      <c r="AI7126" s="38"/>
    </row>
    <row r="7127" ht="15.75" customHeight="1">
      <c r="A7127" s="35"/>
      <c r="C7127" s="442"/>
      <c r="P7127" s="235"/>
      <c r="AI7127" s="38"/>
    </row>
    <row r="7128" ht="15.75" customHeight="1">
      <c r="A7128" s="35"/>
      <c r="C7128" s="442"/>
      <c r="P7128" s="235"/>
      <c r="AI7128" s="38"/>
    </row>
    <row r="7129" ht="15.75" customHeight="1">
      <c r="A7129" s="35"/>
      <c r="C7129" s="442"/>
      <c r="P7129" s="235"/>
      <c r="AI7129" s="38"/>
    </row>
    <row r="7130" ht="15.75" customHeight="1">
      <c r="A7130" s="35"/>
      <c r="C7130" s="442"/>
      <c r="P7130" s="235"/>
      <c r="AI7130" s="38"/>
    </row>
    <row r="7131" ht="15.75" customHeight="1">
      <c r="A7131" s="35"/>
      <c r="C7131" s="442"/>
      <c r="P7131" s="235"/>
      <c r="AI7131" s="38"/>
    </row>
    <row r="7132" ht="15.75" customHeight="1">
      <c r="A7132" s="35"/>
      <c r="C7132" s="442"/>
      <c r="P7132" s="235"/>
      <c r="AI7132" s="38"/>
    </row>
    <row r="7133" ht="15.75" customHeight="1">
      <c r="A7133" s="35"/>
      <c r="C7133" s="442"/>
      <c r="P7133" s="235"/>
      <c r="AI7133" s="38"/>
    </row>
    <row r="7134" ht="15.75" customHeight="1">
      <c r="A7134" s="35"/>
      <c r="C7134" s="442"/>
      <c r="P7134" s="235"/>
      <c r="AI7134" s="38"/>
    </row>
    <row r="7135" ht="15.75" customHeight="1">
      <c r="A7135" s="35"/>
      <c r="C7135" s="442"/>
      <c r="P7135" s="235"/>
      <c r="AI7135" s="38"/>
    </row>
    <row r="7136" ht="15.75" customHeight="1">
      <c r="A7136" s="35"/>
      <c r="C7136" s="442"/>
      <c r="P7136" s="235"/>
      <c r="AI7136" s="38"/>
    </row>
    <row r="7137" ht="15.75" customHeight="1">
      <c r="A7137" s="35"/>
      <c r="C7137" s="442"/>
      <c r="P7137" s="235"/>
      <c r="AI7137" s="38"/>
    </row>
    <row r="7138" ht="15.75" customHeight="1">
      <c r="A7138" s="35"/>
      <c r="C7138" s="442"/>
      <c r="P7138" s="235"/>
      <c r="AI7138" s="38"/>
    </row>
    <row r="7139" ht="15.75" customHeight="1">
      <c r="A7139" s="35"/>
      <c r="C7139" s="442"/>
      <c r="P7139" s="235"/>
      <c r="AI7139" s="38"/>
    </row>
    <row r="7140" ht="15.75" customHeight="1">
      <c r="A7140" s="35"/>
      <c r="C7140" s="442"/>
      <c r="P7140" s="235"/>
      <c r="AI7140" s="38"/>
    </row>
    <row r="7141" ht="15.75" customHeight="1">
      <c r="A7141" s="35"/>
      <c r="C7141" s="442"/>
      <c r="P7141" s="235"/>
      <c r="AI7141" s="38"/>
    </row>
    <row r="7142" ht="15.75" customHeight="1">
      <c r="A7142" s="35"/>
      <c r="C7142" s="442"/>
      <c r="P7142" s="235"/>
      <c r="AI7142" s="38"/>
    </row>
    <row r="7143" ht="15.75" customHeight="1">
      <c r="A7143" s="35"/>
      <c r="C7143" s="442"/>
      <c r="P7143" s="235"/>
      <c r="AI7143" s="38"/>
    </row>
    <row r="7144" ht="15.75" customHeight="1">
      <c r="A7144" s="35"/>
      <c r="C7144" s="442"/>
      <c r="P7144" s="235"/>
      <c r="AI7144" s="38"/>
    </row>
    <row r="7145" ht="15.75" customHeight="1">
      <c r="A7145" s="35"/>
      <c r="C7145" s="442"/>
      <c r="P7145" s="235"/>
      <c r="AI7145" s="38"/>
    </row>
    <row r="7146" ht="15.75" customHeight="1">
      <c r="A7146" s="35"/>
      <c r="C7146" s="442"/>
      <c r="P7146" s="235"/>
      <c r="AI7146" s="38"/>
    </row>
    <row r="7147" ht="15.75" customHeight="1">
      <c r="A7147" s="35"/>
      <c r="C7147" s="442"/>
      <c r="P7147" s="235"/>
      <c r="AI7147" s="38"/>
    </row>
    <row r="7148" ht="15.75" customHeight="1">
      <c r="A7148" s="35"/>
      <c r="C7148" s="442"/>
      <c r="P7148" s="235"/>
      <c r="AI7148" s="38"/>
    </row>
    <row r="7149" ht="15.75" customHeight="1">
      <c r="A7149" s="35"/>
      <c r="C7149" s="442"/>
      <c r="P7149" s="235"/>
      <c r="AI7149" s="38"/>
    </row>
    <row r="7150" ht="15.75" customHeight="1">
      <c r="A7150" s="35"/>
      <c r="C7150" s="442"/>
      <c r="P7150" s="235"/>
      <c r="AI7150" s="38"/>
    </row>
    <row r="7151" ht="15.75" customHeight="1">
      <c r="A7151" s="35"/>
      <c r="C7151" s="442"/>
      <c r="P7151" s="235"/>
      <c r="AI7151" s="38"/>
    </row>
    <row r="7152" ht="15.75" customHeight="1">
      <c r="A7152" s="35"/>
      <c r="C7152" s="442"/>
      <c r="P7152" s="235"/>
      <c r="AI7152" s="38"/>
    </row>
    <row r="7153" ht="15.75" customHeight="1">
      <c r="A7153" s="35"/>
      <c r="C7153" s="442"/>
      <c r="P7153" s="235"/>
      <c r="AI7153" s="38"/>
    </row>
    <row r="7154" ht="15.75" customHeight="1">
      <c r="A7154" s="35"/>
      <c r="C7154" s="442"/>
      <c r="P7154" s="235"/>
      <c r="AI7154" s="38"/>
    </row>
    <row r="7155" ht="15.75" customHeight="1">
      <c r="A7155" s="35"/>
      <c r="C7155" s="442"/>
      <c r="P7155" s="235"/>
      <c r="AI7155" s="38"/>
    </row>
    <row r="7156" ht="15.75" customHeight="1">
      <c r="A7156" s="35"/>
      <c r="C7156" s="442"/>
      <c r="P7156" s="235"/>
      <c r="AI7156" s="38"/>
    </row>
    <row r="7157" ht="15.75" customHeight="1">
      <c r="A7157" s="35"/>
      <c r="C7157" s="442"/>
      <c r="P7157" s="235"/>
      <c r="AI7157" s="38"/>
    </row>
    <row r="7158" ht="15.75" customHeight="1">
      <c r="A7158" s="35"/>
      <c r="C7158" s="442"/>
      <c r="P7158" s="235"/>
      <c r="AI7158" s="38"/>
    </row>
    <row r="7159" ht="15.75" customHeight="1">
      <c r="A7159" s="35"/>
      <c r="C7159" s="442"/>
      <c r="P7159" s="235"/>
      <c r="AI7159" s="38"/>
    </row>
    <row r="7160" ht="15.75" customHeight="1">
      <c r="A7160" s="35"/>
      <c r="C7160" s="442"/>
      <c r="P7160" s="235"/>
      <c r="AI7160" s="38"/>
    </row>
    <row r="7161" ht="15.75" customHeight="1">
      <c r="A7161" s="35"/>
      <c r="C7161" s="442"/>
      <c r="P7161" s="235"/>
      <c r="AI7161" s="38"/>
    </row>
    <row r="7162" ht="15.75" customHeight="1">
      <c r="A7162" s="35"/>
      <c r="C7162" s="442"/>
      <c r="P7162" s="235"/>
      <c r="AI7162" s="38"/>
    </row>
    <row r="7163" ht="15.75" customHeight="1">
      <c r="A7163" s="35"/>
      <c r="C7163" s="442"/>
      <c r="P7163" s="235"/>
      <c r="AI7163" s="38"/>
    </row>
    <row r="7164" ht="15.75" customHeight="1">
      <c r="A7164" s="35"/>
      <c r="C7164" s="442"/>
      <c r="P7164" s="235"/>
      <c r="AI7164" s="38"/>
    </row>
    <row r="7165" ht="15.75" customHeight="1">
      <c r="A7165" s="35"/>
      <c r="C7165" s="442"/>
      <c r="P7165" s="235"/>
      <c r="AI7165" s="38"/>
    </row>
    <row r="7166" ht="15.75" customHeight="1">
      <c r="A7166" s="35"/>
      <c r="C7166" s="442"/>
      <c r="P7166" s="235"/>
      <c r="AI7166" s="38"/>
    </row>
    <row r="7167" ht="15.75" customHeight="1">
      <c r="A7167" s="35"/>
      <c r="C7167" s="442"/>
      <c r="P7167" s="235"/>
      <c r="AI7167" s="38"/>
    </row>
    <row r="7168" ht="15.75" customHeight="1">
      <c r="A7168" s="35"/>
      <c r="C7168" s="442"/>
      <c r="P7168" s="235"/>
      <c r="AI7168" s="38"/>
    </row>
    <row r="7169" ht="15.75" customHeight="1">
      <c r="A7169" s="35"/>
      <c r="C7169" s="442"/>
      <c r="P7169" s="235"/>
      <c r="AI7169" s="38"/>
    </row>
    <row r="7170" ht="15.75" customHeight="1">
      <c r="A7170" s="35"/>
      <c r="C7170" s="442"/>
      <c r="P7170" s="235"/>
      <c r="AI7170" s="38"/>
    </row>
    <row r="7171" ht="15.75" customHeight="1">
      <c r="A7171" s="35"/>
      <c r="C7171" s="442"/>
      <c r="P7171" s="235"/>
      <c r="AI7171" s="38"/>
    </row>
    <row r="7172" ht="15.75" customHeight="1">
      <c r="A7172" s="35"/>
      <c r="C7172" s="442"/>
      <c r="P7172" s="235"/>
      <c r="AI7172" s="38"/>
    </row>
    <row r="7173" ht="15.75" customHeight="1">
      <c r="A7173" s="35"/>
      <c r="C7173" s="442"/>
      <c r="P7173" s="235"/>
      <c r="AI7173" s="38"/>
    </row>
    <row r="7174" ht="15.75" customHeight="1">
      <c r="A7174" s="35"/>
      <c r="C7174" s="442"/>
      <c r="P7174" s="235"/>
      <c r="AI7174" s="38"/>
    </row>
    <row r="7175" ht="15.75" customHeight="1">
      <c r="A7175" s="35"/>
      <c r="C7175" s="442"/>
      <c r="P7175" s="235"/>
      <c r="AI7175" s="38"/>
    </row>
    <row r="7176" ht="15.75" customHeight="1">
      <c r="A7176" s="35"/>
      <c r="C7176" s="442"/>
      <c r="P7176" s="235"/>
      <c r="AI7176" s="38"/>
    </row>
    <row r="7177" ht="15.75" customHeight="1">
      <c r="A7177" s="35"/>
      <c r="C7177" s="442"/>
      <c r="P7177" s="235"/>
      <c r="AI7177" s="38"/>
    </row>
    <row r="7178" ht="15.75" customHeight="1">
      <c r="A7178" s="35"/>
      <c r="C7178" s="442"/>
      <c r="P7178" s="235"/>
      <c r="AI7178" s="38"/>
    </row>
    <row r="7179" ht="15.75" customHeight="1">
      <c r="A7179" s="35"/>
      <c r="C7179" s="442"/>
      <c r="P7179" s="235"/>
      <c r="AI7179" s="38"/>
    </row>
    <row r="7180" ht="15.75" customHeight="1">
      <c r="A7180" s="35"/>
      <c r="C7180" s="442"/>
      <c r="P7180" s="235"/>
      <c r="AI7180" s="38"/>
    </row>
    <row r="7181" ht="15.75" customHeight="1">
      <c r="A7181" s="35"/>
      <c r="C7181" s="442"/>
      <c r="P7181" s="235"/>
      <c r="AI7181" s="38"/>
    </row>
    <row r="7182" ht="15.75" customHeight="1">
      <c r="A7182" s="35"/>
      <c r="C7182" s="442"/>
      <c r="P7182" s="235"/>
      <c r="AI7182" s="38"/>
    </row>
    <row r="7183" ht="15.75" customHeight="1">
      <c r="A7183" s="35"/>
      <c r="C7183" s="442"/>
      <c r="P7183" s="235"/>
      <c r="AI7183" s="38"/>
    </row>
    <row r="7184" ht="15.75" customHeight="1">
      <c r="A7184" s="35"/>
      <c r="C7184" s="442"/>
      <c r="P7184" s="235"/>
      <c r="AI7184" s="38"/>
    </row>
    <row r="7185" ht="15.75" customHeight="1">
      <c r="A7185" s="35"/>
      <c r="C7185" s="442"/>
      <c r="P7185" s="235"/>
      <c r="AI7185" s="38"/>
    </row>
    <row r="7186" ht="15.75" customHeight="1">
      <c r="A7186" s="35"/>
      <c r="C7186" s="442"/>
      <c r="P7186" s="235"/>
      <c r="AI7186" s="38"/>
    </row>
    <row r="7187" ht="15.75" customHeight="1">
      <c r="A7187" s="35"/>
      <c r="C7187" s="442"/>
      <c r="P7187" s="235"/>
      <c r="AI7187" s="38"/>
    </row>
    <row r="7188" ht="15.75" customHeight="1">
      <c r="A7188" s="35"/>
      <c r="C7188" s="442"/>
      <c r="P7188" s="235"/>
      <c r="AI7188" s="38"/>
    </row>
    <row r="7189" ht="15.75" customHeight="1">
      <c r="A7189" s="35"/>
      <c r="C7189" s="442"/>
      <c r="P7189" s="235"/>
      <c r="AI7189" s="38"/>
    </row>
    <row r="7190" ht="15.75" customHeight="1">
      <c r="A7190" s="35"/>
      <c r="C7190" s="442"/>
      <c r="P7190" s="235"/>
      <c r="AI7190" s="38"/>
    </row>
    <row r="7191" ht="15.75" customHeight="1">
      <c r="A7191" s="35"/>
      <c r="C7191" s="442"/>
      <c r="P7191" s="235"/>
      <c r="AI7191" s="38"/>
    </row>
    <row r="7192" ht="15.75" customHeight="1">
      <c r="A7192" s="35"/>
      <c r="C7192" s="442"/>
      <c r="P7192" s="235"/>
      <c r="AI7192" s="38"/>
    </row>
    <row r="7193" ht="15.75" customHeight="1">
      <c r="A7193" s="35"/>
      <c r="C7193" s="442"/>
      <c r="P7193" s="235"/>
      <c r="AI7193" s="38"/>
    </row>
    <row r="7194" ht="15.75" customHeight="1">
      <c r="A7194" s="35"/>
      <c r="C7194" s="442"/>
      <c r="P7194" s="235"/>
      <c r="AI7194" s="38"/>
    </row>
    <row r="7195" ht="15.75" customHeight="1">
      <c r="A7195" s="35"/>
      <c r="C7195" s="442"/>
      <c r="P7195" s="235"/>
      <c r="AI7195" s="38"/>
    </row>
    <row r="7196" ht="15.75" customHeight="1">
      <c r="A7196" s="35"/>
      <c r="C7196" s="442"/>
      <c r="P7196" s="235"/>
      <c r="AI7196" s="38"/>
    </row>
    <row r="7197" ht="15.75" customHeight="1">
      <c r="A7197" s="35"/>
      <c r="C7197" s="442"/>
      <c r="P7197" s="235"/>
      <c r="AI7197" s="38"/>
    </row>
    <row r="7198" ht="15.75" customHeight="1">
      <c r="A7198" s="35"/>
      <c r="C7198" s="442"/>
      <c r="P7198" s="235"/>
      <c r="AI7198" s="38"/>
    </row>
    <row r="7199" ht="15.75" customHeight="1">
      <c r="A7199" s="35"/>
      <c r="C7199" s="442"/>
      <c r="P7199" s="235"/>
      <c r="AI7199" s="38"/>
    </row>
    <row r="7200" ht="15.75" customHeight="1">
      <c r="A7200" s="35"/>
      <c r="C7200" s="442"/>
      <c r="P7200" s="235"/>
      <c r="AI7200" s="38"/>
    </row>
    <row r="7201" ht="15.75" customHeight="1">
      <c r="A7201" s="35"/>
      <c r="C7201" s="442"/>
      <c r="P7201" s="235"/>
      <c r="AI7201" s="38"/>
    </row>
    <row r="7202" ht="15.75" customHeight="1">
      <c r="A7202" s="35"/>
      <c r="C7202" s="442"/>
      <c r="P7202" s="235"/>
      <c r="AI7202" s="38"/>
    </row>
    <row r="7203" ht="15.75" customHeight="1">
      <c r="A7203" s="35"/>
      <c r="C7203" s="442"/>
      <c r="P7203" s="235"/>
      <c r="AI7203" s="38"/>
    </row>
    <row r="7204" ht="15.75" customHeight="1">
      <c r="A7204" s="35"/>
      <c r="C7204" s="442"/>
      <c r="P7204" s="235"/>
      <c r="AI7204" s="38"/>
    </row>
    <row r="7205" ht="15.75" customHeight="1">
      <c r="A7205" s="35"/>
      <c r="C7205" s="442"/>
      <c r="P7205" s="235"/>
      <c r="AI7205" s="38"/>
    </row>
    <row r="7206" ht="15.75" customHeight="1">
      <c r="A7206" s="35"/>
      <c r="C7206" s="442"/>
      <c r="P7206" s="235"/>
      <c r="AI7206" s="38"/>
    </row>
    <row r="7207" ht="15.75" customHeight="1">
      <c r="A7207" s="35"/>
      <c r="C7207" s="442"/>
      <c r="P7207" s="235"/>
      <c r="AI7207" s="38"/>
    </row>
    <row r="7208" ht="15.75" customHeight="1">
      <c r="A7208" s="35"/>
      <c r="C7208" s="442"/>
      <c r="P7208" s="235"/>
      <c r="AI7208" s="38"/>
    </row>
    <row r="7209" ht="15.75" customHeight="1">
      <c r="A7209" s="35"/>
      <c r="C7209" s="442"/>
      <c r="P7209" s="235"/>
      <c r="AI7209" s="38"/>
    </row>
    <row r="7210" ht="15.75" customHeight="1">
      <c r="A7210" s="35"/>
      <c r="C7210" s="442"/>
      <c r="P7210" s="235"/>
      <c r="AI7210" s="38"/>
    </row>
    <row r="7211" ht="15.75" customHeight="1">
      <c r="A7211" s="35"/>
      <c r="C7211" s="442"/>
      <c r="P7211" s="235"/>
      <c r="AI7211" s="38"/>
    </row>
    <row r="7212" ht="15.75" customHeight="1">
      <c r="A7212" s="35"/>
      <c r="C7212" s="442"/>
      <c r="P7212" s="235"/>
      <c r="AI7212" s="38"/>
    </row>
    <row r="7213" ht="15.75" customHeight="1">
      <c r="A7213" s="35"/>
      <c r="C7213" s="442"/>
      <c r="P7213" s="235"/>
      <c r="AI7213" s="38"/>
    </row>
    <row r="7214" ht="15.75" customHeight="1">
      <c r="A7214" s="35"/>
      <c r="C7214" s="442"/>
      <c r="P7214" s="235"/>
      <c r="AI7214" s="38"/>
    </row>
    <row r="7215" ht="15.75" customHeight="1">
      <c r="A7215" s="35"/>
      <c r="C7215" s="442"/>
      <c r="P7215" s="235"/>
      <c r="AI7215" s="38"/>
    </row>
    <row r="7216" ht="15.75" customHeight="1">
      <c r="A7216" s="35"/>
      <c r="C7216" s="442"/>
      <c r="P7216" s="235"/>
      <c r="AI7216" s="38"/>
    </row>
    <row r="7217" ht="15.75" customHeight="1">
      <c r="A7217" s="35"/>
      <c r="C7217" s="442"/>
      <c r="P7217" s="235"/>
      <c r="AI7217" s="38"/>
    </row>
    <row r="7218" ht="15.75" customHeight="1">
      <c r="A7218" s="35"/>
      <c r="C7218" s="442"/>
      <c r="P7218" s="235"/>
      <c r="AI7218" s="38"/>
    </row>
    <row r="7219" ht="15.75" customHeight="1">
      <c r="A7219" s="35"/>
      <c r="C7219" s="442"/>
      <c r="P7219" s="235"/>
      <c r="AI7219" s="38"/>
    </row>
    <row r="7220" ht="15.75" customHeight="1">
      <c r="A7220" s="35"/>
      <c r="C7220" s="442"/>
      <c r="P7220" s="235"/>
      <c r="AI7220" s="38"/>
    </row>
    <row r="7221" ht="15.75" customHeight="1">
      <c r="A7221" s="35"/>
      <c r="C7221" s="442"/>
      <c r="P7221" s="235"/>
      <c r="AI7221" s="38"/>
    </row>
    <row r="7222" ht="15.75" customHeight="1">
      <c r="A7222" s="35"/>
      <c r="C7222" s="442"/>
      <c r="P7222" s="235"/>
      <c r="AI7222" s="38"/>
    </row>
    <row r="7223" ht="15.75" customHeight="1">
      <c r="A7223" s="35"/>
      <c r="C7223" s="442"/>
      <c r="P7223" s="235"/>
      <c r="AI7223" s="38"/>
    </row>
    <row r="7224" ht="15.75" customHeight="1">
      <c r="A7224" s="35"/>
      <c r="C7224" s="442"/>
      <c r="P7224" s="235"/>
      <c r="AI7224" s="38"/>
    </row>
    <row r="7225" ht="15.75" customHeight="1">
      <c r="A7225" s="35"/>
      <c r="C7225" s="442"/>
      <c r="P7225" s="235"/>
      <c r="AI7225" s="38"/>
    </row>
    <row r="7226" ht="15.75" customHeight="1">
      <c r="A7226" s="35"/>
      <c r="C7226" s="442"/>
      <c r="P7226" s="235"/>
      <c r="AI7226" s="38"/>
    </row>
    <row r="7227" ht="15.75" customHeight="1">
      <c r="A7227" s="35"/>
      <c r="C7227" s="442"/>
      <c r="P7227" s="235"/>
      <c r="AI7227" s="38"/>
    </row>
    <row r="7228" ht="15.75" customHeight="1">
      <c r="A7228" s="35"/>
      <c r="C7228" s="442"/>
      <c r="P7228" s="235"/>
      <c r="AI7228" s="38"/>
    </row>
    <row r="7229" ht="15.75" customHeight="1">
      <c r="A7229" s="35"/>
      <c r="C7229" s="442"/>
      <c r="P7229" s="235"/>
      <c r="AI7229" s="38"/>
    </row>
    <row r="7230" ht="15.75" customHeight="1">
      <c r="A7230" s="35"/>
      <c r="C7230" s="442"/>
      <c r="P7230" s="235"/>
      <c r="AI7230" s="38"/>
    </row>
    <row r="7231" ht="15.75" customHeight="1">
      <c r="A7231" s="35"/>
      <c r="C7231" s="442"/>
      <c r="P7231" s="235"/>
      <c r="AI7231" s="38"/>
    </row>
    <row r="7232" ht="15.75" customHeight="1">
      <c r="A7232" s="35"/>
      <c r="C7232" s="442"/>
      <c r="P7232" s="235"/>
      <c r="AI7232" s="38"/>
    </row>
    <row r="7233" ht="15.75" customHeight="1">
      <c r="A7233" s="35"/>
      <c r="C7233" s="442"/>
      <c r="P7233" s="235"/>
      <c r="AI7233" s="38"/>
    </row>
    <row r="7234" ht="15.75" customHeight="1">
      <c r="A7234" s="35"/>
      <c r="C7234" s="442"/>
      <c r="P7234" s="235"/>
      <c r="AI7234" s="38"/>
    </row>
    <row r="7235" ht="15.75" customHeight="1">
      <c r="A7235" s="35"/>
      <c r="C7235" s="442"/>
      <c r="P7235" s="235"/>
      <c r="AI7235" s="38"/>
    </row>
    <row r="7236" ht="15.75" customHeight="1">
      <c r="A7236" s="35"/>
      <c r="C7236" s="442"/>
      <c r="P7236" s="235"/>
      <c r="AI7236" s="38"/>
    </row>
    <row r="7237" ht="15.75" customHeight="1">
      <c r="A7237" s="35"/>
      <c r="C7237" s="442"/>
      <c r="P7237" s="235"/>
      <c r="AI7237" s="38"/>
    </row>
    <row r="7238" ht="15.75" customHeight="1">
      <c r="A7238" s="35"/>
      <c r="C7238" s="442"/>
      <c r="P7238" s="235"/>
      <c r="AI7238" s="38"/>
    </row>
    <row r="7239" ht="15.75" customHeight="1">
      <c r="A7239" s="35"/>
      <c r="C7239" s="442"/>
      <c r="P7239" s="235"/>
      <c r="AI7239" s="38"/>
    </row>
    <row r="7240" ht="15.75" customHeight="1">
      <c r="A7240" s="35"/>
      <c r="C7240" s="442"/>
      <c r="P7240" s="235"/>
      <c r="AI7240" s="38"/>
    </row>
    <row r="7241" ht="15.75" customHeight="1">
      <c r="A7241" s="35"/>
      <c r="C7241" s="442"/>
      <c r="P7241" s="235"/>
      <c r="AI7241" s="38"/>
    </row>
    <row r="7242" ht="15.75" customHeight="1">
      <c r="A7242" s="35"/>
      <c r="C7242" s="442"/>
      <c r="P7242" s="235"/>
      <c r="AI7242" s="38"/>
    </row>
    <row r="7243" ht="15.75" customHeight="1">
      <c r="A7243" s="35"/>
      <c r="C7243" s="442"/>
      <c r="P7243" s="235"/>
      <c r="AI7243" s="38"/>
    </row>
    <row r="7244" ht="15.75" customHeight="1">
      <c r="A7244" s="35"/>
      <c r="C7244" s="442"/>
      <c r="P7244" s="235"/>
      <c r="AI7244" s="38"/>
    </row>
    <row r="7245" ht="15.75" customHeight="1">
      <c r="A7245" s="35"/>
      <c r="C7245" s="442"/>
      <c r="P7245" s="235"/>
      <c r="AI7245" s="38"/>
    </row>
    <row r="7246" ht="15.75" customHeight="1">
      <c r="A7246" s="35"/>
      <c r="C7246" s="442"/>
      <c r="P7246" s="235"/>
      <c r="AI7246" s="38"/>
    </row>
    <row r="7247" ht="15.75" customHeight="1">
      <c r="A7247" s="35"/>
      <c r="C7247" s="442"/>
      <c r="P7247" s="235"/>
      <c r="AI7247" s="38"/>
    </row>
    <row r="7248" ht="15.75" customHeight="1">
      <c r="A7248" s="35"/>
      <c r="C7248" s="442"/>
      <c r="P7248" s="235"/>
      <c r="AI7248" s="38"/>
    </row>
    <row r="7249" ht="15.75" customHeight="1">
      <c r="A7249" s="35"/>
      <c r="C7249" s="442"/>
      <c r="P7249" s="235"/>
      <c r="AI7249" s="38"/>
    </row>
    <row r="7250" ht="15.75" customHeight="1">
      <c r="A7250" s="35"/>
      <c r="C7250" s="442"/>
      <c r="P7250" s="235"/>
      <c r="AI7250" s="38"/>
    </row>
    <row r="7251" ht="15.75" customHeight="1">
      <c r="A7251" s="35"/>
      <c r="C7251" s="442"/>
      <c r="P7251" s="235"/>
      <c r="AI7251" s="38"/>
    </row>
    <row r="7252" ht="15.75" customHeight="1">
      <c r="A7252" s="35"/>
      <c r="C7252" s="442"/>
      <c r="P7252" s="235"/>
      <c r="AI7252" s="38"/>
    </row>
    <row r="7253" ht="15.75" customHeight="1">
      <c r="A7253" s="35"/>
      <c r="C7253" s="442"/>
      <c r="P7253" s="235"/>
      <c r="AI7253" s="38"/>
    </row>
    <row r="7254" ht="15.75" customHeight="1">
      <c r="A7254" s="35"/>
      <c r="C7254" s="442"/>
      <c r="P7254" s="235"/>
      <c r="AI7254" s="38"/>
    </row>
    <row r="7255" ht="15.75" customHeight="1">
      <c r="A7255" s="35"/>
      <c r="C7255" s="442"/>
      <c r="P7255" s="235"/>
      <c r="AI7255" s="38"/>
    </row>
    <row r="7256" ht="15.75" customHeight="1">
      <c r="A7256" s="35"/>
      <c r="C7256" s="442"/>
      <c r="P7256" s="235"/>
      <c r="AI7256" s="38"/>
    </row>
    <row r="7257" ht="15.75" customHeight="1">
      <c r="A7257" s="35"/>
      <c r="C7257" s="442"/>
      <c r="P7257" s="235"/>
      <c r="AI7257" s="38"/>
    </row>
    <row r="7258" ht="15.75" customHeight="1">
      <c r="A7258" s="35"/>
      <c r="C7258" s="442"/>
      <c r="P7258" s="235"/>
      <c r="AI7258" s="38"/>
    </row>
    <row r="7259" ht="15.75" customHeight="1">
      <c r="A7259" s="35"/>
      <c r="C7259" s="442"/>
      <c r="P7259" s="235"/>
      <c r="AI7259" s="38"/>
    </row>
    <row r="7260" ht="15.75" customHeight="1">
      <c r="A7260" s="35"/>
      <c r="C7260" s="442"/>
      <c r="P7260" s="235"/>
      <c r="AI7260" s="38"/>
    </row>
    <row r="7261" ht="15.75" customHeight="1">
      <c r="A7261" s="35"/>
      <c r="C7261" s="442"/>
      <c r="P7261" s="235"/>
      <c r="AI7261" s="38"/>
    </row>
    <row r="7262" ht="15.75" customHeight="1">
      <c r="A7262" s="35"/>
      <c r="C7262" s="442"/>
      <c r="P7262" s="235"/>
      <c r="AI7262" s="38"/>
    </row>
    <row r="7263" ht="15.75" customHeight="1">
      <c r="A7263" s="35"/>
      <c r="C7263" s="442"/>
      <c r="P7263" s="235"/>
      <c r="AI7263" s="38"/>
    </row>
    <row r="7264" ht="15.75" customHeight="1">
      <c r="A7264" s="35"/>
      <c r="C7264" s="442"/>
      <c r="P7264" s="235"/>
      <c r="AI7264" s="38"/>
    </row>
    <row r="7265" ht="15.75" customHeight="1">
      <c r="A7265" s="35"/>
      <c r="C7265" s="442"/>
      <c r="P7265" s="235"/>
      <c r="AI7265" s="38"/>
    </row>
    <row r="7266" ht="15.75" customHeight="1">
      <c r="A7266" s="35"/>
      <c r="C7266" s="442"/>
      <c r="P7266" s="235"/>
      <c r="AI7266" s="38"/>
    </row>
    <row r="7267" ht="15.75" customHeight="1">
      <c r="A7267" s="35"/>
      <c r="C7267" s="442"/>
      <c r="P7267" s="235"/>
      <c r="AI7267" s="38"/>
    </row>
    <row r="7268" ht="15.75" customHeight="1">
      <c r="A7268" s="35"/>
      <c r="C7268" s="442"/>
      <c r="P7268" s="235"/>
      <c r="AI7268" s="38"/>
    </row>
    <row r="7269" ht="15.75" customHeight="1">
      <c r="A7269" s="35"/>
      <c r="C7269" s="442"/>
      <c r="P7269" s="235"/>
      <c r="AI7269" s="38"/>
    </row>
    <row r="7270" ht="15.75" customHeight="1">
      <c r="A7270" s="35"/>
      <c r="C7270" s="442"/>
      <c r="P7270" s="235"/>
      <c r="AI7270" s="38"/>
    </row>
    <row r="7271" ht="15.75" customHeight="1">
      <c r="A7271" s="35"/>
      <c r="C7271" s="442"/>
      <c r="P7271" s="235"/>
      <c r="AI7271" s="38"/>
    </row>
    <row r="7272" ht="15.75" customHeight="1">
      <c r="A7272" s="35"/>
      <c r="C7272" s="442"/>
      <c r="P7272" s="235"/>
      <c r="AI7272" s="38"/>
    </row>
    <row r="7273" ht="15.75" customHeight="1">
      <c r="A7273" s="35"/>
      <c r="C7273" s="442"/>
      <c r="P7273" s="235"/>
      <c r="AI7273" s="38"/>
    </row>
    <row r="7274" ht="15.75" customHeight="1">
      <c r="A7274" s="35"/>
      <c r="C7274" s="442"/>
      <c r="P7274" s="235"/>
      <c r="AI7274" s="38"/>
    </row>
    <row r="7275" ht="15.75" customHeight="1">
      <c r="A7275" s="35"/>
      <c r="C7275" s="442"/>
      <c r="P7275" s="235"/>
      <c r="AI7275" s="38"/>
    </row>
    <row r="7276" ht="15.75" customHeight="1">
      <c r="A7276" s="35"/>
      <c r="C7276" s="442"/>
      <c r="P7276" s="235"/>
      <c r="AI7276" s="38"/>
    </row>
    <row r="7277" ht="15.75" customHeight="1">
      <c r="A7277" s="35"/>
      <c r="C7277" s="442"/>
      <c r="P7277" s="235"/>
      <c r="AI7277" s="38"/>
    </row>
    <row r="7278" ht="15.75" customHeight="1">
      <c r="A7278" s="35"/>
      <c r="C7278" s="442"/>
      <c r="P7278" s="235"/>
      <c r="AI7278" s="38"/>
    </row>
    <row r="7279" ht="15.75" customHeight="1">
      <c r="A7279" s="35"/>
      <c r="C7279" s="442"/>
      <c r="P7279" s="235"/>
      <c r="AI7279" s="38"/>
    </row>
    <row r="7280" ht="15.75" customHeight="1">
      <c r="A7280" s="35"/>
      <c r="C7280" s="442"/>
      <c r="P7280" s="235"/>
      <c r="AI7280" s="38"/>
    </row>
    <row r="7281" ht="15.75" customHeight="1">
      <c r="A7281" s="35"/>
      <c r="C7281" s="442"/>
      <c r="P7281" s="235"/>
      <c r="AI7281" s="38"/>
    </row>
    <row r="7282" ht="15.75" customHeight="1">
      <c r="A7282" s="35"/>
      <c r="C7282" s="442"/>
      <c r="P7282" s="235"/>
      <c r="AI7282" s="38"/>
    </row>
    <row r="7283" ht="15.75" customHeight="1">
      <c r="A7283" s="35"/>
      <c r="C7283" s="442"/>
      <c r="P7283" s="235"/>
      <c r="AI7283" s="38"/>
    </row>
    <row r="7284" ht="15.75" customHeight="1">
      <c r="A7284" s="35"/>
      <c r="C7284" s="442"/>
      <c r="P7284" s="235"/>
      <c r="AI7284" s="38"/>
    </row>
    <row r="7285" ht="15.75" customHeight="1">
      <c r="A7285" s="35"/>
      <c r="C7285" s="442"/>
      <c r="P7285" s="235"/>
      <c r="AI7285" s="38"/>
    </row>
    <row r="7286" ht="15.75" customHeight="1">
      <c r="A7286" s="35"/>
      <c r="C7286" s="442"/>
      <c r="P7286" s="235"/>
      <c r="AI7286" s="38"/>
    </row>
    <row r="7287" ht="15.75" customHeight="1">
      <c r="A7287" s="35"/>
      <c r="C7287" s="442"/>
      <c r="P7287" s="235"/>
      <c r="AI7287" s="38"/>
    </row>
    <row r="7288" ht="15.75" customHeight="1">
      <c r="A7288" s="35"/>
      <c r="C7288" s="442"/>
      <c r="P7288" s="235"/>
      <c r="AI7288" s="38"/>
    </row>
    <row r="7289" ht="15.75" customHeight="1">
      <c r="A7289" s="35"/>
      <c r="C7289" s="442"/>
      <c r="P7289" s="235"/>
      <c r="AI7289" s="38"/>
    </row>
    <row r="7290" ht="15.75" customHeight="1">
      <c r="A7290" s="35"/>
      <c r="C7290" s="442"/>
      <c r="P7290" s="235"/>
      <c r="AI7290" s="38"/>
    </row>
    <row r="7291" ht="15.75" customHeight="1">
      <c r="A7291" s="35"/>
      <c r="C7291" s="442"/>
      <c r="P7291" s="235"/>
      <c r="AI7291" s="38"/>
    </row>
    <row r="7292" ht="15.75" customHeight="1">
      <c r="A7292" s="35"/>
      <c r="C7292" s="442"/>
      <c r="P7292" s="235"/>
      <c r="AI7292" s="38"/>
    </row>
    <row r="7293" ht="15.75" customHeight="1">
      <c r="A7293" s="35"/>
      <c r="C7293" s="442"/>
      <c r="P7293" s="235"/>
      <c r="AI7293" s="38"/>
    </row>
    <row r="7294" ht="15.75" customHeight="1">
      <c r="A7294" s="35"/>
      <c r="C7294" s="442"/>
      <c r="P7294" s="235"/>
      <c r="AI7294" s="38"/>
    </row>
    <row r="7295" ht="15.75" customHeight="1">
      <c r="A7295" s="35"/>
      <c r="C7295" s="442"/>
      <c r="P7295" s="235"/>
      <c r="AI7295" s="38"/>
    </row>
    <row r="7296" ht="15.75" customHeight="1">
      <c r="A7296" s="35"/>
      <c r="C7296" s="442"/>
      <c r="P7296" s="235"/>
      <c r="AI7296" s="38"/>
    </row>
    <row r="7297" ht="15.75" customHeight="1">
      <c r="A7297" s="35"/>
      <c r="C7297" s="442"/>
      <c r="P7297" s="235"/>
      <c r="AI7297" s="38"/>
    </row>
    <row r="7298" ht="15.75" customHeight="1">
      <c r="A7298" s="35"/>
      <c r="C7298" s="442"/>
      <c r="P7298" s="235"/>
      <c r="AI7298" s="38"/>
    </row>
    <row r="7299" ht="15.75" customHeight="1">
      <c r="A7299" s="35"/>
      <c r="C7299" s="442"/>
      <c r="P7299" s="235"/>
      <c r="AI7299" s="38"/>
    </row>
    <row r="7300" ht="15.75" customHeight="1">
      <c r="A7300" s="35"/>
      <c r="C7300" s="442"/>
      <c r="P7300" s="235"/>
      <c r="AI7300" s="38"/>
    </row>
    <row r="7301" ht="15.75" customHeight="1">
      <c r="A7301" s="35"/>
      <c r="C7301" s="442"/>
      <c r="P7301" s="235"/>
      <c r="AI7301" s="38"/>
    </row>
    <row r="7302" ht="15.75" customHeight="1">
      <c r="A7302" s="35"/>
      <c r="C7302" s="442"/>
      <c r="P7302" s="235"/>
      <c r="AI7302" s="38"/>
    </row>
    <row r="7303" ht="15.75" customHeight="1">
      <c r="A7303" s="35"/>
      <c r="C7303" s="442"/>
      <c r="P7303" s="235"/>
      <c r="AI7303" s="38"/>
    </row>
    <row r="7304" ht="15.75" customHeight="1">
      <c r="A7304" s="35"/>
      <c r="C7304" s="442"/>
      <c r="P7304" s="235"/>
      <c r="AI7304" s="38"/>
    </row>
    <row r="7305" ht="15.75" customHeight="1">
      <c r="A7305" s="35"/>
      <c r="C7305" s="442"/>
      <c r="P7305" s="235"/>
      <c r="AI7305" s="38"/>
    </row>
    <row r="7306" ht="15.75" customHeight="1">
      <c r="A7306" s="35"/>
      <c r="C7306" s="442"/>
      <c r="P7306" s="235"/>
      <c r="AI7306" s="38"/>
    </row>
    <row r="7307" ht="15.75" customHeight="1">
      <c r="A7307" s="35"/>
      <c r="C7307" s="442"/>
      <c r="P7307" s="235"/>
      <c r="AI7307" s="38"/>
    </row>
    <row r="7308" ht="15.75" customHeight="1">
      <c r="A7308" s="35"/>
      <c r="C7308" s="442"/>
      <c r="P7308" s="235"/>
      <c r="AI7308" s="38"/>
    </row>
    <row r="7309" ht="15.75" customHeight="1">
      <c r="A7309" s="35"/>
      <c r="C7309" s="442"/>
      <c r="P7309" s="235"/>
      <c r="AI7309" s="38"/>
    </row>
    <row r="7310" ht="15.75" customHeight="1">
      <c r="A7310" s="35"/>
      <c r="C7310" s="442"/>
      <c r="P7310" s="235"/>
      <c r="AI7310" s="38"/>
    </row>
    <row r="7311" ht="15.75" customHeight="1">
      <c r="A7311" s="35"/>
      <c r="C7311" s="442"/>
      <c r="P7311" s="235"/>
      <c r="AI7311" s="38"/>
    </row>
    <row r="7312" ht="15.75" customHeight="1">
      <c r="A7312" s="35"/>
      <c r="C7312" s="442"/>
      <c r="P7312" s="235"/>
      <c r="AI7312" s="38"/>
    </row>
    <row r="7313" ht="15.75" customHeight="1">
      <c r="A7313" s="35"/>
      <c r="C7313" s="442"/>
      <c r="P7313" s="235"/>
      <c r="AI7313" s="38"/>
    </row>
    <row r="7314" ht="15.75" customHeight="1">
      <c r="A7314" s="35"/>
      <c r="C7314" s="442"/>
      <c r="P7314" s="235"/>
      <c r="AI7314" s="38"/>
    </row>
    <row r="7315" ht="15.75" customHeight="1">
      <c r="A7315" s="35"/>
      <c r="C7315" s="442"/>
      <c r="P7315" s="235"/>
      <c r="AI7315" s="38"/>
    </row>
    <row r="7316" ht="15.75" customHeight="1">
      <c r="A7316" s="35"/>
      <c r="C7316" s="442"/>
      <c r="P7316" s="235"/>
      <c r="AI7316" s="38"/>
    </row>
    <row r="7317" ht="15.75" customHeight="1">
      <c r="A7317" s="35"/>
      <c r="C7317" s="442"/>
      <c r="P7317" s="235"/>
      <c r="AI7317" s="38"/>
    </row>
    <row r="7318" ht="15.75" customHeight="1">
      <c r="A7318" s="35"/>
      <c r="C7318" s="442"/>
      <c r="P7318" s="235"/>
      <c r="AI7318" s="38"/>
    </row>
    <row r="7319" ht="15.75" customHeight="1">
      <c r="A7319" s="35"/>
      <c r="C7319" s="442"/>
      <c r="P7319" s="235"/>
      <c r="AI7319" s="38"/>
    </row>
    <row r="7320" ht="15.75" customHeight="1">
      <c r="A7320" s="35"/>
      <c r="C7320" s="442"/>
      <c r="P7320" s="235"/>
      <c r="AI7320" s="38"/>
    </row>
    <row r="7321" ht="15.75" customHeight="1">
      <c r="A7321" s="35"/>
      <c r="C7321" s="442"/>
      <c r="P7321" s="235"/>
      <c r="AI7321" s="38"/>
    </row>
    <row r="7322" ht="15.75" customHeight="1">
      <c r="A7322" s="35"/>
      <c r="C7322" s="442"/>
      <c r="P7322" s="235"/>
      <c r="AI7322" s="38"/>
    </row>
    <row r="7323" ht="15.75" customHeight="1">
      <c r="A7323" s="35"/>
      <c r="C7323" s="442"/>
      <c r="P7323" s="235"/>
      <c r="AI7323" s="38"/>
    </row>
    <row r="7324" ht="15.75" customHeight="1">
      <c r="A7324" s="35"/>
      <c r="C7324" s="442"/>
      <c r="P7324" s="235"/>
      <c r="AI7324" s="38"/>
    </row>
    <row r="7325" ht="15.75" customHeight="1">
      <c r="A7325" s="35"/>
      <c r="C7325" s="442"/>
      <c r="P7325" s="235"/>
      <c r="AI7325" s="38"/>
    </row>
    <row r="7326" ht="15.75" customHeight="1">
      <c r="A7326" s="35"/>
      <c r="C7326" s="442"/>
      <c r="P7326" s="235"/>
      <c r="AI7326" s="38"/>
    </row>
    <row r="7327" ht="15.75" customHeight="1">
      <c r="A7327" s="35"/>
      <c r="C7327" s="442"/>
      <c r="P7327" s="235"/>
      <c r="AI7327" s="38"/>
    </row>
    <row r="7328" ht="15.75" customHeight="1">
      <c r="A7328" s="35"/>
      <c r="C7328" s="442"/>
      <c r="P7328" s="235"/>
      <c r="AI7328" s="38"/>
    </row>
    <row r="7329" ht="15.75" customHeight="1">
      <c r="A7329" s="35"/>
      <c r="C7329" s="442"/>
      <c r="P7329" s="235"/>
      <c r="AI7329" s="38"/>
    </row>
    <row r="7330" ht="15.75" customHeight="1">
      <c r="A7330" s="35"/>
      <c r="C7330" s="442"/>
      <c r="P7330" s="235"/>
      <c r="AI7330" s="38"/>
    </row>
    <row r="7331" ht="15.75" customHeight="1">
      <c r="A7331" s="35"/>
      <c r="C7331" s="442"/>
      <c r="P7331" s="235"/>
      <c r="AI7331" s="38"/>
    </row>
    <row r="7332" ht="15.75" customHeight="1">
      <c r="A7332" s="35"/>
      <c r="C7332" s="442"/>
      <c r="P7332" s="235"/>
      <c r="AI7332" s="38"/>
    </row>
    <row r="7333" ht="15.75" customHeight="1">
      <c r="A7333" s="35"/>
      <c r="C7333" s="442"/>
      <c r="P7333" s="235"/>
      <c r="AI7333" s="38"/>
    </row>
    <row r="7334" ht="15.75" customHeight="1">
      <c r="A7334" s="35"/>
      <c r="C7334" s="442"/>
      <c r="P7334" s="235"/>
      <c r="AI7334" s="38"/>
    </row>
    <row r="7335" ht="15.75" customHeight="1">
      <c r="A7335" s="35"/>
      <c r="C7335" s="442"/>
      <c r="P7335" s="235"/>
      <c r="AI7335" s="38"/>
    </row>
    <row r="7336" ht="15.75" customHeight="1">
      <c r="A7336" s="35"/>
      <c r="C7336" s="442"/>
      <c r="P7336" s="235"/>
      <c r="AI7336" s="38"/>
    </row>
    <row r="7337" ht="15.75" customHeight="1">
      <c r="A7337" s="35"/>
      <c r="C7337" s="442"/>
      <c r="P7337" s="235"/>
      <c r="AI7337" s="38"/>
    </row>
    <row r="7338" ht="15.75" customHeight="1">
      <c r="A7338" s="35"/>
      <c r="C7338" s="442"/>
      <c r="P7338" s="235"/>
      <c r="AI7338" s="38"/>
    </row>
    <row r="7339" ht="15.75" customHeight="1">
      <c r="A7339" s="35"/>
      <c r="C7339" s="442"/>
      <c r="P7339" s="235"/>
      <c r="AI7339" s="38"/>
    </row>
    <row r="7340" ht="15.75" customHeight="1">
      <c r="A7340" s="35"/>
      <c r="C7340" s="442"/>
      <c r="P7340" s="235"/>
      <c r="AI7340" s="38"/>
    </row>
    <row r="7341" ht="15.75" customHeight="1">
      <c r="A7341" s="35"/>
      <c r="C7341" s="442"/>
      <c r="P7341" s="235"/>
      <c r="AI7341" s="38"/>
    </row>
    <row r="7342" ht="15.75" customHeight="1">
      <c r="A7342" s="35"/>
      <c r="C7342" s="442"/>
      <c r="P7342" s="235"/>
      <c r="AI7342" s="38"/>
    </row>
    <row r="7343" ht="15.75" customHeight="1">
      <c r="A7343" s="35"/>
      <c r="C7343" s="442"/>
      <c r="P7343" s="235"/>
      <c r="AI7343" s="38"/>
    </row>
    <row r="7344" ht="15.75" customHeight="1">
      <c r="A7344" s="35"/>
      <c r="C7344" s="442"/>
      <c r="P7344" s="235"/>
      <c r="AI7344" s="38"/>
    </row>
    <row r="7345" ht="15.75" customHeight="1">
      <c r="A7345" s="35"/>
      <c r="C7345" s="442"/>
      <c r="P7345" s="235"/>
      <c r="AI7345" s="38"/>
    </row>
    <row r="7346" ht="15.75" customHeight="1">
      <c r="A7346" s="35"/>
      <c r="C7346" s="442"/>
      <c r="P7346" s="235"/>
      <c r="AI7346" s="38"/>
    </row>
    <row r="7347" ht="15.75" customHeight="1">
      <c r="A7347" s="35"/>
      <c r="C7347" s="442"/>
      <c r="P7347" s="235"/>
      <c r="AI7347" s="38"/>
    </row>
    <row r="7348" ht="15.75" customHeight="1">
      <c r="A7348" s="35"/>
      <c r="C7348" s="442"/>
      <c r="P7348" s="235"/>
      <c r="AI7348" s="38"/>
    </row>
    <row r="7349" ht="15.75" customHeight="1">
      <c r="A7349" s="35"/>
      <c r="C7349" s="442"/>
      <c r="P7349" s="235"/>
      <c r="AI7349" s="38"/>
    </row>
    <row r="7350" ht="15.75" customHeight="1">
      <c r="A7350" s="35"/>
      <c r="C7350" s="442"/>
      <c r="P7350" s="235"/>
      <c r="AI7350" s="38"/>
    </row>
    <row r="7351" ht="15.75" customHeight="1">
      <c r="A7351" s="35"/>
      <c r="C7351" s="442"/>
      <c r="P7351" s="235"/>
      <c r="AI7351" s="38"/>
    </row>
    <row r="7352" ht="15.75" customHeight="1">
      <c r="A7352" s="35"/>
      <c r="C7352" s="442"/>
      <c r="P7352" s="235"/>
      <c r="AI7352" s="38"/>
    </row>
    <row r="7353" ht="15.75" customHeight="1">
      <c r="A7353" s="35"/>
      <c r="C7353" s="442"/>
      <c r="P7353" s="235"/>
      <c r="AI7353" s="38"/>
    </row>
    <row r="7354" ht="15.75" customHeight="1">
      <c r="A7354" s="35"/>
      <c r="C7354" s="442"/>
      <c r="P7354" s="235"/>
      <c r="AI7354" s="38"/>
    </row>
    <row r="7355" ht="15.75" customHeight="1">
      <c r="A7355" s="35"/>
      <c r="C7355" s="442"/>
      <c r="P7355" s="235"/>
      <c r="AI7355" s="38"/>
    </row>
    <row r="7356" ht="15.75" customHeight="1">
      <c r="A7356" s="35"/>
      <c r="C7356" s="442"/>
      <c r="P7356" s="235"/>
      <c r="AI7356" s="38"/>
    </row>
    <row r="7357" ht="15.75" customHeight="1">
      <c r="A7357" s="35"/>
      <c r="C7357" s="442"/>
      <c r="P7357" s="235"/>
      <c r="AI7357" s="38"/>
    </row>
    <row r="7358" ht="15.75" customHeight="1">
      <c r="A7358" s="35"/>
      <c r="C7358" s="442"/>
      <c r="P7358" s="235"/>
      <c r="AI7358" s="38"/>
    </row>
    <row r="7359" ht="15.75" customHeight="1">
      <c r="A7359" s="35"/>
      <c r="C7359" s="442"/>
      <c r="P7359" s="235"/>
      <c r="AI7359" s="38"/>
    </row>
    <row r="7360" ht="15.75" customHeight="1">
      <c r="A7360" s="35"/>
      <c r="C7360" s="442"/>
      <c r="P7360" s="235"/>
      <c r="AI7360" s="38"/>
    </row>
    <row r="7361" ht="15.75" customHeight="1">
      <c r="A7361" s="35"/>
      <c r="C7361" s="442"/>
      <c r="P7361" s="235"/>
      <c r="AI7361" s="38"/>
    </row>
    <row r="7362" ht="15.75" customHeight="1">
      <c r="A7362" s="35"/>
      <c r="C7362" s="442"/>
      <c r="P7362" s="235"/>
      <c r="AI7362" s="38"/>
    </row>
    <row r="7363" ht="15.75" customHeight="1">
      <c r="A7363" s="35"/>
      <c r="C7363" s="442"/>
      <c r="P7363" s="235"/>
      <c r="AI7363" s="38"/>
    </row>
    <row r="7364" ht="15.75" customHeight="1">
      <c r="A7364" s="35"/>
      <c r="C7364" s="442"/>
      <c r="P7364" s="235"/>
      <c r="AI7364" s="38"/>
    </row>
    <row r="7365" ht="15.75" customHeight="1">
      <c r="A7365" s="35"/>
      <c r="C7365" s="442"/>
      <c r="P7365" s="235"/>
      <c r="AI7365" s="38"/>
    </row>
    <row r="7366" ht="15.75" customHeight="1">
      <c r="A7366" s="35"/>
      <c r="C7366" s="442"/>
      <c r="P7366" s="235"/>
      <c r="AI7366" s="38"/>
    </row>
    <row r="7367" ht="15.75" customHeight="1">
      <c r="A7367" s="35"/>
      <c r="C7367" s="442"/>
      <c r="P7367" s="235"/>
      <c r="AI7367" s="38"/>
    </row>
    <row r="7368" ht="15.75" customHeight="1">
      <c r="A7368" s="35"/>
      <c r="C7368" s="442"/>
      <c r="P7368" s="235"/>
      <c r="AI7368" s="38"/>
    </row>
    <row r="7369" ht="15.75" customHeight="1">
      <c r="A7369" s="35"/>
      <c r="C7369" s="442"/>
      <c r="P7369" s="235"/>
      <c r="AI7369" s="38"/>
    </row>
    <row r="7370" ht="15.75" customHeight="1">
      <c r="A7370" s="35"/>
      <c r="C7370" s="442"/>
      <c r="P7370" s="235"/>
      <c r="AI7370" s="38"/>
    </row>
    <row r="7371" ht="15.75" customHeight="1">
      <c r="A7371" s="35"/>
      <c r="C7371" s="442"/>
      <c r="P7371" s="235"/>
      <c r="AI7371" s="38"/>
    </row>
    <row r="7372" ht="15.75" customHeight="1">
      <c r="A7372" s="35"/>
      <c r="C7372" s="442"/>
      <c r="P7372" s="235"/>
      <c r="AI7372" s="38"/>
    </row>
    <row r="7373" ht="15.75" customHeight="1">
      <c r="A7373" s="35"/>
      <c r="C7373" s="442"/>
      <c r="P7373" s="235"/>
      <c r="AI7373" s="38"/>
    </row>
    <row r="7374" ht="15.75" customHeight="1">
      <c r="A7374" s="35"/>
      <c r="C7374" s="442"/>
      <c r="P7374" s="235"/>
      <c r="AI7374" s="38"/>
    </row>
    <row r="7375" ht="15.75" customHeight="1">
      <c r="A7375" s="35"/>
      <c r="C7375" s="442"/>
      <c r="P7375" s="235"/>
      <c r="AI7375" s="38"/>
    </row>
    <row r="7376" ht="15.75" customHeight="1">
      <c r="A7376" s="35"/>
      <c r="C7376" s="442"/>
      <c r="P7376" s="235"/>
      <c r="AI7376" s="38"/>
    </row>
    <row r="7377" ht="15.75" customHeight="1">
      <c r="A7377" s="35"/>
      <c r="C7377" s="442"/>
      <c r="P7377" s="235"/>
      <c r="AI7377" s="38"/>
    </row>
    <row r="7378" ht="15.75" customHeight="1">
      <c r="A7378" s="35"/>
      <c r="C7378" s="442"/>
      <c r="P7378" s="235"/>
      <c r="AI7378" s="38"/>
    </row>
    <row r="7379" ht="15.75" customHeight="1">
      <c r="A7379" s="35"/>
      <c r="C7379" s="442"/>
      <c r="P7379" s="235"/>
      <c r="AI7379" s="38"/>
    </row>
    <row r="7380" ht="15.75" customHeight="1">
      <c r="A7380" s="35"/>
      <c r="C7380" s="442"/>
      <c r="P7380" s="235"/>
      <c r="AI7380" s="38"/>
    </row>
    <row r="7381" ht="15.75" customHeight="1">
      <c r="A7381" s="35"/>
      <c r="C7381" s="442"/>
      <c r="P7381" s="235"/>
      <c r="AI7381" s="38"/>
    </row>
    <row r="7382" ht="15.75" customHeight="1">
      <c r="A7382" s="35"/>
      <c r="C7382" s="442"/>
      <c r="P7382" s="235"/>
      <c r="AI7382" s="38"/>
    </row>
    <row r="7383" ht="15.75" customHeight="1">
      <c r="A7383" s="35"/>
      <c r="C7383" s="442"/>
      <c r="P7383" s="235"/>
      <c r="AI7383" s="38"/>
    </row>
    <row r="7384" ht="15.75" customHeight="1">
      <c r="A7384" s="35"/>
      <c r="C7384" s="442"/>
      <c r="P7384" s="235"/>
      <c r="AI7384" s="38"/>
    </row>
    <row r="7385" ht="15.75" customHeight="1">
      <c r="A7385" s="35"/>
      <c r="C7385" s="442"/>
      <c r="P7385" s="235"/>
      <c r="AI7385" s="38"/>
    </row>
    <row r="7386" ht="15.75" customHeight="1">
      <c r="A7386" s="35"/>
      <c r="C7386" s="442"/>
      <c r="P7386" s="235"/>
      <c r="AI7386" s="38"/>
    </row>
    <row r="7387" ht="15.75" customHeight="1">
      <c r="A7387" s="35"/>
      <c r="C7387" s="442"/>
      <c r="P7387" s="235"/>
      <c r="AI7387" s="38"/>
    </row>
    <row r="7388" ht="15.75" customHeight="1">
      <c r="A7388" s="35"/>
      <c r="C7388" s="442"/>
      <c r="P7388" s="235"/>
      <c r="AI7388" s="38"/>
    </row>
    <row r="7389" ht="15.75" customHeight="1">
      <c r="A7389" s="35"/>
      <c r="C7389" s="442"/>
      <c r="P7389" s="235"/>
      <c r="AI7389" s="38"/>
    </row>
    <row r="7390" ht="15.75" customHeight="1">
      <c r="A7390" s="35"/>
      <c r="C7390" s="442"/>
      <c r="P7390" s="235"/>
      <c r="AI7390" s="38"/>
    </row>
    <row r="7391" ht="15.75" customHeight="1">
      <c r="A7391" s="35"/>
      <c r="C7391" s="442"/>
      <c r="P7391" s="235"/>
      <c r="AI7391" s="38"/>
    </row>
    <row r="7392" ht="15.75" customHeight="1">
      <c r="A7392" s="35"/>
      <c r="C7392" s="442"/>
      <c r="P7392" s="235"/>
      <c r="AI7392" s="38"/>
    </row>
    <row r="7393" ht="15.75" customHeight="1">
      <c r="A7393" s="35"/>
      <c r="C7393" s="442"/>
      <c r="P7393" s="235"/>
      <c r="AI7393" s="38"/>
    </row>
    <row r="7394" ht="15.75" customHeight="1">
      <c r="A7394" s="35"/>
      <c r="C7394" s="442"/>
      <c r="P7394" s="235"/>
      <c r="AI7394" s="38"/>
    </row>
    <row r="7395" ht="15.75" customHeight="1">
      <c r="A7395" s="35"/>
      <c r="C7395" s="442"/>
      <c r="P7395" s="235"/>
      <c r="AI7395" s="38"/>
    </row>
    <row r="7396" ht="15.75" customHeight="1">
      <c r="A7396" s="35"/>
      <c r="C7396" s="442"/>
      <c r="P7396" s="235"/>
      <c r="AI7396" s="38"/>
    </row>
    <row r="7397" ht="15.75" customHeight="1">
      <c r="A7397" s="35"/>
      <c r="C7397" s="442"/>
      <c r="P7397" s="235"/>
      <c r="AI7397" s="38"/>
    </row>
    <row r="7398" ht="15.75" customHeight="1">
      <c r="A7398" s="35"/>
      <c r="C7398" s="442"/>
      <c r="P7398" s="235"/>
      <c r="AI7398" s="38"/>
    </row>
    <row r="7399" ht="15.75" customHeight="1">
      <c r="A7399" s="35"/>
      <c r="C7399" s="442"/>
      <c r="P7399" s="235"/>
      <c r="AI7399" s="38"/>
    </row>
    <row r="7400" ht="15.75" customHeight="1">
      <c r="A7400" s="35"/>
      <c r="C7400" s="442"/>
      <c r="P7400" s="235"/>
      <c r="AI7400" s="38"/>
    </row>
    <row r="7401" ht="15.75" customHeight="1">
      <c r="A7401" s="35"/>
      <c r="C7401" s="442"/>
      <c r="P7401" s="235"/>
      <c r="AI7401" s="38"/>
    </row>
    <row r="7402" ht="15.75" customHeight="1">
      <c r="A7402" s="35"/>
      <c r="C7402" s="442"/>
      <c r="P7402" s="235"/>
      <c r="AI7402" s="38"/>
    </row>
    <row r="7403" ht="15.75" customHeight="1">
      <c r="A7403" s="35"/>
      <c r="C7403" s="442"/>
      <c r="P7403" s="235"/>
      <c r="AI7403" s="38"/>
    </row>
    <row r="7404" ht="15.75" customHeight="1">
      <c r="A7404" s="35"/>
      <c r="C7404" s="442"/>
      <c r="P7404" s="235"/>
      <c r="AI7404" s="38"/>
    </row>
    <row r="7405" ht="15.75" customHeight="1">
      <c r="A7405" s="35"/>
      <c r="C7405" s="442"/>
      <c r="P7405" s="235"/>
      <c r="AI7405" s="38"/>
    </row>
    <row r="7406" ht="15.75" customHeight="1">
      <c r="A7406" s="35"/>
      <c r="C7406" s="442"/>
      <c r="P7406" s="235"/>
      <c r="AI7406" s="38"/>
    </row>
    <row r="7407" ht="15.75" customHeight="1">
      <c r="A7407" s="35"/>
      <c r="C7407" s="442"/>
      <c r="P7407" s="235"/>
      <c r="AI7407" s="38"/>
    </row>
    <row r="7408" ht="15.75" customHeight="1">
      <c r="A7408" s="35"/>
      <c r="C7408" s="442"/>
      <c r="P7408" s="235"/>
      <c r="AI7408" s="38"/>
    </row>
    <row r="7409" ht="15.75" customHeight="1">
      <c r="A7409" s="35"/>
      <c r="C7409" s="442"/>
      <c r="P7409" s="235"/>
      <c r="AI7409" s="38"/>
    </row>
    <row r="7410" ht="15.75" customHeight="1">
      <c r="A7410" s="35"/>
      <c r="C7410" s="442"/>
      <c r="P7410" s="235"/>
      <c r="AI7410" s="38"/>
    </row>
    <row r="7411" ht="15.75" customHeight="1">
      <c r="A7411" s="35"/>
      <c r="C7411" s="442"/>
      <c r="P7411" s="235"/>
      <c r="AI7411" s="38"/>
    </row>
    <row r="7412" ht="15.75" customHeight="1">
      <c r="A7412" s="35"/>
      <c r="C7412" s="442"/>
      <c r="P7412" s="235"/>
      <c r="AI7412" s="38"/>
    </row>
    <row r="7413" ht="15.75" customHeight="1">
      <c r="A7413" s="35"/>
      <c r="C7413" s="442"/>
      <c r="P7413" s="235"/>
      <c r="AI7413" s="38"/>
    </row>
    <row r="7414" ht="15.75" customHeight="1">
      <c r="A7414" s="35"/>
      <c r="C7414" s="442"/>
      <c r="P7414" s="235"/>
      <c r="AI7414" s="38"/>
    </row>
    <row r="7415" ht="15.75" customHeight="1">
      <c r="A7415" s="35"/>
      <c r="C7415" s="442"/>
      <c r="P7415" s="235"/>
      <c r="AI7415" s="38"/>
    </row>
    <row r="7416" ht="15.75" customHeight="1">
      <c r="A7416" s="35"/>
      <c r="C7416" s="442"/>
      <c r="P7416" s="235"/>
      <c r="AI7416" s="38"/>
    </row>
    <row r="7417" ht="15.75" customHeight="1">
      <c r="A7417" s="35"/>
      <c r="C7417" s="442"/>
      <c r="P7417" s="235"/>
      <c r="AI7417" s="38"/>
    </row>
    <row r="7418" ht="15.75" customHeight="1">
      <c r="A7418" s="35"/>
      <c r="C7418" s="442"/>
      <c r="P7418" s="235"/>
      <c r="AI7418" s="38"/>
    </row>
    <row r="7419" ht="15.75" customHeight="1">
      <c r="A7419" s="35"/>
      <c r="C7419" s="442"/>
      <c r="P7419" s="235"/>
      <c r="AI7419" s="38"/>
    </row>
    <row r="7420" ht="15.75" customHeight="1">
      <c r="A7420" s="35"/>
      <c r="C7420" s="442"/>
      <c r="P7420" s="235"/>
      <c r="AI7420" s="38"/>
    </row>
    <row r="7421" ht="15.75" customHeight="1">
      <c r="A7421" s="35"/>
      <c r="C7421" s="442"/>
      <c r="P7421" s="235"/>
      <c r="AI7421" s="38"/>
    </row>
    <row r="7422" ht="15.75" customHeight="1">
      <c r="A7422" s="35"/>
      <c r="C7422" s="442"/>
      <c r="P7422" s="235"/>
      <c r="AI7422" s="38"/>
    </row>
    <row r="7423" ht="15.75" customHeight="1">
      <c r="A7423" s="35"/>
      <c r="C7423" s="442"/>
      <c r="P7423" s="235"/>
      <c r="AI7423" s="38"/>
    </row>
    <row r="7424" ht="15.75" customHeight="1">
      <c r="A7424" s="35"/>
      <c r="C7424" s="442"/>
      <c r="P7424" s="235"/>
      <c r="AI7424" s="38"/>
    </row>
    <row r="7425" ht="15.75" customHeight="1">
      <c r="A7425" s="35"/>
      <c r="C7425" s="442"/>
      <c r="P7425" s="235"/>
      <c r="AI7425" s="38"/>
    </row>
    <row r="7426" ht="15.75" customHeight="1">
      <c r="A7426" s="35"/>
      <c r="C7426" s="442"/>
      <c r="P7426" s="235"/>
      <c r="AI7426" s="38"/>
    </row>
    <row r="7427" ht="15.75" customHeight="1">
      <c r="A7427" s="35"/>
      <c r="C7427" s="442"/>
      <c r="P7427" s="235"/>
      <c r="AI7427" s="38"/>
    </row>
    <row r="7428" ht="15.75" customHeight="1">
      <c r="A7428" s="35"/>
      <c r="C7428" s="442"/>
      <c r="P7428" s="235"/>
      <c r="AI7428" s="38"/>
    </row>
    <row r="7429" ht="15.75" customHeight="1">
      <c r="A7429" s="35"/>
      <c r="C7429" s="442"/>
      <c r="P7429" s="235"/>
      <c r="AI7429" s="38"/>
    </row>
    <row r="7430" ht="15.75" customHeight="1">
      <c r="A7430" s="35"/>
      <c r="C7430" s="442"/>
      <c r="P7430" s="235"/>
      <c r="AI7430" s="38"/>
    </row>
    <row r="7431" ht="15.75" customHeight="1">
      <c r="A7431" s="35"/>
      <c r="C7431" s="442"/>
      <c r="P7431" s="235"/>
      <c r="AI7431" s="38"/>
    </row>
    <row r="7432" ht="15.75" customHeight="1">
      <c r="A7432" s="35"/>
      <c r="C7432" s="442"/>
      <c r="P7432" s="235"/>
      <c r="AI7432" s="38"/>
    </row>
    <row r="7433" ht="15.75" customHeight="1">
      <c r="A7433" s="35"/>
      <c r="C7433" s="442"/>
      <c r="P7433" s="235"/>
      <c r="AI7433" s="38"/>
    </row>
    <row r="7434" ht="15.75" customHeight="1">
      <c r="A7434" s="35"/>
      <c r="C7434" s="442"/>
      <c r="P7434" s="235"/>
      <c r="AI7434" s="38"/>
    </row>
    <row r="7435" ht="15.75" customHeight="1">
      <c r="A7435" s="35"/>
      <c r="C7435" s="442"/>
      <c r="P7435" s="235"/>
      <c r="AI7435" s="38"/>
    </row>
    <row r="7436" ht="15.75" customHeight="1">
      <c r="A7436" s="35"/>
      <c r="C7436" s="442"/>
      <c r="P7436" s="235"/>
      <c r="AI7436" s="38"/>
    </row>
    <row r="7437" ht="15.75" customHeight="1">
      <c r="A7437" s="35"/>
      <c r="C7437" s="442"/>
      <c r="P7437" s="235"/>
      <c r="AI7437" s="38"/>
    </row>
    <row r="7438" ht="15.75" customHeight="1">
      <c r="A7438" s="35"/>
      <c r="C7438" s="442"/>
      <c r="P7438" s="235"/>
      <c r="AI7438" s="38"/>
    </row>
    <row r="7439" ht="15.75" customHeight="1">
      <c r="A7439" s="35"/>
      <c r="C7439" s="442"/>
      <c r="P7439" s="235"/>
      <c r="AI7439" s="38"/>
    </row>
    <row r="7440" ht="15.75" customHeight="1">
      <c r="A7440" s="35"/>
      <c r="C7440" s="442"/>
      <c r="P7440" s="235"/>
      <c r="AI7440" s="38"/>
    </row>
    <row r="7441" ht="15.75" customHeight="1">
      <c r="A7441" s="35"/>
      <c r="C7441" s="442"/>
      <c r="P7441" s="235"/>
      <c r="AI7441" s="38"/>
    </row>
    <row r="7442" ht="15.75" customHeight="1">
      <c r="A7442" s="35"/>
      <c r="C7442" s="442"/>
      <c r="P7442" s="235"/>
      <c r="AI7442" s="38"/>
    </row>
    <row r="7443" ht="15.75" customHeight="1">
      <c r="A7443" s="35"/>
      <c r="C7443" s="442"/>
      <c r="P7443" s="235"/>
      <c r="AI7443" s="38"/>
    </row>
    <row r="7444" ht="15.75" customHeight="1">
      <c r="A7444" s="35"/>
      <c r="C7444" s="442"/>
      <c r="P7444" s="235"/>
      <c r="AI7444" s="38"/>
    </row>
    <row r="7445" ht="15.75" customHeight="1">
      <c r="A7445" s="35"/>
      <c r="C7445" s="442"/>
      <c r="P7445" s="235"/>
      <c r="AI7445" s="38"/>
    </row>
    <row r="7446" ht="15.75" customHeight="1">
      <c r="A7446" s="35"/>
      <c r="C7446" s="442"/>
      <c r="P7446" s="235"/>
      <c r="AI7446" s="38"/>
    </row>
    <row r="7447" ht="15.75" customHeight="1">
      <c r="A7447" s="35"/>
      <c r="C7447" s="442"/>
      <c r="P7447" s="235"/>
      <c r="AI7447" s="38"/>
    </row>
    <row r="7448" ht="15.75" customHeight="1">
      <c r="A7448" s="35"/>
      <c r="C7448" s="442"/>
      <c r="P7448" s="235"/>
      <c r="AI7448" s="38"/>
    </row>
    <row r="7449" ht="15.75" customHeight="1">
      <c r="A7449" s="35"/>
      <c r="C7449" s="442"/>
      <c r="P7449" s="235"/>
      <c r="AI7449" s="38"/>
    </row>
    <row r="7450" ht="15.75" customHeight="1">
      <c r="A7450" s="35"/>
      <c r="C7450" s="442"/>
      <c r="P7450" s="235"/>
      <c r="AI7450" s="38"/>
    </row>
    <row r="7451" ht="15.75" customHeight="1">
      <c r="A7451" s="35"/>
      <c r="C7451" s="442"/>
      <c r="P7451" s="235"/>
      <c r="AI7451" s="38"/>
    </row>
    <row r="7452" ht="15.75" customHeight="1">
      <c r="A7452" s="35"/>
      <c r="C7452" s="442"/>
      <c r="P7452" s="235"/>
      <c r="AI7452" s="38"/>
    </row>
    <row r="7453" ht="15.75" customHeight="1">
      <c r="A7453" s="35"/>
      <c r="C7453" s="442"/>
      <c r="P7453" s="235"/>
      <c r="AI7453" s="38"/>
    </row>
    <row r="7454" ht="15.75" customHeight="1">
      <c r="A7454" s="35"/>
      <c r="C7454" s="442"/>
      <c r="P7454" s="235"/>
      <c r="AI7454" s="38"/>
    </row>
    <row r="7455" ht="15.75" customHeight="1">
      <c r="A7455" s="35"/>
      <c r="C7455" s="442"/>
      <c r="P7455" s="235"/>
      <c r="AI7455" s="38"/>
    </row>
    <row r="7456" ht="15.75" customHeight="1">
      <c r="A7456" s="35"/>
      <c r="C7456" s="442"/>
      <c r="P7456" s="235"/>
      <c r="AI7456" s="38"/>
    </row>
    <row r="7457" ht="15.75" customHeight="1">
      <c r="A7457" s="35"/>
      <c r="C7457" s="442"/>
      <c r="P7457" s="235"/>
      <c r="AI7457" s="38"/>
    </row>
    <row r="7458" ht="15.75" customHeight="1">
      <c r="A7458" s="35"/>
      <c r="C7458" s="442"/>
      <c r="P7458" s="235"/>
      <c r="AI7458" s="38"/>
    </row>
    <row r="7459" ht="15.75" customHeight="1">
      <c r="A7459" s="35"/>
      <c r="C7459" s="442"/>
      <c r="P7459" s="235"/>
      <c r="AI7459" s="38"/>
    </row>
    <row r="7460" ht="15.75" customHeight="1">
      <c r="A7460" s="35"/>
      <c r="C7460" s="442"/>
      <c r="P7460" s="235"/>
      <c r="AI7460" s="38"/>
    </row>
    <row r="7461" ht="15.75" customHeight="1">
      <c r="A7461" s="35"/>
      <c r="C7461" s="442"/>
      <c r="P7461" s="235"/>
      <c r="AI7461" s="38"/>
    </row>
    <row r="7462" ht="15.75" customHeight="1">
      <c r="A7462" s="35"/>
      <c r="C7462" s="442"/>
      <c r="P7462" s="235"/>
      <c r="AI7462" s="38"/>
    </row>
    <row r="7463" ht="15.75" customHeight="1">
      <c r="A7463" s="35"/>
      <c r="C7463" s="442"/>
      <c r="P7463" s="235"/>
      <c r="AI7463" s="38"/>
    </row>
    <row r="7464" ht="15.75" customHeight="1">
      <c r="A7464" s="35"/>
      <c r="C7464" s="442"/>
      <c r="P7464" s="235"/>
      <c r="AI7464" s="38"/>
    </row>
    <row r="7465" ht="15.75" customHeight="1">
      <c r="A7465" s="35"/>
      <c r="C7465" s="442"/>
      <c r="P7465" s="235"/>
      <c r="AI7465" s="38"/>
    </row>
    <row r="7466" ht="15.75" customHeight="1">
      <c r="A7466" s="35"/>
      <c r="C7466" s="442"/>
      <c r="P7466" s="235"/>
      <c r="AI7466" s="38"/>
    </row>
    <row r="7467" ht="15.75" customHeight="1">
      <c r="A7467" s="35"/>
      <c r="C7467" s="442"/>
      <c r="P7467" s="235"/>
      <c r="AI7467" s="38"/>
    </row>
    <row r="7468" ht="15.75" customHeight="1">
      <c r="A7468" s="35"/>
      <c r="C7468" s="442"/>
      <c r="P7468" s="235"/>
      <c r="AI7468" s="38"/>
    </row>
    <row r="7469" ht="15.75" customHeight="1">
      <c r="A7469" s="35"/>
      <c r="C7469" s="442"/>
      <c r="P7469" s="235"/>
      <c r="AI7469" s="38"/>
    </row>
    <row r="7470" ht="15.75" customHeight="1">
      <c r="A7470" s="35"/>
      <c r="C7470" s="442"/>
      <c r="P7470" s="235"/>
      <c r="AI7470" s="38"/>
    </row>
    <row r="7471" ht="15.75" customHeight="1">
      <c r="A7471" s="35"/>
      <c r="C7471" s="442"/>
      <c r="P7471" s="235"/>
      <c r="AI7471" s="38"/>
    </row>
    <row r="7472" ht="15.75" customHeight="1">
      <c r="A7472" s="35"/>
      <c r="C7472" s="442"/>
      <c r="P7472" s="235"/>
      <c r="AI7472" s="38"/>
    </row>
    <row r="7473" ht="15.75" customHeight="1">
      <c r="A7473" s="35"/>
      <c r="C7473" s="442"/>
      <c r="P7473" s="235"/>
      <c r="AI7473" s="38"/>
    </row>
    <row r="7474" ht="15.75" customHeight="1">
      <c r="A7474" s="35"/>
      <c r="C7474" s="442"/>
      <c r="P7474" s="235"/>
      <c r="AI7474" s="38"/>
    </row>
    <row r="7475" ht="15.75" customHeight="1">
      <c r="A7475" s="35"/>
      <c r="C7475" s="442"/>
      <c r="P7475" s="235"/>
      <c r="AI7475" s="38"/>
    </row>
    <row r="7476" ht="15.75" customHeight="1">
      <c r="A7476" s="35"/>
      <c r="C7476" s="442"/>
      <c r="P7476" s="235"/>
      <c r="AI7476" s="38"/>
    </row>
    <row r="7477" ht="15.75" customHeight="1">
      <c r="A7477" s="35"/>
      <c r="C7477" s="442"/>
      <c r="P7477" s="235"/>
      <c r="AI7477" s="38"/>
    </row>
    <row r="7478" ht="15.75" customHeight="1">
      <c r="A7478" s="35"/>
      <c r="C7478" s="442"/>
      <c r="P7478" s="235"/>
      <c r="AI7478" s="38"/>
    </row>
    <row r="7479" ht="15.75" customHeight="1">
      <c r="A7479" s="35"/>
      <c r="C7479" s="442"/>
      <c r="P7479" s="235"/>
      <c r="AI7479" s="38"/>
    </row>
    <row r="7480" ht="15.75" customHeight="1">
      <c r="A7480" s="35"/>
      <c r="C7480" s="442"/>
      <c r="P7480" s="235"/>
      <c r="AI7480" s="38"/>
    </row>
    <row r="7481" ht="15.75" customHeight="1">
      <c r="A7481" s="35"/>
      <c r="C7481" s="442"/>
      <c r="P7481" s="235"/>
      <c r="AI7481" s="38"/>
    </row>
    <row r="7482" ht="15.75" customHeight="1">
      <c r="A7482" s="35"/>
      <c r="C7482" s="442"/>
      <c r="P7482" s="235"/>
      <c r="AI7482" s="38"/>
    </row>
    <row r="7483" ht="15.75" customHeight="1">
      <c r="A7483" s="35"/>
      <c r="C7483" s="442"/>
      <c r="P7483" s="235"/>
      <c r="AI7483" s="38"/>
    </row>
    <row r="7484" ht="15.75" customHeight="1">
      <c r="A7484" s="35"/>
      <c r="C7484" s="442"/>
      <c r="P7484" s="235"/>
      <c r="AI7484" s="38"/>
    </row>
    <row r="7485" ht="15.75" customHeight="1">
      <c r="A7485" s="35"/>
      <c r="C7485" s="442"/>
      <c r="P7485" s="235"/>
      <c r="AI7485" s="38"/>
    </row>
    <row r="7486" ht="15.75" customHeight="1">
      <c r="A7486" s="35"/>
      <c r="C7486" s="442"/>
      <c r="P7486" s="235"/>
      <c r="AI7486" s="38"/>
    </row>
    <row r="7487" ht="15.75" customHeight="1">
      <c r="A7487" s="35"/>
      <c r="C7487" s="442"/>
      <c r="P7487" s="235"/>
      <c r="AI7487" s="38"/>
    </row>
    <row r="7488" ht="15.75" customHeight="1">
      <c r="A7488" s="35"/>
      <c r="C7488" s="442"/>
      <c r="P7488" s="235"/>
      <c r="AI7488" s="38"/>
    </row>
    <row r="7489" ht="15.75" customHeight="1">
      <c r="A7489" s="35"/>
      <c r="C7489" s="442"/>
      <c r="P7489" s="235"/>
      <c r="AI7489" s="38"/>
    </row>
    <row r="7490" ht="15.75" customHeight="1">
      <c r="A7490" s="35"/>
      <c r="C7490" s="442"/>
      <c r="P7490" s="235"/>
      <c r="AI7490" s="38"/>
    </row>
    <row r="7491" ht="15.75" customHeight="1">
      <c r="A7491" s="35"/>
      <c r="C7491" s="442"/>
      <c r="P7491" s="235"/>
      <c r="AI7491" s="38"/>
    </row>
    <row r="7492" ht="15.75" customHeight="1">
      <c r="A7492" s="35"/>
      <c r="C7492" s="442"/>
      <c r="P7492" s="235"/>
      <c r="AI7492" s="38"/>
    </row>
    <row r="7493" ht="15.75" customHeight="1">
      <c r="A7493" s="35"/>
      <c r="C7493" s="442"/>
      <c r="P7493" s="235"/>
      <c r="AI7493" s="38"/>
    </row>
    <row r="7494" ht="15.75" customHeight="1">
      <c r="A7494" s="35"/>
      <c r="C7494" s="442"/>
      <c r="P7494" s="235"/>
      <c r="AI7494" s="38"/>
    </row>
    <row r="7495" ht="15.75" customHeight="1">
      <c r="A7495" s="35"/>
      <c r="C7495" s="442"/>
      <c r="P7495" s="235"/>
      <c r="AI7495" s="38"/>
    </row>
    <row r="7496" ht="15.75" customHeight="1">
      <c r="A7496" s="35"/>
      <c r="C7496" s="442"/>
      <c r="P7496" s="235"/>
      <c r="AI7496" s="38"/>
    </row>
    <row r="7497" ht="15.75" customHeight="1">
      <c r="A7497" s="35"/>
      <c r="C7497" s="442"/>
      <c r="P7497" s="235"/>
      <c r="AI7497" s="38"/>
    </row>
    <row r="7498" ht="15.75" customHeight="1">
      <c r="A7498" s="35"/>
      <c r="C7498" s="442"/>
      <c r="P7498" s="235"/>
      <c r="AI7498" s="38"/>
    </row>
    <row r="7499" ht="15.75" customHeight="1">
      <c r="A7499" s="35"/>
      <c r="C7499" s="442"/>
      <c r="P7499" s="235"/>
      <c r="AI7499" s="38"/>
    </row>
    <row r="7500" ht="15.75" customHeight="1">
      <c r="A7500" s="35"/>
      <c r="C7500" s="442"/>
      <c r="P7500" s="235"/>
      <c r="AI7500" s="38"/>
    </row>
    <row r="7501" ht="15.75" customHeight="1">
      <c r="A7501" s="35"/>
      <c r="C7501" s="442"/>
      <c r="P7501" s="235"/>
      <c r="AI7501" s="38"/>
    </row>
    <row r="7502" ht="15.75" customHeight="1">
      <c r="A7502" s="35"/>
      <c r="C7502" s="442"/>
      <c r="P7502" s="235"/>
      <c r="AI7502" s="38"/>
    </row>
    <row r="7503" ht="15.75" customHeight="1">
      <c r="A7503" s="35"/>
      <c r="C7503" s="442"/>
      <c r="P7503" s="235"/>
      <c r="AI7503" s="38"/>
    </row>
    <row r="7504" ht="15.75" customHeight="1">
      <c r="A7504" s="35"/>
      <c r="C7504" s="442"/>
      <c r="P7504" s="235"/>
      <c r="AI7504" s="38"/>
    </row>
    <row r="7505" ht="15.75" customHeight="1">
      <c r="A7505" s="35"/>
      <c r="C7505" s="442"/>
      <c r="P7505" s="235"/>
      <c r="AI7505" s="38"/>
    </row>
    <row r="7506" ht="15.75" customHeight="1">
      <c r="A7506" s="35"/>
      <c r="C7506" s="442"/>
      <c r="P7506" s="235"/>
      <c r="AI7506" s="38"/>
    </row>
    <row r="7507" ht="15.75" customHeight="1">
      <c r="A7507" s="35"/>
      <c r="C7507" s="442"/>
      <c r="P7507" s="235"/>
      <c r="AI7507" s="38"/>
    </row>
    <row r="7508" ht="15.75" customHeight="1">
      <c r="A7508" s="35"/>
      <c r="C7508" s="442"/>
      <c r="P7508" s="235"/>
      <c r="AI7508" s="38"/>
    </row>
    <row r="7509" ht="15.75" customHeight="1">
      <c r="A7509" s="35"/>
      <c r="C7509" s="442"/>
      <c r="P7509" s="235"/>
      <c r="AI7509" s="38"/>
    </row>
    <row r="7510" ht="15.75" customHeight="1">
      <c r="A7510" s="35"/>
      <c r="C7510" s="442"/>
      <c r="P7510" s="235"/>
      <c r="AI7510" s="38"/>
    </row>
    <row r="7511" ht="15.75" customHeight="1">
      <c r="A7511" s="35"/>
      <c r="C7511" s="442"/>
      <c r="P7511" s="235"/>
      <c r="AI7511" s="38"/>
    </row>
    <row r="7512" ht="15.75" customHeight="1">
      <c r="A7512" s="35"/>
      <c r="C7512" s="442"/>
      <c r="P7512" s="235"/>
      <c r="AI7512" s="38"/>
    </row>
    <row r="7513" ht="15.75" customHeight="1">
      <c r="A7513" s="35"/>
      <c r="C7513" s="442"/>
      <c r="P7513" s="235"/>
      <c r="AI7513" s="38"/>
    </row>
    <row r="7514" ht="15.75" customHeight="1">
      <c r="A7514" s="35"/>
      <c r="C7514" s="442"/>
      <c r="P7514" s="235"/>
      <c r="AI7514" s="38"/>
    </row>
    <row r="7515" ht="15.75" customHeight="1">
      <c r="A7515" s="35"/>
      <c r="C7515" s="442"/>
      <c r="P7515" s="235"/>
      <c r="AI7515" s="38"/>
    </row>
    <row r="7516" ht="15.75" customHeight="1">
      <c r="A7516" s="35"/>
      <c r="C7516" s="442"/>
      <c r="P7516" s="235"/>
      <c r="AI7516" s="38"/>
    </row>
    <row r="7517" ht="15.75" customHeight="1">
      <c r="A7517" s="35"/>
      <c r="C7517" s="442"/>
      <c r="P7517" s="235"/>
      <c r="AI7517" s="38"/>
    </row>
    <row r="7518" ht="15.75" customHeight="1">
      <c r="A7518" s="35"/>
      <c r="C7518" s="442"/>
      <c r="P7518" s="235"/>
      <c r="AI7518" s="38"/>
    </row>
    <row r="7519" ht="15.75" customHeight="1">
      <c r="A7519" s="35"/>
      <c r="C7519" s="442"/>
      <c r="P7519" s="235"/>
      <c r="AI7519" s="38"/>
    </row>
    <row r="7520" ht="15.75" customHeight="1">
      <c r="A7520" s="35"/>
      <c r="C7520" s="442"/>
      <c r="P7520" s="235"/>
      <c r="AI7520" s="38"/>
    </row>
    <row r="7521" ht="15.75" customHeight="1">
      <c r="A7521" s="35"/>
      <c r="C7521" s="442"/>
      <c r="P7521" s="235"/>
      <c r="AI7521" s="38"/>
    </row>
    <row r="7522" ht="15.75" customHeight="1">
      <c r="A7522" s="35"/>
      <c r="C7522" s="442"/>
      <c r="P7522" s="235"/>
      <c r="AI7522" s="38"/>
    </row>
    <row r="7523" ht="15.75" customHeight="1">
      <c r="A7523" s="35"/>
      <c r="C7523" s="442"/>
      <c r="P7523" s="235"/>
      <c r="AI7523" s="38"/>
    </row>
    <row r="7524" ht="15.75" customHeight="1">
      <c r="A7524" s="35"/>
      <c r="C7524" s="442"/>
      <c r="P7524" s="235"/>
      <c r="AI7524" s="38"/>
    </row>
    <row r="7525" ht="15.75" customHeight="1">
      <c r="A7525" s="35"/>
      <c r="C7525" s="442"/>
      <c r="P7525" s="235"/>
      <c r="AI7525" s="38"/>
    </row>
    <row r="7526" ht="15.75" customHeight="1">
      <c r="A7526" s="35"/>
      <c r="C7526" s="442"/>
      <c r="P7526" s="235"/>
      <c r="AI7526" s="38"/>
    </row>
    <row r="7527" ht="15.75" customHeight="1">
      <c r="A7527" s="35"/>
      <c r="C7527" s="442"/>
      <c r="P7527" s="235"/>
      <c r="AI7527" s="38"/>
    </row>
    <row r="7528" ht="15.75" customHeight="1">
      <c r="A7528" s="35"/>
      <c r="C7528" s="442"/>
      <c r="P7528" s="235"/>
      <c r="AI7528" s="38"/>
    </row>
    <row r="7529" ht="15.75" customHeight="1">
      <c r="A7529" s="35"/>
      <c r="C7529" s="442"/>
      <c r="P7529" s="235"/>
      <c r="AI7529" s="38"/>
    </row>
    <row r="7530" ht="15.75" customHeight="1">
      <c r="A7530" s="35"/>
      <c r="C7530" s="442"/>
      <c r="P7530" s="235"/>
      <c r="AI7530" s="38"/>
    </row>
    <row r="7531" ht="15.75" customHeight="1">
      <c r="A7531" s="35"/>
      <c r="C7531" s="442"/>
      <c r="P7531" s="235"/>
      <c r="AI7531" s="38"/>
    </row>
    <row r="7532" ht="15.75" customHeight="1">
      <c r="A7532" s="35"/>
      <c r="C7532" s="442"/>
      <c r="P7532" s="235"/>
      <c r="AI7532" s="38"/>
    </row>
    <row r="7533" ht="15.75" customHeight="1">
      <c r="A7533" s="35"/>
      <c r="C7533" s="442"/>
      <c r="P7533" s="235"/>
      <c r="AI7533" s="38"/>
    </row>
    <row r="7534" ht="15.75" customHeight="1">
      <c r="A7534" s="35"/>
      <c r="C7534" s="442"/>
      <c r="P7534" s="235"/>
      <c r="AI7534" s="38"/>
    </row>
    <row r="7535" ht="15.75" customHeight="1">
      <c r="A7535" s="35"/>
      <c r="C7535" s="442"/>
      <c r="P7535" s="235"/>
      <c r="AI7535" s="38"/>
    </row>
    <row r="7536" ht="15.75" customHeight="1">
      <c r="A7536" s="35"/>
      <c r="C7536" s="442"/>
      <c r="P7536" s="235"/>
      <c r="AI7536" s="38"/>
    </row>
    <row r="7537" ht="15.75" customHeight="1">
      <c r="A7537" s="35"/>
      <c r="C7537" s="442"/>
      <c r="P7537" s="235"/>
      <c r="AI7537" s="38"/>
    </row>
    <row r="7538" ht="15.75" customHeight="1">
      <c r="A7538" s="35"/>
      <c r="C7538" s="442"/>
      <c r="P7538" s="235"/>
      <c r="AI7538" s="38"/>
    </row>
    <row r="7539" ht="15.75" customHeight="1">
      <c r="A7539" s="35"/>
      <c r="C7539" s="442"/>
      <c r="P7539" s="235"/>
      <c r="AI7539" s="38"/>
    </row>
    <row r="7540" ht="15.75" customHeight="1">
      <c r="A7540" s="35"/>
      <c r="C7540" s="442"/>
      <c r="P7540" s="235"/>
      <c r="AI7540" s="38"/>
    </row>
    <row r="7541" ht="15.75" customHeight="1">
      <c r="A7541" s="35"/>
      <c r="C7541" s="442"/>
      <c r="P7541" s="235"/>
      <c r="AI7541" s="38"/>
    </row>
    <row r="7542" ht="15.75" customHeight="1">
      <c r="A7542" s="35"/>
      <c r="C7542" s="442"/>
      <c r="P7542" s="235"/>
      <c r="AI7542" s="38"/>
    </row>
    <row r="7543" ht="15.75" customHeight="1">
      <c r="A7543" s="35"/>
      <c r="C7543" s="442"/>
      <c r="P7543" s="235"/>
      <c r="AI7543" s="38"/>
    </row>
    <row r="7544" ht="15.75" customHeight="1">
      <c r="A7544" s="35"/>
      <c r="C7544" s="442"/>
      <c r="P7544" s="235"/>
      <c r="AI7544" s="38"/>
    </row>
    <row r="7545" ht="15.75" customHeight="1">
      <c r="A7545" s="35"/>
      <c r="C7545" s="442"/>
      <c r="P7545" s="235"/>
      <c r="AI7545" s="38"/>
    </row>
    <row r="7546" ht="15.75" customHeight="1">
      <c r="A7546" s="35"/>
      <c r="C7546" s="442"/>
      <c r="P7546" s="235"/>
      <c r="AI7546" s="38"/>
    </row>
    <row r="7547" ht="15.75" customHeight="1">
      <c r="A7547" s="35"/>
      <c r="C7547" s="442"/>
      <c r="P7547" s="235"/>
      <c r="AI7547" s="38"/>
    </row>
    <row r="7548" ht="15.75" customHeight="1">
      <c r="A7548" s="35"/>
      <c r="C7548" s="442"/>
      <c r="P7548" s="235"/>
      <c r="AI7548" s="38"/>
    </row>
    <row r="7549" ht="15.75" customHeight="1">
      <c r="A7549" s="35"/>
      <c r="C7549" s="442"/>
      <c r="P7549" s="235"/>
      <c r="AI7549" s="38"/>
    </row>
    <row r="7550" ht="15.75" customHeight="1">
      <c r="A7550" s="35"/>
      <c r="C7550" s="442"/>
      <c r="P7550" s="235"/>
      <c r="AI7550" s="38"/>
    </row>
    <row r="7551" ht="15.75" customHeight="1">
      <c r="A7551" s="35"/>
      <c r="C7551" s="442"/>
      <c r="P7551" s="235"/>
      <c r="AI7551" s="38"/>
    </row>
    <row r="7552" ht="15.75" customHeight="1">
      <c r="A7552" s="35"/>
      <c r="C7552" s="442"/>
      <c r="P7552" s="235"/>
      <c r="AI7552" s="38"/>
    </row>
    <row r="7553" ht="15.75" customHeight="1">
      <c r="A7553" s="35"/>
      <c r="C7553" s="442"/>
      <c r="P7553" s="235"/>
      <c r="AI7553" s="38"/>
    </row>
    <row r="7554" ht="15.75" customHeight="1">
      <c r="A7554" s="35"/>
      <c r="C7554" s="442"/>
      <c r="P7554" s="235"/>
      <c r="AI7554" s="38"/>
    </row>
    <row r="7555" ht="15.75" customHeight="1">
      <c r="A7555" s="35"/>
      <c r="C7555" s="442"/>
      <c r="P7555" s="235"/>
      <c r="AI7555" s="38"/>
    </row>
    <row r="7556" ht="15.75" customHeight="1">
      <c r="A7556" s="35"/>
      <c r="C7556" s="442"/>
      <c r="P7556" s="235"/>
      <c r="AI7556" s="38"/>
    </row>
    <row r="7557" ht="15.75" customHeight="1">
      <c r="A7557" s="35"/>
      <c r="C7557" s="442"/>
      <c r="P7557" s="235"/>
      <c r="AI7557" s="38"/>
    </row>
    <row r="7558" ht="15.75" customHeight="1">
      <c r="A7558" s="35"/>
      <c r="C7558" s="442"/>
      <c r="P7558" s="235"/>
      <c r="AI7558" s="38"/>
    </row>
    <row r="7559" ht="15.75" customHeight="1">
      <c r="A7559" s="35"/>
      <c r="C7559" s="442"/>
      <c r="P7559" s="235"/>
      <c r="AI7559" s="38"/>
    </row>
    <row r="7560" ht="15.75" customHeight="1">
      <c r="A7560" s="35"/>
      <c r="C7560" s="442"/>
      <c r="P7560" s="235"/>
      <c r="AI7560" s="38"/>
    </row>
    <row r="7561" ht="15.75" customHeight="1">
      <c r="A7561" s="35"/>
      <c r="C7561" s="442"/>
      <c r="P7561" s="235"/>
      <c r="AI7561" s="38"/>
    </row>
    <row r="7562" ht="15.75" customHeight="1">
      <c r="A7562" s="35"/>
      <c r="C7562" s="442"/>
      <c r="P7562" s="235"/>
      <c r="AI7562" s="38"/>
    </row>
    <row r="7563" ht="15.75" customHeight="1">
      <c r="A7563" s="35"/>
      <c r="C7563" s="442"/>
      <c r="P7563" s="235"/>
      <c r="AI7563" s="38"/>
    </row>
    <row r="7564" ht="15.75" customHeight="1">
      <c r="A7564" s="35"/>
      <c r="C7564" s="442"/>
      <c r="P7564" s="235"/>
      <c r="AI7564" s="38"/>
    </row>
    <row r="7565" ht="15.75" customHeight="1">
      <c r="A7565" s="35"/>
      <c r="C7565" s="442"/>
      <c r="P7565" s="235"/>
      <c r="AI7565" s="38"/>
    </row>
    <row r="7566" ht="15.75" customHeight="1">
      <c r="A7566" s="35"/>
      <c r="C7566" s="442"/>
      <c r="P7566" s="235"/>
      <c r="AI7566" s="38"/>
    </row>
    <row r="7567" ht="15.75" customHeight="1">
      <c r="A7567" s="35"/>
      <c r="C7567" s="442"/>
      <c r="P7567" s="235"/>
      <c r="AI7567" s="38"/>
    </row>
    <row r="7568" ht="15.75" customHeight="1">
      <c r="A7568" s="35"/>
      <c r="C7568" s="442"/>
      <c r="P7568" s="235"/>
      <c r="AI7568" s="38"/>
    </row>
    <row r="7569" ht="15.75" customHeight="1">
      <c r="A7569" s="35"/>
      <c r="C7569" s="442"/>
      <c r="P7569" s="235"/>
      <c r="AI7569" s="38"/>
    </row>
    <row r="7570" ht="15.75" customHeight="1">
      <c r="A7570" s="35"/>
      <c r="C7570" s="442"/>
      <c r="P7570" s="235"/>
      <c r="AI7570" s="38"/>
    </row>
    <row r="7571" ht="15.75" customHeight="1">
      <c r="A7571" s="35"/>
      <c r="C7571" s="442"/>
      <c r="P7571" s="235"/>
      <c r="AI7571" s="38"/>
    </row>
    <row r="7572" ht="15.75" customHeight="1">
      <c r="A7572" s="35"/>
      <c r="C7572" s="442"/>
      <c r="P7572" s="235"/>
      <c r="AI7572" s="38"/>
    </row>
    <row r="7573" ht="15.75" customHeight="1">
      <c r="A7573" s="35"/>
      <c r="C7573" s="442"/>
      <c r="P7573" s="235"/>
      <c r="AI7573" s="38"/>
    </row>
    <row r="7574" ht="15.75" customHeight="1">
      <c r="A7574" s="35"/>
      <c r="C7574" s="442"/>
      <c r="P7574" s="235"/>
      <c r="AI7574" s="38"/>
    </row>
    <row r="7575" ht="15.75" customHeight="1">
      <c r="A7575" s="35"/>
      <c r="C7575" s="442"/>
      <c r="P7575" s="235"/>
      <c r="AI7575" s="38"/>
    </row>
    <row r="7576" ht="15.75" customHeight="1">
      <c r="A7576" s="35"/>
      <c r="C7576" s="442"/>
      <c r="P7576" s="235"/>
      <c r="AI7576" s="38"/>
    </row>
    <row r="7577" ht="15.75" customHeight="1">
      <c r="A7577" s="35"/>
      <c r="C7577" s="442"/>
      <c r="P7577" s="235"/>
      <c r="AI7577" s="38"/>
    </row>
    <row r="7578" ht="15.75" customHeight="1">
      <c r="A7578" s="35"/>
      <c r="C7578" s="442"/>
      <c r="P7578" s="235"/>
      <c r="AI7578" s="38"/>
    </row>
    <row r="7579" ht="15.75" customHeight="1">
      <c r="A7579" s="35"/>
      <c r="C7579" s="442"/>
      <c r="P7579" s="235"/>
      <c r="AI7579" s="38"/>
    </row>
    <row r="7580" ht="15.75" customHeight="1">
      <c r="A7580" s="35"/>
      <c r="C7580" s="442"/>
      <c r="P7580" s="235"/>
      <c r="AI7580" s="38"/>
    </row>
    <row r="7581" ht="15.75" customHeight="1">
      <c r="A7581" s="35"/>
      <c r="C7581" s="442"/>
      <c r="P7581" s="235"/>
      <c r="AI7581" s="38"/>
    </row>
    <row r="7582" ht="15.75" customHeight="1">
      <c r="A7582" s="35"/>
      <c r="C7582" s="442"/>
      <c r="P7582" s="235"/>
      <c r="AI7582" s="38"/>
    </row>
    <row r="7583" ht="15.75" customHeight="1">
      <c r="A7583" s="35"/>
      <c r="C7583" s="442"/>
      <c r="P7583" s="235"/>
      <c r="AI7583" s="38"/>
    </row>
    <row r="7584" ht="15.75" customHeight="1">
      <c r="A7584" s="35"/>
      <c r="C7584" s="442"/>
      <c r="P7584" s="235"/>
      <c r="AI7584" s="38"/>
    </row>
    <row r="7585" ht="15.75" customHeight="1">
      <c r="A7585" s="35"/>
      <c r="C7585" s="442"/>
      <c r="P7585" s="235"/>
      <c r="AI7585" s="38"/>
    </row>
    <row r="7586" ht="15.75" customHeight="1">
      <c r="A7586" s="35"/>
      <c r="C7586" s="442"/>
      <c r="P7586" s="235"/>
      <c r="AI7586" s="38"/>
    </row>
    <row r="7587" ht="15.75" customHeight="1">
      <c r="A7587" s="35"/>
      <c r="C7587" s="442"/>
      <c r="P7587" s="235"/>
      <c r="AI7587" s="38"/>
    </row>
    <row r="7588" ht="15.75" customHeight="1">
      <c r="A7588" s="35"/>
      <c r="C7588" s="442"/>
      <c r="P7588" s="235"/>
      <c r="AI7588" s="38"/>
    </row>
    <row r="7589" ht="15.75" customHeight="1">
      <c r="A7589" s="35"/>
      <c r="C7589" s="442"/>
      <c r="P7589" s="235"/>
      <c r="AI7589" s="38"/>
    </row>
    <row r="7590" ht="15.75" customHeight="1">
      <c r="A7590" s="35"/>
      <c r="C7590" s="442"/>
      <c r="P7590" s="235"/>
      <c r="AI7590" s="38"/>
    </row>
    <row r="7591" ht="15.75" customHeight="1">
      <c r="A7591" s="35"/>
      <c r="C7591" s="442"/>
      <c r="P7591" s="235"/>
      <c r="AI7591" s="38"/>
    </row>
    <row r="7592" ht="15.75" customHeight="1">
      <c r="A7592" s="35"/>
      <c r="C7592" s="442"/>
      <c r="P7592" s="235"/>
      <c r="AI7592" s="38"/>
    </row>
    <row r="7593" ht="15.75" customHeight="1">
      <c r="A7593" s="35"/>
      <c r="C7593" s="442"/>
      <c r="P7593" s="235"/>
      <c r="AI7593" s="38"/>
    </row>
    <row r="7594" ht="15.75" customHeight="1">
      <c r="A7594" s="35"/>
      <c r="C7594" s="442"/>
      <c r="P7594" s="235"/>
      <c r="AI7594" s="38"/>
    </row>
    <row r="7595" ht="15.75" customHeight="1">
      <c r="A7595" s="35"/>
      <c r="C7595" s="442"/>
      <c r="P7595" s="235"/>
      <c r="AI7595" s="38"/>
    </row>
    <row r="7596" ht="15.75" customHeight="1">
      <c r="A7596" s="35"/>
      <c r="C7596" s="442"/>
      <c r="P7596" s="235"/>
      <c r="AI7596" s="38"/>
    </row>
    <row r="7597" ht="15.75" customHeight="1">
      <c r="A7597" s="35"/>
      <c r="C7597" s="442"/>
      <c r="P7597" s="235"/>
      <c r="AI7597" s="38"/>
    </row>
    <row r="7598" ht="15.75" customHeight="1">
      <c r="A7598" s="35"/>
      <c r="C7598" s="442"/>
      <c r="P7598" s="235"/>
      <c r="AI7598" s="38"/>
    </row>
    <row r="7599" ht="15.75" customHeight="1">
      <c r="A7599" s="35"/>
      <c r="C7599" s="442"/>
      <c r="P7599" s="235"/>
      <c r="AI7599" s="38"/>
    </row>
    <row r="7600" ht="15.75" customHeight="1">
      <c r="A7600" s="35"/>
      <c r="C7600" s="442"/>
      <c r="P7600" s="235"/>
      <c r="AI7600" s="38"/>
    </row>
    <row r="7601" ht="15.75" customHeight="1">
      <c r="A7601" s="35"/>
      <c r="C7601" s="442"/>
      <c r="P7601" s="235"/>
      <c r="AI7601" s="38"/>
    </row>
    <row r="7602" ht="15.75" customHeight="1">
      <c r="A7602" s="35"/>
      <c r="C7602" s="442"/>
      <c r="P7602" s="235"/>
      <c r="AI7602" s="38"/>
    </row>
    <row r="7603" ht="15.75" customHeight="1">
      <c r="A7603" s="35"/>
      <c r="C7603" s="442"/>
      <c r="P7603" s="235"/>
      <c r="AI7603" s="38"/>
    </row>
    <row r="7604" ht="15.75" customHeight="1">
      <c r="A7604" s="35"/>
      <c r="C7604" s="442"/>
      <c r="P7604" s="235"/>
      <c r="AI7604" s="38"/>
    </row>
    <row r="7605" ht="15.75" customHeight="1">
      <c r="A7605" s="35"/>
      <c r="C7605" s="442"/>
      <c r="P7605" s="235"/>
      <c r="AI7605" s="38"/>
    </row>
    <row r="7606" ht="15.75" customHeight="1">
      <c r="A7606" s="35"/>
      <c r="C7606" s="442"/>
      <c r="P7606" s="235"/>
      <c r="AI7606" s="38"/>
    </row>
    <row r="7607" ht="15.75" customHeight="1">
      <c r="A7607" s="35"/>
      <c r="C7607" s="442"/>
      <c r="P7607" s="235"/>
      <c r="AI7607" s="38"/>
    </row>
    <row r="7608" ht="15.75" customHeight="1">
      <c r="A7608" s="35"/>
      <c r="C7608" s="442"/>
      <c r="P7608" s="235"/>
      <c r="AI7608" s="38"/>
    </row>
    <row r="7609" ht="15.75" customHeight="1">
      <c r="A7609" s="35"/>
      <c r="C7609" s="442"/>
      <c r="P7609" s="235"/>
      <c r="AI7609" s="38"/>
    </row>
    <row r="7610" ht="15.75" customHeight="1">
      <c r="A7610" s="35"/>
      <c r="C7610" s="442"/>
      <c r="P7610" s="235"/>
      <c r="AI7610" s="38"/>
    </row>
    <row r="7611" ht="15.75" customHeight="1">
      <c r="A7611" s="35"/>
      <c r="C7611" s="442"/>
      <c r="P7611" s="235"/>
      <c r="AI7611" s="38"/>
    </row>
    <row r="7612" ht="15.75" customHeight="1">
      <c r="A7612" s="35"/>
      <c r="C7612" s="442"/>
      <c r="P7612" s="235"/>
      <c r="AI7612" s="38"/>
    </row>
    <row r="7613" ht="15.75" customHeight="1">
      <c r="A7613" s="35"/>
      <c r="C7613" s="442"/>
      <c r="P7613" s="235"/>
      <c r="AI7613" s="38"/>
    </row>
    <row r="7614" ht="15.75" customHeight="1">
      <c r="A7614" s="35"/>
      <c r="C7614" s="442"/>
      <c r="P7614" s="235"/>
      <c r="AI7614" s="38"/>
    </row>
    <row r="7615" ht="15.75" customHeight="1">
      <c r="A7615" s="35"/>
      <c r="C7615" s="442"/>
      <c r="P7615" s="235"/>
      <c r="AI7615" s="38"/>
    </row>
    <row r="7616" ht="15.75" customHeight="1">
      <c r="A7616" s="35"/>
      <c r="C7616" s="442"/>
      <c r="P7616" s="235"/>
      <c r="AI7616" s="38"/>
    </row>
    <row r="7617" ht="15.75" customHeight="1">
      <c r="A7617" s="35"/>
      <c r="C7617" s="442"/>
      <c r="P7617" s="235"/>
      <c r="AI7617" s="38"/>
    </row>
    <row r="7618" ht="15.75" customHeight="1">
      <c r="A7618" s="35"/>
      <c r="C7618" s="442"/>
      <c r="P7618" s="235"/>
      <c r="AI7618" s="38"/>
    </row>
    <row r="7619" ht="15.75" customHeight="1">
      <c r="A7619" s="35"/>
      <c r="C7619" s="442"/>
      <c r="P7619" s="235"/>
      <c r="AI7619" s="38"/>
    </row>
    <row r="7620" ht="15.75" customHeight="1">
      <c r="A7620" s="35"/>
      <c r="C7620" s="442"/>
      <c r="P7620" s="235"/>
      <c r="AI7620" s="38"/>
    </row>
    <row r="7621" ht="15.75" customHeight="1">
      <c r="A7621" s="35"/>
      <c r="C7621" s="442"/>
      <c r="P7621" s="235"/>
      <c r="AI7621" s="38"/>
    </row>
    <row r="7622" ht="15.75" customHeight="1">
      <c r="A7622" s="35"/>
      <c r="C7622" s="442"/>
      <c r="P7622" s="235"/>
      <c r="AI7622" s="38"/>
    </row>
    <row r="7623" ht="15.75" customHeight="1">
      <c r="A7623" s="35"/>
      <c r="C7623" s="442"/>
      <c r="P7623" s="235"/>
      <c r="AI7623" s="38"/>
    </row>
    <row r="7624" ht="15.75" customHeight="1">
      <c r="A7624" s="35"/>
      <c r="C7624" s="442"/>
      <c r="P7624" s="235"/>
      <c r="AI7624" s="38"/>
    </row>
    <row r="7625" ht="15.75" customHeight="1">
      <c r="A7625" s="35"/>
      <c r="C7625" s="442"/>
      <c r="P7625" s="235"/>
      <c r="AI7625" s="38"/>
    </row>
    <row r="7626" ht="15.75" customHeight="1">
      <c r="A7626" s="35"/>
      <c r="C7626" s="442"/>
      <c r="P7626" s="235"/>
      <c r="AI7626" s="38"/>
    </row>
    <row r="7627" ht="15.75" customHeight="1">
      <c r="A7627" s="35"/>
      <c r="C7627" s="442"/>
      <c r="P7627" s="235"/>
      <c r="AI7627" s="38"/>
    </row>
    <row r="7628" ht="15.75" customHeight="1">
      <c r="A7628" s="35"/>
      <c r="C7628" s="442"/>
      <c r="P7628" s="235"/>
      <c r="AI7628" s="38"/>
    </row>
    <row r="7629" ht="15.75" customHeight="1">
      <c r="A7629" s="35"/>
      <c r="C7629" s="442"/>
      <c r="P7629" s="235"/>
      <c r="AI7629" s="38"/>
    </row>
    <row r="7630" ht="15.75" customHeight="1">
      <c r="A7630" s="35"/>
      <c r="C7630" s="442"/>
      <c r="P7630" s="235"/>
      <c r="AI7630" s="38"/>
    </row>
    <row r="7631" ht="15.75" customHeight="1">
      <c r="A7631" s="35"/>
      <c r="C7631" s="442"/>
      <c r="P7631" s="235"/>
      <c r="AI7631" s="38"/>
    </row>
    <row r="7632" ht="15.75" customHeight="1">
      <c r="A7632" s="35"/>
      <c r="C7632" s="442"/>
      <c r="P7632" s="235"/>
      <c r="AI7632" s="38"/>
    </row>
    <row r="7633" ht="15.75" customHeight="1">
      <c r="A7633" s="35"/>
      <c r="C7633" s="442"/>
      <c r="P7633" s="235"/>
      <c r="AI7633" s="38"/>
    </row>
    <row r="7634" ht="15.75" customHeight="1">
      <c r="A7634" s="35"/>
      <c r="C7634" s="442"/>
      <c r="P7634" s="235"/>
      <c r="AI7634" s="38"/>
    </row>
    <row r="7635" ht="15.75" customHeight="1">
      <c r="A7635" s="35"/>
      <c r="C7635" s="442"/>
      <c r="P7635" s="235"/>
      <c r="AI7635" s="38"/>
    </row>
    <row r="7636" ht="15.75" customHeight="1">
      <c r="A7636" s="35"/>
      <c r="C7636" s="442"/>
      <c r="P7636" s="235"/>
      <c r="AI7636" s="38"/>
    </row>
    <row r="7637" ht="15.75" customHeight="1">
      <c r="A7637" s="35"/>
      <c r="C7637" s="442"/>
      <c r="P7637" s="235"/>
      <c r="AI7637" s="38"/>
    </row>
    <row r="7638" ht="15.75" customHeight="1">
      <c r="A7638" s="35"/>
      <c r="C7638" s="442"/>
      <c r="P7638" s="235"/>
      <c r="AI7638" s="38"/>
    </row>
    <row r="7639" ht="15.75" customHeight="1">
      <c r="A7639" s="35"/>
      <c r="C7639" s="442"/>
      <c r="P7639" s="235"/>
      <c r="AI7639" s="38"/>
    </row>
    <row r="7640" ht="15.75" customHeight="1">
      <c r="A7640" s="35"/>
      <c r="C7640" s="442"/>
      <c r="P7640" s="235"/>
      <c r="AI7640" s="38"/>
    </row>
    <row r="7641" ht="15.75" customHeight="1">
      <c r="A7641" s="35"/>
      <c r="C7641" s="442"/>
      <c r="P7641" s="235"/>
      <c r="AI7641" s="38"/>
    </row>
    <row r="7642" ht="15.75" customHeight="1">
      <c r="A7642" s="35"/>
      <c r="C7642" s="442"/>
      <c r="P7642" s="235"/>
      <c r="AI7642" s="38"/>
    </row>
    <row r="7643" ht="15.75" customHeight="1">
      <c r="A7643" s="35"/>
      <c r="C7643" s="442"/>
      <c r="P7643" s="235"/>
      <c r="AI7643" s="38"/>
    </row>
    <row r="7644" ht="15.75" customHeight="1">
      <c r="A7644" s="35"/>
      <c r="C7644" s="442"/>
      <c r="P7644" s="235"/>
      <c r="AI7644" s="38"/>
    </row>
    <row r="7645" ht="15.75" customHeight="1">
      <c r="A7645" s="35"/>
      <c r="C7645" s="442"/>
      <c r="P7645" s="235"/>
      <c r="AI7645" s="38"/>
    </row>
    <row r="7646" ht="15.75" customHeight="1">
      <c r="A7646" s="35"/>
      <c r="C7646" s="442"/>
      <c r="P7646" s="235"/>
      <c r="AI7646" s="38"/>
    </row>
    <row r="7647" ht="15.75" customHeight="1">
      <c r="A7647" s="35"/>
      <c r="C7647" s="442"/>
      <c r="P7647" s="235"/>
      <c r="AI7647" s="38"/>
    </row>
    <row r="7648" ht="15.75" customHeight="1">
      <c r="A7648" s="35"/>
      <c r="C7648" s="442"/>
      <c r="P7648" s="235"/>
      <c r="AI7648" s="38"/>
    </row>
    <row r="7649" ht="15.75" customHeight="1">
      <c r="A7649" s="35"/>
      <c r="C7649" s="442"/>
      <c r="P7649" s="235"/>
      <c r="AI7649" s="38"/>
    </row>
    <row r="7650" ht="15.75" customHeight="1">
      <c r="A7650" s="35"/>
      <c r="C7650" s="442"/>
      <c r="P7650" s="235"/>
      <c r="AI7650" s="38"/>
    </row>
    <row r="7651" ht="15.75" customHeight="1">
      <c r="A7651" s="35"/>
      <c r="C7651" s="442"/>
      <c r="P7651" s="235"/>
      <c r="AI7651" s="38"/>
    </row>
    <row r="7652" ht="15.75" customHeight="1">
      <c r="A7652" s="35"/>
      <c r="C7652" s="442"/>
      <c r="P7652" s="235"/>
      <c r="AI7652" s="38"/>
    </row>
    <row r="7653" ht="15.75" customHeight="1">
      <c r="A7653" s="35"/>
      <c r="C7653" s="442"/>
      <c r="P7653" s="235"/>
      <c r="AI7653" s="38"/>
    </row>
    <row r="7654" ht="15.75" customHeight="1">
      <c r="A7654" s="35"/>
      <c r="C7654" s="442"/>
      <c r="P7654" s="235"/>
      <c r="AI7654" s="38"/>
    </row>
    <row r="7655" ht="15.75" customHeight="1">
      <c r="A7655" s="35"/>
      <c r="C7655" s="442"/>
      <c r="P7655" s="235"/>
      <c r="AI7655" s="38"/>
    </row>
    <row r="7656" ht="15.75" customHeight="1">
      <c r="A7656" s="35"/>
      <c r="C7656" s="442"/>
      <c r="P7656" s="235"/>
      <c r="AI7656" s="38"/>
    </row>
    <row r="7657" ht="15.75" customHeight="1">
      <c r="A7657" s="35"/>
      <c r="C7657" s="442"/>
      <c r="P7657" s="235"/>
      <c r="AI7657" s="38"/>
    </row>
    <row r="7658" ht="15.75" customHeight="1">
      <c r="A7658" s="35"/>
      <c r="C7658" s="442"/>
      <c r="P7658" s="235"/>
      <c r="AI7658" s="38"/>
    </row>
    <row r="7659" ht="15.75" customHeight="1">
      <c r="A7659" s="35"/>
      <c r="C7659" s="442"/>
      <c r="P7659" s="235"/>
      <c r="AI7659" s="38"/>
    </row>
    <row r="7660" ht="15.75" customHeight="1">
      <c r="A7660" s="35"/>
      <c r="C7660" s="442"/>
      <c r="P7660" s="235"/>
      <c r="AI7660" s="38"/>
    </row>
    <row r="7661" ht="15.75" customHeight="1">
      <c r="A7661" s="35"/>
      <c r="C7661" s="442"/>
      <c r="P7661" s="235"/>
      <c r="AI7661" s="38"/>
    </row>
    <row r="7662" ht="15.75" customHeight="1">
      <c r="A7662" s="35"/>
      <c r="C7662" s="442"/>
      <c r="P7662" s="235"/>
      <c r="AI7662" s="38"/>
    </row>
    <row r="7663" ht="15.75" customHeight="1">
      <c r="A7663" s="35"/>
      <c r="C7663" s="442"/>
      <c r="P7663" s="235"/>
      <c r="AI7663" s="38"/>
    </row>
    <row r="7664" ht="15.75" customHeight="1">
      <c r="A7664" s="35"/>
      <c r="C7664" s="442"/>
      <c r="P7664" s="235"/>
      <c r="AI7664" s="38"/>
    </row>
    <row r="7665" ht="15.75" customHeight="1">
      <c r="A7665" s="35"/>
      <c r="C7665" s="442"/>
      <c r="P7665" s="235"/>
      <c r="AI7665" s="38"/>
    </row>
    <row r="7666" ht="15.75" customHeight="1">
      <c r="A7666" s="35"/>
      <c r="C7666" s="442"/>
      <c r="P7666" s="235"/>
      <c r="AI7666" s="38"/>
    </row>
    <row r="7667" ht="15.75" customHeight="1">
      <c r="A7667" s="35"/>
      <c r="C7667" s="442"/>
      <c r="P7667" s="235"/>
      <c r="AI7667" s="38"/>
    </row>
    <row r="7668" ht="15.75" customHeight="1">
      <c r="A7668" s="35"/>
      <c r="C7668" s="442"/>
      <c r="P7668" s="235"/>
      <c r="AI7668" s="38"/>
    </row>
    <row r="7669" ht="15.75" customHeight="1">
      <c r="A7669" s="35"/>
      <c r="C7669" s="442"/>
      <c r="P7669" s="235"/>
      <c r="AI7669" s="38"/>
    </row>
    <row r="7670" ht="15.75" customHeight="1">
      <c r="A7670" s="35"/>
      <c r="C7670" s="442"/>
      <c r="P7670" s="235"/>
      <c r="AI7670" s="38"/>
    </row>
    <row r="7671" ht="15.75" customHeight="1">
      <c r="A7671" s="35"/>
      <c r="C7671" s="442"/>
      <c r="P7671" s="235"/>
      <c r="AI7671" s="38"/>
    </row>
    <row r="7672" ht="15.75" customHeight="1">
      <c r="A7672" s="35"/>
      <c r="C7672" s="442"/>
      <c r="P7672" s="235"/>
      <c r="AI7672" s="38"/>
    </row>
    <row r="7673" ht="15.75" customHeight="1">
      <c r="A7673" s="35"/>
      <c r="C7673" s="442"/>
      <c r="P7673" s="235"/>
      <c r="AI7673" s="38"/>
    </row>
    <row r="7674" ht="15.75" customHeight="1">
      <c r="A7674" s="35"/>
      <c r="C7674" s="442"/>
      <c r="P7674" s="235"/>
      <c r="AI7674" s="38"/>
    </row>
    <row r="7675" ht="15.75" customHeight="1">
      <c r="A7675" s="35"/>
      <c r="C7675" s="442"/>
      <c r="P7675" s="235"/>
      <c r="AI7675" s="38"/>
    </row>
    <row r="7676" ht="15.75" customHeight="1">
      <c r="A7676" s="35"/>
      <c r="C7676" s="442"/>
      <c r="P7676" s="235"/>
      <c r="AI7676" s="38"/>
    </row>
    <row r="7677" ht="15.75" customHeight="1">
      <c r="A7677" s="35"/>
      <c r="C7677" s="442"/>
      <c r="P7677" s="235"/>
      <c r="AI7677" s="38"/>
    </row>
    <row r="7678" ht="15.75" customHeight="1">
      <c r="A7678" s="35"/>
      <c r="C7678" s="442"/>
      <c r="P7678" s="235"/>
      <c r="AI7678" s="38"/>
    </row>
    <row r="7679" ht="15.75" customHeight="1">
      <c r="A7679" s="35"/>
      <c r="C7679" s="442"/>
      <c r="P7679" s="235"/>
      <c r="AI7679" s="38"/>
    </row>
    <row r="7680" ht="15.75" customHeight="1">
      <c r="A7680" s="35"/>
      <c r="C7680" s="442"/>
      <c r="P7680" s="235"/>
      <c r="AI7680" s="38"/>
    </row>
    <row r="7681" ht="15.75" customHeight="1">
      <c r="A7681" s="35"/>
      <c r="C7681" s="442"/>
      <c r="P7681" s="235"/>
      <c r="AI7681" s="38"/>
    </row>
    <row r="7682" ht="15.75" customHeight="1">
      <c r="A7682" s="35"/>
      <c r="C7682" s="442"/>
      <c r="P7682" s="235"/>
      <c r="AI7682" s="38"/>
    </row>
    <row r="7683" ht="15.75" customHeight="1">
      <c r="A7683" s="35"/>
      <c r="C7683" s="442"/>
      <c r="P7683" s="235"/>
      <c r="AI7683" s="38"/>
    </row>
    <row r="7684" ht="15.75" customHeight="1">
      <c r="A7684" s="35"/>
      <c r="C7684" s="442"/>
      <c r="P7684" s="235"/>
      <c r="AI7684" s="38"/>
    </row>
    <row r="7685" ht="15.75" customHeight="1">
      <c r="A7685" s="35"/>
      <c r="C7685" s="442"/>
      <c r="P7685" s="235"/>
      <c r="AI7685" s="38"/>
    </row>
    <row r="7686" ht="15.75" customHeight="1">
      <c r="A7686" s="35"/>
      <c r="C7686" s="442"/>
      <c r="P7686" s="235"/>
      <c r="AI7686" s="38"/>
    </row>
    <row r="7687" ht="15.75" customHeight="1">
      <c r="A7687" s="35"/>
      <c r="C7687" s="442"/>
      <c r="P7687" s="235"/>
      <c r="AI7687" s="38"/>
    </row>
    <row r="7688" ht="15.75" customHeight="1">
      <c r="A7688" s="35"/>
      <c r="C7688" s="442"/>
      <c r="P7688" s="235"/>
      <c r="AI7688" s="38"/>
    </row>
    <row r="7689" ht="15.75" customHeight="1">
      <c r="A7689" s="35"/>
      <c r="C7689" s="442"/>
      <c r="P7689" s="235"/>
      <c r="AI7689" s="38"/>
    </row>
    <row r="7690" ht="15.75" customHeight="1">
      <c r="A7690" s="35"/>
      <c r="C7690" s="442"/>
      <c r="P7690" s="235"/>
      <c r="AI7690" s="38"/>
    </row>
    <row r="7691" ht="15.75" customHeight="1">
      <c r="A7691" s="35"/>
      <c r="C7691" s="442"/>
      <c r="P7691" s="235"/>
      <c r="AI7691" s="38"/>
    </row>
    <row r="7692" ht="15.75" customHeight="1">
      <c r="A7692" s="35"/>
      <c r="C7692" s="442"/>
      <c r="P7692" s="235"/>
      <c r="AI7692" s="38"/>
    </row>
    <row r="7693" ht="15.75" customHeight="1">
      <c r="A7693" s="35"/>
      <c r="C7693" s="442"/>
      <c r="P7693" s="235"/>
      <c r="AI7693" s="38"/>
    </row>
    <row r="7694" ht="15.75" customHeight="1">
      <c r="A7694" s="35"/>
      <c r="C7694" s="442"/>
      <c r="P7694" s="235"/>
      <c r="AI7694" s="38"/>
    </row>
    <row r="7695" ht="15.75" customHeight="1">
      <c r="A7695" s="35"/>
      <c r="C7695" s="442"/>
      <c r="P7695" s="235"/>
      <c r="AI7695" s="38"/>
    </row>
    <row r="7696" ht="15.75" customHeight="1">
      <c r="A7696" s="35"/>
      <c r="C7696" s="442"/>
      <c r="P7696" s="235"/>
      <c r="AI7696" s="38"/>
    </row>
    <row r="7697" ht="15.75" customHeight="1">
      <c r="A7697" s="35"/>
      <c r="C7697" s="442"/>
      <c r="P7697" s="235"/>
      <c r="AI7697" s="38"/>
    </row>
    <row r="7698" ht="15.75" customHeight="1">
      <c r="A7698" s="35"/>
      <c r="C7698" s="442"/>
      <c r="P7698" s="235"/>
      <c r="AI7698" s="38"/>
    </row>
    <row r="7699" ht="15.75" customHeight="1">
      <c r="A7699" s="35"/>
      <c r="C7699" s="442"/>
      <c r="P7699" s="235"/>
      <c r="AI7699" s="38"/>
    </row>
    <row r="7700" ht="15.75" customHeight="1">
      <c r="A7700" s="35"/>
      <c r="C7700" s="442"/>
      <c r="P7700" s="235"/>
      <c r="AI7700" s="38"/>
    </row>
    <row r="7701" ht="15.75" customHeight="1">
      <c r="A7701" s="35"/>
      <c r="C7701" s="442"/>
      <c r="P7701" s="235"/>
      <c r="AI7701" s="38"/>
    </row>
    <row r="7702" ht="15.75" customHeight="1">
      <c r="A7702" s="35"/>
      <c r="C7702" s="442"/>
      <c r="P7702" s="235"/>
      <c r="AI7702" s="38"/>
    </row>
    <row r="7703" ht="15.75" customHeight="1">
      <c r="A7703" s="35"/>
      <c r="C7703" s="442"/>
      <c r="P7703" s="235"/>
      <c r="AI7703" s="38"/>
    </row>
    <row r="7704" ht="15.75" customHeight="1">
      <c r="A7704" s="35"/>
      <c r="C7704" s="442"/>
      <c r="P7704" s="235"/>
      <c r="AI7704" s="38"/>
    </row>
    <row r="7705" ht="15.75" customHeight="1">
      <c r="A7705" s="35"/>
      <c r="C7705" s="442"/>
      <c r="P7705" s="235"/>
      <c r="AI7705" s="38"/>
    </row>
    <row r="7706" ht="15.75" customHeight="1">
      <c r="A7706" s="35"/>
      <c r="C7706" s="442"/>
      <c r="P7706" s="235"/>
      <c r="AI7706" s="38"/>
    </row>
    <row r="7707" ht="15.75" customHeight="1">
      <c r="A7707" s="35"/>
      <c r="C7707" s="442"/>
      <c r="P7707" s="235"/>
      <c r="AI7707" s="38"/>
    </row>
    <row r="7708" ht="15.75" customHeight="1">
      <c r="A7708" s="35"/>
      <c r="C7708" s="442"/>
      <c r="P7708" s="235"/>
      <c r="AI7708" s="38"/>
    </row>
    <row r="7709" ht="15.75" customHeight="1">
      <c r="A7709" s="35"/>
      <c r="C7709" s="442"/>
      <c r="P7709" s="235"/>
      <c r="AI7709" s="38"/>
    </row>
    <row r="7710" ht="15.75" customHeight="1">
      <c r="A7710" s="35"/>
      <c r="C7710" s="442"/>
      <c r="P7710" s="235"/>
      <c r="AI7710" s="38"/>
    </row>
    <row r="7711" ht="15.75" customHeight="1">
      <c r="A7711" s="35"/>
      <c r="C7711" s="442"/>
      <c r="P7711" s="235"/>
      <c r="AI7711" s="38"/>
    </row>
    <row r="7712" ht="15.75" customHeight="1">
      <c r="A7712" s="35"/>
      <c r="C7712" s="442"/>
      <c r="P7712" s="235"/>
      <c r="AI7712" s="38"/>
    </row>
    <row r="7713" ht="15.75" customHeight="1">
      <c r="A7713" s="35"/>
      <c r="C7713" s="442"/>
      <c r="P7713" s="235"/>
      <c r="AI7713" s="38"/>
    </row>
    <row r="7714" ht="15.75" customHeight="1">
      <c r="A7714" s="35"/>
      <c r="C7714" s="442"/>
      <c r="P7714" s="235"/>
      <c r="AI7714" s="38"/>
    </row>
    <row r="7715" ht="15.75" customHeight="1">
      <c r="A7715" s="35"/>
      <c r="C7715" s="442"/>
      <c r="P7715" s="235"/>
      <c r="AI7715" s="38"/>
    </row>
    <row r="7716" ht="15.75" customHeight="1">
      <c r="A7716" s="35"/>
      <c r="C7716" s="442"/>
      <c r="P7716" s="235"/>
      <c r="AI7716" s="38"/>
    </row>
    <row r="7717" ht="15.75" customHeight="1">
      <c r="A7717" s="35"/>
      <c r="C7717" s="442"/>
      <c r="P7717" s="235"/>
      <c r="AI7717" s="38"/>
    </row>
    <row r="7718" ht="15.75" customHeight="1">
      <c r="A7718" s="35"/>
      <c r="C7718" s="442"/>
      <c r="P7718" s="235"/>
      <c r="AI7718" s="38"/>
    </row>
    <row r="7719" ht="15.75" customHeight="1">
      <c r="A7719" s="35"/>
      <c r="C7719" s="442"/>
      <c r="P7719" s="235"/>
      <c r="AI7719" s="38"/>
    </row>
    <row r="7720" ht="15.75" customHeight="1">
      <c r="A7720" s="35"/>
      <c r="C7720" s="442"/>
      <c r="P7720" s="235"/>
      <c r="AI7720" s="38"/>
    </row>
    <row r="7721" ht="15.75" customHeight="1">
      <c r="A7721" s="35"/>
      <c r="C7721" s="442"/>
      <c r="P7721" s="235"/>
      <c r="AI7721" s="38"/>
    </row>
    <row r="7722" ht="15.75" customHeight="1">
      <c r="A7722" s="35"/>
      <c r="C7722" s="442"/>
      <c r="P7722" s="235"/>
      <c r="AI7722" s="38"/>
    </row>
    <row r="7723" ht="15.75" customHeight="1">
      <c r="A7723" s="35"/>
      <c r="C7723" s="442"/>
      <c r="P7723" s="235"/>
      <c r="AI7723" s="38"/>
    </row>
    <row r="7724" ht="15.75" customHeight="1">
      <c r="A7724" s="35"/>
      <c r="C7724" s="442"/>
      <c r="P7724" s="235"/>
      <c r="AI7724" s="38"/>
    </row>
    <row r="7725" ht="15.75" customHeight="1">
      <c r="A7725" s="35"/>
      <c r="C7725" s="442"/>
      <c r="P7725" s="235"/>
      <c r="AI7725" s="38"/>
    </row>
    <row r="7726" ht="15.75" customHeight="1">
      <c r="A7726" s="35"/>
      <c r="C7726" s="442"/>
      <c r="P7726" s="235"/>
      <c r="AI7726" s="38"/>
    </row>
    <row r="7727" ht="15.75" customHeight="1">
      <c r="A7727" s="35"/>
      <c r="C7727" s="442"/>
      <c r="P7727" s="235"/>
      <c r="AI7727" s="38"/>
    </row>
    <row r="7728" ht="15.75" customHeight="1">
      <c r="A7728" s="35"/>
      <c r="C7728" s="442"/>
      <c r="P7728" s="235"/>
      <c r="AI7728" s="38"/>
    </row>
    <row r="7729" ht="15.75" customHeight="1">
      <c r="A7729" s="35"/>
      <c r="C7729" s="442"/>
      <c r="P7729" s="235"/>
      <c r="AI7729" s="38"/>
    </row>
    <row r="7730" ht="15.75" customHeight="1">
      <c r="A7730" s="35"/>
      <c r="C7730" s="442"/>
      <c r="P7730" s="235"/>
      <c r="AI7730" s="38"/>
    </row>
    <row r="7731" ht="15.75" customHeight="1">
      <c r="A7731" s="35"/>
      <c r="C7731" s="442"/>
      <c r="P7731" s="235"/>
      <c r="AI7731" s="38"/>
    </row>
    <row r="7732" ht="15.75" customHeight="1">
      <c r="A7732" s="35"/>
      <c r="C7732" s="442"/>
      <c r="P7732" s="235"/>
      <c r="AI7732" s="38"/>
    </row>
    <row r="7733" ht="15.75" customHeight="1">
      <c r="A7733" s="35"/>
      <c r="C7733" s="442"/>
      <c r="P7733" s="235"/>
      <c r="AI7733" s="38"/>
    </row>
    <row r="7734" ht="15.75" customHeight="1">
      <c r="A7734" s="35"/>
      <c r="C7734" s="442"/>
      <c r="P7734" s="235"/>
      <c r="AI7734" s="38"/>
    </row>
    <row r="7735" ht="15.75" customHeight="1">
      <c r="A7735" s="35"/>
      <c r="C7735" s="442"/>
      <c r="P7735" s="235"/>
      <c r="AI7735" s="38"/>
    </row>
    <row r="7736" ht="15.75" customHeight="1">
      <c r="A7736" s="35"/>
      <c r="C7736" s="442"/>
      <c r="P7736" s="235"/>
      <c r="AI7736" s="38"/>
    </row>
    <row r="7737" ht="15.75" customHeight="1">
      <c r="A7737" s="35"/>
      <c r="C7737" s="442"/>
      <c r="P7737" s="235"/>
      <c r="AI7737" s="38"/>
    </row>
    <row r="7738" ht="15.75" customHeight="1">
      <c r="A7738" s="35"/>
      <c r="C7738" s="442"/>
      <c r="P7738" s="235"/>
      <c r="AI7738" s="38"/>
    </row>
    <row r="7739" ht="15.75" customHeight="1">
      <c r="A7739" s="35"/>
      <c r="C7739" s="442"/>
      <c r="P7739" s="235"/>
      <c r="AI7739" s="38"/>
    </row>
    <row r="7740" ht="15.75" customHeight="1">
      <c r="A7740" s="35"/>
      <c r="C7740" s="442"/>
      <c r="P7740" s="235"/>
      <c r="AI7740" s="38"/>
    </row>
    <row r="7741" ht="15.75" customHeight="1">
      <c r="A7741" s="35"/>
      <c r="C7741" s="442"/>
      <c r="P7741" s="235"/>
      <c r="AI7741" s="38"/>
    </row>
    <row r="7742" ht="15.75" customHeight="1">
      <c r="A7742" s="35"/>
      <c r="C7742" s="442"/>
      <c r="P7742" s="235"/>
      <c r="AI7742" s="38"/>
    </row>
    <row r="7743" ht="15.75" customHeight="1">
      <c r="A7743" s="35"/>
      <c r="C7743" s="442"/>
      <c r="P7743" s="235"/>
      <c r="AI7743" s="38"/>
    </row>
    <row r="7744" ht="15.75" customHeight="1">
      <c r="A7744" s="35"/>
      <c r="C7744" s="442"/>
      <c r="P7744" s="235"/>
      <c r="AI7744" s="38"/>
    </row>
    <row r="7745" ht="15.75" customHeight="1">
      <c r="A7745" s="35"/>
      <c r="C7745" s="442"/>
      <c r="P7745" s="235"/>
      <c r="AI7745" s="38"/>
    </row>
    <row r="7746" ht="15.75" customHeight="1">
      <c r="A7746" s="35"/>
      <c r="C7746" s="442"/>
      <c r="P7746" s="235"/>
      <c r="AI7746" s="38"/>
    </row>
    <row r="7747" ht="15.75" customHeight="1">
      <c r="A7747" s="35"/>
      <c r="C7747" s="442"/>
      <c r="P7747" s="235"/>
      <c r="AI7747" s="38"/>
    </row>
    <row r="7748" ht="15.75" customHeight="1">
      <c r="A7748" s="35"/>
      <c r="C7748" s="442"/>
      <c r="P7748" s="235"/>
      <c r="AI7748" s="38"/>
    </row>
    <row r="7749" ht="15.75" customHeight="1">
      <c r="A7749" s="35"/>
      <c r="C7749" s="442"/>
      <c r="P7749" s="235"/>
      <c r="AI7749" s="38"/>
    </row>
    <row r="7750" ht="15.75" customHeight="1">
      <c r="A7750" s="35"/>
      <c r="C7750" s="442"/>
      <c r="P7750" s="235"/>
      <c r="AI7750" s="38"/>
    </row>
    <row r="7751" ht="15.75" customHeight="1">
      <c r="A7751" s="35"/>
      <c r="C7751" s="442"/>
      <c r="P7751" s="235"/>
      <c r="AI7751" s="38"/>
    </row>
    <row r="7752" ht="15.75" customHeight="1">
      <c r="A7752" s="35"/>
      <c r="C7752" s="442"/>
      <c r="P7752" s="235"/>
      <c r="AI7752" s="38"/>
    </row>
    <row r="7753" ht="15.75" customHeight="1">
      <c r="A7753" s="35"/>
      <c r="C7753" s="442"/>
      <c r="P7753" s="235"/>
      <c r="AI7753" s="38"/>
    </row>
    <row r="7754" ht="15.75" customHeight="1">
      <c r="A7754" s="35"/>
      <c r="C7754" s="442"/>
      <c r="P7754" s="235"/>
      <c r="AI7754" s="38"/>
    </row>
    <row r="7755" ht="15.75" customHeight="1">
      <c r="A7755" s="35"/>
      <c r="C7755" s="442"/>
      <c r="P7755" s="235"/>
      <c r="AI7755" s="38"/>
    </row>
    <row r="7756" ht="15.75" customHeight="1">
      <c r="A7756" s="35"/>
      <c r="C7756" s="442"/>
      <c r="P7756" s="235"/>
      <c r="AI7756" s="38"/>
    </row>
    <row r="7757" ht="15.75" customHeight="1">
      <c r="A7757" s="35"/>
      <c r="C7757" s="442"/>
      <c r="P7757" s="235"/>
      <c r="AI7757" s="38"/>
    </row>
    <row r="7758" ht="15.75" customHeight="1">
      <c r="A7758" s="35"/>
      <c r="C7758" s="442"/>
      <c r="P7758" s="235"/>
      <c r="AI7758" s="38"/>
    </row>
    <row r="7759" ht="15.75" customHeight="1">
      <c r="A7759" s="35"/>
      <c r="C7759" s="442"/>
      <c r="P7759" s="235"/>
      <c r="AI7759" s="38"/>
    </row>
    <row r="7760" ht="15.75" customHeight="1">
      <c r="A7760" s="35"/>
      <c r="C7760" s="442"/>
      <c r="P7760" s="235"/>
      <c r="AI7760" s="38"/>
    </row>
    <row r="7761" ht="15.75" customHeight="1">
      <c r="A7761" s="35"/>
      <c r="C7761" s="442"/>
      <c r="P7761" s="235"/>
      <c r="AI7761" s="38"/>
    </row>
    <row r="7762" ht="15.75" customHeight="1">
      <c r="A7762" s="35"/>
      <c r="C7762" s="442"/>
      <c r="P7762" s="235"/>
      <c r="AI7762" s="38"/>
    </row>
    <row r="7763" ht="15.75" customHeight="1">
      <c r="A7763" s="35"/>
      <c r="C7763" s="442"/>
      <c r="P7763" s="235"/>
      <c r="AI7763" s="38"/>
    </row>
    <row r="7764" ht="15.75" customHeight="1">
      <c r="A7764" s="35"/>
      <c r="C7764" s="442"/>
      <c r="P7764" s="235"/>
      <c r="AI7764" s="38"/>
    </row>
    <row r="7765" ht="15.75" customHeight="1">
      <c r="A7765" s="35"/>
      <c r="C7765" s="442"/>
      <c r="P7765" s="235"/>
      <c r="AI7765" s="38"/>
    </row>
    <row r="7766" ht="15.75" customHeight="1">
      <c r="A7766" s="35"/>
      <c r="C7766" s="442"/>
      <c r="P7766" s="235"/>
      <c r="AI7766" s="38"/>
    </row>
    <row r="7767" ht="15.75" customHeight="1">
      <c r="A7767" s="35"/>
      <c r="C7767" s="442"/>
      <c r="P7767" s="235"/>
      <c r="AI7767" s="38"/>
    </row>
    <row r="7768" ht="15.75" customHeight="1">
      <c r="A7768" s="35"/>
      <c r="C7768" s="442"/>
      <c r="P7768" s="235"/>
      <c r="AI7768" s="38"/>
    </row>
    <row r="7769" ht="15.75" customHeight="1">
      <c r="A7769" s="35"/>
      <c r="C7769" s="442"/>
      <c r="P7769" s="235"/>
      <c r="AI7769" s="38"/>
    </row>
    <row r="7770" ht="15.75" customHeight="1">
      <c r="A7770" s="35"/>
      <c r="C7770" s="442"/>
      <c r="P7770" s="235"/>
      <c r="AI7770" s="38"/>
    </row>
    <row r="7771" ht="15.75" customHeight="1">
      <c r="A7771" s="35"/>
      <c r="C7771" s="442"/>
      <c r="P7771" s="235"/>
      <c r="AI7771" s="38"/>
    </row>
    <row r="7772" ht="15.75" customHeight="1">
      <c r="A7772" s="35"/>
      <c r="C7772" s="442"/>
      <c r="P7772" s="235"/>
      <c r="AI7772" s="38"/>
    </row>
    <row r="7773" ht="15.75" customHeight="1">
      <c r="A7773" s="35"/>
      <c r="C7773" s="442"/>
      <c r="P7773" s="235"/>
      <c r="AI7773" s="38"/>
    </row>
    <row r="7774" ht="15.75" customHeight="1">
      <c r="A7774" s="35"/>
      <c r="C7774" s="442"/>
      <c r="P7774" s="235"/>
      <c r="AI7774" s="38"/>
    </row>
    <row r="7775" ht="15.75" customHeight="1">
      <c r="A7775" s="35"/>
      <c r="C7775" s="442"/>
      <c r="P7775" s="235"/>
      <c r="AI7775" s="38"/>
    </row>
    <row r="7776" ht="15.75" customHeight="1">
      <c r="A7776" s="35"/>
      <c r="C7776" s="442"/>
      <c r="P7776" s="235"/>
      <c r="AI7776" s="38"/>
    </row>
    <row r="7777" ht="15.75" customHeight="1">
      <c r="A7777" s="35"/>
      <c r="C7777" s="442"/>
      <c r="P7777" s="235"/>
      <c r="AI7777" s="38"/>
    </row>
    <row r="7778" ht="15.75" customHeight="1">
      <c r="A7778" s="35"/>
      <c r="C7778" s="442"/>
      <c r="P7778" s="235"/>
      <c r="AI7778" s="38"/>
    </row>
    <row r="7779" ht="15.75" customHeight="1">
      <c r="A7779" s="35"/>
      <c r="C7779" s="442"/>
      <c r="P7779" s="235"/>
      <c r="AI7779" s="38"/>
    </row>
    <row r="7780" ht="15.75" customHeight="1">
      <c r="A7780" s="35"/>
      <c r="C7780" s="442"/>
      <c r="P7780" s="235"/>
      <c r="AI7780" s="38"/>
    </row>
    <row r="7781" ht="15.75" customHeight="1">
      <c r="A7781" s="35"/>
      <c r="C7781" s="442"/>
      <c r="P7781" s="235"/>
      <c r="AI7781" s="38"/>
    </row>
    <row r="7782" ht="15.75" customHeight="1">
      <c r="A7782" s="35"/>
      <c r="C7782" s="442"/>
      <c r="P7782" s="235"/>
      <c r="AI7782" s="38"/>
    </row>
    <row r="7783" ht="15.75" customHeight="1">
      <c r="A7783" s="35"/>
      <c r="C7783" s="442"/>
      <c r="P7783" s="235"/>
      <c r="AI7783" s="38"/>
    </row>
    <row r="7784" ht="15.75" customHeight="1">
      <c r="A7784" s="35"/>
      <c r="C7784" s="442"/>
      <c r="P7784" s="235"/>
      <c r="AI7784" s="38"/>
    </row>
    <row r="7785" ht="15.75" customHeight="1">
      <c r="A7785" s="35"/>
      <c r="C7785" s="442"/>
      <c r="P7785" s="235"/>
      <c r="AI7785" s="38"/>
    </row>
    <row r="7786" ht="15.75" customHeight="1">
      <c r="A7786" s="35"/>
      <c r="C7786" s="442"/>
      <c r="P7786" s="235"/>
      <c r="AI7786" s="38"/>
    </row>
    <row r="7787" ht="15.75" customHeight="1">
      <c r="A7787" s="35"/>
      <c r="C7787" s="442"/>
      <c r="P7787" s="235"/>
      <c r="AI7787" s="38"/>
    </row>
    <row r="7788" ht="15.75" customHeight="1">
      <c r="A7788" s="35"/>
      <c r="C7788" s="442"/>
      <c r="P7788" s="235"/>
      <c r="AI7788" s="38"/>
    </row>
    <row r="7789" ht="15.75" customHeight="1">
      <c r="A7789" s="35"/>
      <c r="C7789" s="442"/>
      <c r="P7789" s="235"/>
      <c r="AI7789" s="38"/>
    </row>
    <row r="7790" ht="15.75" customHeight="1">
      <c r="A7790" s="35"/>
      <c r="C7790" s="442"/>
      <c r="P7790" s="235"/>
      <c r="AI7790" s="38"/>
    </row>
    <row r="7791" ht="15.75" customHeight="1">
      <c r="A7791" s="35"/>
      <c r="C7791" s="442"/>
      <c r="P7791" s="235"/>
      <c r="AI7791" s="38"/>
    </row>
    <row r="7792" ht="15.75" customHeight="1">
      <c r="A7792" s="35"/>
      <c r="C7792" s="442"/>
      <c r="P7792" s="235"/>
      <c r="AI7792" s="38"/>
    </row>
    <row r="7793" ht="15.75" customHeight="1">
      <c r="A7793" s="35"/>
      <c r="C7793" s="442"/>
      <c r="P7793" s="235"/>
      <c r="AI7793" s="38"/>
    </row>
    <row r="7794" ht="15.75" customHeight="1">
      <c r="A7794" s="35"/>
      <c r="C7794" s="442"/>
      <c r="P7794" s="235"/>
      <c r="AI7794" s="38"/>
    </row>
    <row r="7795" ht="15.75" customHeight="1">
      <c r="A7795" s="35"/>
      <c r="C7795" s="442"/>
      <c r="P7795" s="235"/>
      <c r="AI7795" s="38"/>
    </row>
    <row r="7796" ht="15.75" customHeight="1">
      <c r="A7796" s="35"/>
      <c r="C7796" s="442"/>
      <c r="P7796" s="235"/>
      <c r="AI7796" s="38"/>
    </row>
    <row r="7797" ht="15.75" customHeight="1">
      <c r="A7797" s="35"/>
      <c r="C7797" s="442"/>
      <c r="P7797" s="235"/>
      <c r="AI7797" s="38"/>
    </row>
    <row r="7798" ht="15.75" customHeight="1">
      <c r="A7798" s="35"/>
      <c r="C7798" s="442"/>
      <c r="P7798" s="235"/>
      <c r="AI7798" s="38"/>
    </row>
    <row r="7799" ht="15.75" customHeight="1">
      <c r="A7799" s="35"/>
      <c r="C7799" s="442"/>
      <c r="P7799" s="235"/>
      <c r="AI7799" s="38"/>
    </row>
    <row r="7800" ht="15.75" customHeight="1">
      <c r="A7800" s="35"/>
      <c r="C7800" s="442"/>
      <c r="P7800" s="235"/>
      <c r="AI7800" s="38"/>
    </row>
    <row r="7801" ht="15.75" customHeight="1">
      <c r="A7801" s="35"/>
      <c r="C7801" s="442"/>
      <c r="P7801" s="235"/>
      <c r="AI7801" s="38"/>
    </row>
    <row r="7802" ht="15.75" customHeight="1">
      <c r="A7802" s="35"/>
      <c r="C7802" s="442"/>
      <c r="P7802" s="235"/>
      <c r="AI7802" s="38"/>
    </row>
    <row r="7803" ht="15.75" customHeight="1">
      <c r="A7803" s="35"/>
      <c r="C7803" s="442"/>
      <c r="P7803" s="235"/>
      <c r="AI7803" s="38"/>
    </row>
    <row r="7804" ht="15.75" customHeight="1">
      <c r="A7804" s="35"/>
      <c r="C7804" s="442"/>
      <c r="P7804" s="235"/>
      <c r="AI7804" s="38"/>
    </row>
    <row r="7805" ht="15.75" customHeight="1">
      <c r="A7805" s="35"/>
      <c r="C7805" s="442"/>
      <c r="P7805" s="235"/>
      <c r="AI7805" s="38"/>
    </row>
    <row r="7806" ht="15.75" customHeight="1">
      <c r="A7806" s="35"/>
      <c r="C7806" s="442"/>
      <c r="P7806" s="235"/>
      <c r="AI7806" s="38"/>
    </row>
    <row r="7807" ht="15.75" customHeight="1">
      <c r="A7807" s="35"/>
      <c r="C7807" s="442"/>
      <c r="P7807" s="235"/>
      <c r="AI7807" s="38"/>
    </row>
    <row r="7808" ht="15.75" customHeight="1">
      <c r="A7808" s="35"/>
      <c r="C7808" s="442"/>
      <c r="P7808" s="235"/>
      <c r="AI7808" s="38"/>
    </row>
    <row r="7809" ht="15.75" customHeight="1">
      <c r="A7809" s="35"/>
      <c r="C7809" s="442"/>
      <c r="P7809" s="235"/>
      <c r="AI7809" s="38"/>
    </row>
    <row r="7810" ht="15.75" customHeight="1">
      <c r="A7810" s="35"/>
      <c r="C7810" s="442"/>
      <c r="P7810" s="235"/>
      <c r="AI7810" s="38"/>
    </row>
    <row r="7811" ht="15.75" customHeight="1">
      <c r="A7811" s="35"/>
      <c r="C7811" s="442"/>
      <c r="P7811" s="235"/>
      <c r="AI7811" s="38"/>
    </row>
    <row r="7812" ht="15.75" customHeight="1">
      <c r="A7812" s="35"/>
      <c r="C7812" s="442"/>
      <c r="P7812" s="235"/>
      <c r="AI7812" s="38"/>
    </row>
    <row r="7813" ht="15.75" customHeight="1">
      <c r="A7813" s="35"/>
      <c r="C7813" s="442"/>
      <c r="P7813" s="235"/>
      <c r="AI7813" s="38"/>
    </row>
    <row r="7814" ht="15.75" customHeight="1">
      <c r="A7814" s="35"/>
      <c r="C7814" s="442"/>
      <c r="P7814" s="235"/>
      <c r="AI7814" s="38"/>
    </row>
    <row r="7815" ht="15.75" customHeight="1">
      <c r="A7815" s="35"/>
      <c r="C7815" s="442"/>
      <c r="P7815" s="235"/>
      <c r="AI7815" s="38"/>
    </row>
    <row r="7816" ht="15.75" customHeight="1">
      <c r="A7816" s="35"/>
      <c r="C7816" s="442"/>
      <c r="P7816" s="235"/>
      <c r="AI7816" s="38"/>
    </row>
    <row r="7817" ht="15.75" customHeight="1">
      <c r="A7817" s="35"/>
      <c r="C7817" s="442"/>
      <c r="P7817" s="235"/>
      <c r="AI7817" s="38"/>
    </row>
    <row r="7818" ht="15.75" customHeight="1">
      <c r="A7818" s="35"/>
      <c r="C7818" s="442"/>
      <c r="P7818" s="235"/>
      <c r="AI7818" s="38"/>
    </row>
    <row r="7819" ht="15.75" customHeight="1">
      <c r="A7819" s="35"/>
      <c r="C7819" s="442"/>
      <c r="P7819" s="235"/>
      <c r="AI7819" s="38"/>
    </row>
    <row r="7820" ht="15.75" customHeight="1">
      <c r="A7820" s="35"/>
      <c r="C7820" s="442"/>
      <c r="P7820" s="235"/>
      <c r="AI7820" s="38"/>
    </row>
    <row r="7821" ht="15.75" customHeight="1">
      <c r="A7821" s="35"/>
      <c r="C7821" s="442"/>
      <c r="P7821" s="235"/>
      <c r="AI7821" s="38"/>
    </row>
    <row r="7822" ht="15.75" customHeight="1">
      <c r="A7822" s="35"/>
      <c r="C7822" s="442"/>
      <c r="P7822" s="235"/>
      <c r="AI7822" s="38"/>
    </row>
    <row r="7823" ht="15.75" customHeight="1">
      <c r="A7823" s="35"/>
      <c r="C7823" s="442"/>
      <c r="P7823" s="235"/>
      <c r="AI7823" s="38"/>
    </row>
    <row r="7824" ht="15.75" customHeight="1">
      <c r="A7824" s="35"/>
      <c r="C7824" s="442"/>
      <c r="P7824" s="235"/>
      <c r="AI7824" s="38"/>
    </row>
    <row r="7825" ht="15.75" customHeight="1">
      <c r="A7825" s="35"/>
      <c r="C7825" s="442"/>
      <c r="P7825" s="235"/>
      <c r="AI7825" s="38"/>
    </row>
    <row r="7826" ht="15.75" customHeight="1">
      <c r="A7826" s="35"/>
      <c r="C7826" s="442"/>
      <c r="P7826" s="235"/>
      <c r="AI7826" s="38"/>
    </row>
    <row r="7827" ht="15.75" customHeight="1">
      <c r="A7827" s="35"/>
      <c r="C7827" s="442"/>
      <c r="P7827" s="235"/>
      <c r="AI7827" s="38"/>
    </row>
    <row r="7828" ht="15.75" customHeight="1">
      <c r="A7828" s="35"/>
      <c r="C7828" s="442"/>
      <c r="P7828" s="235"/>
      <c r="AI7828" s="38"/>
    </row>
    <row r="7829" ht="15.75" customHeight="1">
      <c r="A7829" s="35"/>
      <c r="C7829" s="442"/>
      <c r="P7829" s="235"/>
      <c r="AI7829" s="38"/>
    </row>
    <row r="7830" ht="15.75" customHeight="1">
      <c r="A7830" s="35"/>
      <c r="C7830" s="442"/>
      <c r="P7830" s="235"/>
      <c r="AI7830" s="38"/>
    </row>
    <row r="7831" ht="15.75" customHeight="1">
      <c r="A7831" s="35"/>
      <c r="C7831" s="442"/>
      <c r="P7831" s="235"/>
      <c r="AI7831" s="38"/>
    </row>
    <row r="7832" ht="15.75" customHeight="1">
      <c r="A7832" s="35"/>
      <c r="C7832" s="442"/>
      <c r="P7832" s="235"/>
      <c r="AI7832" s="38"/>
    </row>
    <row r="7833" ht="15.75" customHeight="1">
      <c r="A7833" s="35"/>
      <c r="C7833" s="442"/>
      <c r="P7833" s="235"/>
      <c r="AI7833" s="38"/>
    </row>
    <row r="7834" ht="15.75" customHeight="1">
      <c r="A7834" s="35"/>
      <c r="C7834" s="442"/>
      <c r="P7834" s="235"/>
      <c r="AI7834" s="38"/>
    </row>
    <row r="7835" ht="15.75" customHeight="1">
      <c r="A7835" s="35"/>
      <c r="C7835" s="442"/>
      <c r="P7835" s="235"/>
      <c r="AI7835" s="38"/>
    </row>
    <row r="7836" ht="15.75" customHeight="1">
      <c r="A7836" s="35"/>
      <c r="C7836" s="442"/>
      <c r="P7836" s="235"/>
      <c r="AI7836" s="38"/>
    </row>
    <row r="7837" ht="15.75" customHeight="1">
      <c r="A7837" s="35"/>
      <c r="C7837" s="442"/>
      <c r="P7837" s="235"/>
      <c r="AI7837" s="38"/>
    </row>
    <row r="7838" ht="15.75" customHeight="1">
      <c r="A7838" s="35"/>
      <c r="C7838" s="442"/>
      <c r="P7838" s="235"/>
      <c r="AI7838" s="38"/>
    </row>
    <row r="7839" ht="15.75" customHeight="1">
      <c r="A7839" s="35"/>
      <c r="C7839" s="442"/>
      <c r="P7839" s="235"/>
      <c r="AI7839" s="38"/>
    </row>
    <row r="7840" ht="15.75" customHeight="1">
      <c r="A7840" s="35"/>
      <c r="C7840" s="442"/>
      <c r="P7840" s="235"/>
      <c r="AI7840" s="38"/>
    </row>
    <row r="7841" ht="15.75" customHeight="1">
      <c r="A7841" s="35"/>
      <c r="C7841" s="442"/>
      <c r="P7841" s="235"/>
      <c r="AI7841" s="38"/>
    </row>
    <row r="7842" ht="15.75" customHeight="1">
      <c r="A7842" s="35"/>
      <c r="C7842" s="442"/>
      <c r="P7842" s="235"/>
      <c r="AI7842" s="38"/>
    </row>
    <row r="7843" ht="15.75" customHeight="1">
      <c r="A7843" s="35"/>
      <c r="C7843" s="442"/>
      <c r="P7843" s="235"/>
      <c r="AI7843" s="38"/>
    </row>
    <row r="7844" ht="15.75" customHeight="1">
      <c r="A7844" s="35"/>
      <c r="C7844" s="442"/>
      <c r="P7844" s="235"/>
      <c r="AI7844" s="38"/>
    </row>
    <row r="7845" ht="15.75" customHeight="1">
      <c r="A7845" s="35"/>
      <c r="C7845" s="442"/>
      <c r="P7845" s="235"/>
      <c r="AI7845" s="38"/>
    </row>
    <row r="7846" ht="15.75" customHeight="1">
      <c r="A7846" s="35"/>
      <c r="C7846" s="442"/>
      <c r="P7846" s="235"/>
      <c r="AI7846" s="38"/>
    </row>
    <row r="7847" ht="15.75" customHeight="1">
      <c r="A7847" s="35"/>
      <c r="C7847" s="442"/>
      <c r="P7847" s="235"/>
      <c r="AI7847" s="38"/>
    </row>
    <row r="7848" ht="15.75" customHeight="1">
      <c r="A7848" s="35"/>
      <c r="C7848" s="442"/>
      <c r="P7848" s="235"/>
      <c r="AI7848" s="38"/>
    </row>
    <row r="7849" ht="15.75" customHeight="1">
      <c r="A7849" s="35"/>
      <c r="C7849" s="442"/>
      <c r="P7849" s="235"/>
      <c r="AI7849" s="38"/>
    </row>
    <row r="7850" ht="15.75" customHeight="1">
      <c r="A7850" s="35"/>
      <c r="C7850" s="442"/>
      <c r="P7850" s="235"/>
      <c r="AI7850" s="38"/>
    </row>
    <row r="7851" ht="15.75" customHeight="1">
      <c r="A7851" s="35"/>
      <c r="C7851" s="442"/>
      <c r="P7851" s="235"/>
      <c r="AI7851" s="38"/>
    </row>
    <row r="7852" ht="15.75" customHeight="1">
      <c r="A7852" s="35"/>
      <c r="C7852" s="442"/>
      <c r="P7852" s="235"/>
      <c r="AI7852" s="38"/>
    </row>
    <row r="7853" ht="15.75" customHeight="1">
      <c r="A7853" s="35"/>
      <c r="C7853" s="442"/>
      <c r="P7853" s="235"/>
      <c r="AI7853" s="38"/>
    </row>
    <row r="7854" ht="15.75" customHeight="1">
      <c r="A7854" s="35"/>
      <c r="C7854" s="442"/>
      <c r="P7854" s="235"/>
      <c r="AI7854" s="38"/>
    </row>
    <row r="7855" ht="15.75" customHeight="1">
      <c r="A7855" s="35"/>
      <c r="C7855" s="442"/>
      <c r="P7855" s="235"/>
      <c r="AI7855" s="38"/>
    </row>
    <row r="7856" ht="15.75" customHeight="1">
      <c r="A7856" s="35"/>
      <c r="C7856" s="442"/>
      <c r="P7856" s="235"/>
      <c r="AI7856" s="38"/>
    </row>
    <row r="7857" ht="15.75" customHeight="1">
      <c r="A7857" s="35"/>
      <c r="C7857" s="442"/>
      <c r="P7857" s="235"/>
      <c r="AI7857" s="38"/>
    </row>
    <row r="7858" ht="15.75" customHeight="1">
      <c r="A7858" s="35"/>
      <c r="C7858" s="442"/>
      <c r="P7858" s="235"/>
      <c r="AI7858" s="38"/>
    </row>
    <row r="7859" ht="15.75" customHeight="1">
      <c r="A7859" s="35"/>
      <c r="C7859" s="442"/>
      <c r="P7859" s="235"/>
      <c r="AI7859" s="38"/>
    </row>
    <row r="7860" ht="15.75" customHeight="1">
      <c r="A7860" s="35"/>
      <c r="C7860" s="442"/>
      <c r="P7860" s="235"/>
      <c r="AI7860" s="38"/>
    </row>
    <row r="7861" ht="15.75" customHeight="1">
      <c r="A7861" s="35"/>
      <c r="C7861" s="442"/>
      <c r="P7861" s="235"/>
      <c r="AI7861" s="38"/>
    </row>
    <row r="7862" ht="15.75" customHeight="1">
      <c r="A7862" s="35"/>
      <c r="C7862" s="442"/>
      <c r="P7862" s="235"/>
      <c r="AI7862" s="38"/>
    </row>
    <row r="7863" ht="15.75" customHeight="1">
      <c r="A7863" s="35"/>
      <c r="C7863" s="442"/>
      <c r="P7863" s="235"/>
      <c r="AI7863" s="38"/>
    </row>
    <row r="7864" ht="15.75" customHeight="1">
      <c r="A7864" s="35"/>
      <c r="C7864" s="442"/>
      <c r="P7864" s="235"/>
      <c r="AI7864" s="38"/>
    </row>
    <row r="7865" ht="15.75" customHeight="1">
      <c r="A7865" s="35"/>
      <c r="C7865" s="442"/>
      <c r="P7865" s="235"/>
      <c r="AI7865" s="38"/>
    </row>
    <row r="7866" ht="15.75" customHeight="1">
      <c r="A7866" s="35"/>
      <c r="C7866" s="442"/>
      <c r="P7866" s="235"/>
      <c r="AI7866" s="38"/>
    </row>
    <row r="7867" ht="15.75" customHeight="1">
      <c r="A7867" s="35"/>
      <c r="C7867" s="442"/>
      <c r="P7867" s="235"/>
      <c r="AI7867" s="38"/>
    </row>
    <row r="7868" ht="15.75" customHeight="1">
      <c r="A7868" s="35"/>
      <c r="C7868" s="442"/>
      <c r="P7868" s="235"/>
      <c r="AI7868" s="38"/>
    </row>
    <row r="7869" ht="15.75" customHeight="1">
      <c r="A7869" s="35"/>
      <c r="C7869" s="442"/>
      <c r="P7869" s="235"/>
      <c r="AI7869" s="38"/>
    </row>
    <row r="7870" ht="15.75" customHeight="1">
      <c r="A7870" s="35"/>
      <c r="C7870" s="442"/>
      <c r="P7870" s="235"/>
      <c r="AI7870" s="38"/>
    </row>
    <row r="7871" ht="15.75" customHeight="1">
      <c r="A7871" s="35"/>
      <c r="C7871" s="442"/>
      <c r="P7871" s="235"/>
      <c r="AI7871" s="38"/>
    </row>
    <row r="7872" ht="15.75" customHeight="1">
      <c r="A7872" s="35"/>
      <c r="C7872" s="442"/>
      <c r="P7872" s="235"/>
      <c r="AI7872" s="38"/>
    </row>
    <row r="7873" ht="15.75" customHeight="1">
      <c r="A7873" s="35"/>
      <c r="C7873" s="442"/>
      <c r="P7873" s="235"/>
      <c r="AI7873" s="38"/>
    </row>
    <row r="7874" ht="15.75" customHeight="1">
      <c r="A7874" s="35"/>
      <c r="C7874" s="442"/>
      <c r="P7874" s="235"/>
      <c r="AI7874" s="38"/>
    </row>
    <row r="7875" ht="15.75" customHeight="1">
      <c r="A7875" s="35"/>
      <c r="C7875" s="442"/>
      <c r="P7875" s="235"/>
      <c r="AI7875" s="38"/>
    </row>
    <row r="7876" ht="15.75" customHeight="1">
      <c r="A7876" s="35"/>
      <c r="C7876" s="442"/>
      <c r="P7876" s="235"/>
      <c r="AI7876" s="38"/>
    </row>
    <row r="7877" ht="15.75" customHeight="1">
      <c r="A7877" s="35"/>
      <c r="C7877" s="442"/>
      <c r="P7877" s="235"/>
      <c r="AI7877" s="38"/>
    </row>
    <row r="7878" ht="15.75" customHeight="1">
      <c r="A7878" s="35"/>
      <c r="C7878" s="442"/>
      <c r="P7878" s="235"/>
      <c r="AI7878" s="38"/>
    </row>
    <row r="7879" ht="15.75" customHeight="1">
      <c r="A7879" s="35"/>
      <c r="C7879" s="442"/>
      <c r="P7879" s="235"/>
      <c r="AI7879" s="38"/>
    </row>
    <row r="7880" ht="15.75" customHeight="1">
      <c r="A7880" s="35"/>
      <c r="C7880" s="442"/>
      <c r="P7880" s="235"/>
      <c r="AI7880" s="38"/>
    </row>
    <row r="7881" ht="15.75" customHeight="1">
      <c r="A7881" s="35"/>
      <c r="C7881" s="442"/>
      <c r="P7881" s="235"/>
      <c r="AI7881" s="38"/>
    </row>
    <row r="7882" ht="15.75" customHeight="1">
      <c r="A7882" s="35"/>
      <c r="C7882" s="442"/>
      <c r="P7882" s="235"/>
      <c r="AI7882" s="38"/>
    </row>
    <row r="7883" ht="15.75" customHeight="1">
      <c r="A7883" s="35"/>
      <c r="C7883" s="442"/>
      <c r="P7883" s="235"/>
      <c r="AI7883" s="38"/>
    </row>
    <row r="7884" ht="15.75" customHeight="1">
      <c r="A7884" s="35"/>
      <c r="C7884" s="442"/>
      <c r="P7884" s="235"/>
      <c r="AI7884" s="38"/>
    </row>
    <row r="7885" ht="15.75" customHeight="1">
      <c r="A7885" s="35"/>
      <c r="C7885" s="442"/>
      <c r="P7885" s="235"/>
      <c r="AI7885" s="38"/>
    </row>
    <row r="7886" ht="15.75" customHeight="1">
      <c r="A7886" s="35"/>
      <c r="C7886" s="442"/>
      <c r="P7886" s="235"/>
      <c r="AI7886" s="38"/>
    </row>
    <row r="7887" ht="15.75" customHeight="1">
      <c r="A7887" s="35"/>
      <c r="C7887" s="442"/>
      <c r="P7887" s="235"/>
      <c r="AI7887" s="38"/>
    </row>
    <row r="7888" ht="15.75" customHeight="1">
      <c r="A7888" s="35"/>
      <c r="C7888" s="442"/>
      <c r="P7888" s="235"/>
      <c r="AI7888" s="38"/>
    </row>
    <row r="7889" ht="15.75" customHeight="1">
      <c r="A7889" s="35"/>
      <c r="C7889" s="442"/>
      <c r="P7889" s="235"/>
      <c r="AI7889" s="38"/>
    </row>
    <row r="7890" ht="15.75" customHeight="1">
      <c r="A7890" s="35"/>
      <c r="C7890" s="442"/>
      <c r="P7890" s="235"/>
      <c r="AI7890" s="38"/>
    </row>
    <row r="7891" ht="15.75" customHeight="1">
      <c r="A7891" s="35"/>
      <c r="C7891" s="442"/>
      <c r="P7891" s="235"/>
      <c r="AI7891" s="38"/>
    </row>
    <row r="7892" ht="15.75" customHeight="1">
      <c r="A7892" s="35"/>
      <c r="C7892" s="442"/>
      <c r="P7892" s="235"/>
      <c r="AI7892" s="38"/>
    </row>
    <row r="7893" ht="15.75" customHeight="1">
      <c r="A7893" s="35"/>
      <c r="C7893" s="442"/>
      <c r="P7893" s="235"/>
      <c r="AI7893" s="38"/>
    </row>
    <row r="7894" ht="15.75" customHeight="1">
      <c r="A7894" s="35"/>
      <c r="C7894" s="442"/>
      <c r="P7894" s="235"/>
      <c r="AI7894" s="38"/>
    </row>
    <row r="7895" ht="15.75" customHeight="1">
      <c r="A7895" s="35"/>
      <c r="C7895" s="442"/>
      <c r="P7895" s="235"/>
      <c r="AI7895" s="38"/>
    </row>
    <row r="7896" ht="15.75" customHeight="1">
      <c r="A7896" s="35"/>
      <c r="C7896" s="442"/>
      <c r="P7896" s="235"/>
      <c r="AI7896" s="38"/>
    </row>
    <row r="7897" ht="15.75" customHeight="1">
      <c r="A7897" s="35"/>
      <c r="C7897" s="442"/>
      <c r="P7897" s="235"/>
      <c r="AI7897" s="38"/>
    </row>
    <row r="7898" ht="15.75" customHeight="1">
      <c r="A7898" s="35"/>
      <c r="C7898" s="442"/>
      <c r="P7898" s="235"/>
      <c r="AI7898" s="38"/>
    </row>
    <row r="7899" ht="15.75" customHeight="1">
      <c r="A7899" s="35"/>
      <c r="C7899" s="442"/>
      <c r="P7899" s="235"/>
      <c r="AI7899" s="38"/>
    </row>
    <row r="7900" ht="15.75" customHeight="1">
      <c r="A7900" s="35"/>
      <c r="C7900" s="442"/>
      <c r="P7900" s="235"/>
      <c r="AI7900" s="38"/>
    </row>
    <row r="7901" ht="15.75" customHeight="1">
      <c r="A7901" s="35"/>
      <c r="C7901" s="442"/>
      <c r="P7901" s="235"/>
      <c r="AI7901" s="38"/>
    </row>
    <row r="7902" ht="15.75" customHeight="1">
      <c r="A7902" s="35"/>
      <c r="C7902" s="442"/>
      <c r="P7902" s="235"/>
      <c r="AI7902" s="38"/>
    </row>
    <row r="7903" ht="15.75" customHeight="1">
      <c r="A7903" s="35"/>
      <c r="C7903" s="442"/>
      <c r="P7903" s="235"/>
      <c r="AI7903" s="38"/>
    </row>
    <row r="7904" ht="15.75" customHeight="1">
      <c r="A7904" s="35"/>
      <c r="C7904" s="442"/>
      <c r="P7904" s="235"/>
      <c r="AI7904" s="38"/>
    </row>
    <row r="7905" ht="15.75" customHeight="1">
      <c r="A7905" s="35"/>
      <c r="C7905" s="442"/>
      <c r="P7905" s="235"/>
      <c r="AI7905" s="38"/>
    </row>
    <row r="7906" ht="15.75" customHeight="1">
      <c r="A7906" s="35"/>
      <c r="C7906" s="442"/>
      <c r="P7906" s="235"/>
      <c r="AI7906" s="38"/>
    </row>
    <row r="7907" ht="15.75" customHeight="1">
      <c r="A7907" s="35"/>
      <c r="C7907" s="442"/>
      <c r="P7907" s="235"/>
      <c r="AI7907" s="38"/>
    </row>
    <row r="7908" ht="15.75" customHeight="1">
      <c r="A7908" s="35"/>
      <c r="C7908" s="442"/>
      <c r="P7908" s="235"/>
      <c r="AI7908" s="38"/>
    </row>
    <row r="7909" ht="15.75" customHeight="1">
      <c r="A7909" s="35"/>
      <c r="C7909" s="442"/>
      <c r="P7909" s="235"/>
      <c r="AI7909" s="38"/>
    </row>
    <row r="7910" ht="15.75" customHeight="1">
      <c r="A7910" s="35"/>
      <c r="C7910" s="442"/>
      <c r="P7910" s="235"/>
      <c r="AI7910" s="38"/>
    </row>
    <row r="7911" ht="15.75" customHeight="1">
      <c r="A7911" s="35"/>
      <c r="C7911" s="442"/>
      <c r="P7911" s="235"/>
      <c r="AI7911" s="38"/>
    </row>
    <row r="7912" ht="15.75" customHeight="1">
      <c r="A7912" s="35"/>
      <c r="C7912" s="442"/>
      <c r="P7912" s="235"/>
      <c r="AI7912" s="38"/>
    </row>
    <row r="7913" ht="15.75" customHeight="1">
      <c r="A7913" s="35"/>
      <c r="C7913" s="442"/>
      <c r="P7913" s="235"/>
      <c r="AI7913" s="38"/>
    </row>
    <row r="7914" ht="15.75" customHeight="1">
      <c r="A7914" s="35"/>
      <c r="C7914" s="442"/>
      <c r="P7914" s="235"/>
      <c r="AI7914" s="38"/>
    </row>
    <row r="7915" ht="15.75" customHeight="1">
      <c r="A7915" s="35"/>
      <c r="C7915" s="442"/>
      <c r="P7915" s="235"/>
      <c r="AI7915" s="38"/>
    </row>
    <row r="7916" ht="15.75" customHeight="1">
      <c r="A7916" s="35"/>
      <c r="C7916" s="442"/>
      <c r="P7916" s="235"/>
      <c r="AI7916" s="38"/>
    </row>
    <row r="7917" ht="15.75" customHeight="1">
      <c r="A7917" s="35"/>
      <c r="C7917" s="442"/>
      <c r="P7917" s="235"/>
      <c r="AI7917" s="38"/>
    </row>
    <row r="7918" ht="15.75" customHeight="1">
      <c r="A7918" s="35"/>
      <c r="C7918" s="442"/>
      <c r="P7918" s="235"/>
      <c r="AI7918" s="38"/>
    </row>
    <row r="7919" ht="15.75" customHeight="1">
      <c r="A7919" s="35"/>
      <c r="C7919" s="442"/>
      <c r="P7919" s="235"/>
      <c r="AI7919" s="38"/>
    </row>
    <row r="7920" ht="15.75" customHeight="1">
      <c r="A7920" s="35"/>
      <c r="C7920" s="442"/>
      <c r="P7920" s="235"/>
      <c r="AI7920" s="38"/>
    </row>
    <row r="7921" ht="15.75" customHeight="1">
      <c r="A7921" s="35"/>
      <c r="C7921" s="442"/>
      <c r="P7921" s="235"/>
      <c r="AI7921" s="38"/>
    </row>
    <row r="7922" ht="15.75" customHeight="1">
      <c r="A7922" s="35"/>
      <c r="C7922" s="442"/>
      <c r="P7922" s="235"/>
      <c r="AI7922" s="38"/>
    </row>
    <row r="7923" ht="15.75" customHeight="1">
      <c r="A7923" s="35"/>
      <c r="C7923" s="442"/>
      <c r="P7923" s="235"/>
      <c r="AI7923" s="38"/>
    </row>
    <row r="7924" ht="15.75" customHeight="1">
      <c r="A7924" s="35"/>
      <c r="C7924" s="442"/>
      <c r="P7924" s="235"/>
      <c r="AI7924" s="38"/>
    </row>
    <row r="7925" ht="15.75" customHeight="1">
      <c r="A7925" s="35"/>
      <c r="C7925" s="442"/>
      <c r="P7925" s="235"/>
      <c r="AI7925" s="38"/>
    </row>
    <row r="7926" ht="15.75" customHeight="1">
      <c r="A7926" s="35"/>
      <c r="C7926" s="442"/>
      <c r="P7926" s="235"/>
      <c r="AI7926" s="38"/>
    </row>
    <row r="7927" ht="15.75" customHeight="1">
      <c r="A7927" s="35"/>
      <c r="C7927" s="442"/>
      <c r="P7927" s="235"/>
      <c r="AI7927" s="38"/>
    </row>
    <row r="7928" ht="15.75" customHeight="1">
      <c r="A7928" s="35"/>
      <c r="C7928" s="442"/>
      <c r="P7928" s="235"/>
      <c r="AI7928" s="38"/>
    </row>
    <row r="7929" ht="15.75" customHeight="1">
      <c r="A7929" s="35"/>
      <c r="C7929" s="442"/>
      <c r="P7929" s="235"/>
      <c r="AI7929" s="38"/>
    </row>
    <row r="7930" ht="15.75" customHeight="1">
      <c r="A7930" s="35"/>
      <c r="C7930" s="442"/>
      <c r="P7930" s="235"/>
      <c r="AI7930" s="38"/>
    </row>
    <row r="7931" ht="15.75" customHeight="1">
      <c r="A7931" s="35"/>
      <c r="C7931" s="442"/>
      <c r="P7931" s="235"/>
      <c r="AI7931" s="38"/>
    </row>
    <row r="7932" ht="15.75" customHeight="1">
      <c r="A7932" s="35"/>
      <c r="C7932" s="442"/>
      <c r="P7932" s="235"/>
      <c r="AI7932" s="38"/>
    </row>
    <row r="7933" ht="15.75" customHeight="1">
      <c r="A7933" s="35"/>
      <c r="C7933" s="442"/>
      <c r="P7933" s="235"/>
      <c r="AI7933" s="38"/>
    </row>
    <row r="7934" ht="15.75" customHeight="1">
      <c r="A7934" s="35"/>
      <c r="C7934" s="442"/>
      <c r="P7934" s="235"/>
      <c r="AI7934" s="38"/>
    </row>
    <row r="7935" ht="15.75" customHeight="1">
      <c r="A7935" s="35"/>
      <c r="C7935" s="442"/>
      <c r="P7935" s="235"/>
      <c r="AI7935" s="38"/>
    </row>
    <row r="7936" ht="15.75" customHeight="1">
      <c r="A7936" s="35"/>
      <c r="C7936" s="442"/>
      <c r="P7936" s="235"/>
      <c r="AI7936" s="38"/>
    </row>
    <row r="7937" ht="15.75" customHeight="1">
      <c r="A7937" s="35"/>
      <c r="C7937" s="442"/>
      <c r="P7937" s="235"/>
      <c r="AI7937" s="38"/>
    </row>
    <row r="7938" ht="15.75" customHeight="1">
      <c r="A7938" s="35"/>
      <c r="C7938" s="442"/>
      <c r="P7938" s="235"/>
      <c r="AI7938" s="38"/>
    </row>
    <row r="7939" ht="15.75" customHeight="1">
      <c r="A7939" s="35"/>
      <c r="C7939" s="442"/>
      <c r="P7939" s="235"/>
      <c r="AI7939" s="38"/>
    </row>
    <row r="7940" ht="15.75" customHeight="1">
      <c r="A7940" s="35"/>
      <c r="C7940" s="442"/>
      <c r="P7940" s="235"/>
      <c r="AI7940" s="38"/>
    </row>
    <row r="7941" ht="15.75" customHeight="1">
      <c r="A7941" s="35"/>
      <c r="C7941" s="442"/>
      <c r="P7941" s="235"/>
      <c r="AI7941" s="38"/>
    </row>
    <row r="7942" ht="15.75" customHeight="1">
      <c r="A7942" s="35"/>
      <c r="C7942" s="442"/>
      <c r="P7942" s="235"/>
      <c r="AI7942" s="38"/>
    </row>
    <row r="7943" ht="15.75" customHeight="1">
      <c r="A7943" s="35"/>
      <c r="C7943" s="442"/>
      <c r="P7943" s="235"/>
      <c r="AI7943" s="38"/>
    </row>
    <row r="7944" ht="15.75" customHeight="1">
      <c r="A7944" s="35"/>
      <c r="C7944" s="442"/>
      <c r="P7944" s="235"/>
      <c r="AI7944" s="38"/>
    </row>
    <row r="7945" ht="15.75" customHeight="1">
      <c r="A7945" s="35"/>
      <c r="C7945" s="442"/>
      <c r="P7945" s="235"/>
      <c r="AI7945" s="38"/>
    </row>
    <row r="7946" ht="15.75" customHeight="1">
      <c r="A7946" s="35"/>
      <c r="C7946" s="442"/>
      <c r="P7946" s="235"/>
      <c r="AI7946" s="38"/>
    </row>
    <row r="7947" ht="15.75" customHeight="1">
      <c r="A7947" s="35"/>
      <c r="C7947" s="442"/>
      <c r="P7947" s="235"/>
      <c r="AI7947" s="38"/>
    </row>
    <row r="7948" ht="15.75" customHeight="1">
      <c r="A7948" s="35"/>
      <c r="C7948" s="442"/>
      <c r="P7948" s="235"/>
      <c r="AI7948" s="38"/>
    </row>
    <row r="7949" ht="15.75" customHeight="1">
      <c r="A7949" s="35"/>
      <c r="C7949" s="442"/>
      <c r="P7949" s="235"/>
      <c r="AI7949" s="38"/>
    </row>
    <row r="7950" ht="15.75" customHeight="1">
      <c r="A7950" s="35"/>
      <c r="C7950" s="442"/>
      <c r="P7950" s="235"/>
      <c r="AI7950" s="38"/>
    </row>
    <row r="7951" ht="15.75" customHeight="1">
      <c r="A7951" s="35"/>
      <c r="C7951" s="442"/>
      <c r="P7951" s="235"/>
      <c r="AI7951" s="38"/>
    </row>
    <row r="7952" ht="15.75" customHeight="1">
      <c r="A7952" s="35"/>
      <c r="C7952" s="442"/>
      <c r="P7952" s="235"/>
      <c r="AI7952" s="38"/>
    </row>
    <row r="7953" ht="15.75" customHeight="1">
      <c r="A7953" s="35"/>
      <c r="C7953" s="442"/>
      <c r="P7953" s="235"/>
      <c r="AI7953" s="38"/>
    </row>
    <row r="7954" ht="15.75" customHeight="1">
      <c r="A7954" s="35"/>
      <c r="C7954" s="442"/>
      <c r="P7954" s="235"/>
      <c r="AI7954" s="38"/>
    </row>
    <row r="7955" ht="15.75" customHeight="1">
      <c r="A7955" s="35"/>
      <c r="C7955" s="442"/>
      <c r="P7955" s="235"/>
      <c r="AI7955" s="38"/>
    </row>
    <row r="7956" ht="15.75" customHeight="1">
      <c r="A7956" s="35"/>
      <c r="C7956" s="442"/>
      <c r="P7956" s="235"/>
      <c r="AI7956" s="38"/>
    </row>
    <row r="7957" ht="15.75" customHeight="1">
      <c r="A7957" s="35"/>
      <c r="C7957" s="442"/>
      <c r="P7957" s="235"/>
      <c r="AI7957" s="38"/>
    </row>
    <row r="7958" ht="15.75" customHeight="1">
      <c r="A7958" s="35"/>
      <c r="C7958" s="442"/>
      <c r="P7958" s="235"/>
      <c r="AI7958" s="38"/>
    </row>
    <row r="7959" ht="15.75" customHeight="1">
      <c r="A7959" s="35"/>
      <c r="C7959" s="442"/>
      <c r="P7959" s="235"/>
      <c r="AI7959" s="38"/>
    </row>
    <row r="7960" ht="15.75" customHeight="1">
      <c r="A7960" s="35"/>
      <c r="C7960" s="442"/>
      <c r="P7960" s="235"/>
      <c r="AI7960" s="38"/>
    </row>
    <row r="7961" ht="15.75" customHeight="1">
      <c r="A7961" s="35"/>
      <c r="C7961" s="442"/>
      <c r="P7961" s="235"/>
      <c r="AI7961" s="38"/>
    </row>
    <row r="7962" ht="15.75" customHeight="1">
      <c r="A7962" s="35"/>
      <c r="C7962" s="442"/>
      <c r="P7962" s="235"/>
      <c r="AI7962" s="38"/>
    </row>
    <row r="7963" ht="15.75" customHeight="1">
      <c r="A7963" s="35"/>
      <c r="C7963" s="442"/>
      <c r="P7963" s="235"/>
      <c r="AI7963" s="38"/>
    </row>
    <row r="7964" ht="15.75" customHeight="1">
      <c r="A7964" s="35"/>
      <c r="C7964" s="442"/>
      <c r="P7964" s="235"/>
      <c r="AI7964" s="38"/>
    </row>
    <row r="7965" ht="15.75" customHeight="1">
      <c r="A7965" s="35"/>
      <c r="C7965" s="442"/>
      <c r="P7965" s="235"/>
      <c r="AI7965" s="38"/>
    </row>
    <row r="7966" ht="15.75" customHeight="1">
      <c r="A7966" s="35"/>
      <c r="C7966" s="442"/>
      <c r="P7966" s="235"/>
      <c r="AI7966" s="38"/>
    </row>
    <row r="7967" ht="15.75" customHeight="1">
      <c r="A7967" s="35"/>
      <c r="C7967" s="442"/>
      <c r="P7967" s="235"/>
      <c r="AI7967" s="38"/>
    </row>
    <row r="7968" ht="15.75" customHeight="1">
      <c r="A7968" s="35"/>
      <c r="C7968" s="442"/>
      <c r="P7968" s="235"/>
      <c r="AI7968" s="38"/>
    </row>
    <row r="7969" ht="15.75" customHeight="1">
      <c r="A7969" s="35"/>
      <c r="C7969" s="442"/>
      <c r="P7969" s="235"/>
      <c r="AI7969" s="38"/>
    </row>
    <row r="7970" ht="15.75" customHeight="1">
      <c r="A7970" s="35"/>
      <c r="C7970" s="442"/>
      <c r="P7970" s="235"/>
      <c r="AI7970" s="38"/>
    </row>
    <row r="7971" ht="15.75" customHeight="1">
      <c r="A7971" s="35"/>
      <c r="C7971" s="442"/>
      <c r="P7971" s="235"/>
      <c r="AI7971" s="38"/>
    </row>
    <row r="7972" ht="15.75" customHeight="1">
      <c r="A7972" s="35"/>
      <c r="C7972" s="442"/>
      <c r="P7972" s="235"/>
      <c r="AI7972" s="38"/>
    </row>
    <row r="7973" ht="15.75" customHeight="1">
      <c r="A7973" s="35"/>
      <c r="C7973" s="442"/>
      <c r="P7973" s="235"/>
      <c r="AI7973" s="38"/>
    </row>
    <row r="7974" ht="15.75" customHeight="1">
      <c r="A7974" s="35"/>
      <c r="C7974" s="442"/>
      <c r="P7974" s="235"/>
      <c r="AI7974" s="38"/>
    </row>
    <row r="7975" ht="15.75" customHeight="1">
      <c r="A7975" s="35"/>
      <c r="C7975" s="442"/>
      <c r="P7975" s="235"/>
      <c r="AI7975" s="38"/>
    </row>
    <row r="7976" ht="15.75" customHeight="1">
      <c r="A7976" s="35"/>
      <c r="C7976" s="442"/>
      <c r="P7976" s="235"/>
      <c r="AI7976" s="38"/>
    </row>
    <row r="7977" ht="15.75" customHeight="1">
      <c r="A7977" s="35"/>
      <c r="C7977" s="442"/>
      <c r="P7977" s="235"/>
      <c r="AI7977" s="38"/>
    </row>
    <row r="7978" ht="15.75" customHeight="1">
      <c r="A7978" s="35"/>
      <c r="C7978" s="442"/>
      <c r="P7978" s="235"/>
      <c r="AI7978" s="38"/>
    </row>
    <row r="7979" ht="15.75" customHeight="1">
      <c r="A7979" s="35"/>
      <c r="C7979" s="442"/>
      <c r="P7979" s="235"/>
      <c r="AI7979" s="38"/>
    </row>
    <row r="7980" ht="15.75" customHeight="1">
      <c r="A7980" s="35"/>
      <c r="C7980" s="442"/>
      <c r="P7980" s="235"/>
      <c r="AI7980" s="38"/>
    </row>
    <row r="7981" ht="15.75" customHeight="1">
      <c r="A7981" s="35"/>
      <c r="C7981" s="442"/>
      <c r="P7981" s="235"/>
      <c r="AI7981" s="38"/>
    </row>
    <row r="7982" ht="15.75" customHeight="1">
      <c r="A7982" s="35"/>
      <c r="C7982" s="442"/>
      <c r="P7982" s="235"/>
      <c r="AI7982" s="38"/>
    </row>
    <row r="7983" ht="15.75" customHeight="1">
      <c r="A7983" s="35"/>
      <c r="C7983" s="442"/>
      <c r="P7983" s="235"/>
      <c r="AI7983" s="38"/>
    </row>
    <row r="7984" ht="15.75" customHeight="1">
      <c r="A7984" s="35"/>
      <c r="C7984" s="442"/>
      <c r="P7984" s="235"/>
      <c r="AI7984" s="38"/>
    </row>
    <row r="7985" ht="15.75" customHeight="1">
      <c r="A7985" s="35"/>
      <c r="C7985" s="442"/>
      <c r="P7985" s="235"/>
      <c r="AI7985" s="38"/>
    </row>
    <row r="7986" ht="15.75" customHeight="1">
      <c r="A7986" s="35"/>
      <c r="C7986" s="442"/>
      <c r="P7986" s="235"/>
      <c r="AI7986" s="38"/>
    </row>
    <row r="7987" ht="15.75" customHeight="1">
      <c r="A7987" s="35"/>
      <c r="C7987" s="442"/>
      <c r="P7987" s="235"/>
      <c r="AI7987" s="38"/>
    </row>
    <row r="7988" ht="15.75" customHeight="1">
      <c r="A7988" s="35"/>
      <c r="C7988" s="442"/>
      <c r="P7988" s="235"/>
      <c r="AI7988" s="38"/>
    </row>
    <row r="7989" ht="15.75" customHeight="1">
      <c r="A7989" s="35"/>
      <c r="C7989" s="442"/>
      <c r="P7989" s="235"/>
      <c r="AI7989" s="38"/>
    </row>
    <row r="7990" ht="15.75" customHeight="1">
      <c r="A7990" s="35"/>
      <c r="C7990" s="442"/>
      <c r="P7990" s="235"/>
      <c r="AI7990" s="38"/>
    </row>
    <row r="7991" ht="15.75" customHeight="1">
      <c r="A7991" s="35"/>
      <c r="C7991" s="442"/>
      <c r="P7991" s="235"/>
      <c r="AI7991" s="38"/>
    </row>
    <row r="7992" ht="15.75" customHeight="1">
      <c r="A7992" s="35"/>
      <c r="C7992" s="442"/>
      <c r="P7992" s="235"/>
      <c r="AI7992" s="38"/>
    </row>
    <row r="7993" ht="15.75" customHeight="1">
      <c r="A7993" s="35"/>
      <c r="C7993" s="442"/>
      <c r="P7993" s="235"/>
      <c r="AI7993" s="38"/>
    </row>
    <row r="7994" ht="15.75" customHeight="1">
      <c r="A7994" s="35"/>
      <c r="C7994" s="442"/>
      <c r="P7994" s="235"/>
      <c r="AI7994" s="38"/>
    </row>
    <row r="7995" ht="15.75" customHeight="1">
      <c r="A7995" s="35"/>
      <c r="C7995" s="442"/>
      <c r="P7995" s="235"/>
      <c r="AI7995" s="38"/>
    </row>
    <row r="7996" ht="15.75" customHeight="1">
      <c r="A7996" s="35"/>
      <c r="C7996" s="442"/>
      <c r="P7996" s="235"/>
      <c r="AI7996" s="38"/>
    </row>
    <row r="7997" ht="15.75" customHeight="1">
      <c r="A7997" s="35"/>
      <c r="C7997" s="442"/>
      <c r="P7997" s="235"/>
      <c r="AI7997" s="38"/>
    </row>
    <row r="7998" ht="15.75" customHeight="1">
      <c r="A7998" s="35"/>
      <c r="C7998" s="442"/>
      <c r="P7998" s="235"/>
      <c r="AI7998" s="38"/>
    </row>
    <row r="7999" ht="15.75" customHeight="1">
      <c r="A7999" s="35"/>
      <c r="C7999" s="442"/>
      <c r="P7999" s="235"/>
      <c r="AI7999" s="38"/>
    </row>
    <row r="8000" ht="15.75" customHeight="1">
      <c r="A8000" s="35"/>
      <c r="C8000" s="442"/>
      <c r="P8000" s="235"/>
      <c r="AI8000" s="38"/>
    </row>
    <row r="8001" ht="15.75" customHeight="1">
      <c r="A8001" s="35"/>
      <c r="C8001" s="442"/>
      <c r="P8001" s="235"/>
      <c r="AI8001" s="38"/>
    </row>
    <row r="8002" ht="15.75" customHeight="1">
      <c r="A8002" s="35"/>
      <c r="C8002" s="442"/>
      <c r="P8002" s="235"/>
      <c r="AI8002" s="38"/>
    </row>
    <row r="8003" ht="15.75" customHeight="1">
      <c r="A8003" s="35"/>
      <c r="C8003" s="442"/>
      <c r="P8003" s="235"/>
      <c r="AI8003" s="38"/>
    </row>
    <row r="8004" ht="15.75" customHeight="1">
      <c r="A8004" s="35"/>
      <c r="C8004" s="442"/>
      <c r="P8004" s="235"/>
      <c r="AI8004" s="38"/>
    </row>
    <row r="8005" ht="15.75" customHeight="1">
      <c r="A8005" s="35"/>
      <c r="C8005" s="442"/>
      <c r="P8005" s="235"/>
      <c r="AI8005" s="38"/>
    </row>
    <row r="8006" ht="15.75" customHeight="1">
      <c r="A8006" s="35"/>
      <c r="C8006" s="442"/>
      <c r="P8006" s="235"/>
      <c r="AI8006" s="38"/>
    </row>
    <row r="8007" ht="15.75" customHeight="1">
      <c r="A8007" s="35"/>
      <c r="C8007" s="442"/>
      <c r="P8007" s="235"/>
      <c r="AI8007" s="38"/>
    </row>
    <row r="8008" ht="15.75" customHeight="1">
      <c r="A8008" s="35"/>
      <c r="C8008" s="442"/>
      <c r="P8008" s="235"/>
      <c r="AI8008" s="38"/>
    </row>
    <row r="8009" ht="15.75" customHeight="1">
      <c r="A8009" s="35"/>
      <c r="C8009" s="442"/>
      <c r="P8009" s="235"/>
      <c r="AI8009" s="38"/>
    </row>
    <row r="8010" ht="15.75" customHeight="1">
      <c r="A8010" s="35"/>
      <c r="C8010" s="442"/>
      <c r="P8010" s="235"/>
      <c r="AI8010" s="38"/>
    </row>
    <row r="8011" ht="15.75" customHeight="1">
      <c r="A8011" s="35"/>
      <c r="C8011" s="442"/>
      <c r="P8011" s="235"/>
      <c r="AI8011" s="38"/>
    </row>
    <row r="8012" ht="15.75" customHeight="1">
      <c r="A8012" s="35"/>
      <c r="C8012" s="442"/>
      <c r="P8012" s="235"/>
      <c r="AI8012" s="38"/>
    </row>
    <row r="8013" ht="15.75" customHeight="1">
      <c r="A8013" s="35"/>
      <c r="C8013" s="442"/>
      <c r="P8013" s="235"/>
      <c r="AI8013" s="38"/>
    </row>
    <row r="8014" ht="15.75" customHeight="1">
      <c r="A8014" s="35"/>
      <c r="C8014" s="442"/>
      <c r="P8014" s="235"/>
      <c r="AI8014" s="38"/>
    </row>
    <row r="8015" ht="15.75" customHeight="1">
      <c r="A8015" s="35"/>
      <c r="C8015" s="442"/>
      <c r="P8015" s="235"/>
      <c r="AI8015" s="38"/>
    </row>
    <row r="8016" ht="15.75" customHeight="1">
      <c r="A8016" s="35"/>
      <c r="C8016" s="442"/>
      <c r="P8016" s="235"/>
      <c r="AI8016" s="38"/>
    </row>
    <row r="8017" ht="15.75" customHeight="1">
      <c r="A8017" s="35"/>
      <c r="C8017" s="442"/>
      <c r="P8017" s="235"/>
      <c r="AI8017" s="38"/>
    </row>
    <row r="8018" ht="15.75" customHeight="1">
      <c r="A8018" s="35"/>
      <c r="C8018" s="442"/>
      <c r="P8018" s="235"/>
      <c r="AI8018" s="38"/>
    </row>
    <row r="8019" ht="15.75" customHeight="1">
      <c r="A8019" s="35"/>
      <c r="C8019" s="442"/>
      <c r="P8019" s="235"/>
      <c r="AI8019" s="38"/>
    </row>
    <row r="8020" ht="15.75" customHeight="1">
      <c r="A8020" s="35"/>
      <c r="C8020" s="442"/>
      <c r="P8020" s="235"/>
      <c r="AI8020" s="38"/>
    </row>
    <row r="8021" ht="15.75" customHeight="1">
      <c r="A8021" s="35"/>
      <c r="C8021" s="442"/>
      <c r="P8021" s="235"/>
      <c r="AI8021" s="38"/>
    </row>
    <row r="8022" ht="15.75" customHeight="1">
      <c r="A8022" s="35"/>
      <c r="C8022" s="442"/>
      <c r="P8022" s="235"/>
      <c r="AI8022" s="38"/>
    </row>
    <row r="8023" ht="15.75" customHeight="1">
      <c r="A8023" s="35"/>
      <c r="C8023" s="442"/>
      <c r="P8023" s="235"/>
      <c r="AI8023" s="38"/>
    </row>
    <row r="8024" ht="15.75" customHeight="1">
      <c r="A8024" s="35"/>
      <c r="C8024" s="442"/>
      <c r="P8024" s="235"/>
      <c r="AI8024" s="38"/>
    </row>
    <row r="8025" ht="15.75" customHeight="1">
      <c r="A8025" s="35"/>
      <c r="C8025" s="442"/>
      <c r="P8025" s="235"/>
      <c r="AI8025" s="38"/>
    </row>
    <row r="8026" ht="15.75" customHeight="1">
      <c r="A8026" s="35"/>
      <c r="C8026" s="442"/>
      <c r="P8026" s="235"/>
      <c r="AI8026" s="38"/>
    </row>
    <row r="8027" ht="15.75" customHeight="1">
      <c r="A8027" s="35"/>
      <c r="C8027" s="442"/>
      <c r="P8027" s="235"/>
      <c r="AI8027" s="38"/>
    </row>
    <row r="8028" ht="15.75" customHeight="1">
      <c r="A8028" s="35"/>
      <c r="C8028" s="442"/>
      <c r="P8028" s="235"/>
      <c r="AI8028" s="38"/>
    </row>
    <row r="8029" ht="15.75" customHeight="1">
      <c r="A8029" s="35"/>
      <c r="C8029" s="442"/>
      <c r="P8029" s="235"/>
      <c r="AI8029" s="38"/>
    </row>
    <row r="8030" ht="15.75" customHeight="1">
      <c r="A8030" s="35"/>
      <c r="C8030" s="442"/>
      <c r="P8030" s="235"/>
      <c r="AI8030" s="38"/>
    </row>
    <row r="8031" ht="15.75" customHeight="1">
      <c r="A8031" s="35"/>
      <c r="C8031" s="442"/>
      <c r="P8031" s="235"/>
      <c r="AI8031" s="38"/>
    </row>
    <row r="8032" ht="15.75" customHeight="1">
      <c r="A8032" s="35"/>
      <c r="C8032" s="442"/>
      <c r="P8032" s="235"/>
      <c r="AI8032" s="38"/>
    </row>
    <row r="8033" ht="15.75" customHeight="1">
      <c r="A8033" s="35"/>
      <c r="C8033" s="442"/>
      <c r="P8033" s="235"/>
      <c r="AI8033" s="38"/>
    </row>
    <row r="8034" ht="15.75" customHeight="1">
      <c r="A8034" s="35"/>
      <c r="C8034" s="442"/>
      <c r="P8034" s="235"/>
      <c r="AI8034" s="38"/>
    </row>
    <row r="8035" ht="15.75" customHeight="1">
      <c r="A8035" s="35"/>
      <c r="C8035" s="442"/>
      <c r="P8035" s="235"/>
      <c r="AI8035" s="38"/>
    </row>
    <row r="8036" ht="15.75" customHeight="1">
      <c r="A8036" s="35"/>
      <c r="C8036" s="442"/>
      <c r="P8036" s="235"/>
      <c r="AI8036" s="38"/>
    </row>
    <row r="8037" ht="15.75" customHeight="1">
      <c r="A8037" s="35"/>
      <c r="C8037" s="442"/>
      <c r="P8037" s="235"/>
      <c r="AI8037" s="38"/>
    </row>
    <row r="8038" ht="15.75" customHeight="1">
      <c r="A8038" s="35"/>
      <c r="C8038" s="442"/>
      <c r="P8038" s="235"/>
      <c r="AI8038" s="38"/>
    </row>
    <row r="8039" ht="15.75" customHeight="1">
      <c r="A8039" s="35"/>
      <c r="C8039" s="442"/>
      <c r="P8039" s="235"/>
      <c r="AI8039" s="38"/>
    </row>
    <row r="8040" ht="15.75" customHeight="1">
      <c r="A8040" s="35"/>
      <c r="C8040" s="442"/>
      <c r="P8040" s="235"/>
      <c r="AI8040" s="38"/>
    </row>
    <row r="8041" ht="15.75" customHeight="1">
      <c r="A8041" s="35"/>
      <c r="C8041" s="442"/>
      <c r="P8041" s="235"/>
      <c r="AI8041" s="38"/>
    </row>
    <row r="8042" ht="15.75" customHeight="1">
      <c r="A8042" s="35"/>
      <c r="C8042" s="442"/>
      <c r="P8042" s="235"/>
      <c r="AI8042" s="38"/>
    </row>
    <row r="8043" ht="15.75" customHeight="1">
      <c r="A8043" s="35"/>
      <c r="C8043" s="442"/>
      <c r="P8043" s="235"/>
      <c r="AI8043" s="38"/>
    </row>
    <row r="8044" ht="15.75" customHeight="1">
      <c r="A8044" s="35"/>
      <c r="C8044" s="442"/>
      <c r="P8044" s="235"/>
      <c r="AI8044" s="38"/>
    </row>
    <row r="8045" ht="15.75" customHeight="1">
      <c r="A8045" s="35"/>
      <c r="C8045" s="442"/>
      <c r="P8045" s="235"/>
      <c r="AI8045" s="38"/>
    </row>
    <row r="8046" ht="15.75" customHeight="1">
      <c r="A8046" s="35"/>
      <c r="C8046" s="442"/>
      <c r="P8046" s="235"/>
      <c r="AI8046" s="38"/>
    </row>
    <row r="8047" ht="15.75" customHeight="1">
      <c r="A8047" s="35"/>
      <c r="C8047" s="442"/>
      <c r="P8047" s="235"/>
      <c r="AI8047" s="38"/>
    </row>
    <row r="8048" ht="15.75" customHeight="1">
      <c r="A8048" s="35"/>
      <c r="C8048" s="442"/>
      <c r="P8048" s="235"/>
      <c r="AI8048" s="38"/>
    </row>
    <row r="8049" ht="15.75" customHeight="1">
      <c r="A8049" s="35"/>
      <c r="C8049" s="442"/>
      <c r="P8049" s="235"/>
      <c r="AI8049" s="38"/>
    </row>
    <row r="8050" ht="15.75" customHeight="1">
      <c r="A8050" s="35"/>
      <c r="C8050" s="442"/>
      <c r="P8050" s="235"/>
      <c r="AI8050" s="38"/>
    </row>
    <row r="8051" ht="15.75" customHeight="1">
      <c r="A8051" s="35"/>
      <c r="C8051" s="442"/>
      <c r="P8051" s="235"/>
      <c r="AI8051" s="38"/>
    </row>
    <row r="8052" ht="15.75" customHeight="1">
      <c r="A8052" s="35"/>
      <c r="C8052" s="442"/>
      <c r="P8052" s="235"/>
      <c r="AI8052" s="38"/>
    </row>
    <row r="8053" ht="15.75" customHeight="1">
      <c r="A8053" s="35"/>
      <c r="C8053" s="442"/>
      <c r="P8053" s="235"/>
      <c r="AI8053" s="38"/>
    </row>
    <row r="8054" ht="15.75" customHeight="1">
      <c r="A8054" s="35"/>
      <c r="C8054" s="442"/>
      <c r="P8054" s="235"/>
      <c r="AI8054" s="38"/>
    </row>
    <row r="8055" ht="15.75" customHeight="1">
      <c r="A8055" s="35"/>
      <c r="C8055" s="442"/>
      <c r="P8055" s="235"/>
      <c r="AI8055" s="38"/>
    </row>
    <row r="8056" ht="15.75" customHeight="1">
      <c r="A8056" s="35"/>
      <c r="C8056" s="442"/>
      <c r="P8056" s="235"/>
      <c r="AI8056" s="38"/>
    </row>
    <row r="8057" ht="15.75" customHeight="1">
      <c r="A8057" s="35"/>
      <c r="C8057" s="442"/>
      <c r="P8057" s="235"/>
      <c r="AI8057" s="38"/>
    </row>
    <row r="8058" ht="15.75" customHeight="1">
      <c r="A8058" s="35"/>
      <c r="C8058" s="442"/>
      <c r="P8058" s="235"/>
      <c r="AI8058" s="38"/>
    </row>
    <row r="8059" ht="15.75" customHeight="1">
      <c r="A8059" s="35"/>
      <c r="C8059" s="442"/>
      <c r="P8059" s="235"/>
      <c r="AI8059" s="38"/>
    </row>
    <row r="8060" ht="15.75" customHeight="1">
      <c r="A8060" s="35"/>
      <c r="C8060" s="442"/>
      <c r="P8060" s="235"/>
      <c r="AI8060" s="38"/>
    </row>
    <row r="8061" ht="15.75" customHeight="1">
      <c r="A8061" s="35"/>
      <c r="C8061" s="442"/>
      <c r="P8061" s="235"/>
      <c r="AI8061" s="38"/>
    </row>
    <row r="8062" ht="15.75" customHeight="1">
      <c r="A8062" s="35"/>
      <c r="C8062" s="442"/>
      <c r="P8062" s="235"/>
      <c r="AI8062" s="38"/>
    </row>
    <row r="8063" ht="15.75" customHeight="1">
      <c r="A8063" s="35"/>
      <c r="C8063" s="442"/>
      <c r="P8063" s="235"/>
      <c r="AI8063" s="38"/>
    </row>
    <row r="8064" ht="15.75" customHeight="1">
      <c r="A8064" s="35"/>
      <c r="C8064" s="442"/>
      <c r="P8064" s="235"/>
      <c r="AI8064" s="38"/>
    </row>
    <row r="8065" ht="15.75" customHeight="1">
      <c r="A8065" s="35"/>
      <c r="C8065" s="442"/>
      <c r="P8065" s="235"/>
      <c r="AI8065" s="38"/>
    </row>
    <row r="8066" ht="15.75" customHeight="1">
      <c r="A8066" s="35"/>
      <c r="C8066" s="442"/>
      <c r="P8066" s="235"/>
      <c r="AI8066" s="38"/>
    </row>
    <row r="8067" ht="15.75" customHeight="1">
      <c r="A8067" s="35"/>
      <c r="C8067" s="442"/>
      <c r="P8067" s="235"/>
      <c r="AI8067" s="38"/>
    </row>
    <row r="8068" ht="15.75" customHeight="1">
      <c r="A8068" s="35"/>
      <c r="C8068" s="442"/>
      <c r="P8068" s="235"/>
      <c r="AI8068" s="38"/>
    </row>
    <row r="8069" ht="15.75" customHeight="1">
      <c r="A8069" s="35"/>
      <c r="C8069" s="442"/>
      <c r="P8069" s="235"/>
      <c r="AI8069" s="38"/>
    </row>
    <row r="8070" ht="15.75" customHeight="1">
      <c r="A8070" s="35"/>
      <c r="C8070" s="442"/>
      <c r="P8070" s="235"/>
      <c r="AI8070" s="38"/>
    </row>
    <row r="8071" ht="15.75" customHeight="1">
      <c r="A8071" s="35"/>
      <c r="C8071" s="442"/>
      <c r="P8071" s="235"/>
      <c r="AI8071" s="38"/>
    </row>
    <row r="8072" ht="15.75" customHeight="1">
      <c r="A8072" s="35"/>
      <c r="C8072" s="442"/>
      <c r="P8072" s="235"/>
      <c r="AI8072" s="38"/>
    </row>
    <row r="8073" ht="15.75" customHeight="1">
      <c r="A8073" s="35"/>
      <c r="C8073" s="442"/>
      <c r="P8073" s="235"/>
      <c r="AI8073" s="38"/>
    </row>
    <row r="8074" ht="15.75" customHeight="1">
      <c r="A8074" s="35"/>
      <c r="C8074" s="442"/>
      <c r="P8074" s="235"/>
      <c r="AI8074" s="38"/>
    </row>
    <row r="8075" ht="15.75" customHeight="1">
      <c r="A8075" s="35"/>
      <c r="C8075" s="442"/>
      <c r="P8075" s="235"/>
      <c r="AI8075" s="38"/>
    </row>
    <row r="8076" ht="15.75" customHeight="1">
      <c r="A8076" s="35"/>
      <c r="C8076" s="442"/>
      <c r="P8076" s="235"/>
      <c r="AI8076" s="38"/>
    </row>
    <row r="8077" ht="15.75" customHeight="1">
      <c r="A8077" s="35"/>
      <c r="C8077" s="442"/>
      <c r="P8077" s="235"/>
      <c r="AI8077" s="38"/>
    </row>
    <row r="8078" ht="15.75" customHeight="1">
      <c r="A8078" s="35"/>
      <c r="C8078" s="442"/>
      <c r="P8078" s="235"/>
      <c r="AI8078" s="38"/>
    </row>
    <row r="8079" ht="15.75" customHeight="1">
      <c r="A8079" s="35"/>
      <c r="C8079" s="442"/>
      <c r="P8079" s="235"/>
      <c r="AI8079" s="38"/>
    </row>
    <row r="8080" ht="15.75" customHeight="1">
      <c r="A8080" s="35"/>
      <c r="C8080" s="442"/>
      <c r="P8080" s="235"/>
      <c r="AI8080" s="38"/>
    </row>
    <row r="8081" ht="15.75" customHeight="1">
      <c r="A8081" s="35"/>
      <c r="C8081" s="442"/>
      <c r="P8081" s="235"/>
      <c r="AI8081" s="38"/>
    </row>
    <row r="8082" ht="15.75" customHeight="1">
      <c r="A8082" s="35"/>
      <c r="C8082" s="442"/>
      <c r="P8082" s="235"/>
      <c r="AI8082" s="38"/>
    </row>
    <row r="8083" ht="15.75" customHeight="1">
      <c r="A8083" s="35"/>
      <c r="C8083" s="442"/>
      <c r="P8083" s="235"/>
      <c r="AI8083" s="38"/>
    </row>
    <row r="8084" ht="15.75" customHeight="1">
      <c r="A8084" s="35"/>
      <c r="C8084" s="442"/>
      <c r="P8084" s="235"/>
      <c r="AI8084" s="38"/>
    </row>
    <row r="8085" ht="15.75" customHeight="1">
      <c r="A8085" s="35"/>
      <c r="C8085" s="442"/>
      <c r="P8085" s="235"/>
      <c r="AI8085" s="38"/>
    </row>
    <row r="8086" ht="15.75" customHeight="1">
      <c r="A8086" s="35"/>
      <c r="C8086" s="442"/>
      <c r="P8086" s="235"/>
      <c r="AI8086" s="38"/>
    </row>
    <row r="8087" ht="15.75" customHeight="1">
      <c r="A8087" s="35"/>
      <c r="C8087" s="442"/>
      <c r="P8087" s="235"/>
      <c r="AI8087" s="38"/>
    </row>
    <row r="8088" ht="15.75" customHeight="1">
      <c r="A8088" s="35"/>
      <c r="C8088" s="442"/>
      <c r="P8088" s="235"/>
      <c r="AI8088" s="38"/>
    </row>
    <row r="8089" ht="15.75" customHeight="1">
      <c r="A8089" s="35"/>
      <c r="C8089" s="442"/>
      <c r="P8089" s="235"/>
      <c r="AI8089" s="38"/>
    </row>
    <row r="8090" ht="15.75" customHeight="1">
      <c r="A8090" s="35"/>
      <c r="C8090" s="442"/>
      <c r="P8090" s="235"/>
      <c r="AI8090" s="38"/>
    </row>
    <row r="8091" ht="15.75" customHeight="1">
      <c r="A8091" s="35"/>
      <c r="C8091" s="442"/>
      <c r="P8091" s="235"/>
      <c r="AI8091" s="38"/>
    </row>
    <row r="8092" ht="15.75" customHeight="1">
      <c r="A8092" s="35"/>
      <c r="C8092" s="442"/>
      <c r="P8092" s="235"/>
      <c r="AI8092" s="38"/>
    </row>
    <row r="8093" ht="15.75" customHeight="1">
      <c r="A8093" s="35"/>
      <c r="C8093" s="442"/>
      <c r="P8093" s="235"/>
      <c r="AI8093" s="38"/>
    </row>
    <row r="8094" ht="15.75" customHeight="1">
      <c r="A8094" s="35"/>
      <c r="C8094" s="442"/>
      <c r="P8094" s="235"/>
      <c r="AI8094" s="38"/>
    </row>
    <row r="8095" ht="15.75" customHeight="1">
      <c r="A8095" s="35"/>
      <c r="C8095" s="442"/>
      <c r="P8095" s="235"/>
      <c r="AI8095" s="38"/>
    </row>
    <row r="8096" ht="15.75" customHeight="1">
      <c r="A8096" s="35"/>
      <c r="C8096" s="442"/>
      <c r="P8096" s="235"/>
      <c r="AI8096" s="38"/>
    </row>
    <row r="8097" ht="15.75" customHeight="1">
      <c r="A8097" s="35"/>
      <c r="C8097" s="442"/>
      <c r="P8097" s="235"/>
      <c r="AI8097" s="38"/>
    </row>
    <row r="8098" ht="15.75" customHeight="1">
      <c r="A8098" s="35"/>
      <c r="C8098" s="442"/>
      <c r="P8098" s="235"/>
      <c r="AI8098" s="38"/>
    </row>
    <row r="8099" ht="15.75" customHeight="1">
      <c r="A8099" s="35"/>
      <c r="C8099" s="442"/>
      <c r="P8099" s="235"/>
      <c r="AI8099" s="38"/>
    </row>
    <row r="8100" ht="15.75" customHeight="1">
      <c r="A8100" s="35"/>
      <c r="C8100" s="442"/>
      <c r="P8100" s="235"/>
      <c r="AI8100" s="38"/>
    </row>
    <row r="8101" ht="15.75" customHeight="1">
      <c r="A8101" s="35"/>
      <c r="C8101" s="442"/>
      <c r="P8101" s="235"/>
      <c r="AI8101" s="38"/>
    </row>
    <row r="8102" ht="15.75" customHeight="1">
      <c r="A8102" s="35"/>
      <c r="C8102" s="442"/>
      <c r="P8102" s="235"/>
      <c r="AI8102" s="38"/>
    </row>
    <row r="8103" ht="15.75" customHeight="1">
      <c r="A8103" s="35"/>
      <c r="C8103" s="442"/>
      <c r="P8103" s="235"/>
      <c r="AI8103" s="38"/>
    </row>
    <row r="8104" ht="15.75" customHeight="1">
      <c r="A8104" s="35"/>
      <c r="C8104" s="442"/>
      <c r="P8104" s="235"/>
      <c r="AI8104" s="38"/>
    </row>
    <row r="8105" ht="15.75" customHeight="1">
      <c r="A8105" s="35"/>
      <c r="C8105" s="442"/>
      <c r="P8105" s="235"/>
      <c r="AI8105" s="38"/>
    </row>
    <row r="8106" ht="15.75" customHeight="1">
      <c r="A8106" s="35"/>
      <c r="C8106" s="442"/>
      <c r="P8106" s="235"/>
      <c r="AI8106" s="38"/>
    </row>
    <row r="8107" ht="15.75" customHeight="1">
      <c r="A8107" s="35"/>
      <c r="C8107" s="442"/>
      <c r="P8107" s="235"/>
      <c r="AI8107" s="38"/>
    </row>
    <row r="8108" ht="15.75" customHeight="1">
      <c r="A8108" s="35"/>
      <c r="C8108" s="442"/>
      <c r="P8108" s="235"/>
      <c r="AI8108" s="38"/>
    </row>
    <row r="8109" ht="15.75" customHeight="1">
      <c r="A8109" s="35"/>
      <c r="C8109" s="442"/>
      <c r="P8109" s="235"/>
      <c r="AI8109" s="38"/>
    </row>
    <row r="8110" ht="15.75" customHeight="1">
      <c r="A8110" s="35"/>
      <c r="C8110" s="442"/>
      <c r="P8110" s="235"/>
      <c r="AI8110" s="38"/>
    </row>
    <row r="8111" ht="15.75" customHeight="1">
      <c r="A8111" s="35"/>
      <c r="C8111" s="442"/>
      <c r="P8111" s="235"/>
      <c r="AI8111" s="38"/>
    </row>
    <row r="8112" ht="15.75" customHeight="1">
      <c r="A8112" s="35"/>
      <c r="C8112" s="442"/>
      <c r="P8112" s="235"/>
      <c r="AI8112" s="38"/>
    </row>
    <row r="8113" ht="15.75" customHeight="1">
      <c r="A8113" s="35"/>
      <c r="C8113" s="442"/>
      <c r="P8113" s="235"/>
      <c r="AI8113" s="38"/>
    </row>
    <row r="8114" ht="15.75" customHeight="1">
      <c r="A8114" s="35"/>
      <c r="C8114" s="442"/>
      <c r="P8114" s="235"/>
      <c r="AI8114" s="38"/>
    </row>
    <row r="8115" ht="15.75" customHeight="1">
      <c r="A8115" s="35"/>
      <c r="C8115" s="442"/>
      <c r="P8115" s="235"/>
      <c r="AI8115" s="38"/>
    </row>
    <row r="8116" ht="15.75" customHeight="1">
      <c r="A8116" s="35"/>
      <c r="C8116" s="442"/>
      <c r="P8116" s="235"/>
      <c r="AI8116" s="38"/>
    </row>
    <row r="8117" ht="15.75" customHeight="1">
      <c r="A8117" s="35"/>
      <c r="C8117" s="442"/>
      <c r="P8117" s="235"/>
      <c r="AI8117" s="38"/>
    </row>
    <row r="8118" ht="15.75" customHeight="1">
      <c r="A8118" s="35"/>
      <c r="C8118" s="442"/>
      <c r="P8118" s="235"/>
      <c r="AI8118" s="38"/>
    </row>
    <row r="8119" ht="15.75" customHeight="1">
      <c r="A8119" s="35"/>
      <c r="C8119" s="442"/>
      <c r="P8119" s="235"/>
      <c r="AI8119" s="38"/>
    </row>
    <row r="8120" ht="15.75" customHeight="1">
      <c r="A8120" s="35"/>
      <c r="C8120" s="442"/>
      <c r="P8120" s="235"/>
      <c r="AI8120" s="38"/>
    </row>
    <row r="8121" ht="15.75" customHeight="1">
      <c r="A8121" s="35"/>
      <c r="C8121" s="442"/>
      <c r="P8121" s="235"/>
      <c r="AI8121" s="38"/>
    </row>
    <row r="8122" ht="15.75" customHeight="1">
      <c r="A8122" s="35"/>
      <c r="C8122" s="442"/>
      <c r="P8122" s="235"/>
      <c r="AI8122" s="38"/>
    </row>
    <row r="8123" ht="15.75" customHeight="1">
      <c r="A8123" s="35"/>
      <c r="C8123" s="442"/>
      <c r="P8123" s="235"/>
      <c r="AI8123" s="38"/>
    </row>
    <row r="8124" ht="15.75" customHeight="1">
      <c r="A8124" s="35"/>
      <c r="C8124" s="442"/>
      <c r="P8124" s="235"/>
      <c r="AI8124" s="38"/>
    </row>
    <row r="8125" ht="15.75" customHeight="1">
      <c r="A8125" s="35"/>
      <c r="C8125" s="442"/>
      <c r="P8125" s="235"/>
      <c r="AI8125" s="38"/>
    </row>
    <row r="8126" ht="15.75" customHeight="1">
      <c r="A8126" s="35"/>
      <c r="C8126" s="442"/>
      <c r="P8126" s="235"/>
      <c r="AI8126" s="38"/>
    </row>
    <row r="8127" ht="15.75" customHeight="1">
      <c r="A8127" s="35"/>
      <c r="C8127" s="442"/>
      <c r="P8127" s="235"/>
      <c r="AI8127" s="38"/>
    </row>
    <row r="8128" ht="15.75" customHeight="1">
      <c r="A8128" s="35"/>
      <c r="C8128" s="442"/>
      <c r="P8128" s="235"/>
      <c r="AI8128" s="38"/>
    </row>
    <row r="8129" ht="15.75" customHeight="1">
      <c r="A8129" s="35"/>
      <c r="C8129" s="442"/>
      <c r="P8129" s="235"/>
      <c r="AI8129" s="38"/>
    </row>
    <row r="8130" ht="15.75" customHeight="1">
      <c r="A8130" s="35"/>
      <c r="C8130" s="442"/>
      <c r="P8130" s="235"/>
      <c r="AI8130" s="38"/>
    </row>
    <row r="8131" ht="15.75" customHeight="1">
      <c r="A8131" s="35"/>
      <c r="C8131" s="442"/>
      <c r="P8131" s="235"/>
      <c r="AI8131" s="38"/>
    </row>
    <row r="8132" ht="15.75" customHeight="1">
      <c r="A8132" s="35"/>
      <c r="C8132" s="442"/>
      <c r="P8132" s="235"/>
      <c r="AI8132" s="38"/>
    </row>
    <row r="8133" ht="15.75" customHeight="1">
      <c r="A8133" s="35"/>
      <c r="C8133" s="442"/>
      <c r="P8133" s="235"/>
      <c r="AI8133" s="38"/>
    </row>
    <row r="8134" ht="15.75" customHeight="1">
      <c r="A8134" s="35"/>
      <c r="C8134" s="442"/>
      <c r="P8134" s="235"/>
      <c r="AI8134" s="38"/>
    </row>
    <row r="8135" ht="15.75" customHeight="1">
      <c r="A8135" s="35"/>
      <c r="C8135" s="442"/>
      <c r="P8135" s="235"/>
      <c r="AI8135" s="38"/>
    </row>
    <row r="8136" ht="15.75" customHeight="1">
      <c r="A8136" s="35"/>
      <c r="C8136" s="442"/>
      <c r="P8136" s="235"/>
      <c r="AI8136" s="38"/>
    </row>
    <row r="8137" ht="15.75" customHeight="1">
      <c r="A8137" s="35"/>
      <c r="C8137" s="442"/>
      <c r="P8137" s="235"/>
      <c r="AI8137" s="38"/>
    </row>
    <row r="8138" ht="15.75" customHeight="1">
      <c r="A8138" s="35"/>
      <c r="C8138" s="442"/>
      <c r="P8138" s="235"/>
      <c r="AI8138" s="38"/>
    </row>
    <row r="8139" ht="15.75" customHeight="1">
      <c r="A8139" s="35"/>
      <c r="C8139" s="442"/>
      <c r="P8139" s="235"/>
      <c r="AI8139" s="38"/>
    </row>
    <row r="8140" ht="15.75" customHeight="1">
      <c r="A8140" s="35"/>
      <c r="C8140" s="442"/>
      <c r="P8140" s="235"/>
      <c r="AI8140" s="38"/>
    </row>
    <row r="8141" ht="15.75" customHeight="1">
      <c r="A8141" s="35"/>
      <c r="C8141" s="442"/>
      <c r="P8141" s="235"/>
      <c r="AI8141" s="38"/>
    </row>
    <row r="8142" ht="15.75" customHeight="1">
      <c r="A8142" s="35"/>
      <c r="C8142" s="442"/>
      <c r="P8142" s="235"/>
      <c r="AI8142" s="38"/>
    </row>
    <row r="8143" ht="15.75" customHeight="1">
      <c r="A8143" s="35"/>
      <c r="C8143" s="442"/>
      <c r="P8143" s="235"/>
      <c r="AI8143" s="38"/>
    </row>
    <row r="8144" ht="15.75" customHeight="1">
      <c r="A8144" s="35"/>
      <c r="C8144" s="442"/>
      <c r="P8144" s="235"/>
      <c r="AI8144" s="38"/>
    </row>
    <row r="8145" ht="15.75" customHeight="1">
      <c r="A8145" s="35"/>
      <c r="C8145" s="442"/>
      <c r="P8145" s="235"/>
      <c r="AI8145" s="38"/>
    </row>
    <row r="8146" ht="15.75" customHeight="1">
      <c r="A8146" s="35"/>
      <c r="C8146" s="442"/>
      <c r="P8146" s="235"/>
      <c r="AI8146" s="38"/>
    </row>
    <row r="8147" ht="15.75" customHeight="1">
      <c r="A8147" s="35"/>
      <c r="C8147" s="442"/>
      <c r="P8147" s="235"/>
      <c r="AI8147" s="38"/>
    </row>
    <row r="8148" ht="15.75" customHeight="1">
      <c r="A8148" s="35"/>
      <c r="C8148" s="442"/>
      <c r="P8148" s="235"/>
      <c r="AI8148" s="38"/>
    </row>
    <row r="8149" ht="15.75" customHeight="1">
      <c r="A8149" s="35"/>
      <c r="C8149" s="442"/>
      <c r="P8149" s="235"/>
      <c r="AI8149" s="38"/>
    </row>
    <row r="8150" ht="15.75" customHeight="1">
      <c r="A8150" s="35"/>
      <c r="C8150" s="442"/>
      <c r="P8150" s="235"/>
      <c r="AI8150" s="38"/>
    </row>
    <row r="8151" ht="15.75" customHeight="1">
      <c r="A8151" s="35"/>
      <c r="C8151" s="442"/>
      <c r="P8151" s="235"/>
      <c r="AI8151" s="38"/>
    </row>
    <row r="8152" ht="15.75" customHeight="1">
      <c r="A8152" s="35"/>
      <c r="C8152" s="442"/>
      <c r="P8152" s="235"/>
      <c r="AI8152" s="38"/>
    </row>
    <row r="8153" ht="15.75" customHeight="1">
      <c r="A8153" s="35"/>
      <c r="C8153" s="442"/>
      <c r="P8153" s="235"/>
      <c r="AI8153" s="38"/>
    </row>
    <row r="8154" ht="15.75" customHeight="1">
      <c r="A8154" s="35"/>
      <c r="C8154" s="442"/>
      <c r="P8154" s="235"/>
      <c r="AI8154" s="38"/>
    </row>
    <row r="8155" ht="15.75" customHeight="1">
      <c r="A8155" s="35"/>
      <c r="C8155" s="442"/>
      <c r="P8155" s="235"/>
      <c r="AI8155" s="38"/>
    </row>
    <row r="8156" ht="15.75" customHeight="1">
      <c r="A8156" s="35"/>
      <c r="C8156" s="442"/>
      <c r="P8156" s="235"/>
      <c r="AI8156" s="38"/>
    </row>
    <row r="8157" ht="15.75" customHeight="1">
      <c r="A8157" s="35"/>
      <c r="C8157" s="442"/>
      <c r="P8157" s="235"/>
      <c r="AI8157" s="38"/>
    </row>
    <row r="8158" ht="15.75" customHeight="1">
      <c r="A8158" s="35"/>
      <c r="C8158" s="442"/>
      <c r="P8158" s="235"/>
      <c r="AI8158" s="38"/>
    </row>
    <row r="8159" ht="15.75" customHeight="1">
      <c r="A8159" s="35"/>
      <c r="C8159" s="442"/>
      <c r="P8159" s="235"/>
      <c r="AI8159" s="38"/>
    </row>
    <row r="8160" ht="15.75" customHeight="1">
      <c r="A8160" s="35"/>
      <c r="C8160" s="442"/>
      <c r="P8160" s="235"/>
      <c r="AI8160" s="38"/>
    </row>
    <row r="8161" ht="15.75" customHeight="1">
      <c r="A8161" s="35"/>
      <c r="C8161" s="442"/>
      <c r="P8161" s="235"/>
      <c r="AI8161" s="38"/>
    </row>
    <row r="8162" ht="15.75" customHeight="1">
      <c r="A8162" s="35"/>
      <c r="C8162" s="442"/>
      <c r="P8162" s="235"/>
      <c r="AI8162" s="38"/>
    </row>
    <row r="8163" ht="15.75" customHeight="1">
      <c r="A8163" s="35"/>
      <c r="C8163" s="442"/>
      <c r="P8163" s="235"/>
      <c r="AI8163" s="38"/>
    </row>
    <row r="8164" ht="15.75" customHeight="1">
      <c r="A8164" s="35"/>
      <c r="C8164" s="442"/>
      <c r="P8164" s="235"/>
      <c r="AI8164" s="38"/>
    </row>
    <row r="8165" ht="15.75" customHeight="1">
      <c r="A8165" s="35"/>
      <c r="C8165" s="442"/>
      <c r="P8165" s="235"/>
      <c r="AI8165" s="38"/>
    </row>
    <row r="8166" ht="15.75" customHeight="1">
      <c r="A8166" s="35"/>
      <c r="C8166" s="442"/>
      <c r="P8166" s="235"/>
      <c r="AI8166" s="38"/>
    </row>
    <row r="8167" ht="15.75" customHeight="1">
      <c r="A8167" s="35"/>
      <c r="C8167" s="442"/>
      <c r="P8167" s="235"/>
      <c r="AI8167" s="38"/>
    </row>
    <row r="8168" ht="15.75" customHeight="1">
      <c r="A8168" s="35"/>
      <c r="C8168" s="442"/>
      <c r="P8168" s="235"/>
      <c r="AI8168" s="38"/>
    </row>
    <row r="8169" ht="15.75" customHeight="1">
      <c r="A8169" s="35"/>
      <c r="C8169" s="442"/>
      <c r="P8169" s="235"/>
      <c r="AI8169" s="38"/>
    </row>
    <row r="8170" ht="15.75" customHeight="1">
      <c r="A8170" s="35"/>
      <c r="C8170" s="442"/>
      <c r="P8170" s="235"/>
      <c r="AI8170" s="38"/>
    </row>
    <row r="8171" ht="15.75" customHeight="1">
      <c r="A8171" s="35"/>
      <c r="C8171" s="442"/>
      <c r="P8171" s="235"/>
      <c r="AI8171" s="38"/>
    </row>
    <row r="8172" ht="15.75" customHeight="1">
      <c r="A8172" s="35"/>
      <c r="C8172" s="442"/>
      <c r="P8172" s="235"/>
      <c r="AI8172" s="38"/>
    </row>
    <row r="8173" ht="15.75" customHeight="1">
      <c r="A8173" s="35"/>
      <c r="C8173" s="442"/>
      <c r="P8173" s="235"/>
      <c r="AI8173" s="38"/>
    </row>
    <row r="8174" ht="15.75" customHeight="1">
      <c r="A8174" s="35"/>
      <c r="C8174" s="442"/>
      <c r="P8174" s="235"/>
      <c r="AI8174" s="38"/>
    </row>
    <row r="8175" ht="15.75" customHeight="1">
      <c r="A8175" s="35"/>
      <c r="C8175" s="442"/>
      <c r="P8175" s="235"/>
      <c r="AI8175" s="38"/>
    </row>
    <row r="8176" ht="15.75" customHeight="1">
      <c r="A8176" s="35"/>
      <c r="C8176" s="442"/>
      <c r="P8176" s="235"/>
      <c r="AI8176" s="38"/>
    </row>
    <row r="8177" ht="15.75" customHeight="1">
      <c r="A8177" s="35"/>
      <c r="C8177" s="442"/>
      <c r="P8177" s="235"/>
      <c r="AI8177" s="38"/>
    </row>
    <row r="8178" ht="15.75" customHeight="1">
      <c r="A8178" s="35"/>
      <c r="C8178" s="442"/>
      <c r="P8178" s="235"/>
      <c r="AI8178" s="38"/>
    </row>
    <row r="8179" ht="15.75" customHeight="1">
      <c r="A8179" s="35"/>
      <c r="C8179" s="442"/>
      <c r="P8179" s="235"/>
      <c r="AI8179" s="38"/>
    </row>
    <row r="8180" ht="15.75" customHeight="1">
      <c r="A8180" s="35"/>
      <c r="C8180" s="442"/>
      <c r="P8180" s="235"/>
      <c r="AI8180" s="38"/>
    </row>
    <row r="8181" ht="15.75" customHeight="1">
      <c r="A8181" s="35"/>
      <c r="C8181" s="442"/>
      <c r="P8181" s="235"/>
      <c r="AI8181" s="38"/>
    </row>
    <row r="8182" ht="15.75" customHeight="1">
      <c r="A8182" s="35"/>
      <c r="C8182" s="442"/>
      <c r="P8182" s="235"/>
      <c r="AI8182" s="38"/>
    </row>
    <row r="8183" ht="15.75" customHeight="1">
      <c r="A8183" s="35"/>
      <c r="C8183" s="442"/>
      <c r="P8183" s="235"/>
      <c r="AI8183" s="38"/>
    </row>
    <row r="8184" ht="15.75" customHeight="1">
      <c r="A8184" s="35"/>
      <c r="C8184" s="442"/>
      <c r="P8184" s="235"/>
      <c r="AI8184" s="38"/>
    </row>
    <row r="8185" ht="15.75" customHeight="1">
      <c r="A8185" s="35"/>
      <c r="C8185" s="442"/>
      <c r="P8185" s="235"/>
      <c r="AI8185" s="38"/>
    </row>
    <row r="8186" ht="15.75" customHeight="1">
      <c r="A8186" s="35"/>
      <c r="C8186" s="442"/>
      <c r="P8186" s="235"/>
      <c r="AI8186" s="38"/>
    </row>
    <row r="8187" ht="15.75" customHeight="1">
      <c r="A8187" s="35"/>
      <c r="C8187" s="442"/>
      <c r="P8187" s="235"/>
      <c r="AI8187" s="38"/>
    </row>
    <row r="8188" ht="15.75" customHeight="1">
      <c r="A8188" s="35"/>
      <c r="C8188" s="442"/>
      <c r="P8188" s="235"/>
      <c r="AI8188" s="38"/>
    </row>
    <row r="8189" ht="15.75" customHeight="1">
      <c r="A8189" s="35"/>
      <c r="C8189" s="442"/>
      <c r="P8189" s="235"/>
      <c r="AI8189" s="38"/>
    </row>
    <row r="8190" ht="15.75" customHeight="1">
      <c r="A8190" s="35"/>
      <c r="C8190" s="442"/>
      <c r="P8190" s="235"/>
      <c r="AI8190" s="38"/>
    </row>
    <row r="8191" ht="15.75" customHeight="1">
      <c r="A8191" s="35"/>
      <c r="C8191" s="442"/>
      <c r="P8191" s="235"/>
      <c r="AI8191" s="38"/>
    </row>
    <row r="8192" ht="15.75" customHeight="1">
      <c r="A8192" s="35"/>
      <c r="C8192" s="442"/>
      <c r="P8192" s="235"/>
      <c r="AI8192" s="38"/>
    </row>
    <row r="8193" ht="15.75" customHeight="1">
      <c r="A8193" s="35"/>
      <c r="C8193" s="442"/>
      <c r="P8193" s="235"/>
      <c r="AI8193" s="38"/>
    </row>
    <row r="8194" ht="15.75" customHeight="1">
      <c r="A8194" s="35"/>
      <c r="C8194" s="442"/>
      <c r="P8194" s="235"/>
      <c r="AI8194" s="38"/>
    </row>
    <row r="8195" ht="15.75" customHeight="1">
      <c r="A8195" s="35"/>
      <c r="C8195" s="442"/>
      <c r="P8195" s="235"/>
      <c r="AI8195" s="38"/>
    </row>
    <row r="8196" ht="15.75" customHeight="1">
      <c r="A8196" s="35"/>
      <c r="C8196" s="442"/>
      <c r="P8196" s="235"/>
      <c r="AI8196" s="38"/>
    </row>
    <row r="8197" ht="15.75" customHeight="1">
      <c r="A8197" s="35"/>
      <c r="C8197" s="442"/>
      <c r="P8197" s="235"/>
      <c r="AI8197" s="38"/>
    </row>
    <row r="8198" ht="15.75" customHeight="1">
      <c r="A8198" s="35"/>
      <c r="C8198" s="442"/>
      <c r="P8198" s="235"/>
      <c r="AI8198" s="38"/>
    </row>
    <row r="8199" ht="15.75" customHeight="1">
      <c r="A8199" s="35"/>
      <c r="C8199" s="442"/>
      <c r="P8199" s="235"/>
      <c r="AI8199" s="38"/>
    </row>
    <row r="8200" ht="15.75" customHeight="1">
      <c r="A8200" s="35"/>
      <c r="C8200" s="442"/>
      <c r="P8200" s="235"/>
      <c r="AI8200" s="38"/>
    </row>
    <row r="8201" ht="15.75" customHeight="1">
      <c r="A8201" s="35"/>
      <c r="C8201" s="442"/>
      <c r="P8201" s="235"/>
      <c r="AI8201" s="38"/>
    </row>
    <row r="8202" ht="15.75" customHeight="1">
      <c r="A8202" s="35"/>
      <c r="C8202" s="442"/>
      <c r="P8202" s="235"/>
      <c r="AI8202" s="38"/>
    </row>
    <row r="8203" ht="15.75" customHeight="1">
      <c r="A8203" s="35"/>
      <c r="C8203" s="442"/>
      <c r="P8203" s="235"/>
      <c r="AI8203" s="38"/>
    </row>
    <row r="8204" ht="15.75" customHeight="1">
      <c r="A8204" s="35"/>
      <c r="C8204" s="442"/>
      <c r="P8204" s="235"/>
      <c r="AI8204" s="38"/>
    </row>
    <row r="8205" ht="15.75" customHeight="1">
      <c r="A8205" s="35"/>
      <c r="C8205" s="442"/>
      <c r="P8205" s="235"/>
      <c r="AI8205" s="38"/>
    </row>
    <row r="8206" ht="15.75" customHeight="1">
      <c r="A8206" s="35"/>
      <c r="C8206" s="442"/>
      <c r="P8206" s="235"/>
      <c r="AI8206" s="38"/>
    </row>
    <row r="8207" ht="15.75" customHeight="1">
      <c r="A8207" s="35"/>
      <c r="C8207" s="442"/>
      <c r="P8207" s="235"/>
      <c r="AI8207" s="38"/>
    </row>
    <row r="8208" ht="15.75" customHeight="1">
      <c r="A8208" s="35"/>
      <c r="C8208" s="442"/>
      <c r="P8208" s="235"/>
      <c r="AI8208" s="38"/>
    </row>
    <row r="8209" ht="15.75" customHeight="1">
      <c r="A8209" s="35"/>
      <c r="C8209" s="442"/>
      <c r="P8209" s="235"/>
      <c r="AI8209" s="38"/>
    </row>
    <row r="8210" ht="15.75" customHeight="1">
      <c r="A8210" s="35"/>
      <c r="C8210" s="442"/>
      <c r="P8210" s="235"/>
      <c r="AI8210" s="38"/>
    </row>
    <row r="8211" ht="15.75" customHeight="1">
      <c r="A8211" s="35"/>
      <c r="C8211" s="442"/>
      <c r="P8211" s="235"/>
      <c r="AI8211" s="38"/>
    </row>
    <row r="8212" ht="15.75" customHeight="1">
      <c r="A8212" s="35"/>
      <c r="C8212" s="442"/>
      <c r="P8212" s="235"/>
      <c r="AI8212" s="38"/>
    </row>
    <row r="8213" ht="15.75" customHeight="1">
      <c r="A8213" s="35"/>
      <c r="C8213" s="442"/>
      <c r="P8213" s="235"/>
      <c r="AI8213" s="38"/>
    </row>
    <row r="8214" ht="15.75" customHeight="1">
      <c r="A8214" s="35"/>
      <c r="C8214" s="442"/>
      <c r="P8214" s="235"/>
      <c r="AI8214" s="38"/>
    </row>
    <row r="8215" ht="15.75" customHeight="1">
      <c r="A8215" s="35"/>
      <c r="C8215" s="442"/>
      <c r="P8215" s="235"/>
      <c r="AI8215" s="38"/>
    </row>
    <row r="8216" ht="15.75" customHeight="1">
      <c r="A8216" s="35"/>
      <c r="C8216" s="442"/>
      <c r="P8216" s="235"/>
      <c r="AI8216" s="38"/>
    </row>
    <row r="8217" ht="15.75" customHeight="1">
      <c r="A8217" s="35"/>
      <c r="C8217" s="442"/>
      <c r="P8217" s="235"/>
      <c r="AI8217" s="38"/>
    </row>
    <row r="8218" ht="15.75" customHeight="1">
      <c r="A8218" s="35"/>
      <c r="C8218" s="442"/>
      <c r="P8218" s="235"/>
      <c r="AI8218" s="38"/>
    </row>
    <row r="8219" ht="15.75" customHeight="1">
      <c r="A8219" s="35"/>
      <c r="C8219" s="442"/>
      <c r="P8219" s="235"/>
      <c r="AI8219" s="38"/>
    </row>
    <row r="8220" ht="15.75" customHeight="1">
      <c r="A8220" s="35"/>
      <c r="C8220" s="442"/>
      <c r="P8220" s="235"/>
      <c r="AI8220" s="38"/>
    </row>
    <row r="8221" ht="15.75" customHeight="1">
      <c r="A8221" s="35"/>
      <c r="C8221" s="442"/>
      <c r="P8221" s="235"/>
      <c r="AI8221" s="38"/>
    </row>
    <row r="8222" ht="15.75" customHeight="1">
      <c r="A8222" s="35"/>
      <c r="C8222" s="442"/>
      <c r="P8222" s="235"/>
      <c r="AI8222" s="38"/>
    </row>
    <row r="8223" ht="15.75" customHeight="1">
      <c r="A8223" s="35"/>
      <c r="C8223" s="442"/>
      <c r="P8223" s="235"/>
      <c r="AI8223" s="38"/>
    </row>
    <row r="8224" ht="15.75" customHeight="1">
      <c r="A8224" s="35"/>
      <c r="C8224" s="442"/>
      <c r="P8224" s="235"/>
      <c r="AI8224" s="38"/>
    </row>
    <row r="8225" ht="15.75" customHeight="1">
      <c r="A8225" s="35"/>
      <c r="C8225" s="442"/>
      <c r="P8225" s="235"/>
      <c r="AI8225" s="38"/>
    </row>
    <row r="8226" ht="15.75" customHeight="1">
      <c r="A8226" s="35"/>
      <c r="C8226" s="442"/>
      <c r="P8226" s="235"/>
      <c r="AI8226" s="38"/>
    </row>
    <row r="8227" ht="15.75" customHeight="1">
      <c r="A8227" s="35"/>
      <c r="C8227" s="442"/>
      <c r="P8227" s="235"/>
      <c r="AI8227" s="38"/>
    </row>
    <row r="8228" ht="15.75" customHeight="1">
      <c r="A8228" s="35"/>
      <c r="C8228" s="442"/>
      <c r="P8228" s="235"/>
      <c r="AI8228" s="38"/>
    </row>
    <row r="8229" ht="15.75" customHeight="1">
      <c r="A8229" s="35"/>
      <c r="C8229" s="442"/>
      <c r="P8229" s="235"/>
      <c r="AI8229" s="38"/>
    </row>
    <row r="8230" ht="15.75" customHeight="1">
      <c r="A8230" s="35"/>
      <c r="C8230" s="442"/>
      <c r="P8230" s="235"/>
      <c r="AI8230" s="38"/>
    </row>
    <row r="8231" ht="15.75" customHeight="1">
      <c r="A8231" s="35"/>
      <c r="C8231" s="442"/>
      <c r="P8231" s="235"/>
      <c r="AI8231" s="38"/>
    </row>
    <row r="8232" ht="15.75" customHeight="1">
      <c r="A8232" s="35"/>
      <c r="C8232" s="442"/>
      <c r="P8232" s="235"/>
      <c r="AI8232" s="38"/>
    </row>
    <row r="8233" ht="15.75" customHeight="1">
      <c r="A8233" s="35"/>
      <c r="C8233" s="442"/>
      <c r="P8233" s="235"/>
      <c r="AI8233" s="38"/>
    </row>
    <row r="8234" ht="15.75" customHeight="1">
      <c r="A8234" s="35"/>
      <c r="C8234" s="442"/>
      <c r="P8234" s="235"/>
      <c r="AI8234" s="38"/>
    </row>
    <row r="8235" ht="15.75" customHeight="1">
      <c r="A8235" s="35"/>
      <c r="C8235" s="442"/>
      <c r="P8235" s="235"/>
      <c r="AI8235" s="38"/>
    </row>
    <row r="8236" ht="15.75" customHeight="1">
      <c r="A8236" s="35"/>
      <c r="C8236" s="442"/>
      <c r="P8236" s="235"/>
      <c r="AI8236" s="38"/>
    </row>
    <row r="8237" ht="15.75" customHeight="1">
      <c r="A8237" s="35"/>
      <c r="C8237" s="442"/>
      <c r="P8237" s="235"/>
      <c r="AI8237" s="38"/>
    </row>
    <row r="8238" ht="15.75" customHeight="1">
      <c r="A8238" s="35"/>
      <c r="C8238" s="442"/>
      <c r="P8238" s="235"/>
      <c r="AI8238" s="38"/>
    </row>
    <row r="8239" ht="15.75" customHeight="1">
      <c r="A8239" s="35"/>
      <c r="C8239" s="442"/>
      <c r="P8239" s="235"/>
      <c r="AI8239" s="38"/>
    </row>
    <row r="8240" ht="15.75" customHeight="1">
      <c r="A8240" s="35"/>
      <c r="C8240" s="442"/>
      <c r="P8240" s="235"/>
      <c r="AI8240" s="38"/>
    </row>
    <row r="8241" ht="15.75" customHeight="1">
      <c r="A8241" s="35"/>
      <c r="C8241" s="442"/>
      <c r="P8241" s="235"/>
      <c r="AI8241" s="38"/>
    </row>
    <row r="8242" ht="15.75" customHeight="1">
      <c r="A8242" s="35"/>
      <c r="C8242" s="442"/>
      <c r="P8242" s="235"/>
      <c r="AI8242" s="38"/>
    </row>
    <row r="8243" ht="15.75" customHeight="1">
      <c r="A8243" s="35"/>
      <c r="C8243" s="442"/>
      <c r="P8243" s="235"/>
      <c r="AI8243" s="38"/>
    </row>
    <row r="8244" ht="15.75" customHeight="1">
      <c r="A8244" s="35"/>
      <c r="C8244" s="442"/>
      <c r="P8244" s="235"/>
      <c r="AI8244" s="38"/>
    </row>
    <row r="8245" ht="15.75" customHeight="1">
      <c r="A8245" s="35"/>
      <c r="C8245" s="442"/>
      <c r="P8245" s="235"/>
      <c r="AI8245" s="38"/>
    </row>
    <row r="8246" ht="15.75" customHeight="1">
      <c r="A8246" s="35"/>
      <c r="C8246" s="442"/>
      <c r="P8246" s="235"/>
      <c r="AI8246" s="38"/>
    </row>
    <row r="8247" ht="15.75" customHeight="1">
      <c r="A8247" s="35"/>
      <c r="C8247" s="442"/>
      <c r="P8247" s="235"/>
      <c r="AI8247" s="38"/>
    </row>
    <row r="8248" ht="15.75" customHeight="1">
      <c r="A8248" s="35"/>
      <c r="C8248" s="442"/>
      <c r="P8248" s="235"/>
      <c r="AI8248" s="38"/>
    </row>
    <row r="8249" ht="15.75" customHeight="1">
      <c r="A8249" s="35"/>
      <c r="C8249" s="442"/>
      <c r="P8249" s="235"/>
      <c r="AI8249" s="38"/>
    </row>
    <row r="8250" ht="15.75" customHeight="1">
      <c r="A8250" s="35"/>
      <c r="C8250" s="442"/>
      <c r="P8250" s="235"/>
      <c r="AI8250" s="38"/>
    </row>
    <row r="8251" ht="15.75" customHeight="1">
      <c r="A8251" s="35"/>
      <c r="C8251" s="442"/>
      <c r="P8251" s="235"/>
      <c r="AI8251" s="38"/>
    </row>
    <row r="8252" ht="15.75" customHeight="1">
      <c r="A8252" s="35"/>
      <c r="C8252" s="442"/>
      <c r="P8252" s="235"/>
      <c r="AI8252" s="38"/>
    </row>
    <row r="8253" ht="15.75" customHeight="1">
      <c r="A8253" s="35"/>
      <c r="C8253" s="442"/>
      <c r="P8253" s="235"/>
      <c r="AI8253" s="38"/>
    </row>
    <row r="8254" ht="15.75" customHeight="1">
      <c r="A8254" s="35"/>
      <c r="C8254" s="442"/>
      <c r="P8254" s="235"/>
      <c r="AI8254" s="38"/>
    </row>
    <row r="8255" ht="15.75" customHeight="1">
      <c r="A8255" s="35"/>
      <c r="C8255" s="442"/>
      <c r="P8255" s="235"/>
      <c r="AI8255" s="38"/>
    </row>
    <row r="8256" ht="15.75" customHeight="1">
      <c r="A8256" s="35"/>
      <c r="C8256" s="442"/>
      <c r="P8256" s="235"/>
      <c r="AI8256" s="38"/>
    </row>
    <row r="8257" ht="15.75" customHeight="1">
      <c r="A8257" s="35"/>
      <c r="C8257" s="442"/>
      <c r="P8257" s="235"/>
      <c r="AI8257" s="38"/>
    </row>
    <row r="8258" ht="15.75" customHeight="1">
      <c r="A8258" s="35"/>
      <c r="C8258" s="442"/>
      <c r="P8258" s="235"/>
      <c r="AI8258" s="38"/>
    </row>
    <row r="8259" ht="15.75" customHeight="1">
      <c r="A8259" s="35"/>
      <c r="C8259" s="442"/>
      <c r="P8259" s="235"/>
      <c r="AI8259" s="38"/>
    </row>
    <row r="8260" ht="15.75" customHeight="1">
      <c r="A8260" s="35"/>
      <c r="C8260" s="442"/>
      <c r="P8260" s="235"/>
      <c r="AI8260" s="38"/>
    </row>
    <row r="8261" ht="15.75" customHeight="1">
      <c r="A8261" s="35"/>
      <c r="C8261" s="442"/>
      <c r="P8261" s="235"/>
      <c r="AI8261" s="38"/>
    </row>
    <row r="8262" ht="15.75" customHeight="1">
      <c r="A8262" s="35"/>
      <c r="C8262" s="442"/>
      <c r="P8262" s="235"/>
      <c r="AI8262" s="38"/>
    </row>
    <row r="8263" ht="15.75" customHeight="1">
      <c r="A8263" s="35"/>
      <c r="C8263" s="442"/>
      <c r="P8263" s="235"/>
      <c r="AI8263" s="38"/>
    </row>
    <row r="8264" ht="15.75" customHeight="1">
      <c r="A8264" s="35"/>
      <c r="C8264" s="442"/>
      <c r="P8264" s="235"/>
      <c r="AI8264" s="38"/>
    </row>
    <row r="8265" ht="15.75" customHeight="1">
      <c r="A8265" s="35"/>
      <c r="C8265" s="442"/>
      <c r="P8265" s="235"/>
      <c r="AI8265" s="38"/>
    </row>
    <row r="8266" ht="15.75" customHeight="1">
      <c r="A8266" s="35"/>
      <c r="C8266" s="442"/>
      <c r="P8266" s="235"/>
      <c r="AI8266" s="38"/>
    </row>
    <row r="8267" ht="15.75" customHeight="1">
      <c r="A8267" s="35"/>
      <c r="C8267" s="442"/>
      <c r="P8267" s="235"/>
      <c r="AI8267" s="38"/>
    </row>
    <row r="8268" ht="15.75" customHeight="1">
      <c r="A8268" s="35"/>
      <c r="C8268" s="442"/>
      <c r="P8268" s="235"/>
      <c r="AI8268" s="38"/>
    </row>
    <row r="8269" ht="15.75" customHeight="1">
      <c r="A8269" s="35"/>
      <c r="C8269" s="442"/>
      <c r="P8269" s="235"/>
      <c r="AI8269" s="38"/>
    </row>
    <row r="8270" ht="15.75" customHeight="1">
      <c r="A8270" s="35"/>
      <c r="C8270" s="442"/>
      <c r="P8270" s="235"/>
      <c r="AI8270" s="38"/>
    </row>
    <row r="8271" ht="15.75" customHeight="1">
      <c r="A8271" s="35"/>
      <c r="C8271" s="442"/>
      <c r="P8271" s="235"/>
      <c r="AI8271" s="38"/>
    </row>
    <row r="8272" ht="15.75" customHeight="1">
      <c r="A8272" s="35"/>
      <c r="C8272" s="442"/>
      <c r="P8272" s="235"/>
      <c r="AI8272" s="38"/>
    </row>
    <row r="8273" ht="15.75" customHeight="1">
      <c r="A8273" s="35"/>
      <c r="C8273" s="442"/>
      <c r="P8273" s="235"/>
      <c r="AI8273" s="38"/>
    </row>
    <row r="8274" ht="15.75" customHeight="1">
      <c r="A8274" s="35"/>
      <c r="C8274" s="442"/>
      <c r="P8274" s="235"/>
      <c r="AI8274" s="38"/>
    </row>
    <row r="8275" ht="15.75" customHeight="1">
      <c r="A8275" s="35"/>
      <c r="C8275" s="442"/>
      <c r="P8275" s="235"/>
      <c r="AI8275" s="38"/>
    </row>
    <row r="8276" ht="15.75" customHeight="1">
      <c r="A8276" s="35"/>
      <c r="C8276" s="442"/>
      <c r="P8276" s="235"/>
      <c r="AI8276" s="38"/>
    </row>
    <row r="8277" ht="15.75" customHeight="1">
      <c r="A8277" s="35"/>
      <c r="C8277" s="442"/>
      <c r="P8277" s="235"/>
      <c r="AI8277" s="38"/>
    </row>
    <row r="8278" ht="15.75" customHeight="1">
      <c r="A8278" s="35"/>
      <c r="C8278" s="442"/>
      <c r="P8278" s="235"/>
      <c r="AI8278" s="38"/>
    </row>
    <row r="8279" ht="15.75" customHeight="1">
      <c r="A8279" s="35"/>
      <c r="C8279" s="442"/>
      <c r="P8279" s="235"/>
      <c r="AI8279" s="38"/>
    </row>
    <row r="8280" ht="15.75" customHeight="1">
      <c r="A8280" s="35"/>
      <c r="C8280" s="442"/>
      <c r="P8280" s="235"/>
      <c r="AI8280" s="38"/>
    </row>
    <row r="8281" ht="15.75" customHeight="1">
      <c r="A8281" s="35"/>
      <c r="C8281" s="442"/>
      <c r="P8281" s="235"/>
      <c r="AI8281" s="38"/>
    </row>
    <row r="8282" ht="15.75" customHeight="1">
      <c r="A8282" s="35"/>
      <c r="C8282" s="442"/>
      <c r="P8282" s="235"/>
      <c r="AI8282" s="38"/>
    </row>
    <row r="8283" ht="15.75" customHeight="1">
      <c r="A8283" s="35"/>
      <c r="C8283" s="442"/>
      <c r="P8283" s="235"/>
      <c r="AI8283" s="38"/>
    </row>
    <row r="8284" ht="15.75" customHeight="1">
      <c r="A8284" s="35"/>
      <c r="C8284" s="442"/>
      <c r="P8284" s="235"/>
      <c r="AI8284" s="38"/>
    </row>
    <row r="8285" ht="15.75" customHeight="1">
      <c r="A8285" s="35"/>
      <c r="C8285" s="442"/>
      <c r="P8285" s="235"/>
      <c r="AI8285" s="38"/>
    </row>
    <row r="8286" ht="15.75" customHeight="1">
      <c r="A8286" s="35"/>
      <c r="C8286" s="442"/>
      <c r="P8286" s="235"/>
      <c r="AI8286" s="38"/>
    </row>
    <row r="8287" ht="15.75" customHeight="1">
      <c r="A8287" s="35"/>
      <c r="C8287" s="442"/>
      <c r="P8287" s="235"/>
      <c r="AI8287" s="38"/>
    </row>
    <row r="8288" ht="15.75" customHeight="1">
      <c r="A8288" s="35"/>
      <c r="C8288" s="442"/>
      <c r="P8288" s="235"/>
      <c r="AI8288" s="38"/>
    </row>
    <row r="8289" ht="15.75" customHeight="1">
      <c r="A8289" s="35"/>
      <c r="C8289" s="442"/>
      <c r="P8289" s="235"/>
      <c r="AI8289" s="38"/>
    </row>
    <row r="8290" ht="15.75" customHeight="1">
      <c r="A8290" s="35"/>
      <c r="C8290" s="442"/>
      <c r="P8290" s="235"/>
      <c r="AI8290" s="38"/>
    </row>
    <row r="8291" ht="15.75" customHeight="1">
      <c r="A8291" s="35"/>
      <c r="C8291" s="442"/>
      <c r="P8291" s="235"/>
      <c r="AI8291" s="38"/>
    </row>
    <row r="8292" ht="15.75" customHeight="1">
      <c r="A8292" s="35"/>
      <c r="C8292" s="442"/>
      <c r="P8292" s="235"/>
      <c r="AI8292" s="38"/>
    </row>
    <row r="8293" ht="15.75" customHeight="1">
      <c r="A8293" s="35"/>
      <c r="C8293" s="442"/>
      <c r="P8293" s="235"/>
      <c r="AI8293" s="38"/>
    </row>
    <row r="8294" ht="15.75" customHeight="1">
      <c r="A8294" s="35"/>
      <c r="C8294" s="442"/>
      <c r="P8294" s="235"/>
      <c r="AI8294" s="38"/>
    </row>
    <row r="8295" ht="15.75" customHeight="1">
      <c r="A8295" s="35"/>
      <c r="C8295" s="442"/>
      <c r="P8295" s="235"/>
      <c r="AI8295" s="38"/>
    </row>
    <row r="8296" ht="15.75" customHeight="1">
      <c r="A8296" s="35"/>
      <c r="C8296" s="442"/>
      <c r="P8296" s="235"/>
      <c r="AI8296" s="38"/>
    </row>
    <row r="8297" ht="15.75" customHeight="1">
      <c r="A8297" s="35"/>
      <c r="C8297" s="442"/>
      <c r="P8297" s="235"/>
      <c r="AI8297" s="38"/>
    </row>
    <row r="8298" ht="15.75" customHeight="1">
      <c r="A8298" s="35"/>
      <c r="C8298" s="442"/>
      <c r="P8298" s="235"/>
      <c r="AI8298" s="38"/>
    </row>
    <row r="8299" ht="15.75" customHeight="1">
      <c r="A8299" s="35"/>
      <c r="C8299" s="442"/>
      <c r="P8299" s="235"/>
      <c r="AI8299" s="38"/>
    </row>
    <row r="8300" ht="15.75" customHeight="1">
      <c r="A8300" s="35"/>
      <c r="C8300" s="442"/>
      <c r="P8300" s="235"/>
      <c r="AI8300" s="38"/>
    </row>
    <row r="8301" ht="15.75" customHeight="1">
      <c r="A8301" s="35"/>
      <c r="C8301" s="442"/>
      <c r="P8301" s="235"/>
      <c r="AI8301" s="38"/>
    </row>
    <row r="8302" ht="15.75" customHeight="1">
      <c r="A8302" s="35"/>
      <c r="C8302" s="442"/>
      <c r="P8302" s="235"/>
      <c r="AI8302" s="38"/>
    </row>
    <row r="8303" ht="15.75" customHeight="1">
      <c r="A8303" s="35"/>
      <c r="C8303" s="442"/>
      <c r="P8303" s="235"/>
      <c r="AI8303" s="38"/>
    </row>
    <row r="8304" ht="15.75" customHeight="1">
      <c r="A8304" s="35"/>
      <c r="C8304" s="442"/>
      <c r="P8304" s="235"/>
      <c r="AI8304" s="38"/>
    </row>
    <row r="8305" ht="15.75" customHeight="1">
      <c r="A8305" s="35"/>
      <c r="C8305" s="442"/>
      <c r="P8305" s="235"/>
      <c r="AI8305" s="38"/>
    </row>
    <row r="8306" ht="15.75" customHeight="1">
      <c r="A8306" s="35"/>
      <c r="C8306" s="442"/>
      <c r="P8306" s="235"/>
      <c r="AI8306" s="38"/>
    </row>
    <row r="8307" ht="15.75" customHeight="1">
      <c r="A8307" s="35"/>
      <c r="C8307" s="442"/>
      <c r="P8307" s="235"/>
      <c r="AI8307" s="38"/>
    </row>
    <row r="8308" ht="15.75" customHeight="1">
      <c r="A8308" s="35"/>
      <c r="C8308" s="442"/>
      <c r="P8308" s="235"/>
      <c r="AI8308" s="38"/>
    </row>
    <row r="8309" ht="15.75" customHeight="1">
      <c r="A8309" s="35"/>
      <c r="C8309" s="442"/>
      <c r="P8309" s="235"/>
      <c r="AI8309" s="38"/>
    </row>
    <row r="8310" ht="15.75" customHeight="1">
      <c r="A8310" s="35"/>
      <c r="C8310" s="442"/>
      <c r="P8310" s="235"/>
      <c r="AI8310" s="38"/>
    </row>
    <row r="8311" ht="15.75" customHeight="1">
      <c r="A8311" s="35"/>
      <c r="C8311" s="442"/>
      <c r="P8311" s="235"/>
      <c r="AI8311" s="38"/>
    </row>
    <row r="8312" ht="15.75" customHeight="1">
      <c r="A8312" s="35"/>
      <c r="C8312" s="442"/>
      <c r="P8312" s="235"/>
      <c r="AI8312" s="38"/>
    </row>
    <row r="8313" ht="15.75" customHeight="1">
      <c r="A8313" s="35"/>
      <c r="C8313" s="442"/>
      <c r="P8313" s="235"/>
      <c r="AI8313" s="38"/>
    </row>
    <row r="8314" ht="15.75" customHeight="1">
      <c r="A8314" s="35"/>
      <c r="C8314" s="442"/>
      <c r="P8314" s="235"/>
      <c r="AI8314" s="38"/>
    </row>
    <row r="8315" ht="15.75" customHeight="1">
      <c r="A8315" s="35"/>
      <c r="C8315" s="442"/>
      <c r="P8315" s="235"/>
      <c r="AI8315" s="38"/>
    </row>
    <row r="8316" ht="15.75" customHeight="1">
      <c r="A8316" s="35"/>
      <c r="C8316" s="442"/>
      <c r="P8316" s="235"/>
      <c r="AI8316" s="38"/>
    </row>
    <row r="8317" ht="15.75" customHeight="1">
      <c r="A8317" s="35"/>
      <c r="C8317" s="442"/>
      <c r="P8317" s="235"/>
      <c r="AI8317" s="38"/>
    </row>
    <row r="8318" ht="15.75" customHeight="1">
      <c r="A8318" s="35"/>
      <c r="C8318" s="442"/>
      <c r="P8318" s="235"/>
      <c r="AI8318" s="38"/>
    </row>
    <row r="8319" ht="15.75" customHeight="1">
      <c r="A8319" s="35"/>
      <c r="C8319" s="442"/>
      <c r="P8319" s="235"/>
      <c r="AI8319" s="38"/>
    </row>
    <row r="8320" ht="15.75" customHeight="1">
      <c r="A8320" s="35"/>
      <c r="C8320" s="442"/>
      <c r="P8320" s="235"/>
      <c r="AI8320" s="38"/>
    </row>
    <row r="8321" ht="15.75" customHeight="1">
      <c r="A8321" s="35"/>
      <c r="C8321" s="442"/>
      <c r="P8321" s="235"/>
      <c r="AI8321" s="38"/>
    </row>
    <row r="8322" ht="15.75" customHeight="1">
      <c r="A8322" s="35"/>
      <c r="C8322" s="442"/>
      <c r="P8322" s="235"/>
      <c r="AI8322" s="38"/>
    </row>
    <row r="8323" ht="15.75" customHeight="1">
      <c r="A8323" s="35"/>
      <c r="C8323" s="442"/>
      <c r="P8323" s="235"/>
      <c r="AI8323" s="38"/>
    </row>
    <row r="8324" ht="15.75" customHeight="1">
      <c r="A8324" s="35"/>
      <c r="C8324" s="442"/>
      <c r="P8324" s="235"/>
      <c r="AI8324" s="38"/>
    </row>
    <row r="8325" ht="15.75" customHeight="1">
      <c r="A8325" s="35"/>
      <c r="C8325" s="442"/>
      <c r="P8325" s="235"/>
      <c r="AI8325" s="38"/>
    </row>
    <row r="8326" ht="15.75" customHeight="1">
      <c r="A8326" s="35"/>
      <c r="C8326" s="442"/>
      <c r="P8326" s="235"/>
      <c r="AI8326" s="38"/>
    </row>
    <row r="8327" ht="15.75" customHeight="1">
      <c r="A8327" s="35"/>
      <c r="C8327" s="442"/>
      <c r="P8327" s="235"/>
      <c r="AI8327" s="38"/>
    </row>
    <row r="8328" ht="15.75" customHeight="1">
      <c r="A8328" s="35"/>
      <c r="C8328" s="442"/>
      <c r="P8328" s="235"/>
      <c r="AI8328" s="38"/>
    </row>
    <row r="8329" ht="15.75" customHeight="1">
      <c r="A8329" s="35"/>
      <c r="C8329" s="442"/>
      <c r="P8329" s="235"/>
      <c r="AI8329" s="38"/>
    </row>
    <row r="8330" ht="15.75" customHeight="1">
      <c r="A8330" s="35"/>
      <c r="C8330" s="442"/>
      <c r="P8330" s="235"/>
      <c r="AI8330" s="38"/>
    </row>
    <row r="8331" ht="15.75" customHeight="1">
      <c r="A8331" s="35"/>
      <c r="C8331" s="442"/>
      <c r="P8331" s="235"/>
      <c r="AI8331" s="38"/>
    </row>
    <row r="8332" ht="15.75" customHeight="1">
      <c r="A8332" s="35"/>
      <c r="C8332" s="442"/>
      <c r="P8332" s="235"/>
      <c r="AI8332" s="38"/>
    </row>
    <row r="8333" ht="15.75" customHeight="1">
      <c r="A8333" s="35"/>
      <c r="C8333" s="442"/>
      <c r="P8333" s="235"/>
      <c r="AI8333" s="38"/>
    </row>
    <row r="8334" ht="15.75" customHeight="1">
      <c r="A8334" s="35"/>
      <c r="C8334" s="442"/>
      <c r="P8334" s="235"/>
      <c r="AI8334" s="38"/>
    </row>
    <row r="8335" ht="15.75" customHeight="1">
      <c r="A8335" s="35"/>
      <c r="C8335" s="442"/>
      <c r="P8335" s="235"/>
      <c r="AI8335" s="38"/>
    </row>
    <row r="8336" ht="15.75" customHeight="1">
      <c r="A8336" s="35"/>
      <c r="C8336" s="442"/>
      <c r="P8336" s="235"/>
      <c r="AI8336" s="38"/>
    </row>
    <row r="8337" ht="15.75" customHeight="1">
      <c r="A8337" s="35"/>
      <c r="C8337" s="442"/>
      <c r="P8337" s="235"/>
      <c r="AI8337" s="38"/>
    </row>
    <row r="8338" ht="15.75" customHeight="1">
      <c r="A8338" s="35"/>
      <c r="C8338" s="442"/>
      <c r="P8338" s="235"/>
      <c r="AI8338" s="38"/>
    </row>
    <row r="8339" ht="15.75" customHeight="1">
      <c r="A8339" s="35"/>
      <c r="C8339" s="442"/>
      <c r="P8339" s="235"/>
      <c r="AI8339" s="38"/>
    </row>
    <row r="8340" ht="15.75" customHeight="1">
      <c r="A8340" s="35"/>
      <c r="C8340" s="442"/>
      <c r="P8340" s="235"/>
      <c r="AI8340" s="38"/>
    </row>
    <row r="8341" ht="15.75" customHeight="1">
      <c r="A8341" s="35"/>
      <c r="C8341" s="442"/>
      <c r="P8341" s="235"/>
      <c r="AI8341" s="38"/>
    </row>
    <row r="8342" ht="15.75" customHeight="1">
      <c r="A8342" s="35"/>
      <c r="C8342" s="442"/>
      <c r="P8342" s="235"/>
      <c r="AI8342" s="38"/>
    </row>
    <row r="8343" ht="15.75" customHeight="1">
      <c r="A8343" s="35"/>
      <c r="C8343" s="442"/>
      <c r="P8343" s="235"/>
      <c r="AI8343" s="38"/>
    </row>
    <row r="8344" ht="15.75" customHeight="1">
      <c r="A8344" s="35"/>
      <c r="C8344" s="442"/>
      <c r="P8344" s="235"/>
      <c r="AI8344" s="38"/>
    </row>
    <row r="8345" ht="15.75" customHeight="1">
      <c r="A8345" s="35"/>
      <c r="C8345" s="442"/>
      <c r="P8345" s="235"/>
      <c r="AI8345" s="38"/>
    </row>
    <row r="8346" ht="15.75" customHeight="1">
      <c r="A8346" s="35"/>
      <c r="C8346" s="442"/>
      <c r="P8346" s="235"/>
      <c r="AI8346" s="38"/>
    </row>
    <row r="8347" ht="15.75" customHeight="1">
      <c r="A8347" s="35"/>
      <c r="C8347" s="442"/>
      <c r="P8347" s="235"/>
      <c r="AI8347" s="38"/>
    </row>
    <row r="8348" ht="15.75" customHeight="1">
      <c r="A8348" s="35"/>
      <c r="C8348" s="442"/>
      <c r="P8348" s="235"/>
      <c r="AI8348" s="38"/>
    </row>
    <row r="8349" ht="15.75" customHeight="1">
      <c r="A8349" s="35"/>
      <c r="C8349" s="442"/>
      <c r="P8349" s="235"/>
      <c r="AI8349" s="38"/>
    </row>
    <row r="8350" ht="15.75" customHeight="1">
      <c r="A8350" s="35"/>
      <c r="C8350" s="442"/>
      <c r="P8350" s="235"/>
      <c r="AI8350" s="38"/>
    </row>
    <row r="8351" ht="15.75" customHeight="1">
      <c r="A8351" s="35"/>
      <c r="C8351" s="442"/>
      <c r="P8351" s="235"/>
      <c r="AI8351" s="38"/>
    </row>
    <row r="8352" ht="15.75" customHeight="1">
      <c r="A8352" s="35"/>
      <c r="C8352" s="442"/>
      <c r="P8352" s="235"/>
      <c r="AI8352" s="38"/>
    </row>
    <row r="8353" ht="15.75" customHeight="1">
      <c r="A8353" s="35"/>
      <c r="C8353" s="442"/>
      <c r="P8353" s="235"/>
      <c r="AI8353" s="38"/>
    </row>
    <row r="8354" ht="15.75" customHeight="1">
      <c r="A8354" s="35"/>
      <c r="C8354" s="442"/>
      <c r="P8354" s="235"/>
      <c r="AI8354" s="38"/>
    </row>
    <row r="8355" ht="15.75" customHeight="1">
      <c r="A8355" s="35"/>
      <c r="C8355" s="442"/>
      <c r="P8355" s="235"/>
      <c r="AI8355" s="38"/>
    </row>
    <row r="8356" ht="15.75" customHeight="1">
      <c r="A8356" s="35"/>
      <c r="C8356" s="442"/>
      <c r="P8356" s="235"/>
      <c r="AI8356" s="38"/>
    </row>
    <row r="8357" ht="15.75" customHeight="1">
      <c r="A8357" s="35"/>
      <c r="C8357" s="442"/>
      <c r="P8357" s="235"/>
      <c r="AI8357" s="38"/>
    </row>
    <row r="8358" ht="15.75" customHeight="1">
      <c r="A8358" s="35"/>
      <c r="C8358" s="442"/>
      <c r="P8358" s="235"/>
      <c r="AI8358" s="38"/>
    </row>
    <row r="8359" ht="15.75" customHeight="1">
      <c r="A8359" s="35"/>
      <c r="C8359" s="442"/>
      <c r="P8359" s="235"/>
      <c r="AI8359" s="38"/>
    </row>
    <row r="8360" ht="15.75" customHeight="1">
      <c r="A8360" s="35"/>
      <c r="C8360" s="442"/>
      <c r="P8360" s="235"/>
      <c r="AI8360" s="38"/>
    </row>
    <row r="8361" ht="15.75" customHeight="1">
      <c r="A8361" s="35"/>
      <c r="C8361" s="442"/>
      <c r="P8361" s="235"/>
      <c r="AI8361" s="38"/>
    </row>
    <row r="8362" ht="15.75" customHeight="1">
      <c r="A8362" s="35"/>
      <c r="C8362" s="442"/>
      <c r="P8362" s="235"/>
      <c r="AI8362" s="38"/>
    </row>
    <row r="8363" ht="15.75" customHeight="1">
      <c r="A8363" s="35"/>
      <c r="C8363" s="442"/>
      <c r="P8363" s="235"/>
      <c r="AI8363" s="38"/>
    </row>
    <row r="8364" ht="15.75" customHeight="1">
      <c r="A8364" s="35"/>
      <c r="C8364" s="442"/>
      <c r="P8364" s="235"/>
      <c r="AI8364" s="38"/>
    </row>
    <row r="8365" ht="15.75" customHeight="1">
      <c r="A8365" s="35"/>
      <c r="C8365" s="442"/>
      <c r="P8365" s="235"/>
      <c r="AI8365" s="38"/>
    </row>
    <row r="8366" ht="15.75" customHeight="1">
      <c r="A8366" s="35"/>
      <c r="C8366" s="442"/>
      <c r="P8366" s="235"/>
      <c r="AI8366" s="38"/>
    </row>
    <row r="8367" ht="15.75" customHeight="1">
      <c r="A8367" s="35"/>
      <c r="C8367" s="442"/>
      <c r="P8367" s="235"/>
      <c r="AI8367" s="38"/>
    </row>
    <row r="8368" ht="15.75" customHeight="1">
      <c r="A8368" s="35"/>
      <c r="C8368" s="442"/>
      <c r="P8368" s="235"/>
      <c r="AI8368" s="38"/>
    </row>
    <row r="8369" ht="15.75" customHeight="1">
      <c r="A8369" s="35"/>
      <c r="C8369" s="442"/>
      <c r="P8369" s="235"/>
      <c r="AI8369" s="38"/>
    </row>
    <row r="8370" ht="15.75" customHeight="1">
      <c r="A8370" s="35"/>
      <c r="C8370" s="442"/>
      <c r="P8370" s="235"/>
      <c r="AI8370" s="38"/>
    </row>
    <row r="8371" ht="15.75" customHeight="1">
      <c r="A8371" s="35"/>
      <c r="C8371" s="442"/>
      <c r="P8371" s="235"/>
      <c r="AI8371" s="38"/>
    </row>
    <row r="8372" ht="15.75" customHeight="1">
      <c r="A8372" s="35"/>
      <c r="C8372" s="442"/>
      <c r="P8372" s="235"/>
      <c r="AI8372" s="38"/>
    </row>
    <row r="8373" ht="15.75" customHeight="1">
      <c r="A8373" s="35"/>
      <c r="C8373" s="442"/>
      <c r="P8373" s="235"/>
      <c r="AI8373" s="38"/>
    </row>
    <row r="8374" ht="15.75" customHeight="1">
      <c r="A8374" s="35"/>
      <c r="C8374" s="442"/>
      <c r="P8374" s="235"/>
      <c r="AI8374" s="38"/>
    </row>
    <row r="8375" ht="15.75" customHeight="1">
      <c r="A8375" s="35"/>
      <c r="C8375" s="442"/>
      <c r="P8375" s="235"/>
      <c r="AI8375" s="38"/>
    </row>
    <row r="8376" ht="15.75" customHeight="1">
      <c r="A8376" s="35"/>
      <c r="C8376" s="442"/>
      <c r="P8376" s="235"/>
      <c r="AI8376" s="38"/>
    </row>
    <row r="8377" ht="15.75" customHeight="1">
      <c r="A8377" s="35"/>
      <c r="C8377" s="442"/>
      <c r="P8377" s="235"/>
      <c r="AI8377" s="38"/>
    </row>
    <row r="8378" ht="15.75" customHeight="1">
      <c r="A8378" s="35"/>
      <c r="C8378" s="442"/>
      <c r="P8378" s="235"/>
      <c r="AI8378" s="38"/>
    </row>
    <row r="8379" ht="15.75" customHeight="1">
      <c r="A8379" s="35"/>
      <c r="C8379" s="442"/>
      <c r="P8379" s="235"/>
      <c r="AI8379" s="38"/>
    </row>
    <row r="8380" ht="15.75" customHeight="1">
      <c r="A8380" s="35"/>
      <c r="C8380" s="442"/>
      <c r="P8380" s="235"/>
      <c r="AI8380" s="38"/>
    </row>
    <row r="8381" ht="15.75" customHeight="1">
      <c r="A8381" s="35"/>
      <c r="C8381" s="442"/>
      <c r="P8381" s="235"/>
      <c r="AI8381" s="38"/>
    </row>
    <row r="8382" ht="15.75" customHeight="1">
      <c r="A8382" s="35"/>
      <c r="C8382" s="442"/>
      <c r="P8382" s="235"/>
      <c r="AI8382" s="38"/>
    </row>
    <row r="8383" ht="15.75" customHeight="1">
      <c r="A8383" s="35"/>
      <c r="C8383" s="442"/>
      <c r="P8383" s="235"/>
      <c r="AI8383" s="38"/>
    </row>
    <row r="8384" ht="15.75" customHeight="1">
      <c r="A8384" s="35"/>
      <c r="C8384" s="442"/>
      <c r="P8384" s="235"/>
      <c r="AI8384" s="38"/>
    </row>
    <row r="8385" ht="15.75" customHeight="1">
      <c r="A8385" s="35"/>
      <c r="C8385" s="442"/>
      <c r="P8385" s="235"/>
      <c r="AI8385" s="38"/>
    </row>
    <row r="8386" ht="15.75" customHeight="1">
      <c r="A8386" s="35"/>
      <c r="C8386" s="442"/>
      <c r="P8386" s="235"/>
      <c r="AI8386" s="38"/>
    </row>
    <row r="8387" ht="15.75" customHeight="1">
      <c r="A8387" s="35"/>
      <c r="C8387" s="442"/>
      <c r="P8387" s="235"/>
      <c r="AI8387" s="38"/>
    </row>
    <row r="8388" ht="15.75" customHeight="1">
      <c r="A8388" s="35"/>
      <c r="C8388" s="442"/>
      <c r="P8388" s="235"/>
      <c r="AI8388" s="38"/>
    </row>
    <row r="8389" ht="15.75" customHeight="1">
      <c r="A8389" s="35"/>
      <c r="C8389" s="442"/>
      <c r="P8389" s="235"/>
      <c r="AI8389" s="38"/>
    </row>
    <row r="8390" ht="15.75" customHeight="1">
      <c r="A8390" s="35"/>
      <c r="C8390" s="442"/>
      <c r="P8390" s="235"/>
      <c r="AI8390" s="38"/>
    </row>
    <row r="8391" ht="15.75" customHeight="1">
      <c r="A8391" s="35"/>
      <c r="C8391" s="442"/>
      <c r="P8391" s="235"/>
      <c r="AI8391" s="38"/>
    </row>
    <row r="8392" ht="15.75" customHeight="1">
      <c r="A8392" s="35"/>
      <c r="C8392" s="442"/>
      <c r="P8392" s="235"/>
      <c r="AI8392" s="38"/>
    </row>
    <row r="8393" ht="15.75" customHeight="1">
      <c r="A8393" s="35"/>
      <c r="C8393" s="442"/>
      <c r="P8393" s="235"/>
      <c r="AI8393" s="38"/>
    </row>
    <row r="8394" ht="15.75" customHeight="1">
      <c r="A8394" s="35"/>
      <c r="C8394" s="442"/>
      <c r="P8394" s="235"/>
      <c r="AI8394" s="38"/>
    </row>
    <row r="8395" ht="15.75" customHeight="1">
      <c r="A8395" s="35"/>
      <c r="C8395" s="442"/>
      <c r="P8395" s="235"/>
      <c r="AI8395" s="38"/>
    </row>
    <row r="8396" ht="15.75" customHeight="1">
      <c r="A8396" s="35"/>
      <c r="C8396" s="442"/>
      <c r="P8396" s="235"/>
      <c r="AI8396" s="38"/>
    </row>
    <row r="8397" ht="15.75" customHeight="1">
      <c r="A8397" s="35"/>
      <c r="C8397" s="442"/>
      <c r="P8397" s="235"/>
      <c r="AI8397" s="38"/>
    </row>
    <row r="8398" ht="15.75" customHeight="1">
      <c r="A8398" s="35"/>
      <c r="C8398" s="442"/>
      <c r="P8398" s="235"/>
      <c r="AI8398" s="38"/>
    </row>
    <row r="8399" ht="15.75" customHeight="1">
      <c r="A8399" s="35"/>
      <c r="C8399" s="442"/>
      <c r="P8399" s="235"/>
      <c r="AI8399" s="38"/>
    </row>
    <row r="8400" ht="15.75" customHeight="1">
      <c r="A8400" s="35"/>
      <c r="C8400" s="442"/>
      <c r="P8400" s="235"/>
      <c r="AI8400" s="38"/>
    </row>
    <row r="8401" ht="15.75" customHeight="1">
      <c r="A8401" s="35"/>
      <c r="C8401" s="442"/>
      <c r="P8401" s="235"/>
      <c r="AI8401" s="38"/>
    </row>
    <row r="8402" ht="15.75" customHeight="1">
      <c r="A8402" s="35"/>
      <c r="C8402" s="442"/>
      <c r="P8402" s="235"/>
      <c r="AI8402" s="38"/>
    </row>
    <row r="8403" ht="15.75" customHeight="1">
      <c r="A8403" s="35"/>
      <c r="C8403" s="442"/>
      <c r="P8403" s="235"/>
      <c r="AI8403" s="38"/>
    </row>
    <row r="8404" ht="15.75" customHeight="1">
      <c r="A8404" s="35"/>
      <c r="C8404" s="442"/>
      <c r="P8404" s="235"/>
      <c r="AI8404" s="38"/>
    </row>
    <row r="8405" ht="15.75" customHeight="1">
      <c r="A8405" s="35"/>
      <c r="C8405" s="442"/>
      <c r="P8405" s="235"/>
      <c r="AI8405" s="38"/>
    </row>
    <row r="8406" ht="15.75" customHeight="1">
      <c r="A8406" s="35"/>
      <c r="C8406" s="442"/>
      <c r="P8406" s="235"/>
      <c r="AI8406" s="38"/>
    </row>
    <row r="8407" ht="15.75" customHeight="1">
      <c r="A8407" s="35"/>
      <c r="C8407" s="442"/>
      <c r="P8407" s="235"/>
      <c r="AI8407" s="38"/>
    </row>
    <row r="8408" ht="15.75" customHeight="1">
      <c r="A8408" s="35"/>
      <c r="C8408" s="442"/>
      <c r="P8408" s="235"/>
      <c r="AI8408" s="38"/>
    </row>
    <row r="8409" ht="15.75" customHeight="1">
      <c r="A8409" s="35"/>
      <c r="C8409" s="442"/>
      <c r="P8409" s="235"/>
      <c r="AI8409" s="38"/>
    </row>
    <row r="8410" ht="15.75" customHeight="1">
      <c r="A8410" s="35"/>
      <c r="C8410" s="442"/>
      <c r="P8410" s="235"/>
      <c r="AI8410" s="38"/>
    </row>
    <row r="8411" ht="15.75" customHeight="1">
      <c r="A8411" s="35"/>
      <c r="C8411" s="442"/>
      <c r="P8411" s="235"/>
      <c r="AI8411" s="38"/>
    </row>
    <row r="8412" ht="15.75" customHeight="1">
      <c r="A8412" s="35"/>
      <c r="C8412" s="442"/>
      <c r="P8412" s="235"/>
      <c r="AI8412" s="38"/>
    </row>
    <row r="8413" ht="15.75" customHeight="1">
      <c r="A8413" s="35"/>
      <c r="C8413" s="442"/>
      <c r="P8413" s="235"/>
      <c r="AI8413" s="38"/>
    </row>
    <row r="8414" ht="15.75" customHeight="1">
      <c r="A8414" s="35"/>
      <c r="C8414" s="442"/>
      <c r="P8414" s="235"/>
      <c r="AI8414" s="38"/>
    </row>
    <row r="8415" ht="15.75" customHeight="1">
      <c r="A8415" s="35"/>
      <c r="C8415" s="442"/>
      <c r="P8415" s="235"/>
      <c r="AI8415" s="38"/>
    </row>
    <row r="8416" ht="15.75" customHeight="1">
      <c r="A8416" s="35"/>
      <c r="C8416" s="442"/>
      <c r="P8416" s="235"/>
      <c r="AI8416" s="38"/>
    </row>
    <row r="8417" ht="15.75" customHeight="1">
      <c r="A8417" s="35"/>
      <c r="C8417" s="442"/>
      <c r="P8417" s="235"/>
      <c r="AI8417" s="38"/>
    </row>
    <row r="8418" ht="15.75" customHeight="1">
      <c r="A8418" s="35"/>
      <c r="C8418" s="442"/>
      <c r="P8418" s="235"/>
      <c r="AI8418" s="38"/>
    </row>
    <row r="8419" ht="15.75" customHeight="1">
      <c r="A8419" s="35"/>
      <c r="C8419" s="442"/>
      <c r="P8419" s="235"/>
      <c r="AI8419" s="38"/>
    </row>
    <row r="8420" ht="15.75" customHeight="1">
      <c r="A8420" s="35"/>
      <c r="C8420" s="442"/>
      <c r="P8420" s="235"/>
      <c r="AI8420" s="38"/>
    </row>
    <row r="8421" ht="15.75" customHeight="1">
      <c r="A8421" s="35"/>
      <c r="C8421" s="442"/>
      <c r="P8421" s="235"/>
      <c r="AI8421" s="38"/>
    </row>
    <row r="8422" ht="15.75" customHeight="1">
      <c r="A8422" s="35"/>
      <c r="C8422" s="442"/>
      <c r="P8422" s="235"/>
      <c r="AI8422" s="38"/>
    </row>
    <row r="8423" ht="15.75" customHeight="1">
      <c r="A8423" s="35"/>
      <c r="C8423" s="442"/>
      <c r="P8423" s="235"/>
      <c r="AI8423" s="38"/>
    </row>
    <row r="8424" ht="15.75" customHeight="1">
      <c r="A8424" s="35"/>
      <c r="C8424" s="442"/>
      <c r="P8424" s="235"/>
      <c r="AI8424" s="38"/>
    </row>
    <row r="8425" ht="15.75" customHeight="1">
      <c r="A8425" s="35"/>
      <c r="C8425" s="442"/>
      <c r="P8425" s="235"/>
      <c r="AI8425" s="38"/>
    </row>
    <row r="8426" ht="15.75" customHeight="1">
      <c r="A8426" s="35"/>
      <c r="C8426" s="442"/>
      <c r="P8426" s="235"/>
      <c r="AI8426" s="38"/>
    </row>
    <row r="8427" ht="15.75" customHeight="1">
      <c r="A8427" s="35"/>
      <c r="C8427" s="442"/>
      <c r="P8427" s="235"/>
      <c r="AI8427" s="38"/>
    </row>
    <row r="8428" ht="15.75" customHeight="1">
      <c r="A8428" s="35"/>
      <c r="C8428" s="442"/>
      <c r="P8428" s="235"/>
      <c r="AI8428" s="38"/>
    </row>
    <row r="8429" ht="15.75" customHeight="1">
      <c r="A8429" s="35"/>
      <c r="C8429" s="442"/>
      <c r="P8429" s="235"/>
      <c r="AI8429" s="38"/>
    </row>
    <row r="8430" ht="15.75" customHeight="1">
      <c r="A8430" s="35"/>
      <c r="C8430" s="442"/>
      <c r="P8430" s="235"/>
      <c r="AI8430" s="38"/>
    </row>
    <row r="8431" ht="15.75" customHeight="1">
      <c r="A8431" s="35"/>
      <c r="C8431" s="442"/>
      <c r="P8431" s="235"/>
      <c r="AI8431" s="38"/>
    </row>
    <row r="8432" ht="15.75" customHeight="1">
      <c r="A8432" s="35"/>
      <c r="C8432" s="442"/>
      <c r="P8432" s="235"/>
      <c r="AI8432" s="38"/>
    </row>
    <row r="8433" ht="15.75" customHeight="1">
      <c r="A8433" s="35"/>
      <c r="C8433" s="442"/>
      <c r="P8433" s="235"/>
      <c r="AI8433" s="38"/>
    </row>
    <row r="8434" ht="15.75" customHeight="1">
      <c r="A8434" s="35"/>
      <c r="C8434" s="442"/>
      <c r="P8434" s="235"/>
      <c r="AI8434" s="38"/>
    </row>
    <row r="8435" ht="15.75" customHeight="1">
      <c r="A8435" s="35"/>
      <c r="C8435" s="442"/>
      <c r="P8435" s="235"/>
      <c r="AI8435" s="38"/>
    </row>
    <row r="8436" ht="15.75" customHeight="1">
      <c r="A8436" s="35"/>
      <c r="C8436" s="442"/>
      <c r="P8436" s="235"/>
      <c r="AI8436" s="38"/>
    </row>
    <row r="8437" ht="15.75" customHeight="1">
      <c r="A8437" s="35"/>
      <c r="C8437" s="442"/>
      <c r="P8437" s="235"/>
      <c r="AI8437" s="38"/>
    </row>
    <row r="8438" ht="15.75" customHeight="1">
      <c r="A8438" s="35"/>
      <c r="C8438" s="442"/>
      <c r="P8438" s="235"/>
      <c r="AI8438" s="38"/>
    </row>
    <row r="8439" ht="15.75" customHeight="1">
      <c r="A8439" s="35"/>
      <c r="C8439" s="442"/>
      <c r="P8439" s="235"/>
      <c r="AI8439" s="38"/>
    </row>
    <row r="8440" ht="15.75" customHeight="1">
      <c r="A8440" s="35"/>
      <c r="C8440" s="442"/>
      <c r="P8440" s="235"/>
      <c r="AI8440" s="38"/>
    </row>
    <row r="8441" ht="15.75" customHeight="1">
      <c r="A8441" s="35"/>
      <c r="C8441" s="442"/>
      <c r="P8441" s="235"/>
      <c r="AI8441" s="38"/>
    </row>
    <row r="8442" ht="15.75" customHeight="1">
      <c r="A8442" s="35"/>
      <c r="C8442" s="442"/>
      <c r="P8442" s="235"/>
      <c r="AI8442" s="38"/>
    </row>
    <row r="8443" ht="15.75" customHeight="1">
      <c r="A8443" s="35"/>
      <c r="C8443" s="442"/>
      <c r="P8443" s="235"/>
      <c r="AI8443" s="38"/>
    </row>
    <row r="8444" ht="15.75" customHeight="1">
      <c r="A8444" s="35"/>
      <c r="C8444" s="442"/>
      <c r="P8444" s="235"/>
      <c r="AI8444" s="38"/>
    </row>
    <row r="8445" ht="15.75" customHeight="1">
      <c r="A8445" s="35"/>
      <c r="C8445" s="442"/>
      <c r="P8445" s="235"/>
      <c r="AI8445" s="38"/>
    </row>
    <row r="8446" ht="15.75" customHeight="1">
      <c r="A8446" s="35"/>
      <c r="C8446" s="442"/>
      <c r="P8446" s="235"/>
      <c r="AI8446" s="38"/>
    </row>
    <row r="8447" ht="15.75" customHeight="1">
      <c r="A8447" s="35"/>
      <c r="C8447" s="442"/>
      <c r="P8447" s="235"/>
      <c r="AI8447" s="38"/>
    </row>
    <row r="8448" ht="15.75" customHeight="1">
      <c r="A8448" s="35"/>
      <c r="C8448" s="442"/>
      <c r="P8448" s="235"/>
      <c r="AI8448" s="38"/>
    </row>
    <row r="8449" ht="15.75" customHeight="1">
      <c r="A8449" s="35"/>
      <c r="C8449" s="442"/>
      <c r="P8449" s="235"/>
      <c r="AI8449" s="38"/>
    </row>
    <row r="8450" ht="15.75" customHeight="1">
      <c r="A8450" s="35"/>
      <c r="C8450" s="442"/>
      <c r="P8450" s="235"/>
      <c r="AI8450" s="38"/>
    </row>
    <row r="8451" ht="15.75" customHeight="1">
      <c r="A8451" s="35"/>
      <c r="C8451" s="442"/>
      <c r="P8451" s="235"/>
      <c r="AI8451" s="38"/>
    </row>
    <row r="8452" ht="15.75" customHeight="1">
      <c r="A8452" s="35"/>
      <c r="C8452" s="442"/>
      <c r="P8452" s="235"/>
      <c r="AI8452" s="38"/>
    </row>
    <row r="8453" ht="15.75" customHeight="1">
      <c r="A8453" s="35"/>
      <c r="C8453" s="442"/>
      <c r="P8453" s="235"/>
      <c r="AI8453" s="38"/>
    </row>
    <row r="8454" ht="15.75" customHeight="1">
      <c r="A8454" s="35"/>
      <c r="C8454" s="442"/>
      <c r="P8454" s="235"/>
      <c r="AI8454" s="38"/>
    </row>
    <row r="8455" ht="15.75" customHeight="1">
      <c r="A8455" s="35"/>
      <c r="C8455" s="442"/>
      <c r="P8455" s="235"/>
      <c r="AI8455" s="38"/>
    </row>
    <row r="8456" ht="15.75" customHeight="1">
      <c r="A8456" s="35"/>
      <c r="C8456" s="442"/>
      <c r="P8456" s="235"/>
      <c r="AI8456" s="38"/>
    </row>
    <row r="8457" ht="15.75" customHeight="1">
      <c r="A8457" s="35"/>
      <c r="C8457" s="442"/>
      <c r="P8457" s="235"/>
      <c r="AI8457" s="38"/>
    </row>
    <row r="8458" ht="15.75" customHeight="1">
      <c r="A8458" s="35"/>
      <c r="C8458" s="442"/>
      <c r="P8458" s="235"/>
      <c r="AI8458" s="38"/>
    </row>
    <row r="8459" ht="15.75" customHeight="1">
      <c r="A8459" s="35"/>
      <c r="C8459" s="442"/>
      <c r="P8459" s="235"/>
      <c r="AI8459" s="38"/>
    </row>
    <row r="8460" ht="15.75" customHeight="1">
      <c r="A8460" s="35"/>
      <c r="C8460" s="442"/>
      <c r="P8460" s="235"/>
      <c r="AI8460" s="38"/>
    </row>
    <row r="8461" ht="15.75" customHeight="1">
      <c r="A8461" s="35"/>
      <c r="C8461" s="442"/>
      <c r="P8461" s="235"/>
      <c r="AI8461" s="38"/>
    </row>
    <row r="8462" ht="15.75" customHeight="1">
      <c r="A8462" s="35"/>
      <c r="C8462" s="442"/>
      <c r="P8462" s="235"/>
      <c r="AI8462" s="38"/>
    </row>
    <row r="8463" ht="15.75" customHeight="1">
      <c r="A8463" s="35"/>
      <c r="C8463" s="442"/>
      <c r="P8463" s="235"/>
      <c r="AI8463" s="38"/>
    </row>
    <row r="8464" ht="15.75" customHeight="1">
      <c r="A8464" s="35"/>
      <c r="C8464" s="442"/>
      <c r="P8464" s="235"/>
      <c r="AI8464" s="38"/>
    </row>
    <row r="8465" ht="15.75" customHeight="1">
      <c r="A8465" s="35"/>
      <c r="C8465" s="442"/>
      <c r="P8465" s="235"/>
      <c r="AI8465" s="38"/>
    </row>
    <row r="8466" ht="15.75" customHeight="1">
      <c r="A8466" s="35"/>
      <c r="C8466" s="442"/>
      <c r="P8466" s="235"/>
      <c r="AI8466" s="38"/>
    </row>
    <row r="8467" ht="15.75" customHeight="1">
      <c r="A8467" s="35"/>
      <c r="C8467" s="442"/>
      <c r="P8467" s="235"/>
      <c r="AI8467" s="38"/>
    </row>
    <row r="8468" ht="15.75" customHeight="1">
      <c r="A8468" s="35"/>
      <c r="C8468" s="442"/>
      <c r="P8468" s="235"/>
      <c r="AI8468" s="38"/>
    </row>
    <row r="8469" ht="15.75" customHeight="1">
      <c r="A8469" s="35"/>
      <c r="C8469" s="442"/>
      <c r="P8469" s="235"/>
      <c r="AI8469" s="38"/>
    </row>
    <row r="8470" ht="15.75" customHeight="1">
      <c r="A8470" s="35"/>
      <c r="C8470" s="442"/>
      <c r="P8470" s="235"/>
      <c r="AI8470" s="38"/>
    </row>
    <row r="8471" ht="15.75" customHeight="1">
      <c r="A8471" s="35"/>
      <c r="C8471" s="442"/>
      <c r="P8471" s="235"/>
      <c r="AI8471" s="38"/>
    </row>
    <row r="8472" ht="15.75" customHeight="1">
      <c r="A8472" s="35"/>
      <c r="C8472" s="442"/>
      <c r="P8472" s="235"/>
      <c r="AI8472" s="38"/>
    </row>
    <row r="8473" ht="15.75" customHeight="1">
      <c r="A8473" s="35"/>
      <c r="C8473" s="442"/>
      <c r="P8473" s="235"/>
      <c r="AI8473" s="38"/>
    </row>
    <row r="8474" ht="15.75" customHeight="1">
      <c r="A8474" s="35"/>
      <c r="C8474" s="442"/>
      <c r="P8474" s="235"/>
      <c r="AI8474" s="38"/>
    </row>
    <row r="8475" ht="15.75" customHeight="1">
      <c r="A8475" s="35"/>
      <c r="C8475" s="442"/>
      <c r="P8475" s="235"/>
      <c r="AI8475" s="38"/>
    </row>
    <row r="8476" ht="15.75" customHeight="1">
      <c r="A8476" s="35"/>
      <c r="C8476" s="442"/>
      <c r="P8476" s="235"/>
      <c r="AI8476" s="38"/>
    </row>
    <row r="8477" ht="15.75" customHeight="1">
      <c r="A8477" s="35"/>
      <c r="C8477" s="442"/>
      <c r="P8477" s="235"/>
      <c r="AI8477" s="38"/>
    </row>
    <row r="8478" ht="15.75" customHeight="1">
      <c r="A8478" s="35"/>
      <c r="C8478" s="442"/>
      <c r="P8478" s="235"/>
      <c r="AI8478" s="38"/>
    </row>
    <row r="8479" ht="15.75" customHeight="1">
      <c r="A8479" s="35"/>
      <c r="C8479" s="442"/>
      <c r="P8479" s="235"/>
      <c r="AI8479" s="38"/>
    </row>
    <row r="8480" ht="15.75" customHeight="1">
      <c r="A8480" s="35"/>
      <c r="C8480" s="442"/>
      <c r="P8480" s="235"/>
      <c r="AI8480" s="38"/>
    </row>
    <row r="8481" ht="15.75" customHeight="1">
      <c r="A8481" s="35"/>
      <c r="C8481" s="442"/>
      <c r="P8481" s="235"/>
      <c r="AI8481" s="38"/>
    </row>
    <row r="8482" ht="15.75" customHeight="1">
      <c r="A8482" s="35"/>
      <c r="C8482" s="442"/>
      <c r="P8482" s="235"/>
      <c r="AI8482" s="38"/>
    </row>
    <row r="8483" ht="15.75" customHeight="1">
      <c r="A8483" s="35"/>
      <c r="C8483" s="442"/>
      <c r="P8483" s="235"/>
      <c r="AI8483" s="38"/>
    </row>
    <row r="8484" ht="15.75" customHeight="1">
      <c r="A8484" s="35"/>
      <c r="C8484" s="442"/>
      <c r="P8484" s="235"/>
      <c r="AI8484" s="38"/>
    </row>
    <row r="8485" ht="15.75" customHeight="1">
      <c r="A8485" s="35"/>
      <c r="C8485" s="442"/>
      <c r="P8485" s="235"/>
      <c r="AI8485" s="38"/>
    </row>
    <row r="8486" ht="15.75" customHeight="1">
      <c r="A8486" s="35"/>
      <c r="C8486" s="442"/>
      <c r="P8486" s="235"/>
      <c r="AI8486" s="38"/>
    </row>
    <row r="8487" ht="15.75" customHeight="1">
      <c r="A8487" s="35"/>
      <c r="C8487" s="442"/>
      <c r="P8487" s="235"/>
      <c r="AI8487" s="38"/>
    </row>
    <row r="8488" ht="15.75" customHeight="1">
      <c r="A8488" s="35"/>
      <c r="C8488" s="442"/>
      <c r="P8488" s="235"/>
      <c r="AI8488" s="38"/>
    </row>
    <row r="8489" ht="15.75" customHeight="1">
      <c r="A8489" s="35"/>
      <c r="C8489" s="442"/>
      <c r="P8489" s="235"/>
      <c r="AI8489" s="38"/>
    </row>
    <row r="8490" ht="15.75" customHeight="1">
      <c r="A8490" s="35"/>
      <c r="C8490" s="442"/>
      <c r="P8490" s="235"/>
      <c r="AI8490" s="38"/>
    </row>
    <row r="8491" ht="15.75" customHeight="1">
      <c r="A8491" s="35"/>
      <c r="C8491" s="442"/>
      <c r="P8491" s="235"/>
      <c r="AI8491" s="38"/>
    </row>
    <row r="8492" ht="15.75" customHeight="1">
      <c r="A8492" s="35"/>
      <c r="C8492" s="442"/>
      <c r="P8492" s="235"/>
      <c r="AI8492" s="38"/>
    </row>
    <row r="8493" ht="15.75" customHeight="1">
      <c r="A8493" s="35"/>
      <c r="C8493" s="442"/>
      <c r="P8493" s="235"/>
      <c r="AI8493" s="38"/>
    </row>
    <row r="8494" ht="15.75" customHeight="1">
      <c r="A8494" s="35"/>
      <c r="C8494" s="442"/>
      <c r="P8494" s="235"/>
      <c r="AI8494" s="38"/>
    </row>
    <row r="8495" ht="15.75" customHeight="1">
      <c r="A8495" s="35"/>
      <c r="C8495" s="442"/>
      <c r="P8495" s="235"/>
      <c r="AI8495" s="38"/>
    </row>
    <row r="8496" ht="15.75" customHeight="1">
      <c r="A8496" s="35"/>
      <c r="C8496" s="442"/>
      <c r="P8496" s="235"/>
      <c r="AI8496" s="38"/>
    </row>
    <row r="8497" ht="15.75" customHeight="1">
      <c r="A8497" s="35"/>
      <c r="C8497" s="442"/>
      <c r="P8497" s="235"/>
      <c r="AI8497" s="38"/>
    </row>
    <row r="8498" ht="15.75" customHeight="1">
      <c r="A8498" s="35"/>
      <c r="C8498" s="442"/>
      <c r="P8498" s="235"/>
      <c r="AI8498" s="38"/>
    </row>
    <row r="8499" ht="15.75" customHeight="1">
      <c r="A8499" s="35"/>
      <c r="C8499" s="442"/>
      <c r="P8499" s="235"/>
      <c r="AI8499" s="38"/>
    </row>
    <row r="8500" ht="15.75" customHeight="1">
      <c r="A8500" s="35"/>
      <c r="C8500" s="442"/>
      <c r="P8500" s="235"/>
      <c r="AI8500" s="38"/>
    </row>
    <row r="8501" ht="15.75" customHeight="1">
      <c r="A8501" s="35"/>
      <c r="C8501" s="442"/>
      <c r="P8501" s="235"/>
      <c r="AI8501" s="38"/>
    </row>
    <row r="8502" ht="15.75" customHeight="1">
      <c r="A8502" s="35"/>
      <c r="C8502" s="442"/>
      <c r="P8502" s="235"/>
      <c r="AI8502" s="38"/>
    </row>
    <row r="8503" ht="15.75" customHeight="1">
      <c r="A8503" s="35"/>
      <c r="C8503" s="442"/>
      <c r="P8503" s="235"/>
      <c r="AI8503" s="38"/>
    </row>
    <row r="8504" ht="15.75" customHeight="1">
      <c r="A8504" s="35"/>
      <c r="C8504" s="442"/>
      <c r="P8504" s="235"/>
      <c r="AI8504" s="38"/>
    </row>
    <row r="8505" ht="15.75" customHeight="1">
      <c r="A8505" s="35"/>
      <c r="C8505" s="442"/>
      <c r="P8505" s="235"/>
      <c r="AI8505" s="38"/>
    </row>
    <row r="8506" ht="15.75" customHeight="1">
      <c r="A8506" s="35"/>
      <c r="C8506" s="442"/>
      <c r="P8506" s="235"/>
      <c r="AI8506" s="38"/>
    </row>
    <row r="8507" ht="15.75" customHeight="1">
      <c r="A8507" s="35"/>
      <c r="C8507" s="442"/>
      <c r="P8507" s="235"/>
      <c r="AI8507" s="38"/>
    </row>
    <row r="8508" ht="15.75" customHeight="1">
      <c r="A8508" s="35"/>
      <c r="C8508" s="442"/>
      <c r="P8508" s="235"/>
      <c r="AI8508" s="38"/>
    </row>
    <row r="8509" ht="15.75" customHeight="1">
      <c r="A8509" s="35"/>
      <c r="C8509" s="442"/>
      <c r="P8509" s="235"/>
      <c r="AI8509" s="38"/>
    </row>
    <row r="8510" ht="15.75" customHeight="1">
      <c r="A8510" s="35"/>
      <c r="C8510" s="442"/>
      <c r="P8510" s="235"/>
      <c r="AI8510" s="38"/>
    </row>
    <row r="8511" ht="15.75" customHeight="1">
      <c r="A8511" s="35"/>
      <c r="C8511" s="442"/>
      <c r="P8511" s="235"/>
      <c r="AI8511" s="38"/>
    </row>
    <row r="8512" ht="15.75" customHeight="1">
      <c r="A8512" s="35"/>
      <c r="C8512" s="442"/>
      <c r="P8512" s="235"/>
      <c r="AI8512" s="38"/>
    </row>
    <row r="8513" ht="15.75" customHeight="1">
      <c r="A8513" s="35"/>
      <c r="C8513" s="442"/>
      <c r="P8513" s="235"/>
      <c r="AI8513" s="38"/>
    </row>
    <row r="8514" ht="15.75" customHeight="1">
      <c r="A8514" s="35"/>
      <c r="C8514" s="442"/>
      <c r="P8514" s="235"/>
      <c r="AI8514" s="38"/>
    </row>
    <row r="8515" ht="15.75" customHeight="1">
      <c r="A8515" s="35"/>
      <c r="C8515" s="442"/>
      <c r="P8515" s="235"/>
      <c r="AI8515" s="38"/>
    </row>
    <row r="8516" ht="15.75" customHeight="1">
      <c r="A8516" s="35"/>
      <c r="C8516" s="442"/>
      <c r="P8516" s="235"/>
      <c r="AI8516" s="38"/>
    </row>
    <row r="8517" ht="15.75" customHeight="1">
      <c r="A8517" s="35"/>
      <c r="C8517" s="442"/>
      <c r="P8517" s="235"/>
      <c r="AI8517" s="38"/>
    </row>
    <row r="8518" ht="15.75" customHeight="1">
      <c r="A8518" s="35"/>
      <c r="C8518" s="442"/>
      <c r="P8518" s="235"/>
      <c r="AI8518" s="38"/>
    </row>
    <row r="8519" ht="15.75" customHeight="1">
      <c r="A8519" s="35"/>
      <c r="C8519" s="442"/>
      <c r="P8519" s="235"/>
      <c r="AI8519" s="38"/>
    </row>
    <row r="8520" ht="15.75" customHeight="1">
      <c r="A8520" s="35"/>
      <c r="C8520" s="442"/>
      <c r="P8520" s="235"/>
      <c r="AI8520" s="38"/>
    </row>
    <row r="8521" ht="15.75" customHeight="1">
      <c r="A8521" s="35"/>
      <c r="C8521" s="442"/>
      <c r="P8521" s="235"/>
      <c r="AI8521" s="38"/>
    </row>
    <row r="8522" ht="15.75" customHeight="1">
      <c r="A8522" s="35"/>
      <c r="C8522" s="442"/>
      <c r="P8522" s="235"/>
      <c r="AI8522" s="38"/>
    </row>
    <row r="8523" ht="15.75" customHeight="1">
      <c r="A8523" s="35"/>
      <c r="C8523" s="442"/>
      <c r="P8523" s="235"/>
      <c r="AI8523" s="38"/>
    </row>
    <row r="8524" ht="15.75" customHeight="1">
      <c r="A8524" s="35"/>
      <c r="C8524" s="442"/>
      <c r="P8524" s="235"/>
      <c r="AI8524" s="38"/>
    </row>
    <row r="8525" ht="15.75" customHeight="1">
      <c r="A8525" s="35"/>
      <c r="C8525" s="442"/>
      <c r="P8525" s="235"/>
      <c r="AI8525" s="38"/>
    </row>
    <row r="8526" ht="15.75" customHeight="1">
      <c r="A8526" s="35"/>
      <c r="C8526" s="442"/>
      <c r="P8526" s="235"/>
      <c r="AI8526" s="38"/>
    </row>
    <row r="8527" ht="15.75" customHeight="1">
      <c r="A8527" s="35"/>
      <c r="C8527" s="442"/>
      <c r="P8527" s="235"/>
      <c r="AI8527" s="38"/>
    </row>
    <row r="8528" ht="15.75" customHeight="1">
      <c r="A8528" s="35"/>
      <c r="C8528" s="442"/>
      <c r="P8528" s="235"/>
      <c r="AI8528" s="38"/>
    </row>
    <row r="8529" ht="15.75" customHeight="1">
      <c r="A8529" s="35"/>
      <c r="C8529" s="442"/>
      <c r="P8529" s="235"/>
      <c r="AI8529" s="38"/>
    </row>
    <row r="8530" ht="15.75" customHeight="1">
      <c r="A8530" s="35"/>
      <c r="C8530" s="442"/>
      <c r="P8530" s="235"/>
      <c r="AI8530" s="38"/>
    </row>
    <row r="8531" ht="15.75" customHeight="1">
      <c r="A8531" s="35"/>
      <c r="C8531" s="442"/>
      <c r="P8531" s="235"/>
      <c r="AI8531" s="38"/>
    </row>
    <row r="8532" ht="15.75" customHeight="1">
      <c r="A8532" s="35"/>
      <c r="C8532" s="442"/>
      <c r="P8532" s="235"/>
      <c r="AI8532" s="38"/>
    </row>
    <row r="8533" ht="15.75" customHeight="1">
      <c r="A8533" s="35"/>
      <c r="C8533" s="442"/>
      <c r="P8533" s="235"/>
      <c r="AI8533" s="38"/>
    </row>
    <row r="8534" ht="15.75" customHeight="1">
      <c r="A8534" s="35"/>
      <c r="C8534" s="442"/>
      <c r="P8534" s="235"/>
      <c r="AI8534" s="38"/>
    </row>
    <row r="8535" ht="15.75" customHeight="1">
      <c r="A8535" s="35"/>
      <c r="C8535" s="442"/>
      <c r="P8535" s="235"/>
      <c r="AI8535" s="38"/>
    </row>
    <row r="8536" ht="15.75" customHeight="1">
      <c r="A8536" s="35"/>
      <c r="C8536" s="442"/>
      <c r="P8536" s="235"/>
      <c r="AI8536" s="38"/>
    </row>
    <row r="8537" ht="15.75" customHeight="1">
      <c r="A8537" s="35"/>
      <c r="C8537" s="442"/>
      <c r="P8537" s="235"/>
      <c r="AI8537" s="38"/>
    </row>
    <row r="8538" ht="15.75" customHeight="1">
      <c r="A8538" s="35"/>
      <c r="C8538" s="442"/>
      <c r="P8538" s="235"/>
      <c r="AI8538" s="38"/>
    </row>
    <row r="8539" ht="15.75" customHeight="1">
      <c r="A8539" s="35"/>
      <c r="C8539" s="442"/>
      <c r="P8539" s="235"/>
      <c r="AI8539" s="38"/>
    </row>
    <row r="8540" ht="15.75" customHeight="1">
      <c r="A8540" s="35"/>
      <c r="C8540" s="442"/>
      <c r="P8540" s="235"/>
      <c r="AI8540" s="38"/>
    </row>
    <row r="8541" ht="15.75" customHeight="1">
      <c r="A8541" s="35"/>
      <c r="C8541" s="442"/>
      <c r="P8541" s="235"/>
      <c r="AI8541" s="38"/>
    </row>
    <row r="8542" ht="15.75" customHeight="1">
      <c r="A8542" s="35"/>
      <c r="C8542" s="442"/>
      <c r="P8542" s="235"/>
      <c r="AI8542" s="38"/>
    </row>
    <row r="8543" ht="15.75" customHeight="1">
      <c r="A8543" s="35"/>
      <c r="C8543" s="442"/>
      <c r="P8543" s="235"/>
      <c r="AI8543" s="38"/>
    </row>
    <row r="8544" ht="15.75" customHeight="1">
      <c r="A8544" s="35"/>
      <c r="C8544" s="442"/>
      <c r="P8544" s="235"/>
      <c r="AI8544" s="38"/>
    </row>
    <row r="8545" ht="15.75" customHeight="1">
      <c r="A8545" s="35"/>
      <c r="C8545" s="442"/>
      <c r="P8545" s="235"/>
      <c r="AI8545" s="38"/>
    </row>
    <row r="8546" ht="15.75" customHeight="1">
      <c r="A8546" s="35"/>
      <c r="C8546" s="442"/>
      <c r="P8546" s="235"/>
      <c r="AI8546" s="38"/>
    </row>
    <row r="8547" ht="15.75" customHeight="1">
      <c r="A8547" s="35"/>
      <c r="C8547" s="442"/>
      <c r="P8547" s="235"/>
      <c r="AI8547" s="38"/>
    </row>
    <row r="8548" ht="15.75" customHeight="1">
      <c r="A8548" s="35"/>
      <c r="C8548" s="442"/>
      <c r="P8548" s="235"/>
      <c r="AI8548" s="38"/>
    </row>
    <row r="8549" ht="15.75" customHeight="1">
      <c r="A8549" s="35"/>
      <c r="C8549" s="442"/>
      <c r="P8549" s="235"/>
      <c r="AI8549" s="38"/>
    </row>
    <row r="8550" ht="15.75" customHeight="1">
      <c r="A8550" s="35"/>
      <c r="C8550" s="442"/>
      <c r="P8550" s="235"/>
      <c r="AI8550" s="38"/>
    </row>
    <row r="8551" ht="15.75" customHeight="1">
      <c r="A8551" s="35"/>
      <c r="C8551" s="442"/>
      <c r="P8551" s="235"/>
      <c r="AI8551" s="38"/>
    </row>
    <row r="8552" ht="15.75" customHeight="1">
      <c r="A8552" s="35"/>
      <c r="C8552" s="442"/>
      <c r="P8552" s="235"/>
      <c r="AI8552" s="38"/>
    </row>
    <row r="8553" ht="15.75" customHeight="1">
      <c r="A8553" s="35"/>
      <c r="C8553" s="442"/>
      <c r="P8553" s="235"/>
      <c r="AI8553" s="38"/>
    </row>
    <row r="8554" ht="15.75" customHeight="1">
      <c r="A8554" s="35"/>
      <c r="C8554" s="442"/>
      <c r="P8554" s="235"/>
      <c r="AI8554" s="38"/>
    </row>
    <row r="8555" ht="15.75" customHeight="1">
      <c r="A8555" s="35"/>
      <c r="C8555" s="442"/>
      <c r="P8555" s="235"/>
      <c r="AI8555" s="38"/>
    </row>
    <row r="8556" ht="15.75" customHeight="1">
      <c r="A8556" s="35"/>
      <c r="C8556" s="442"/>
      <c r="P8556" s="235"/>
      <c r="AI8556" s="38"/>
    </row>
    <row r="8557" ht="15.75" customHeight="1">
      <c r="A8557" s="35"/>
      <c r="C8557" s="442"/>
      <c r="P8557" s="235"/>
      <c r="AI8557" s="38"/>
    </row>
    <row r="8558" ht="15.75" customHeight="1">
      <c r="A8558" s="35"/>
      <c r="C8558" s="442"/>
      <c r="P8558" s="235"/>
      <c r="AI8558" s="38"/>
    </row>
    <row r="8559" ht="15.75" customHeight="1">
      <c r="A8559" s="35"/>
      <c r="C8559" s="442"/>
      <c r="P8559" s="235"/>
      <c r="AI8559" s="38"/>
    </row>
    <row r="8560" ht="15.75" customHeight="1">
      <c r="A8560" s="35"/>
      <c r="C8560" s="442"/>
      <c r="P8560" s="235"/>
      <c r="AI8560" s="38"/>
    </row>
    <row r="8561" ht="15.75" customHeight="1">
      <c r="A8561" s="35"/>
      <c r="C8561" s="442"/>
      <c r="P8561" s="235"/>
      <c r="AI8561" s="38"/>
    </row>
    <row r="8562" ht="15.75" customHeight="1">
      <c r="A8562" s="35"/>
      <c r="C8562" s="442"/>
      <c r="P8562" s="235"/>
      <c r="AI8562" s="38"/>
    </row>
    <row r="8563" ht="15.75" customHeight="1">
      <c r="A8563" s="35"/>
      <c r="C8563" s="442"/>
      <c r="P8563" s="235"/>
      <c r="AI8563" s="38"/>
    </row>
    <row r="8564" ht="15.75" customHeight="1">
      <c r="A8564" s="35"/>
      <c r="C8564" s="442"/>
      <c r="P8564" s="235"/>
      <c r="AI8564" s="38"/>
    </row>
    <row r="8565" ht="15.75" customHeight="1">
      <c r="A8565" s="35"/>
      <c r="C8565" s="442"/>
      <c r="P8565" s="235"/>
      <c r="AI8565" s="38"/>
    </row>
    <row r="8566" ht="15.75" customHeight="1">
      <c r="A8566" s="35"/>
      <c r="C8566" s="442"/>
      <c r="P8566" s="235"/>
      <c r="AI8566" s="38"/>
    </row>
    <row r="8567" ht="15.75" customHeight="1">
      <c r="A8567" s="35"/>
      <c r="C8567" s="442"/>
      <c r="P8567" s="235"/>
      <c r="AI8567" s="38"/>
    </row>
    <row r="8568" ht="15.75" customHeight="1">
      <c r="A8568" s="35"/>
      <c r="C8568" s="442"/>
      <c r="P8568" s="235"/>
      <c r="AI8568" s="38"/>
    </row>
    <row r="8569" ht="15.75" customHeight="1">
      <c r="A8569" s="35"/>
      <c r="C8569" s="442"/>
      <c r="P8569" s="235"/>
      <c r="AI8569" s="38"/>
    </row>
    <row r="8570" ht="15.75" customHeight="1">
      <c r="A8570" s="35"/>
      <c r="C8570" s="442"/>
      <c r="P8570" s="235"/>
      <c r="AI8570" s="38"/>
    </row>
    <row r="8571" ht="15.75" customHeight="1">
      <c r="A8571" s="35"/>
      <c r="C8571" s="442"/>
      <c r="P8571" s="235"/>
      <c r="AI8571" s="38"/>
    </row>
    <row r="8572" ht="15.75" customHeight="1">
      <c r="A8572" s="35"/>
      <c r="C8572" s="442"/>
      <c r="P8572" s="235"/>
      <c r="AI8572" s="38"/>
    </row>
    <row r="8573" ht="15.75" customHeight="1">
      <c r="A8573" s="35"/>
      <c r="C8573" s="442"/>
      <c r="P8573" s="235"/>
      <c r="AI8573" s="38"/>
    </row>
    <row r="8574" ht="15.75" customHeight="1">
      <c r="A8574" s="35"/>
      <c r="C8574" s="442"/>
      <c r="P8574" s="235"/>
      <c r="AI8574" s="38"/>
    </row>
    <row r="8575" ht="15.75" customHeight="1">
      <c r="A8575" s="35"/>
      <c r="C8575" s="442"/>
      <c r="P8575" s="235"/>
      <c r="AI8575" s="38"/>
    </row>
    <row r="8576" ht="15.75" customHeight="1">
      <c r="A8576" s="35"/>
      <c r="C8576" s="442"/>
      <c r="P8576" s="235"/>
      <c r="AI8576" s="38"/>
    </row>
    <row r="8577" ht="15.75" customHeight="1">
      <c r="A8577" s="35"/>
      <c r="C8577" s="442"/>
      <c r="P8577" s="235"/>
      <c r="AI8577" s="38"/>
    </row>
    <row r="8578" ht="15.75" customHeight="1">
      <c r="A8578" s="35"/>
      <c r="C8578" s="442"/>
      <c r="P8578" s="235"/>
      <c r="AI8578" s="38"/>
    </row>
    <row r="8579" ht="15.75" customHeight="1">
      <c r="A8579" s="35"/>
      <c r="C8579" s="442"/>
      <c r="P8579" s="235"/>
      <c r="AI8579" s="38"/>
    </row>
    <row r="8580" ht="15.75" customHeight="1">
      <c r="A8580" s="35"/>
      <c r="C8580" s="442"/>
      <c r="P8580" s="235"/>
      <c r="AI8580" s="38"/>
    </row>
    <row r="8581" ht="15.75" customHeight="1">
      <c r="A8581" s="35"/>
      <c r="C8581" s="442"/>
      <c r="P8581" s="235"/>
      <c r="AI8581" s="38"/>
    </row>
    <row r="8582" ht="15.75" customHeight="1">
      <c r="A8582" s="35"/>
      <c r="C8582" s="442"/>
      <c r="P8582" s="235"/>
      <c r="AI8582" s="38"/>
    </row>
    <row r="8583" ht="15.75" customHeight="1">
      <c r="A8583" s="35"/>
      <c r="C8583" s="442"/>
      <c r="P8583" s="235"/>
      <c r="AI8583" s="38"/>
    </row>
    <row r="8584" ht="15.75" customHeight="1">
      <c r="A8584" s="35"/>
      <c r="C8584" s="442"/>
      <c r="P8584" s="235"/>
      <c r="AI8584" s="38"/>
    </row>
    <row r="8585" ht="15.75" customHeight="1">
      <c r="A8585" s="35"/>
      <c r="C8585" s="442"/>
      <c r="P8585" s="235"/>
      <c r="AI8585" s="38"/>
    </row>
    <row r="8586" ht="15.75" customHeight="1">
      <c r="A8586" s="35"/>
      <c r="C8586" s="442"/>
      <c r="P8586" s="235"/>
      <c r="AI8586" s="38"/>
    </row>
    <row r="8587" ht="15.75" customHeight="1">
      <c r="A8587" s="35"/>
      <c r="C8587" s="442"/>
      <c r="P8587" s="235"/>
      <c r="AI8587" s="38"/>
    </row>
    <row r="8588" ht="15.75" customHeight="1">
      <c r="A8588" s="35"/>
      <c r="C8588" s="442"/>
      <c r="P8588" s="235"/>
      <c r="AI8588" s="38"/>
    </row>
    <row r="8589" ht="15.75" customHeight="1">
      <c r="A8589" s="35"/>
      <c r="C8589" s="442"/>
      <c r="P8589" s="235"/>
      <c r="AI8589" s="38"/>
    </row>
    <row r="8590" ht="15.75" customHeight="1">
      <c r="A8590" s="35"/>
      <c r="C8590" s="442"/>
      <c r="P8590" s="235"/>
      <c r="AI8590" s="38"/>
    </row>
    <row r="8591" ht="15.75" customHeight="1">
      <c r="A8591" s="35"/>
      <c r="C8591" s="442"/>
      <c r="P8591" s="235"/>
      <c r="AI8591" s="38"/>
    </row>
    <row r="8592" ht="15.75" customHeight="1">
      <c r="A8592" s="35"/>
      <c r="C8592" s="442"/>
      <c r="P8592" s="235"/>
      <c r="AI8592" s="38"/>
    </row>
    <row r="8593" ht="15.75" customHeight="1">
      <c r="A8593" s="35"/>
      <c r="C8593" s="442"/>
      <c r="P8593" s="235"/>
      <c r="AI8593" s="38"/>
    </row>
    <row r="8594" ht="15.75" customHeight="1">
      <c r="A8594" s="35"/>
      <c r="C8594" s="442"/>
      <c r="P8594" s="235"/>
      <c r="AI8594" s="38"/>
    </row>
    <row r="8595" ht="15.75" customHeight="1">
      <c r="A8595" s="35"/>
      <c r="C8595" s="442"/>
      <c r="P8595" s="235"/>
      <c r="AI8595" s="38"/>
    </row>
    <row r="8596" ht="15.75" customHeight="1">
      <c r="A8596" s="35"/>
      <c r="C8596" s="442"/>
      <c r="P8596" s="235"/>
      <c r="AI8596" s="38"/>
    </row>
    <row r="8597" ht="15.75" customHeight="1">
      <c r="A8597" s="35"/>
      <c r="C8597" s="442"/>
      <c r="P8597" s="235"/>
      <c r="AI8597" s="38"/>
    </row>
    <row r="8598" ht="15.75" customHeight="1">
      <c r="A8598" s="35"/>
      <c r="C8598" s="442"/>
      <c r="P8598" s="235"/>
      <c r="AI8598" s="38"/>
    </row>
    <row r="8599" ht="15.75" customHeight="1">
      <c r="A8599" s="35"/>
      <c r="C8599" s="442"/>
      <c r="P8599" s="235"/>
      <c r="AI8599" s="38"/>
    </row>
    <row r="8600" ht="15.75" customHeight="1">
      <c r="A8600" s="35"/>
      <c r="C8600" s="442"/>
      <c r="P8600" s="235"/>
      <c r="AI8600" s="38"/>
    </row>
    <row r="8601" ht="15.75" customHeight="1">
      <c r="A8601" s="35"/>
      <c r="C8601" s="442"/>
      <c r="P8601" s="235"/>
      <c r="AI8601" s="38"/>
    </row>
    <row r="8602" ht="15.75" customHeight="1">
      <c r="A8602" s="35"/>
      <c r="C8602" s="442"/>
      <c r="P8602" s="235"/>
      <c r="AI8602" s="38"/>
    </row>
    <row r="8603" ht="15.75" customHeight="1">
      <c r="A8603" s="35"/>
      <c r="C8603" s="442"/>
      <c r="P8603" s="235"/>
      <c r="AI8603" s="38"/>
    </row>
    <row r="8604" ht="15.75" customHeight="1">
      <c r="A8604" s="35"/>
      <c r="C8604" s="442"/>
      <c r="P8604" s="235"/>
      <c r="AI8604" s="38"/>
    </row>
    <row r="8605" ht="15.75" customHeight="1">
      <c r="A8605" s="35"/>
      <c r="C8605" s="442"/>
      <c r="P8605" s="235"/>
      <c r="AI8605" s="38"/>
    </row>
    <row r="8606" ht="15.75" customHeight="1">
      <c r="A8606" s="35"/>
      <c r="C8606" s="442"/>
      <c r="P8606" s="235"/>
      <c r="AI8606" s="38"/>
    </row>
    <row r="8607" ht="15.75" customHeight="1">
      <c r="A8607" s="35"/>
      <c r="C8607" s="442"/>
      <c r="P8607" s="235"/>
      <c r="AI8607" s="38"/>
    </row>
    <row r="8608" ht="15.75" customHeight="1">
      <c r="A8608" s="35"/>
      <c r="C8608" s="442"/>
      <c r="P8608" s="235"/>
      <c r="AI8608" s="38"/>
    </row>
    <row r="8609" ht="15.75" customHeight="1">
      <c r="A8609" s="35"/>
      <c r="C8609" s="442"/>
      <c r="P8609" s="235"/>
      <c r="AI8609" s="38"/>
    </row>
    <row r="8610" ht="15.75" customHeight="1">
      <c r="A8610" s="35"/>
      <c r="C8610" s="442"/>
      <c r="P8610" s="235"/>
      <c r="AI8610" s="38"/>
    </row>
    <row r="8611" ht="15.75" customHeight="1">
      <c r="A8611" s="35"/>
      <c r="C8611" s="442"/>
      <c r="P8611" s="235"/>
      <c r="AI8611" s="38"/>
    </row>
    <row r="8612" ht="15.75" customHeight="1">
      <c r="A8612" s="35"/>
      <c r="C8612" s="442"/>
      <c r="P8612" s="235"/>
      <c r="AI8612" s="38"/>
    </row>
    <row r="8613" ht="15.75" customHeight="1">
      <c r="A8613" s="35"/>
      <c r="C8613" s="442"/>
      <c r="P8613" s="235"/>
      <c r="AI8613" s="38"/>
    </row>
    <row r="8614" ht="15.75" customHeight="1">
      <c r="A8614" s="35"/>
      <c r="C8614" s="442"/>
      <c r="P8614" s="235"/>
      <c r="AI8614" s="38"/>
    </row>
    <row r="8615" ht="15.75" customHeight="1">
      <c r="A8615" s="35"/>
      <c r="C8615" s="442"/>
      <c r="P8615" s="235"/>
      <c r="AI8615" s="38"/>
    </row>
    <row r="8616" ht="15.75" customHeight="1">
      <c r="A8616" s="35"/>
      <c r="C8616" s="442"/>
      <c r="P8616" s="235"/>
      <c r="AI8616" s="38"/>
    </row>
    <row r="8617" ht="15.75" customHeight="1">
      <c r="A8617" s="35"/>
      <c r="C8617" s="442"/>
      <c r="P8617" s="235"/>
      <c r="AI8617" s="38"/>
    </row>
    <row r="8618" ht="15.75" customHeight="1">
      <c r="A8618" s="35"/>
      <c r="C8618" s="442"/>
      <c r="P8618" s="235"/>
      <c r="AI8618" s="38"/>
    </row>
    <row r="8619" ht="15.75" customHeight="1">
      <c r="A8619" s="35"/>
      <c r="C8619" s="442"/>
      <c r="P8619" s="235"/>
      <c r="AI8619" s="38"/>
    </row>
    <row r="8620" ht="15.75" customHeight="1">
      <c r="A8620" s="35"/>
      <c r="C8620" s="442"/>
      <c r="P8620" s="235"/>
      <c r="AI8620" s="38"/>
    </row>
    <row r="8621" ht="15.75" customHeight="1">
      <c r="A8621" s="35"/>
      <c r="C8621" s="442"/>
      <c r="P8621" s="235"/>
      <c r="AI8621" s="38"/>
    </row>
    <row r="8622" ht="15.75" customHeight="1">
      <c r="A8622" s="35"/>
      <c r="C8622" s="442"/>
      <c r="P8622" s="235"/>
      <c r="AI8622" s="38"/>
    </row>
    <row r="8623" ht="15.75" customHeight="1">
      <c r="A8623" s="35"/>
      <c r="C8623" s="442"/>
      <c r="P8623" s="235"/>
      <c r="AI8623" s="38"/>
    </row>
    <row r="8624" ht="15.75" customHeight="1">
      <c r="A8624" s="35"/>
      <c r="C8624" s="442"/>
      <c r="P8624" s="235"/>
      <c r="AI8624" s="38"/>
    </row>
    <row r="8625" ht="15.75" customHeight="1">
      <c r="A8625" s="35"/>
      <c r="C8625" s="442"/>
      <c r="P8625" s="235"/>
      <c r="AI8625" s="38"/>
    </row>
    <row r="8626" ht="15.75" customHeight="1">
      <c r="A8626" s="35"/>
      <c r="C8626" s="442"/>
      <c r="P8626" s="235"/>
      <c r="AI8626" s="38"/>
    </row>
    <row r="8627" ht="15.75" customHeight="1">
      <c r="A8627" s="35"/>
      <c r="C8627" s="442"/>
      <c r="P8627" s="235"/>
      <c r="AI8627" s="38"/>
    </row>
    <row r="8628" ht="15.75" customHeight="1">
      <c r="A8628" s="35"/>
      <c r="C8628" s="442"/>
      <c r="P8628" s="235"/>
      <c r="AI8628" s="38"/>
    </row>
    <row r="8629" ht="15.75" customHeight="1">
      <c r="A8629" s="35"/>
      <c r="C8629" s="442"/>
      <c r="P8629" s="235"/>
      <c r="AI8629" s="38"/>
    </row>
    <row r="8630" ht="15.75" customHeight="1">
      <c r="A8630" s="35"/>
      <c r="C8630" s="442"/>
      <c r="P8630" s="235"/>
      <c r="AI8630" s="38"/>
    </row>
    <row r="8631" ht="15.75" customHeight="1">
      <c r="A8631" s="35"/>
      <c r="C8631" s="442"/>
      <c r="P8631" s="235"/>
      <c r="AI8631" s="38"/>
    </row>
    <row r="8632" ht="15.75" customHeight="1">
      <c r="A8632" s="35"/>
      <c r="C8632" s="442"/>
      <c r="P8632" s="235"/>
      <c r="AI8632" s="38"/>
    </row>
    <row r="8633" ht="15.75" customHeight="1">
      <c r="A8633" s="35"/>
      <c r="C8633" s="442"/>
      <c r="P8633" s="235"/>
      <c r="AI8633" s="38"/>
    </row>
    <row r="8634" ht="15.75" customHeight="1">
      <c r="A8634" s="35"/>
      <c r="C8634" s="442"/>
      <c r="P8634" s="235"/>
      <c r="AI8634" s="38"/>
    </row>
    <row r="8635" ht="15.75" customHeight="1">
      <c r="A8635" s="35"/>
      <c r="C8635" s="442"/>
      <c r="P8635" s="235"/>
      <c r="AI8635" s="38"/>
    </row>
    <row r="8636" ht="15.75" customHeight="1">
      <c r="A8636" s="35"/>
      <c r="C8636" s="442"/>
      <c r="P8636" s="235"/>
      <c r="AI8636" s="38"/>
    </row>
    <row r="8637" ht="15.75" customHeight="1">
      <c r="A8637" s="35"/>
      <c r="C8637" s="442"/>
      <c r="P8637" s="235"/>
      <c r="AI8637" s="38"/>
    </row>
    <row r="8638" ht="15.75" customHeight="1">
      <c r="A8638" s="35"/>
      <c r="C8638" s="442"/>
      <c r="P8638" s="235"/>
      <c r="AI8638" s="38"/>
    </row>
    <row r="8639" ht="15.75" customHeight="1">
      <c r="A8639" s="35"/>
      <c r="C8639" s="442"/>
      <c r="P8639" s="235"/>
      <c r="AI8639" s="38"/>
    </row>
    <row r="8640" ht="15.75" customHeight="1">
      <c r="A8640" s="35"/>
      <c r="C8640" s="442"/>
      <c r="P8640" s="235"/>
      <c r="AI8640" s="38"/>
    </row>
    <row r="8641" ht="15.75" customHeight="1">
      <c r="A8641" s="35"/>
      <c r="C8641" s="442"/>
      <c r="P8641" s="235"/>
      <c r="AI8641" s="38"/>
    </row>
    <row r="8642" ht="15.75" customHeight="1">
      <c r="A8642" s="35"/>
      <c r="C8642" s="442"/>
      <c r="P8642" s="235"/>
      <c r="AI8642" s="38"/>
    </row>
    <row r="8643" ht="15.75" customHeight="1">
      <c r="A8643" s="35"/>
      <c r="C8643" s="442"/>
      <c r="P8643" s="235"/>
      <c r="AI8643" s="38"/>
    </row>
    <row r="8644" ht="15.75" customHeight="1">
      <c r="A8644" s="35"/>
      <c r="C8644" s="442"/>
      <c r="P8644" s="235"/>
      <c r="AI8644" s="38"/>
    </row>
    <row r="8645" ht="15.75" customHeight="1">
      <c r="A8645" s="35"/>
      <c r="C8645" s="442"/>
      <c r="P8645" s="235"/>
      <c r="AI8645" s="38"/>
    </row>
    <row r="8646" ht="15.75" customHeight="1">
      <c r="A8646" s="35"/>
      <c r="C8646" s="442"/>
      <c r="P8646" s="235"/>
      <c r="AI8646" s="38"/>
    </row>
    <row r="8647" ht="15.75" customHeight="1">
      <c r="A8647" s="35"/>
      <c r="C8647" s="442"/>
      <c r="P8647" s="235"/>
      <c r="AI8647" s="38"/>
    </row>
    <row r="8648" ht="15.75" customHeight="1">
      <c r="A8648" s="35"/>
      <c r="C8648" s="442"/>
      <c r="P8648" s="235"/>
      <c r="AI8648" s="38"/>
    </row>
    <row r="8649" ht="15.75" customHeight="1">
      <c r="A8649" s="35"/>
      <c r="C8649" s="442"/>
      <c r="P8649" s="235"/>
      <c r="AI8649" s="38"/>
    </row>
    <row r="8650" ht="15.75" customHeight="1">
      <c r="A8650" s="35"/>
      <c r="C8650" s="442"/>
      <c r="P8650" s="235"/>
      <c r="AI8650" s="38"/>
    </row>
    <row r="8651" ht="15.75" customHeight="1">
      <c r="A8651" s="35"/>
      <c r="C8651" s="442"/>
      <c r="P8651" s="235"/>
      <c r="AI8651" s="38"/>
    </row>
    <row r="8652" ht="15.75" customHeight="1">
      <c r="A8652" s="35"/>
      <c r="C8652" s="442"/>
      <c r="P8652" s="235"/>
      <c r="AI8652" s="38"/>
    </row>
    <row r="8653" ht="15.75" customHeight="1">
      <c r="A8653" s="35"/>
      <c r="C8653" s="442"/>
      <c r="P8653" s="235"/>
      <c r="AI8653" s="38"/>
    </row>
    <row r="8654" ht="15.75" customHeight="1">
      <c r="A8654" s="35"/>
      <c r="C8654" s="442"/>
      <c r="P8654" s="235"/>
      <c r="AI8654" s="38"/>
    </row>
    <row r="8655" ht="15.75" customHeight="1">
      <c r="A8655" s="35"/>
      <c r="C8655" s="442"/>
      <c r="P8655" s="235"/>
      <c r="AI8655" s="38"/>
    </row>
    <row r="8656" ht="15.75" customHeight="1">
      <c r="A8656" s="35"/>
      <c r="C8656" s="442"/>
      <c r="P8656" s="235"/>
      <c r="AI8656" s="38"/>
    </row>
    <row r="8657" ht="15.75" customHeight="1">
      <c r="A8657" s="35"/>
      <c r="C8657" s="442"/>
      <c r="P8657" s="235"/>
      <c r="AI8657" s="38"/>
    </row>
    <row r="8658" ht="15.75" customHeight="1">
      <c r="A8658" s="35"/>
      <c r="C8658" s="442"/>
      <c r="P8658" s="235"/>
      <c r="AI8658" s="38"/>
    </row>
    <row r="8659" ht="15.75" customHeight="1">
      <c r="A8659" s="35"/>
      <c r="C8659" s="442"/>
      <c r="P8659" s="235"/>
      <c r="AI8659" s="38"/>
    </row>
    <row r="8660" ht="15.75" customHeight="1">
      <c r="A8660" s="35"/>
      <c r="C8660" s="442"/>
      <c r="P8660" s="235"/>
      <c r="AI8660" s="38"/>
    </row>
    <row r="8661" ht="15.75" customHeight="1">
      <c r="A8661" s="35"/>
      <c r="C8661" s="442"/>
      <c r="P8661" s="235"/>
      <c r="AI8661" s="38"/>
    </row>
    <row r="8662" ht="15.75" customHeight="1">
      <c r="A8662" s="35"/>
      <c r="C8662" s="442"/>
      <c r="P8662" s="235"/>
      <c r="AI8662" s="38"/>
    </row>
    <row r="8663" ht="15.75" customHeight="1">
      <c r="A8663" s="35"/>
      <c r="C8663" s="442"/>
      <c r="P8663" s="235"/>
      <c r="AI8663" s="38"/>
    </row>
    <row r="8664" ht="15.75" customHeight="1">
      <c r="A8664" s="35"/>
      <c r="C8664" s="442"/>
      <c r="P8664" s="235"/>
      <c r="AI8664" s="38"/>
    </row>
    <row r="8665" ht="15.75" customHeight="1">
      <c r="A8665" s="35"/>
      <c r="C8665" s="442"/>
      <c r="P8665" s="235"/>
      <c r="AI8665" s="38"/>
    </row>
    <row r="8666" ht="15.75" customHeight="1">
      <c r="A8666" s="35"/>
      <c r="C8666" s="442"/>
      <c r="P8666" s="235"/>
      <c r="AI8666" s="38"/>
    </row>
    <row r="8667" ht="15.75" customHeight="1">
      <c r="A8667" s="35"/>
      <c r="C8667" s="442"/>
      <c r="P8667" s="235"/>
      <c r="AI8667" s="38"/>
    </row>
    <row r="8668" ht="15.75" customHeight="1">
      <c r="A8668" s="35"/>
      <c r="C8668" s="442"/>
      <c r="P8668" s="235"/>
      <c r="AI8668" s="38"/>
    </row>
    <row r="8669" ht="15.75" customHeight="1">
      <c r="A8669" s="35"/>
      <c r="C8669" s="442"/>
      <c r="P8669" s="235"/>
      <c r="AI8669" s="38"/>
    </row>
    <row r="8670" ht="15.75" customHeight="1">
      <c r="A8670" s="35"/>
      <c r="C8670" s="442"/>
      <c r="P8670" s="235"/>
      <c r="AI8670" s="38"/>
    </row>
    <row r="8671" ht="15.75" customHeight="1">
      <c r="A8671" s="35"/>
      <c r="C8671" s="442"/>
      <c r="P8671" s="235"/>
      <c r="AI8671" s="38"/>
    </row>
    <row r="8672" ht="15.75" customHeight="1">
      <c r="A8672" s="35"/>
      <c r="C8672" s="442"/>
      <c r="P8672" s="235"/>
      <c r="AI8672" s="38"/>
    </row>
    <row r="8673" ht="15.75" customHeight="1">
      <c r="A8673" s="35"/>
      <c r="C8673" s="442"/>
      <c r="P8673" s="235"/>
      <c r="AI8673" s="38"/>
    </row>
    <row r="8674" ht="15.75" customHeight="1">
      <c r="A8674" s="35"/>
      <c r="C8674" s="442"/>
      <c r="P8674" s="235"/>
      <c r="AI8674" s="38"/>
    </row>
    <row r="8675" ht="15.75" customHeight="1">
      <c r="A8675" s="35"/>
      <c r="C8675" s="442"/>
      <c r="P8675" s="235"/>
      <c r="AI8675" s="38"/>
    </row>
    <row r="8676" ht="15.75" customHeight="1">
      <c r="A8676" s="35"/>
      <c r="C8676" s="442"/>
      <c r="P8676" s="235"/>
      <c r="AI8676" s="38"/>
    </row>
    <row r="8677" ht="15.75" customHeight="1">
      <c r="A8677" s="35"/>
      <c r="C8677" s="442"/>
      <c r="P8677" s="235"/>
      <c r="AI8677" s="38"/>
    </row>
    <row r="8678" ht="15.75" customHeight="1">
      <c r="A8678" s="35"/>
      <c r="C8678" s="442"/>
      <c r="P8678" s="235"/>
      <c r="AI8678" s="38"/>
    </row>
    <row r="8679" ht="15.75" customHeight="1">
      <c r="A8679" s="35"/>
      <c r="C8679" s="442"/>
      <c r="P8679" s="235"/>
      <c r="AI8679" s="38"/>
    </row>
    <row r="8680" ht="15.75" customHeight="1">
      <c r="A8680" s="35"/>
      <c r="C8680" s="442"/>
      <c r="P8680" s="235"/>
      <c r="AI8680" s="38"/>
    </row>
    <row r="8681" ht="15.75" customHeight="1">
      <c r="A8681" s="35"/>
      <c r="C8681" s="442"/>
      <c r="P8681" s="235"/>
      <c r="AI8681" s="38"/>
    </row>
    <row r="8682" ht="15.75" customHeight="1">
      <c r="A8682" s="35"/>
      <c r="C8682" s="442"/>
      <c r="P8682" s="235"/>
      <c r="AI8682" s="38"/>
    </row>
    <row r="8683" ht="15.75" customHeight="1">
      <c r="A8683" s="35"/>
      <c r="C8683" s="442"/>
      <c r="P8683" s="235"/>
      <c r="AI8683" s="38"/>
    </row>
    <row r="8684" ht="15.75" customHeight="1">
      <c r="A8684" s="35"/>
      <c r="C8684" s="442"/>
      <c r="P8684" s="235"/>
      <c r="AI8684" s="38"/>
    </row>
    <row r="8685" ht="15.75" customHeight="1">
      <c r="A8685" s="35"/>
      <c r="C8685" s="442"/>
      <c r="P8685" s="235"/>
      <c r="AI8685" s="38"/>
    </row>
    <row r="8686" ht="15.75" customHeight="1">
      <c r="A8686" s="35"/>
      <c r="C8686" s="442"/>
      <c r="P8686" s="235"/>
      <c r="AI8686" s="38"/>
    </row>
    <row r="8687" ht="15.75" customHeight="1">
      <c r="A8687" s="35"/>
      <c r="C8687" s="442"/>
      <c r="P8687" s="235"/>
      <c r="AI8687" s="38"/>
    </row>
    <row r="8688" ht="15.75" customHeight="1">
      <c r="A8688" s="35"/>
      <c r="C8688" s="442"/>
      <c r="P8688" s="235"/>
      <c r="AI8688" s="38"/>
    </row>
    <row r="8689" ht="15.75" customHeight="1">
      <c r="A8689" s="35"/>
      <c r="C8689" s="442"/>
      <c r="P8689" s="235"/>
      <c r="AI8689" s="38"/>
    </row>
    <row r="8690" ht="15.75" customHeight="1">
      <c r="A8690" s="35"/>
      <c r="C8690" s="442"/>
      <c r="P8690" s="235"/>
      <c r="AI8690" s="38"/>
    </row>
    <row r="8691" ht="15.75" customHeight="1">
      <c r="A8691" s="35"/>
      <c r="C8691" s="442"/>
      <c r="P8691" s="235"/>
      <c r="AI8691" s="38"/>
    </row>
    <row r="8692" ht="15.75" customHeight="1">
      <c r="A8692" s="35"/>
      <c r="C8692" s="442"/>
      <c r="P8692" s="235"/>
      <c r="AI8692" s="38"/>
    </row>
    <row r="8693" ht="15.75" customHeight="1">
      <c r="A8693" s="35"/>
      <c r="C8693" s="442"/>
      <c r="P8693" s="235"/>
      <c r="AI8693" s="38"/>
    </row>
    <row r="8694" ht="15.75" customHeight="1">
      <c r="A8694" s="35"/>
      <c r="C8694" s="442"/>
      <c r="P8694" s="235"/>
      <c r="AI8694" s="38"/>
    </row>
    <row r="8695" ht="15.75" customHeight="1">
      <c r="A8695" s="35"/>
      <c r="C8695" s="442"/>
      <c r="P8695" s="235"/>
      <c r="AI8695" s="38"/>
    </row>
    <row r="8696" ht="15.75" customHeight="1">
      <c r="A8696" s="35"/>
      <c r="C8696" s="442"/>
      <c r="P8696" s="235"/>
      <c r="AI8696" s="38"/>
    </row>
    <row r="8697" ht="15.75" customHeight="1">
      <c r="A8697" s="35"/>
      <c r="C8697" s="442"/>
      <c r="P8697" s="235"/>
      <c r="AI8697" s="38"/>
    </row>
    <row r="8698" ht="15.75" customHeight="1">
      <c r="A8698" s="35"/>
      <c r="C8698" s="442"/>
      <c r="P8698" s="235"/>
      <c r="AI8698" s="38"/>
    </row>
    <row r="8699" ht="15.75" customHeight="1">
      <c r="A8699" s="35"/>
      <c r="C8699" s="442"/>
      <c r="P8699" s="235"/>
      <c r="AI8699" s="38"/>
    </row>
    <row r="8700" ht="15.75" customHeight="1">
      <c r="A8700" s="35"/>
      <c r="C8700" s="442"/>
      <c r="P8700" s="235"/>
      <c r="AI8700" s="38"/>
    </row>
    <row r="8701" ht="15.75" customHeight="1">
      <c r="A8701" s="35"/>
      <c r="C8701" s="442"/>
      <c r="P8701" s="235"/>
      <c r="AI8701" s="38"/>
    </row>
    <row r="8702" ht="15.75" customHeight="1">
      <c r="A8702" s="35"/>
      <c r="C8702" s="442"/>
      <c r="P8702" s="235"/>
      <c r="AI8702" s="38"/>
    </row>
    <row r="8703" ht="15.75" customHeight="1">
      <c r="A8703" s="35"/>
      <c r="C8703" s="442"/>
      <c r="P8703" s="235"/>
      <c r="AI8703" s="38"/>
    </row>
    <row r="8704" ht="15.75" customHeight="1">
      <c r="A8704" s="35"/>
      <c r="C8704" s="442"/>
      <c r="P8704" s="235"/>
      <c r="AI8704" s="38"/>
    </row>
    <row r="8705" ht="15.75" customHeight="1">
      <c r="A8705" s="35"/>
      <c r="C8705" s="442"/>
      <c r="P8705" s="235"/>
      <c r="AI8705" s="38"/>
    </row>
    <row r="8706" ht="15.75" customHeight="1">
      <c r="A8706" s="35"/>
      <c r="C8706" s="442"/>
      <c r="P8706" s="235"/>
      <c r="AI8706" s="38"/>
    </row>
    <row r="8707" ht="15.75" customHeight="1">
      <c r="A8707" s="35"/>
      <c r="C8707" s="442"/>
      <c r="P8707" s="235"/>
      <c r="AI8707" s="38"/>
    </row>
    <row r="8708" ht="15.75" customHeight="1">
      <c r="A8708" s="35"/>
      <c r="C8708" s="442"/>
      <c r="P8708" s="235"/>
      <c r="AI8708" s="38"/>
    </row>
    <row r="8709" ht="15.75" customHeight="1">
      <c r="A8709" s="35"/>
      <c r="C8709" s="442"/>
      <c r="P8709" s="235"/>
      <c r="AI8709" s="38"/>
    </row>
    <row r="8710" ht="15.75" customHeight="1">
      <c r="A8710" s="35"/>
      <c r="C8710" s="442"/>
      <c r="P8710" s="235"/>
      <c r="AI8710" s="38"/>
    </row>
    <row r="8711" ht="15.75" customHeight="1">
      <c r="A8711" s="35"/>
      <c r="C8711" s="442"/>
      <c r="P8711" s="235"/>
      <c r="AI8711" s="38"/>
    </row>
    <row r="8712" ht="15.75" customHeight="1">
      <c r="A8712" s="35"/>
      <c r="C8712" s="442"/>
      <c r="P8712" s="235"/>
      <c r="AI8712" s="38"/>
    </row>
    <row r="8713" ht="15.75" customHeight="1">
      <c r="A8713" s="35"/>
      <c r="C8713" s="442"/>
      <c r="P8713" s="235"/>
      <c r="AI8713" s="38"/>
    </row>
    <row r="8714" ht="15.75" customHeight="1">
      <c r="A8714" s="35"/>
      <c r="C8714" s="442"/>
      <c r="P8714" s="235"/>
      <c r="AI8714" s="38"/>
    </row>
    <row r="8715" ht="15.75" customHeight="1">
      <c r="A8715" s="35"/>
      <c r="C8715" s="442"/>
      <c r="P8715" s="235"/>
      <c r="AI8715" s="38"/>
    </row>
    <row r="8716" ht="15.75" customHeight="1">
      <c r="A8716" s="35"/>
      <c r="C8716" s="442"/>
      <c r="P8716" s="235"/>
      <c r="AI8716" s="38"/>
    </row>
    <row r="8717" ht="15.75" customHeight="1">
      <c r="A8717" s="35"/>
      <c r="C8717" s="442"/>
      <c r="P8717" s="235"/>
      <c r="AI8717" s="38"/>
    </row>
    <row r="8718" ht="15.75" customHeight="1">
      <c r="A8718" s="35"/>
      <c r="C8718" s="442"/>
      <c r="P8718" s="235"/>
      <c r="AI8718" s="38"/>
    </row>
    <row r="8719" ht="15.75" customHeight="1">
      <c r="A8719" s="35"/>
      <c r="C8719" s="442"/>
      <c r="P8719" s="235"/>
      <c r="AI8719" s="38"/>
    </row>
    <row r="8720" ht="15.75" customHeight="1">
      <c r="A8720" s="35"/>
      <c r="C8720" s="442"/>
      <c r="P8720" s="235"/>
      <c r="AI8720" s="38"/>
    </row>
    <row r="8721" ht="15.75" customHeight="1">
      <c r="A8721" s="35"/>
      <c r="C8721" s="442"/>
      <c r="P8721" s="235"/>
      <c r="AI8721" s="38"/>
    </row>
    <row r="8722" ht="15.75" customHeight="1">
      <c r="A8722" s="35"/>
      <c r="C8722" s="442"/>
      <c r="P8722" s="235"/>
      <c r="AI8722" s="38"/>
    </row>
    <row r="8723" ht="15.75" customHeight="1">
      <c r="A8723" s="35"/>
      <c r="C8723" s="442"/>
      <c r="P8723" s="235"/>
      <c r="AI8723" s="38"/>
    </row>
    <row r="8724" ht="15.75" customHeight="1">
      <c r="A8724" s="35"/>
      <c r="C8724" s="442"/>
      <c r="P8724" s="235"/>
      <c r="AI8724" s="38"/>
    </row>
    <row r="8725" ht="15.75" customHeight="1">
      <c r="A8725" s="35"/>
      <c r="C8725" s="442"/>
      <c r="P8725" s="235"/>
      <c r="AI8725" s="38"/>
    </row>
    <row r="8726" ht="15.75" customHeight="1">
      <c r="A8726" s="35"/>
      <c r="C8726" s="442"/>
      <c r="P8726" s="235"/>
      <c r="AI8726" s="38"/>
    </row>
    <row r="8727" ht="15.75" customHeight="1">
      <c r="A8727" s="35"/>
      <c r="C8727" s="442"/>
      <c r="P8727" s="235"/>
      <c r="AI8727" s="38"/>
    </row>
    <row r="8728" ht="15.75" customHeight="1">
      <c r="A8728" s="35"/>
      <c r="C8728" s="442"/>
      <c r="P8728" s="235"/>
      <c r="AI8728" s="38"/>
    </row>
    <row r="8729" ht="15.75" customHeight="1">
      <c r="A8729" s="35"/>
      <c r="C8729" s="442"/>
      <c r="P8729" s="235"/>
      <c r="AI8729" s="38"/>
    </row>
    <row r="8730" ht="15.75" customHeight="1">
      <c r="A8730" s="35"/>
      <c r="C8730" s="442"/>
      <c r="P8730" s="235"/>
      <c r="AI8730" s="38"/>
    </row>
    <row r="8731" ht="15.75" customHeight="1">
      <c r="A8731" s="35"/>
      <c r="C8731" s="442"/>
      <c r="P8731" s="235"/>
      <c r="AI8731" s="38"/>
    </row>
    <row r="8732" ht="15.75" customHeight="1">
      <c r="A8732" s="35"/>
      <c r="C8732" s="442"/>
      <c r="P8732" s="235"/>
      <c r="AI8732" s="38"/>
    </row>
    <row r="8733" ht="15.75" customHeight="1">
      <c r="A8733" s="35"/>
      <c r="C8733" s="442"/>
      <c r="P8733" s="235"/>
      <c r="AI8733" s="38"/>
    </row>
    <row r="8734" ht="15.75" customHeight="1">
      <c r="A8734" s="35"/>
      <c r="C8734" s="442"/>
      <c r="P8734" s="235"/>
      <c r="AI8734" s="38"/>
    </row>
    <row r="8735" ht="15.75" customHeight="1">
      <c r="A8735" s="35"/>
      <c r="C8735" s="442"/>
      <c r="P8735" s="235"/>
      <c r="AI8735" s="38"/>
    </row>
    <row r="8736" ht="15.75" customHeight="1">
      <c r="A8736" s="35"/>
      <c r="C8736" s="442"/>
      <c r="P8736" s="235"/>
      <c r="AI8736" s="38"/>
    </row>
    <row r="8737" ht="15.75" customHeight="1">
      <c r="A8737" s="35"/>
      <c r="C8737" s="442"/>
      <c r="P8737" s="235"/>
      <c r="AI8737" s="38"/>
    </row>
    <row r="8738" ht="15.75" customHeight="1">
      <c r="A8738" s="35"/>
      <c r="C8738" s="442"/>
      <c r="P8738" s="235"/>
      <c r="AI8738" s="38"/>
    </row>
    <row r="8739" ht="15.75" customHeight="1">
      <c r="A8739" s="35"/>
      <c r="C8739" s="442"/>
      <c r="P8739" s="235"/>
      <c r="AI8739" s="38"/>
    </row>
    <row r="8740" ht="15.75" customHeight="1">
      <c r="A8740" s="35"/>
      <c r="C8740" s="442"/>
      <c r="P8740" s="235"/>
      <c r="AI8740" s="38"/>
    </row>
    <row r="8741" ht="15.75" customHeight="1">
      <c r="A8741" s="35"/>
      <c r="C8741" s="442"/>
      <c r="P8741" s="235"/>
      <c r="AI8741" s="38"/>
    </row>
    <row r="8742" ht="15.75" customHeight="1">
      <c r="A8742" s="35"/>
      <c r="C8742" s="442"/>
      <c r="P8742" s="235"/>
      <c r="AI8742" s="38"/>
    </row>
    <row r="8743" ht="15.75" customHeight="1">
      <c r="A8743" s="35"/>
      <c r="C8743" s="442"/>
      <c r="P8743" s="235"/>
      <c r="AI8743" s="38"/>
    </row>
    <row r="8744" ht="15.75" customHeight="1">
      <c r="A8744" s="35"/>
      <c r="C8744" s="442"/>
      <c r="P8744" s="235"/>
      <c r="AI8744" s="38"/>
    </row>
    <row r="8745" ht="15.75" customHeight="1">
      <c r="A8745" s="35"/>
      <c r="C8745" s="442"/>
      <c r="P8745" s="235"/>
      <c r="AI8745" s="38"/>
    </row>
    <row r="8746" ht="15.75" customHeight="1">
      <c r="A8746" s="35"/>
      <c r="C8746" s="442"/>
      <c r="P8746" s="235"/>
      <c r="AI8746" s="38"/>
    </row>
    <row r="8747" ht="15.75" customHeight="1">
      <c r="A8747" s="35"/>
      <c r="C8747" s="442"/>
      <c r="P8747" s="235"/>
      <c r="AI8747" s="38"/>
    </row>
    <row r="8748" ht="15.75" customHeight="1">
      <c r="A8748" s="35"/>
      <c r="C8748" s="442"/>
      <c r="P8748" s="235"/>
      <c r="AI8748" s="38"/>
    </row>
    <row r="8749" ht="15.75" customHeight="1">
      <c r="A8749" s="35"/>
      <c r="C8749" s="442"/>
      <c r="P8749" s="235"/>
      <c r="AI8749" s="38"/>
    </row>
    <row r="8750" ht="15.75" customHeight="1">
      <c r="A8750" s="35"/>
      <c r="C8750" s="442"/>
      <c r="P8750" s="235"/>
      <c r="AI8750" s="38"/>
    </row>
    <row r="8751" ht="15.75" customHeight="1">
      <c r="A8751" s="35"/>
      <c r="C8751" s="442"/>
      <c r="P8751" s="235"/>
      <c r="AI8751" s="38"/>
    </row>
    <row r="8752" ht="15.75" customHeight="1">
      <c r="A8752" s="35"/>
      <c r="C8752" s="442"/>
      <c r="P8752" s="235"/>
      <c r="AI8752" s="38"/>
    </row>
    <row r="8753" ht="15.75" customHeight="1">
      <c r="A8753" s="35"/>
      <c r="C8753" s="442"/>
      <c r="P8753" s="235"/>
      <c r="AI8753" s="38"/>
    </row>
    <row r="8754" ht="15.75" customHeight="1">
      <c r="A8754" s="35"/>
      <c r="C8754" s="442"/>
      <c r="P8754" s="235"/>
      <c r="AI8754" s="38"/>
    </row>
    <row r="8755" ht="15.75" customHeight="1">
      <c r="A8755" s="35"/>
      <c r="C8755" s="442"/>
      <c r="P8755" s="235"/>
      <c r="AI8755" s="38"/>
    </row>
    <row r="8756" ht="15.75" customHeight="1">
      <c r="A8756" s="35"/>
      <c r="C8756" s="442"/>
      <c r="P8756" s="235"/>
      <c r="AI8756" s="38"/>
    </row>
    <row r="8757" ht="15.75" customHeight="1">
      <c r="A8757" s="35"/>
      <c r="C8757" s="442"/>
      <c r="P8757" s="235"/>
      <c r="AI8757" s="38"/>
    </row>
    <row r="8758" ht="15.75" customHeight="1">
      <c r="A8758" s="35"/>
      <c r="C8758" s="442"/>
      <c r="P8758" s="235"/>
      <c r="AI8758" s="38"/>
    </row>
    <row r="8759" ht="15.75" customHeight="1">
      <c r="A8759" s="35"/>
      <c r="C8759" s="442"/>
      <c r="P8759" s="235"/>
      <c r="AI8759" s="38"/>
    </row>
    <row r="8760" ht="15.75" customHeight="1">
      <c r="A8760" s="35"/>
      <c r="C8760" s="442"/>
      <c r="P8760" s="235"/>
      <c r="AI8760" s="38"/>
    </row>
    <row r="8761" ht="15.75" customHeight="1">
      <c r="A8761" s="35"/>
      <c r="C8761" s="442"/>
      <c r="P8761" s="235"/>
      <c r="AI8761" s="38"/>
    </row>
    <row r="8762" ht="15.75" customHeight="1">
      <c r="A8762" s="35"/>
      <c r="C8762" s="442"/>
      <c r="P8762" s="235"/>
      <c r="AI8762" s="38"/>
    </row>
    <row r="8763" ht="15.75" customHeight="1">
      <c r="A8763" s="35"/>
      <c r="C8763" s="442"/>
      <c r="P8763" s="235"/>
      <c r="AI8763" s="38"/>
    </row>
    <row r="8764" ht="15.75" customHeight="1">
      <c r="A8764" s="35"/>
      <c r="C8764" s="442"/>
      <c r="P8764" s="235"/>
      <c r="AI8764" s="38"/>
    </row>
    <row r="8765" ht="15.75" customHeight="1">
      <c r="A8765" s="35"/>
      <c r="C8765" s="442"/>
      <c r="P8765" s="235"/>
      <c r="AI8765" s="38"/>
    </row>
    <row r="8766" ht="15.75" customHeight="1">
      <c r="A8766" s="35"/>
      <c r="C8766" s="442"/>
      <c r="P8766" s="235"/>
      <c r="AI8766" s="38"/>
    </row>
    <row r="8767" ht="15.75" customHeight="1">
      <c r="A8767" s="35"/>
      <c r="C8767" s="442"/>
      <c r="P8767" s="235"/>
      <c r="AI8767" s="38"/>
    </row>
    <row r="8768" ht="15.75" customHeight="1">
      <c r="A8768" s="35"/>
      <c r="C8768" s="442"/>
      <c r="P8768" s="235"/>
      <c r="AI8768" s="38"/>
    </row>
    <row r="8769" ht="15.75" customHeight="1">
      <c r="A8769" s="35"/>
      <c r="C8769" s="442"/>
      <c r="P8769" s="235"/>
      <c r="AI8769" s="38"/>
    </row>
    <row r="8770" ht="15.75" customHeight="1">
      <c r="A8770" s="35"/>
      <c r="C8770" s="442"/>
      <c r="P8770" s="235"/>
      <c r="AI8770" s="38"/>
    </row>
    <row r="8771" ht="15.75" customHeight="1">
      <c r="A8771" s="35"/>
      <c r="C8771" s="442"/>
      <c r="P8771" s="235"/>
      <c r="AI8771" s="38"/>
    </row>
    <row r="8772" ht="15.75" customHeight="1">
      <c r="A8772" s="35"/>
      <c r="C8772" s="442"/>
      <c r="P8772" s="235"/>
      <c r="AI8772" s="38"/>
    </row>
    <row r="8773" ht="15.75" customHeight="1">
      <c r="A8773" s="35"/>
      <c r="C8773" s="442"/>
      <c r="P8773" s="235"/>
      <c r="AI8773" s="38"/>
    </row>
    <row r="8774" ht="15.75" customHeight="1">
      <c r="A8774" s="35"/>
      <c r="C8774" s="442"/>
      <c r="P8774" s="235"/>
      <c r="AI8774" s="38"/>
    </row>
    <row r="8775" ht="15.75" customHeight="1">
      <c r="A8775" s="35"/>
      <c r="C8775" s="442"/>
      <c r="P8775" s="235"/>
      <c r="AI8775" s="38"/>
    </row>
    <row r="8776" ht="15.75" customHeight="1">
      <c r="A8776" s="35"/>
      <c r="C8776" s="442"/>
      <c r="P8776" s="235"/>
      <c r="AI8776" s="38"/>
    </row>
    <row r="8777" ht="15.75" customHeight="1">
      <c r="A8777" s="35"/>
      <c r="C8777" s="442"/>
      <c r="P8777" s="235"/>
      <c r="AI8777" s="38"/>
    </row>
    <row r="8778" ht="15.75" customHeight="1">
      <c r="A8778" s="35"/>
      <c r="C8778" s="442"/>
      <c r="P8778" s="235"/>
      <c r="AI8778" s="38"/>
    </row>
    <row r="8779" ht="15.75" customHeight="1">
      <c r="A8779" s="35"/>
      <c r="C8779" s="442"/>
      <c r="P8779" s="235"/>
      <c r="AI8779" s="38"/>
    </row>
    <row r="8780" ht="15.75" customHeight="1">
      <c r="A8780" s="35"/>
      <c r="C8780" s="442"/>
      <c r="P8780" s="235"/>
      <c r="AI8780" s="38"/>
    </row>
    <row r="8781" ht="15.75" customHeight="1">
      <c r="A8781" s="35"/>
      <c r="C8781" s="442"/>
      <c r="P8781" s="235"/>
      <c r="AI8781" s="38"/>
    </row>
    <row r="8782" ht="15.75" customHeight="1">
      <c r="A8782" s="35"/>
      <c r="C8782" s="442"/>
      <c r="P8782" s="235"/>
      <c r="AI8782" s="38"/>
    </row>
    <row r="8783" ht="15.75" customHeight="1">
      <c r="A8783" s="35"/>
      <c r="C8783" s="442"/>
      <c r="P8783" s="235"/>
      <c r="AI8783" s="38"/>
    </row>
    <row r="8784" ht="15.75" customHeight="1">
      <c r="A8784" s="35"/>
      <c r="C8784" s="442"/>
      <c r="P8784" s="235"/>
      <c r="AI8784" s="38"/>
    </row>
    <row r="8785" ht="15.75" customHeight="1">
      <c r="A8785" s="35"/>
      <c r="C8785" s="442"/>
      <c r="P8785" s="235"/>
      <c r="AI8785" s="38"/>
    </row>
    <row r="8786" ht="15.75" customHeight="1">
      <c r="A8786" s="35"/>
      <c r="C8786" s="442"/>
      <c r="P8786" s="235"/>
      <c r="AI8786" s="38"/>
    </row>
    <row r="8787" ht="15.75" customHeight="1">
      <c r="A8787" s="35"/>
      <c r="C8787" s="442"/>
      <c r="P8787" s="235"/>
      <c r="AI8787" s="38"/>
    </row>
    <row r="8788" ht="15.75" customHeight="1">
      <c r="A8788" s="35"/>
      <c r="C8788" s="442"/>
      <c r="P8788" s="235"/>
      <c r="AI8788" s="38"/>
    </row>
    <row r="8789" ht="15.75" customHeight="1">
      <c r="A8789" s="35"/>
      <c r="C8789" s="442"/>
      <c r="P8789" s="235"/>
      <c r="AI8789" s="38"/>
    </row>
    <row r="8790" ht="15.75" customHeight="1">
      <c r="A8790" s="35"/>
      <c r="C8790" s="442"/>
      <c r="P8790" s="235"/>
      <c r="AI8790" s="38"/>
    </row>
    <row r="8791" ht="15.75" customHeight="1">
      <c r="A8791" s="35"/>
      <c r="C8791" s="442"/>
      <c r="P8791" s="235"/>
      <c r="AI8791" s="38"/>
    </row>
    <row r="8792" ht="15.75" customHeight="1">
      <c r="A8792" s="35"/>
      <c r="C8792" s="442"/>
      <c r="P8792" s="235"/>
      <c r="AI8792" s="38"/>
    </row>
    <row r="8793" ht="15.75" customHeight="1">
      <c r="A8793" s="35"/>
      <c r="C8793" s="442"/>
      <c r="P8793" s="235"/>
      <c r="AI8793" s="38"/>
    </row>
    <row r="8794" ht="15.75" customHeight="1">
      <c r="A8794" s="35"/>
      <c r="C8794" s="442"/>
      <c r="P8794" s="235"/>
      <c r="AI8794" s="38"/>
    </row>
    <row r="8795" ht="15.75" customHeight="1">
      <c r="A8795" s="35"/>
      <c r="C8795" s="442"/>
      <c r="P8795" s="235"/>
      <c r="AI8795" s="38"/>
    </row>
    <row r="8796" ht="15.75" customHeight="1">
      <c r="A8796" s="35"/>
      <c r="C8796" s="442"/>
      <c r="P8796" s="235"/>
      <c r="AI8796" s="38"/>
    </row>
    <row r="8797" ht="15.75" customHeight="1">
      <c r="A8797" s="35"/>
      <c r="C8797" s="442"/>
      <c r="P8797" s="235"/>
      <c r="AI8797" s="38"/>
    </row>
    <row r="8798" ht="15.75" customHeight="1">
      <c r="A8798" s="35"/>
      <c r="C8798" s="442"/>
      <c r="P8798" s="235"/>
      <c r="AI8798" s="38"/>
    </row>
    <row r="8799" ht="15.75" customHeight="1">
      <c r="A8799" s="35"/>
      <c r="C8799" s="442"/>
      <c r="P8799" s="235"/>
      <c r="AI8799" s="38"/>
    </row>
    <row r="8800" ht="15.75" customHeight="1">
      <c r="A8800" s="35"/>
      <c r="C8800" s="442"/>
      <c r="P8800" s="235"/>
      <c r="AI8800" s="38"/>
    </row>
    <row r="8801" ht="15.75" customHeight="1">
      <c r="A8801" s="35"/>
      <c r="C8801" s="442"/>
      <c r="P8801" s="235"/>
      <c r="AI8801" s="38"/>
    </row>
    <row r="8802" ht="15.75" customHeight="1">
      <c r="A8802" s="35"/>
      <c r="C8802" s="442"/>
      <c r="P8802" s="235"/>
      <c r="AI8802" s="38"/>
    </row>
    <row r="8803" ht="15.75" customHeight="1">
      <c r="A8803" s="35"/>
      <c r="C8803" s="442"/>
      <c r="P8803" s="235"/>
      <c r="AI8803" s="38"/>
    </row>
    <row r="8804" ht="15.75" customHeight="1">
      <c r="A8804" s="35"/>
      <c r="C8804" s="442"/>
      <c r="P8804" s="235"/>
      <c r="AI8804" s="38"/>
    </row>
    <row r="8805" ht="15.75" customHeight="1">
      <c r="A8805" s="35"/>
      <c r="C8805" s="442"/>
      <c r="P8805" s="235"/>
      <c r="AI8805" s="38"/>
    </row>
    <row r="8806" ht="15.75" customHeight="1">
      <c r="A8806" s="35"/>
      <c r="C8806" s="442"/>
      <c r="P8806" s="235"/>
      <c r="AI8806" s="38"/>
    </row>
    <row r="8807" ht="15.75" customHeight="1">
      <c r="A8807" s="35"/>
      <c r="C8807" s="442"/>
      <c r="P8807" s="235"/>
      <c r="AI8807" s="38"/>
    </row>
    <row r="8808" ht="15.75" customHeight="1">
      <c r="A8808" s="35"/>
      <c r="C8808" s="442"/>
      <c r="P8808" s="235"/>
      <c r="AI8808" s="38"/>
    </row>
    <row r="8809" ht="15.75" customHeight="1">
      <c r="A8809" s="35"/>
      <c r="C8809" s="442"/>
      <c r="P8809" s="235"/>
      <c r="AI8809" s="38"/>
    </row>
    <row r="8810" ht="15.75" customHeight="1">
      <c r="A8810" s="35"/>
      <c r="C8810" s="442"/>
      <c r="P8810" s="235"/>
      <c r="AI8810" s="38"/>
    </row>
    <row r="8811" ht="15.75" customHeight="1">
      <c r="A8811" s="35"/>
      <c r="C8811" s="442"/>
      <c r="P8811" s="235"/>
      <c r="AI8811" s="38"/>
    </row>
    <row r="8812" ht="15.75" customHeight="1">
      <c r="A8812" s="35"/>
      <c r="C8812" s="442"/>
      <c r="P8812" s="235"/>
      <c r="AI8812" s="38"/>
    </row>
    <row r="8813" ht="15.75" customHeight="1">
      <c r="A8813" s="35"/>
      <c r="C8813" s="442"/>
      <c r="P8813" s="235"/>
      <c r="AI8813" s="38"/>
    </row>
    <row r="8814" ht="15.75" customHeight="1">
      <c r="A8814" s="35"/>
      <c r="C8814" s="442"/>
      <c r="P8814" s="235"/>
      <c r="AI8814" s="38"/>
    </row>
    <row r="8815" ht="15.75" customHeight="1">
      <c r="A8815" s="35"/>
      <c r="C8815" s="442"/>
      <c r="P8815" s="235"/>
      <c r="AI8815" s="38"/>
    </row>
    <row r="8816" ht="15.75" customHeight="1">
      <c r="A8816" s="35"/>
      <c r="C8816" s="442"/>
      <c r="P8816" s="235"/>
      <c r="AI8816" s="38"/>
    </row>
    <row r="8817" ht="15.75" customHeight="1">
      <c r="A8817" s="35"/>
      <c r="C8817" s="442"/>
      <c r="P8817" s="235"/>
      <c r="AI8817" s="38"/>
    </row>
    <row r="8818" ht="15.75" customHeight="1">
      <c r="A8818" s="35"/>
      <c r="C8818" s="442"/>
      <c r="P8818" s="235"/>
      <c r="AI8818" s="38"/>
    </row>
    <row r="8819" ht="15.75" customHeight="1">
      <c r="A8819" s="35"/>
      <c r="C8819" s="442"/>
      <c r="P8819" s="235"/>
      <c r="AI8819" s="38"/>
    </row>
    <row r="8820" ht="15.75" customHeight="1">
      <c r="A8820" s="35"/>
      <c r="C8820" s="442"/>
      <c r="P8820" s="235"/>
      <c r="AI8820" s="38"/>
    </row>
    <row r="8821" ht="15.75" customHeight="1">
      <c r="A8821" s="35"/>
      <c r="C8821" s="442"/>
      <c r="P8821" s="235"/>
      <c r="AI8821" s="38"/>
    </row>
    <row r="8822" ht="15.75" customHeight="1">
      <c r="A8822" s="35"/>
      <c r="C8822" s="442"/>
      <c r="P8822" s="235"/>
      <c r="AI8822" s="38"/>
    </row>
    <row r="8823" ht="15.75" customHeight="1">
      <c r="A8823" s="35"/>
      <c r="C8823" s="442"/>
      <c r="P8823" s="235"/>
      <c r="AI8823" s="38"/>
    </row>
    <row r="8824" ht="15.75" customHeight="1">
      <c r="A8824" s="35"/>
      <c r="C8824" s="442"/>
      <c r="P8824" s="235"/>
      <c r="AI8824" s="38"/>
    </row>
    <row r="8825" ht="15.75" customHeight="1">
      <c r="A8825" s="35"/>
      <c r="C8825" s="442"/>
      <c r="P8825" s="235"/>
      <c r="AI8825" s="38"/>
    </row>
    <row r="8826" ht="15.75" customHeight="1">
      <c r="A8826" s="35"/>
      <c r="C8826" s="442"/>
      <c r="P8826" s="235"/>
      <c r="AI8826" s="38"/>
    </row>
    <row r="8827" ht="15.75" customHeight="1">
      <c r="A8827" s="35"/>
      <c r="C8827" s="442"/>
      <c r="P8827" s="235"/>
      <c r="AI8827" s="38"/>
    </row>
    <row r="8828" ht="15.75" customHeight="1">
      <c r="A8828" s="35"/>
      <c r="C8828" s="442"/>
      <c r="P8828" s="235"/>
      <c r="AI8828" s="38"/>
    </row>
    <row r="8829" ht="15.75" customHeight="1">
      <c r="A8829" s="35"/>
      <c r="C8829" s="442"/>
      <c r="P8829" s="235"/>
      <c r="AI8829" s="38"/>
    </row>
    <row r="8830" ht="15.75" customHeight="1">
      <c r="A8830" s="35"/>
      <c r="C8830" s="442"/>
      <c r="P8830" s="235"/>
      <c r="AI8830" s="38"/>
    </row>
    <row r="8831" ht="15.75" customHeight="1">
      <c r="A8831" s="35"/>
      <c r="C8831" s="442"/>
      <c r="P8831" s="235"/>
      <c r="AI8831" s="38"/>
    </row>
    <row r="8832" ht="15.75" customHeight="1">
      <c r="A8832" s="35"/>
      <c r="C8832" s="442"/>
      <c r="P8832" s="235"/>
      <c r="AI8832" s="38"/>
    </row>
    <row r="8833" ht="15.75" customHeight="1">
      <c r="A8833" s="35"/>
      <c r="C8833" s="442"/>
      <c r="P8833" s="235"/>
      <c r="AI8833" s="38"/>
    </row>
    <row r="8834" ht="15.75" customHeight="1">
      <c r="A8834" s="35"/>
      <c r="C8834" s="442"/>
      <c r="P8834" s="235"/>
      <c r="AI8834" s="38"/>
    </row>
    <row r="8835" ht="15.75" customHeight="1">
      <c r="A8835" s="35"/>
      <c r="C8835" s="442"/>
      <c r="P8835" s="235"/>
      <c r="AI8835" s="38"/>
    </row>
    <row r="8836" ht="15.75" customHeight="1">
      <c r="A8836" s="35"/>
      <c r="C8836" s="442"/>
      <c r="P8836" s="235"/>
      <c r="AI8836" s="38"/>
    </row>
    <row r="8837" ht="15.75" customHeight="1">
      <c r="A8837" s="35"/>
      <c r="C8837" s="442"/>
      <c r="P8837" s="235"/>
      <c r="AI8837" s="38"/>
    </row>
    <row r="8838" ht="15.75" customHeight="1">
      <c r="A8838" s="35"/>
      <c r="C8838" s="442"/>
      <c r="P8838" s="235"/>
      <c r="AI8838" s="38"/>
    </row>
    <row r="8839" ht="15.75" customHeight="1">
      <c r="A8839" s="35"/>
      <c r="C8839" s="442"/>
      <c r="P8839" s="235"/>
      <c r="AI8839" s="38"/>
    </row>
    <row r="8840" ht="15.75" customHeight="1">
      <c r="A8840" s="35"/>
      <c r="C8840" s="442"/>
      <c r="P8840" s="235"/>
      <c r="AI8840" s="38"/>
    </row>
    <row r="8841" ht="15.75" customHeight="1">
      <c r="A8841" s="35"/>
      <c r="C8841" s="442"/>
      <c r="P8841" s="235"/>
      <c r="AI8841" s="38"/>
    </row>
    <row r="8842" ht="15.75" customHeight="1">
      <c r="A8842" s="35"/>
      <c r="C8842" s="442"/>
      <c r="P8842" s="235"/>
      <c r="AI8842" s="38"/>
    </row>
    <row r="8843" ht="15.75" customHeight="1">
      <c r="A8843" s="35"/>
      <c r="C8843" s="442"/>
      <c r="P8843" s="235"/>
      <c r="AI8843" s="38"/>
    </row>
    <row r="8844" ht="15.75" customHeight="1">
      <c r="A8844" s="35"/>
      <c r="C8844" s="442"/>
      <c r="P8844" s="235"/>
      <c r="AI8844" s="38"/>
    </row>
    <row r="8845" ht="15.75" customHeight="1">
      <c r="A8845" s="35"/>
      <c r="C8845" s="442"/>
      <c r="P8845" s="235"/>
      <c r="AI8845" s="38"/>
    </row>
    <row r="8846" ht="15.75" customHeight="1">
      <c r="A8846" s="35"/>
      <c r="C8846" s="442"/>
      <c r="P8846" s="235"/>
      <c r="AI8846" s="38"/>
    </row>
    <row r="8847" ht="15.75" customHeight="1">
      <c r="A8847" s="35"/>
      <c r="C8847" s="442"/>
      <c r="P8847" s="235"/>
      <c r="AI8847" s="38"/>
    </row>
    <row r="8848" ht="15.75" customHeight="1">
      <c r="A8848" s="35"/>
      <c r="C8848" s="442"/>
      <c r="P8848" s="235"/>
      <c r="AI8848" s="38"/>
    </row>
    <row r="8849" ht="15.75" customHeight="1">
      <c r="A8849" s="35"/>
      <c r="C8849" s="442"/>
      <c r="P8849" s="235"/>
      <c r="AI8849" s="38"/>
    </row>
    <row r="8850" ht="15.75" customHeight="1">
      <c r="A8850" s="35"/>
      <c r="C8850" s="442"/>
      <c r="P8850" s="235"/>
      <c r="AI8850" s="38"/>
    </row>
    <row r="8851" ht="15.75" customHeight="1">
      <c r="A8851" s="35"/>
      <c r="C8851" s="442"/>
      <c r="P8851" s="235"/>
      <c r="AI8851" s="38"/>
    </row>
    <row r="8852" ht="15.75" customHeight="1">
      <c r="A8852" s="35"/>
      <c r="C8852" s="442"/>
      <c r="P8852" s="235"/>
      <c r="AI8852" s="38"/>
    </row>
    <row r="8853" ht="15.75" customHeight="1">
      <c r="A8853" s="35"/>
      <c r="C8853" s="442"/>
      <c r="P8853" s="235"/>
      <c r="AI8853" s="38"/>
    </row>
    <row r="8854" ht="15.75" customHeight="1">
      <c r="A8854" s="35"/>
      <c r="C8854" s="442"/>
      <c r="P8854" s="235"/>
      <c r="AI8854" s="38"/>
    </row>
    <row r="8855" ht="15.75" customHeight="1">
      <c r="A8855" s="35"/>
      <c r="C8855" s="442"/>
      <c r="P8855" s="235"/>
      <c r="AI8855" s="38"/>
    </row>
    <row r="8856" ht="15.75" customHeight="1">
      <c r="A8856" s="35"/>
      <c r="C8856" s="442"/>
      <c r="P8856" s="235"/>
      <c r="AI8856" s="38"/>
    </row>
    <row r="8857" ht="15.75" customHeight="1">
      <c r="A8857" s="35"/>
      <c r="C8857" s="442"/>
      <c r="P8857" s="235"/>
      <c r="AI8857" s="38"/>
    </row>
    <row r="8858" ht="15.75" customHeight="1">
      <c r="A8858" s="35"/>
      <c r="C8858" s="442"/>
      <c r="P8858" s="235"/>
      <c r="AI8858" s="38"/>
    </row>
    <row r="8859" ht="15.75" customHeight="1">
      <c r="A8859" s="35"/>
      <c r="C8859" s="442"/>
      <c r="P8859" s="235"/>
      <c r="AI8859" s="38"/>
    </row>
    <row r="8860" ht="15.75" customHeight="1">
      <c r="A8860" s="35"/>
      <c r="C8860" s="442"/>
      <c r="P8860" s="235"/>
      <c r="AI8860" s="38"/>
    </row>
    <row r="8861" ht="15.75" customHeight="1">
      <c r="A8861" s="35"/>
      <c r="C8861" s="442"/>
      <c r="P8861" s="235"/>
      <c r="AI8861" s="38"/>
    </row>
    <row r="8862" ht="15.75" customHeight="1">
      <c r="A8862" s="35"/>
      <c r="C8862" s="442"/>
      <c r="P8862" s="235"/>
      <c r="AI8862" s="38"/>
    </row>
    <row r="8863" ht="15.75" customHeight="1">
      <c r="A8863" s="35"/>
      <c r="C8863" s="442"/>
      <c r="P8863" s="235"/>
      <c r="AI8863" s="38"/>
    </row>
    <row r="8864" ht="15.75" customHeight="1">
      <c r="A8864" s="35"/>
      <c r="C8864" s="442"/>
      <c r="P8864" s="235"/>
      <c r="AI8864" s="38"/>
    </row>
    <row r="8865" ht="15.75" customHeight="1">
      <c r="A8865" s="35"/>
      <c r="C8865" s="442"/>
      <c r="P8865" s="235"/>
      <c r="AI8865" s="38"/>
    </row>
    <row r="8866" ht="15.75" customHeight="1">
      <c r="A8866" s="35"/>
      <c r="C8866" s="442"/>
      <c r="P8866" s="235"/>
      <c r="AI8866" s="38"/>
    </row>
    <row r="8867" ht="15.75" customHeight="1">
      <c r="A8867" s="35"/>
      <c r="C8867" s="442"/>
      <c r="P8867" s="235"/>
      <c r="AI8867" s="38"/>
    </row>
    <row r="8868" ht="15.75" customHeight="1">
      <c r="A8868" s="35"/>
      <c r="C8868" s="442"/>
      <c r="P8868" s="235"/>
      <c r="AI8868" s="38"/>
    </row>
    <row r="8869" ht="15.75" customHeight="1">
      <c r="A8869" s="35"/>
      <c r="C8869" s="442"/>
      <c r="P8869" s="235"/>
      <c r="AI8869" s="38"/>
    </row>
    <row r="8870" ht="15.75" customHeight="1">
      <c r="A8870" s="35"/>
      <c r="C8870" s="442"/>
      <c r="P8870" s="235"/>
      <c r="AI8870" s="38"/>
    </row>
    <row r="8871" ht="15.75" customHeight="1">
      <c r="A8871" s="35"/>
      <c r="C8871" s="442"/>
      <c r="P8871" s="235"/>
      <c r="AI8871" s="38"/>
    </row>
    <row r="8872" ht="15.75" customHeight="1">
      <c r="A8872" s="35"/>
      <c r="C8872" s="442"/>
      <c r="P8872" s="235"/>
      <c r="AI8872" s="38"/>
    </row>
    <row r="8873" ht="15.75" customHeight="1">
      <c r="A8873" s="35"/>
      <c r="C8873" s="442"/>
      <c r="P8873" s="235"/>
      <c r="AI8873" s="38"/>
    </row>
    <row r="8874" ht="15.75" customHeight="1">
      <c r="A8874" s="35"/>
      <c r="C8874" s="442"/>
      <c r="P8874" s="235"/>
      <c r="AI8874" s="38"/>
    </row>
    <row r="8875" ht="15.75" customHeight="1">
      <c r="A8875" s="35"/>
      <c r="C8875" s="442"/>
      <c r="P8875" s="235"/>
      <c r="AI8875" s="38"/>
    </row>
    <row r="8876" ht="15.75" customHeight="1">
      <c r="A8876" s="35"/>
      <c r="C8876" s="442"/>
      <c r="P8876" s="235"/>
      <c r="AI8876" s="38"/>
    </row>
    <row r="8877" ht="15.75" customHeight="1">
      <c r="A8877" s="35"/>
      <c r="C8877" s="442"/>
      <c r="P8877" s="235"/>
      <c r="AI8877" s="38"/>
    </row>
    <row r="8878" ht="15.75" customHeight="1">
      <c r="A8878" s="35"/>
      <c r="C8878" s="442"/>
      <c r="P8878" s="235"/>
      <c r="AI8878" s="38"/>
    </row>
    <row r="8879" ht="15.75" customHeight="1">
      <c r="A8879" s="35"/>
      <c r="C8879" s="442"/>
      <c r="P8879" s="235"/>
      <c r="AI8879" s="38"/>
    </row>
    <row r="8880" ht="15.75" customHeight="1">
      <c r="A8880" s="35"/>
      <c r="C8880" s="442"/>
      <c r="P8880" s="235"/>
      <c r="AI8880" s="38"/>
    </row>
    <row r="8881" ht="15.75" customHeight="1">
      <c r="A8881" s="35"/>
      <c r="C8881" s="442"/>
      <c r="P8881" s="235"/>
      <c r="AI8881" s="38"/>
    </row>
    <row r="8882" ht="15.75" customHeight="1">
      <c r="A8882" s="35"/>
      <c r="C8882" s="442"/>
      <c r="P8882" s="235"/>
      <c r="AI8882" s="38"/>
    </row>
    <row r="8883" ht="15.75" customHeight="1">
      <c r="A8883" s="35"/>
      <c r="C8883" s="442"/>
      <c r="P8883" s="235"/>
      <c r="AI8883" s="38"/>
    </row>
    <row r="8884" ht="15.75" customHeight="1">
      <c r="A8884" s="35"/>
      <c r="C8884" s="442"/>
      <c r="P8884" s="235"/>
      <c r="AI8884" s="38"/>
    </row>
    <row r="8885" ht="15.75" customHeight="1">
      <c r="A8885" s="35"/>
      <c r="C8885" s="442"/>
      <c r="P8885" s="235"/>
      <c r="AI8885" s="38"/>
    </row>
    <row r="8886" ht="15.75" customHeight="1">
      <c r="A8886" s="35"/>
      <c r="C8886" s="442"/>
      <c r="P8886" s="235"/>
      <c r="AI8886" s="38"/>
    </row>
    <row r="8887" ht="15.75" customHeight="1">
      <c r="A8887" s="35"/>
      <c r="C8887" s="442"/>
      <c r="P8887" s="235"/>
      <c r="AI8887" s="38"/>
    </row>
    <row r="8888" ht="15.75" customHeight="1">
      <c r="A8888" s="35"/>
      <c r="C8888" s="442"/>
      <c r="P8888" s="235"/>
      <c r="AI8888" s="38"/>
    </row>
    <row r="8889" ht="15.75" customHeight="1">
      <c r="A8889" s="35"/>
      <c r="C8889" s="442"/>
      <c r="P8889" s="235"/>
      <c r="AI8889" s="38"/>
    </row>
    <row r="8890" ht="15.75" customHeight="1">
      <c r="A8890" s="35"/>
      <c r="C8890" s="442"/>
      <c r="P8890" s="235"/>
      <c r="AI8890" s="38"/>
    </row>
    <row r="8891" ht="15.75" customHeight="1">
      <c r="A8891" s="35"/>
      <c r="C8891" s="442"/>
      <c r="P8891" s="235"/>
      <c r="AI8891" s="38"/>
    </row>
    <row r="8892" ht="15.75" customHeight="1">
      <c r="A8892" s="35"/>
      <c r="C8892" s="442"/>
      <c r="P8892" s="235"/>
      <c r="AI8892" s="38"/>
    </row>
    <row r="8893" ht="15.75" customHeight="1">
      <c r="A8893" s="35"/>
      <c r="C8893" s="442"/>
      <c r="P8893" s="235"/>
      <c r="AI8893" s="38"/>
    </row>
    <row r="8894" ht="15.75" customHeight="1">
      <c r="A8894" s="35"/>
      <c r="C8894" s="442"/>
      <c r="P8894" s="235"/>
      <c r="AI8894" s="38"/>
    </row>
    <row r="8895" ht="15.75" customHeight="1">
      <c r="A8895" s="35"/>
      <c r="C8895" s="442"/>
      <c r="P8895" s="235"/>
      <c r="AI8895" s="38"/>
    </row>
    <row r="8896" ht="15.75" customHeight="1">
      <c r="A8896" s="35"/>
      <c r="C8896" s="442"/>
      <c r="P8896" s="235"/>
      <c r="AI8896" s="38"/>
    </row>
    <row r="8897" ht="15.75" customHeight="1">
      <c r="A8897" s="35"/>
      <c r="C8897" s="442"/>
      <c r="P8897" s="235"/>
      <c r="AI8897" s="38"/>
    </row>
    <row r="8898" ht="15.75" customHeight="1">
      <c r="A8898" s="35"/>
      <c r="C8898" s="442"/>
      <c r="P8898" s="235"/>
      <c r="AI8898" s="38"/>
    </row>
    <row r="8899" ht="15.75" customHeight="1">
      <c r="A8899" s="35"/>
      <c r="C8899" s="442"/>
      <c r="P8899" s="235"/>
      <c r="AI8899" s="38"/>
    </row>
    <row r="8900" ht="15.75" customHeight="1">
      <c r="A8900" s="35"/>
      <c r="C8900" s="442"/>
      <c r="P8900" s="235"/>
      <c r="AI8900" s="38"/>
    </row>
    <row r="8901" ht="15.75" customHeight="1">
      <c r="A8901" s="35"/>
      <c r="C8901" s="442"/>
      <c r="P8901" s="235"/>
      <c r="AI8901" s="38"/>
    </row>
    <row r="8902" ht="15.75" customHeight="1">
      <c r="A8902" s="35"/>
      <c r="C8902" s="442"/>
      <c r="P8902" s="235"/>
      <c r="AI8902" s="38"/>
    </row>
    <row r="8903" ht="15.75" customHeight="1">
      <c r="A8903" s="35"/>
      <c r="C8903" s="442"/>
      <c r="P8903" s="235"/>
      <c r="AI8903" s="38"/>
    </row>
    <row r="8904" ht="15.75" customHeight="1">
      <c r="A8904" s="35"/>
      <c r="C8904" s="442"/>
      <c r="P8904" s="235"/>
      <c r="AI8904" s="38"/>
    </row>
    <row r="8905" ht="15.75" customHeight="1">
      <c r="A8905" s="35"/>
      <c r="C8905" s="442"/>
      <c r="P8905" s="235"/>
      <c r="AI8905" s="38"/>
    </row>
    <row r="8906" ht="15.75" customHeight="1">
      <c r="A8906" s="35"/>
      <c r="C8906" s="442"/>
      <c r="P8906" s="235"/>
      <c r="AI8906" s="38"/>
    </row>
    <row r="8907" ht="15.75" customHeight="1">
      <c r="A8907" s="35"/>
      <c r="C8907" s="442"/>
      <c r="P8907" s="235"/>
      <c r="AI8907" s="38"/>
    </row>
    <row r="8908" ht="15.75" customHeight="1">
      <c r="A8908" s="35"/>
      <c r="C8908" s="442"/>
      <c r="P8908" s="235"/>
      <c r="AI8908" s="38"/>
    </row>
    <row r="8909" ht="15.75" customHeight="1">
      <c r="A8909" s="35"/>
      <c r="C8909" s="442"/>
      <c r="P8909" s="235"/>
      <c r="AI8909" s="38"/>
    </row>
    <row r="8910" ht="15.75" customHeight="1">
      <c r="A8910" s="35"/>
      <c r="C8910" s="442"/>
      <c r="P8910" s="235"/>
      <c r="AI8910" s="38"/>
    </row>
    <row r="8911" ht="15.75" customHeight="1">
      <c r="A8911" s="35"/>
      <c r="C8911" s="442"/>
      <c r="P8911" s="235"/>
      <c r="AI8911" s="38"/>
    </row>
    <row r="8912" ht="15.75" customHeight="1">
      <c r="A8912" s="35"/>
      <c r="C8912" s="442"/>
      <c r="P8912" s="235"/>
      <c r="AI8912" s="38"/>
    </row>
    <row r="8913" ht="15.75" customHeight="1">
      <c r="A8913" s="35"/>
      <c r="C8913" s="442"/>
      <c r="P8913" s="235"/>
      <c r="AI8913" s="38"/>
    </row>
    <row r="8914" ht="15.75" customHeight="1">
      <c r="A8914" s="35"/>
      <c r="C8914" s="442"/>
      <c r="P8914" s="235"/>
      <c r="AI8914" s="38"/>
    </row>
    <row r="8915" ht="15.75" customHeight="1">
      <c r="A8915" s="35"/>
      <c r="C8915" s="442"/>
      <c r="P8915" s="235"/>
      <c r="AI8915" s="38"/>
    </row>
    <row r="8916" ht="15.75" customHeight="1">
      <c r="A8916" s="35"/>
      <c r="C8916" s="442"/>
      <c r="P8916" s="235"/>
      <c r="AI8916" s="38"/>
    </row>
    <row r="8917" ht="15.75" customHeight="1">
      <c r="A8917" s="35"/>
      <c r="C8917" s="442"/>
      <c r="P8917" s="235"/>
      <c r="AI8917" s="38"/>
    </row>
    <row r="8918" ht="15.75" customHeight="1">
      <c r="A8918" s="35"/>
      <c r="C8918" s="442"/>
      <c r="P8918" s="235"/>
      <c r="AI8918" s="38"/>
    </row>
    <row r="8919" ht="15.75" customHeight="1">
      <c r="A8919" s="35"/>
      <c r="C8919" s="442"/>
      <c r="P8919" s="235"/>
      <c r="AI8919" s="38"/>
    </row>
    <row r="8920" ht="15.75" customHeight="1">
      <c r="A8920" s="35"/>
      <c r="C8920" s="442"/>
      <c r="P8920" s="235"/>
      <c r="AI8920" s="38"/>
    </row>
    <row r="8921" ht="15.75" customHeight="1">
      <c r="A8921" s="35"/>
      <c r="C8921" s="442"/>
      <c r="P8921" s="235"/>
      <c r="AI8921" s="38"/>
    </row>
    <row r="8922" ht="15.75" customHeight="1">
      <c r="A8922" s="35"/>
      <c r="C8922" s="442"/>
      <c r="P8922" s="235"/>
      <c r="AI8922" s="38"/>
    </row>
    <row r="8923" ht="15.75" customHeight="1">
      <c r="A8923" s="35"/>
      <c r="C8923" s="442"/>
      <c r="P8923" s="235"/>
      <c r="AI8923" s="38"/>
    </row>
    <row r="8924" ht="15.75" customHeight="1">
      <c r="A8924" s="35"/>
      <c r="C8924" s="442"/>
      <c r="P8924" s="235"/>
      <c r="AI8924" s="38"/>
    </row>
    <row r="8925" ht="15.75" customHeight="1">
      <c r="A8925" s="35"/>
      <c r="C8925" s="442"/>
      <c r="P8925" s="235"/>
      <c r="AI8925" s="38"/>
    </row>
    <row r="8926" ht="15.75" customHeight="1">
      <c r="A8926" s="35"/>
      <c r="C8926" s="442"/>
      <c r="P8926" s="235"/>
      <c r="AI8926" s="38"/>
    </row>
    <row r="8927" ht="15.75" customHeight="1">
      <c r="A8927" s="35"/>
      <c r="C8927" s="442"/>
      <c r="P8927" s="235"/>
      <c r="AI8927" s="38"/>
    </row>
    <row r="8928" ht="15.75" customHeight="1">
      <c r="A8928" s="35"/>
      <c r="C8928" s="442"/>
      <c r="P8928" s="235"/>
      <c r="AI8928" s="38"/>
    </row>
    <row r="8929" ht="15.75" customHeight="1">
      <c r="A8929" s="35"/>
      <c r="C8929" s="442"/>
      <c r="P8929" s="235"/>
      <c r="AI8929" s="38"/>
    </row>
    <row r="8930" ht="15.75" customHeight="1">
      <c r="A8930" s="35"/>
      <c r="C8930" s="442"/>
      <c r="P8930" s="235"/>
      <c r="AI8930" s="38"/>
    </row>
    <row r="8931" ht="15.75" customHeight="1">
      <c r="A8931" s="35"/>
      <c r="C8931" s="442"/>
      <c r="P8931" s="235"/>
      <c r="AI8931" s="38"/>
    </row>
    <row r="8932" ht="15.75" customHeight="1">
      <c r="A8932" s="35"/>
      <c r="C8932" s="442"/>
      <c r="P8932" s="235"/>
      <c r="AI8932" s="38"/>
    </row>
    <row r="8933" ht="15.75" customHeight="1">
      <c r="A8933" s="35"/>
      <c r="C8933" s="442"/>
      <c r="P8933" s="235"/>
      <c r="AI8933" s="38"/>
    </row>
    <row r="8934" ht="15.75" customHeight="1">
      <c r="A8934" s="35"/>
      <c r="C8934" s="442"/>
      <c r="P8934" s="235"/>
      <c r="AI8934" s="38"/>
    </row>
    <row r="8935" ht="15.75" customHeight="1">
      <c r="A8935" s="35"/>
      <c r="C8935" s="442"/>
      <c r="P8935" s="235"/>
      <c r="AI8935" s="38"/>
    </row>
    <row r="8936" ht="15.75" customHeight="1">
      <c r="A8936" s="35"/>
      <c r="C8936" s="442"/>
      <c r="P8936" s="235"/>
      <c r="AI8936" s="38"/>
    </row>
    <row r="8937" ht="15.75" customHeight="1">
      <c r="A8937" s="35"/>
      <c r="C8937" s="442"/>
      <c r="P8937" s="235"/>
      <c r="AI8937" s="38"/>
    </row>
    <row r="8938" ht="15.75" customHeight="1">
      <c r="A8938" s="35"/>
      <c r="C8938" s="442"/>
      <c r="P8938" s="235"/>
      <c r="AI8938" s="38"/>
    </row>
    <row r="8939" ht="15.75" customHeight="1">
      <c r="A8939" s="35"/>
      <c r="C8939" s="442"/>
      <c r="P8939" s="235"/>
      <c r="AI8939" s="38"/>
    </row>
    <row r="8940" ht="15.75" customHeight="1">
      <c r="A8940" s="35"/>
      <c r="C8940" s="442"/>
      <c r="P8940" s="235"/>
      <c r="AI8940" s="38"/>
    </row>
    <row r="8941" ht="15.75" customHeight="1">
      <c r="A8941" s="35"/>
      <c r="C8941" s="442"/>
      <c r="P8941" s="235"/>
      <c r="AI8941" s="38"/>
    </row>
    <row r="8942" ht="15.75" customHeight="1">
      <c r="A8942" s="35"/>
      <c r="C8942" s="442"/>
      <c r="P8942" s="235"/>
      <c r="AI8942" s="38"/>
    </row>
    <row r="8943" ht="15.75" customHeight="1">
      <c r="A8943" s="35"/>
      <c r="C8943" s="442"/>
      <c r="P8943" s="235"/>
      <c r="AI8943" s="38"/>
    </row>
    <row r="8944" ht="15.75" customHeight="1">
      <c r="A8944" s="35"/>
      <c r="C8944" s="442"/>
      <c r="P8944" s="235"/>
      <c r="AI8944" s="38"/>
    </row>
    <row r="8945" ht="15.75" customHeight="1">
      <c r="A8945" s="35"/>
      <c r="C8945" s="442"/>
      <c r="P8945" s="235"/>
      <c r="AI8945" s="38"/>
    </row>
    <row r="8946" ht="15.75" customHeight="1">
      <c r="A8946" s="35"/>
      <c r="C8946" s="442"/>
      <c r="P8946" s="235"/>
      <c r="AI8946" s="38"/>
    </row>
    <row r="8947" ht="15.75" customHeight="1">
      <c r="A8947" s="35"/>
      <c r="C8947" s="442"/>
      <c r="P8947" s="235"/>
      <c r="AI8947" s="38"/>
    </row>
    <row r="8948" ht="15.75" customHeight="1">
      <c r="A8948" s="35"/>
      <c r="C8948" s="442"/>
      <c r="P8948" s="235"/>
      <c r="AI8948" s="38"/>
    </row>
    <row r="8949" ht="15.75" customHeight="1">
      <c r="A8949" s="35"/>
      <c r="C8949" s="442"/>
      <c r="P8949" s="235"/>
      <c r="AI8949" s="38"/>
    </row>
    <row r="8950" ht="15.75" customHeight="1">
      <c r="A8950" s="35"/>
      <c r="C8950" s="442"/>
      <c r="P8950" s="235"/>
      <c r="AI8950" s="38"/>
    </row>
    <row r="8951" ht="15.75" customHeight="1">
      <c r="A8951" s="35"/>
      <c r="C8951" s="442"/>
      <c r="P8951" s="235"/>
      <c r="AI8951" s="38"/>
    </row>
    <row r="8952" ht="15.75" customHeight="1">
      <c r="A8952" s="35"/>
      <c r="C8952" s="442"/>
      <c r="P8952" s="235"/>
      <c r="AI8952" s="38"/>
    </row>
    <row r="8953" ht="15.75" customHeight="1">
      <c r="A8953" s="35"/>
      <c r="C8953" s="442"/>
      <c r="P8953" s="235"/>
      <c r="AI8953" s="38"/>
    </row>
    <row r="8954" ht="15.75" customHeight="1">
      <c r="A8954" s="35"/>
      <c r="C8954" s="442"/>
      <c r="P8954" s="235"/>
      <c r="AI8954" s="38"/>
    </row>
    <row r="8955" ht="15.75" customHeight="1">
      <c r="A8955" s="35"/>
      <c r="C8955" s="442"/>
      <c r="P8955" s="235"/>
      <c r="AI8955" s="38"/>
    </row>
    <row r="8956" ht="15.75" customHeight="1">
      <c r="A8956" s="35"/>
      <c r="C8956" s="442"/>
      <c r="P8956" s="235"/>
      <c r="AI8956" s="38"/>
    </row>
    <row r="8957" ht="15.75" customHeight="1">
      <c r="A8957" s="35"/>
      <c r="C8957" s="442"/>
      <c r="P8957" s="235"/>
      <c r="AI8957" s="38"/>
    </row>
    <row r="8958" ht="15.75" customHeight="1">
      <c r="A8958" s="35"/>
      <c r="C8958" s="442"/>
      <c r="P8958" s="235"/>
      <c r="AI8958" s="38"/>
    </row>
    <row r="8959" ht="15.75" customHeight="1">
      <c r="A8959" s="35"/>
      <c r="C8959" s="442"/>
      <c r="P8959" s="235"/>
      <c r="AI8959" s="38"/>
    </row>
    <row r="8960" ht="15.75" customHeight="1">
      <c r="A8960" s="35"/>
      <c r="C8960" s="442"/>
      <c r="P8960" s="235"/>
      <c r="AI8960" s="38"/>
    </row>
    <row r="8961" ht="15.75" customHeight="1">
      <c r="A8961" s="35"/>
      <c r="C8961" s="442"/>
      <c r="P8961" s="235"/>
      <c r="AI8961" s="38"/>
    </row>
    <row r="8962" ht="15.75" customHeight="1">
      <c r="A8962" s="35"/>
      <c r="C8962" s="442"/>
      <c r="P8962" s="235"/>
      <c r="AI8962" s="38"/>
    </row>
    <row r="8963" ht="15.75" customHeight="1">
      <c r="A8963" s="35"/>
      <c r="C8963" s="442"/>
      <c r="P8963" s="235"/>
      <c r="AI8963" s="38"/>
    </row>
    <row r="8964" ht="15.75" customHeight="1">
      <c r="A8964" s="35"/>
      <c r="C8964" s="442"/>
      <c r="P8964" s="235"/>
      <c r="AI8964" s="38"/>
    </row>
    <row r="8965" ht="15.75" customHeight="1">
      <c r="A8965" s="35"/>
      <c r="C8965" s="442"/>
      <c r="P8965" s="235"/>
      <c r="AI8965" s="38"/>
    </row>
    <row r="8966" ht="15.75" customHeight="1">
      <c r="A8966" s="35"/>
      <c r="C8966" s="442"/>
      <c r="P8966" s="235"/>
      <c r="AI8966" s="38"/>
    </row>
    <row r="8967" ht="15.75" customHeight="1">
      <c r="A8967" s="35"/>
      <c r="C8967" s="442"/>
      <c r="P8967" s="235"/>
      <c r="AI8967" s="38"/>
    </row>
    <row r="8968" ht="15.75" customHeight="1">
      <c r="A8968" s="35"/>
      <c r="C8968" s="442"/>
      <c r="P8968" s="235"/>
      <c r="AI8968" s="38"/>
    </row>
    <row r="8969" ht="15.75" customHeight="1">
      <c r="A8969" s="35"/>
      <c r="C8969" s="442"/>
      <c r="P8969" s="235"/>
      <c r="AI8969" s="38"/>
    </row>
    <row r="8970" ht="15.75" customHeight="1">
      <c r="A8970" s="35"/>
      <c r="C8970" s="442"/>
      <c r="P8970" s="235"/>
      <c r="AI8970" s="38"/>
    </row>
    <row r="8971" ht="15.75" customHeight="1">
      <c r="A8971" s="35"/>
      <c r="C8971" s="442"/>
      <c r="P8971" s="235"/>
      <c r="AI8971" s="38"/>
    </row>
    <row r="8972" ht="15.75" customHeight="1">
      <c r="A8972" s="35"/>
      <c r="C8972" s="442"/>
      <c r="P8972" s="235"/>
      <c r="AI8972" s="38"/>
    </row>
    <row r="8973" ht="15.75" customHeight="1">
      <c r="A8973" s="35"/>
      <c r="C8973" s="442"/>
      <c r="P8973" s="235"/>
      <c r="AI8973" s="38"/>
    </row>
    <row r="8974" ht="15.75" customHeight="1">
      <c r="A8974" s="35"/>
      <c r="C8974" s="442"/>
      <c r="P8974" s="235"/>
      <c r="AI8974" s="38"/>
    </row>
    <row r="8975" ht="15.75" customHeight="1">
      <c r="A8975" s="35"/>
      <c r="C8975" s="442"/>
      <c r="P8975" s="235"/>
      <c r="AI8975" s="38"/>
    </row>
    <row r="8976" ht="15.75" customHeight="1">
      <c r="A8976" s="35"/>
      <c r="C8976" s="442"/>
      <c r="P8976" s="235"/>
      <c r="AI8976" s="38"/>
    </row>
    <row r="8977" ht="15.75" customHeight="1">
      <c r="A8977" s="35"/>
      <c r="C8977" s="442"/>
      <c r="P8977" s="235"/>
      <c r="AI8977" s="38"/>
    </row>
    <row r="8978" ht="15.75" customHeight="1">
      <c r="A8978" s="35"/>
      <c r="C8978" s="442"/>
      <c r="P8978" s="235"/>
      <c r="AI8978" s="38"/>
    </row>
    <row r="8979" ht="15.75" customHeight="1">
      <c r="A8979" s="35"/>
      <c r="C8979" s="442"/>
      <c r="P8979" s="235"/>
      <c r="AI8979" s="38"/>
    </row>
    <row r="8980" ht="15.75" customHeight="1">
      <c r="A8980" s="35"/>
      <c r="C8980" s="442"/>
      <c r="P8980" s="235"/>
      <c r="AI8980" s="38"/>
    </row>
    <row r="8981" ht="15.75" customHeight="1">
      <c r="A8981" s="35"/>
      <c r="C8981" s="442"/>
      <c r="P8981" s="235"/>
      <c r="AI8981" s="38"/>
    </row>
    <row r="8982" ht="15.75" customHeight="1">
      <c r="A8982" s="35"/>
      <c r="C8982" s="442"/>
      <c r="P8982" s="235"/>
      <c r="AI8982" s="38"/>
    </row>
    <row r="8983" ht="15.75" customHeight="1">
      <c r="A8983" s="35"/>
      <c r="C8983" s="442"/>
      <c r="P8983" s="235"/>
      <c r="AI8983" s="38"/>
    </row>
    <row r="8984" ht="15.75" customHeight="1">
      <c r="A8984" s="35"/>
      <c r="C8984" s="442"/>
      <c r="P8984" s="235"/>
      <c r="AI8984" s="38"/>
    </row>
    <row r="8985" ht="15.75" customHeight="1">
      <c r="A8985" s="35"/>
      <c r="C8985" s="442"/>
      <c r="P8985" s="235"/>
      <c r="AI8985" s="38"/>
    </row>
    <row r="8986" ht="15.75" customHeight="1">
      <c r="A8986" s="35"/>
      <c r="C8986" s="442"/>
      <c r="P8986" s="235"/>
      <c r="AI8986" s="38"/>
    </row>
    <row r="8987" ht="15.75" customHeight="1">
      <c r="A8987" s="35"/>
      <c r="C8987" s="442"/>
      <c r="P8987" s="235"/>
      <c r="AI8987" s="38"/>
    </row>
    <row r="8988" ht="15.75" customHeight="1">
      <c r="A8988" s="35"/>
      <c r="C8988" s="442"/>
      <c r="P8988" s="235"/>
      <c r="AI8988" s="38"/>
    </row>
    <row r="8989" ht="15.75" customHeight="1">
      <c r="A8989" s="35"/>
      <c r="C8989" s="442"/>
      <c r="P8989" s="235"/>
      <c r="AI8989" s="38"/>
    </row>
    <row r="8990" ht="15.75" customHeight="1">
      <c r="A8990" s="35"/>
      <c r="C8990" s="442"/>
      <c r="P8990" s="235"/>
      <c r="AI8990" s="38"/>
    </row>
    <row r="8991" ht="15.75" customHeight="1">
      <c r="A8991" s="35"/>
      <c r="C8991" s="442"/>
      <c r="P8991" s="235"/>
      <c r="AI8991" s="38"/>
    </row>
    <row r="8992" ht="15.75" customHeight="1">
      <c r="A8992" s="35"/>
      <c r="C8992" s="442"/>
      <c r="P8992" s="235"/>
      <c r="AI8992" s="38"/>
    </row>
    <row r="8993" ht="15.75" customHeight="1">
      <c r="A8993" s="35"/>
      <c r="C8993" s="442"/>
      <c r="P8993" s="235"/>
      <c r="AI8993" s="38"/>
    </row>
    <row r="8994" ht="15.75" customHeight="1">
      <c r="A8994" s="35"/>
      <c r="C8994" s="442"/>
      <c r="P8994" s="235"/>
      <c r="AI8994" s="38"/>
    </row>
    <row r="8995" ht="15.75" customHeight="1">
      <c r="A8995" s="35"/>
      <c r="C8995" s="442"/>
      <c r="P8995" s="235"/>
      <c r="AI8995" s="38"/>
    </row>
    <row r="8996" ht="15.75" customHeight="1">
      <c r="A8996" s="35"/>
      <c r="C8996" s="442"/>
      <c r="P8996" s="235"/>
      <c r="AI8996" s="38"/>
    </row>
    <row r="8997" ht="15.75" customHeight="1">
      <c r="A8997" s="35"/>
      <c r="C8997" s="442"/>
      <c r="P8997" s="235"/>
      <c r="AI8997" s="38"/>
    </row>
    <row r="8998" ht="15.75" customHeight="1">
      <c r="A8998" s="35"/>
      <c r="C8998" s="442"/>
      <c r="P8998" s="235"/>
      <c r="AI8998" s="38"/>
    </row>
    <row r="8999" ht="15.75" customHeight="1">
      <c r="A8999" s="35"/>
      <c r="C8999" s="442"/>
      <c r="P8999" s="235"/>
      <c r="AI8999" s="38"/>
    </row>
    <row r="9000" ht="15.75" customHeight="1">
      <c r="A9000" s="35"/>
      <c r="C9000" s="442"/>
      <c r="P9000" s="235"/>
      <c r="AI9000" s="38"/>
    </row>
    <row r="9001" ht="15.75" customHeight="1">
      <c r="A9001" s="35"/>
      <c r="C9001" s="442"/>
      <c r="P9001" s="235"/>
      <c r="AI9001" s="38"/>
    </row>
    <row r="9002" ht="15.75" customHeight="1">
      <c r="A9002" s="35"/>
      <c r="C9002" s="442"/>
      <c r="P9002" s="235"/>
      <c r="AI9002" s="38"/>
    </row>
    <row r="9003" ht="15.75" customHeight="1">
      <c r="A9003" s="35"/>
      <c r="C9003" s="442"/>
      <c r="P9003" s="235"/>
      <c r="AI9003" s="38"/>
    </row>
    <row r="9004" ht="15.75" customHeight="1">
      <c r="A9004" s="35"/>
      <c r="C9004" s="442"/>
      <c r="P9004" s="235"/>
      <c r="AI9004" s="38"/>
    </row>
    <row r="9005" ht="15.75" customHeight="1">
      <c r="A9005" s="35"/>
      <c r="C9005" s="442"/>
      <c r="P9005" s="235"/>
      <c r="AI9005" s="38"/>
    </row>
    <row r="9006" ht="15.75" customHeight="1">
      <c r="A9006" s="35"/>
      <c r="C9006" s="442"/>
      <c r="P9006" s="235"/>
      <c r="AI9006" s="38"/>
    </row>
    <row r="9007" ht="15.75" customHeight="1">
      <c r="A9007" s="35"/>
      <c r="C9007" s="442"/>
      <c r="P9007" s="235"/>
      <c r="AI9007" s="38"/>
    </row>
    <row r="9008" ht="15.75" customHeight="1">
      <c r="A9008" s="35"/>
      <c r="C9008" s="442"/>
      <c r="P9008" s="235"/>
      <c r="AI9008" s="38"/>
    </row>
    <row r="9009" ht="15.75" customHeight="1">
      <c r="A9009" s="35"/>
      <c r="C9009" s="442"/>
      <c r="P9009" s="235"/>
      <c r="AI9009" s="38"/>
    </row>
    <row r="9010" ht="15.75" customHeight="1">
      <c r="A9010" s="35"/>
      <c r="C9010" s="442"/>
      <c r="P9010" s="235"/>
      <c r="AI9010" s="38"/>
    </row>
    <row r="9011" ht="15.75" customHeight="1">
      <c r="A9011" s="35"/>
      <c r="C9011" s="442"/>
      <c r="P9011" s="235"/>
      <c r="AI9011" s="38"/>
    </row>
    <row r="9012" ht="15.75" customHeight="1">
      <c r="A9012" s="35"/>
      <c r="C9012" s="442"/>
      <c r="P9012" s="235"/>
      <c r="AI9012" s="38"/>
    </row>
    <row r="9013" ht="15.75" customHeight="1">
      <c r="A9013" s="35"/>
      <c r="C9013" s="442"/>
      <c r="P9013" s="235"/>
      <c r="AI9013" s="38"/>
    </row>
    <row r="9014" ht="15.75" customHeight="1">
      <c r="A9014" s="35"/>
      <c r="C9014" s="442"/>
      <c r="P9014" s="235"/>
      <c r="AI9014" s="38"/>
    </row>
    <row r="9015" ht="15.75" customHeight="1">
      <c r="A9015" s="35"/>
      <c r="C9015" s="442"/>
      <c r="P9015" s="235"/>
      <c r="AI9015" s="38"/>
    </row>
    <row r="9016" ht="15.75" customHeight="1">
      <c r="A9016" s="35"/>
      <c r="C9016" s="442"/>
      <c r="P9016" s="235"/>
      <c r="AI9016" s="38"/>
    </row>
    <row r="9017" ht="15.75" customHeight="1">
      <c r="A9017" s="35"/>
      <c r="C9017" s="442"/>
      <c r="P9017" s="235"/>
      <c r="AI9017" s="38"/>
    </row>
    <row r="9018" ht="15.75" customHeight="1">
      <c r="A9018" s="35"/>
      <c r="C9018" s="442"/>
      <c r="P9018" s="235"/>
      <c r="AI9018" s="38"/>
    </row>
    <row r="9019" ht="15.75" customHeight="1">
      <c r="A9019" s="35"/>
      <c r="C9019" s="442"/>
      <c r="P9019" s="235"/>
      <c r="AI9019" s="38"/>
    </row>
    <row r="9020" ht="15.75" customHeight="1">
      <c r="A9020" s="35"/>
      <c r="C9020" s="442"/>
      <c r="P9020" s="235"/>
      <c r="AI9020" s="38"/>
    </row>
    <row r="9021" ht="15.75" customHeight="1">
      <c r="A9021" s="35"/>
      <c r="C9021" s="442"/>
      <c r="P9021" s="235"/>
      <c r="AI9021" s="38"/>
    </row>
    <row r="9022" ht="15.75" customHeight="1">
      <c r="A9022" s="35"/>
      <c r="C9022" s="442"/>
      <c r="P9022" s="235"/>
      <c r="AI9022" s="38"/>
    </row>
    <row r="9023" ht="15.75" customHeight="1">
      <c r="A9023" s="35"/>
      <c r="C9023" s="442"/>
      <c r="P9023" s="235"/>
      <c r="AI9023" s="38"/>
    </row>
    <row r="9024" ht="15.75" customHeight="1">
      <c r="A9024" s="35"/>
      <c r="C9024" s="442"/>
      <c r="P9024" s="235"/>
      <c r="AI9024" s="38"/>
    </row>
    <row r="9025" ht="15.75" customHeight="1">
      <c r="A9025" s="35"/>
      <c r="C9025" s="442"/>
      <c r="P9025" s="235"/>
      <c r="AI9025" s="38"/>
    </row>
    <row r="9026" ht="15.75" customHeight="1">
      <c r="A9026" s="35"/>
      <c r="C9026" s="442"/>
      <c r="P9026" s="235"/>
      <c r="AI9026" s="38"/>
    </row>
    <row r="9027" ht="15.75" customHeight="1">
      <c r="A9027" s="35"/>
      <c r="C9027" s="442"/>
      <c r="P9027" s="235"/>
      <c r="AI9027" s="38"/>
    </row>
    <row r="9028" ht="15.75" customHeight="1">
      <c r="A9028" s="35"/>
      <c r="C9028" s="442"/>
      <c r="P9028" s="235"/>
      <c r="AI9028" s="38"/>
    </row>
    <row r="9029" ht="15.75" customHeight="1">
      <c r="A9029" s="35"/>
      <c r="C9029" s="442"/>
      <c r="P9029" s="235"/>
      <c r="AI9029" s="38"/>
    </row>
    <row r="9030" ht="15.75" customHeight="1">
      <c r="A9030" s="35"/>
      <c r="C9030" s="442"/>
      <c r="P9030" s="235"/>
      <c r="AI9030" s="38"/>
    </row>
    <row r="9031" ht="15.75" customHeight="1">
      <c r="A9031" s="35"/>
      <c r="C9031" s="442"/>
      <c r="P9031" s="235"/>
      <c r="AI9031" s="38"/>
    </row>
    <row r="9032" ht="15.75" customHeight="1">
      <c r="A9032" s="35"/>
      <c r="C9032" s="442"/>
      <c r="P9032" s="235"/>
      <c r="AI9032" s="38"/>
    </row>
    <row r="9033" ht="15.75" customHeight="1">
      <c r="A9033" s="35"/>
      <c r="C9033" s="442"/>
      <c r="P9033" s="235"/>
      <c r="AI9033" s="38"/>
    </row>
    <row r="9034" ht="15.75" customHeight="1">
      <c r="A9034" s="35"/>
      <c r="C9034" s="442"/>
      <c r="P9034" s="235"/>
      <c r="AI9034" s="38"/>
    </row>
    <row r="9035" ht="15.75" customHeight="1">
      <c r="A9035" s="35"/>
      <c r="C9035" s="442"/>
      <c r="P9035" s="235"/>
      <c r="AI9035" s="38"/>
    </row>
    <row r="9036" ht="15.75" customHeight="1">
      <c r="A9036" s="35"/>
      <c r="C9036" s="442"/>
      <c r="P9036" s="235"/>
      <c r="AI9036" s="38"/>
    </row>
    <row r="9037" ht="15.75" customHeight="1">
      <c r="A9037" s="35"/>
      <c r="C9037" s="442"/>
      <c r="P9037" s="235"/>
      <c r="AI9037" s="38"/>
    </row>
    <row r="9038" ht="15.75" customHeight="1">
      <c r="A9038" s="35"/>
      <c r="C9038" s="442"/>
      <c r="P9038" s="235"/>
      <c r="AI9038" s="38"/>
    </row>
    <row r="9039" ht="15.75" customHeight="1">
      <c r="A9039" s="35"/>
      <c r="C9039" s="442"/>
      <c r="P9039" s="235"/>
      <c r="AI9039" s="38"/>
    </row>
    <row r="9040" ht="15.75" customHeight="1">
      <c r="A9040" s="35"/>
      <c r="C9040" s="442"/>
      <c r="P9040" s="235"/>
      <c r="AI9040" s="38"/>
    </row>
    <row r="9041" ht="15.75" customHeight="1">
      <c r="A9041" s="35"/>
      <c r="C9041" s="442"/>
      <c r="P9041" s="235"/>
      <c r="AI9041" s="38"/>
    </row>
    <row r="9042" ht="15.75" customHeight="1">
      <c r="A9042" s="35"/>
      <c r="C9042" s="442"/>
      <c r="P9042" s="235"/>
      <c r="AI9042" s="38"/>
    </row>
    <row r="9043" ht="15.75" customHeight="1">
      <c r="A9043" s="35"/>
      <c r="C9043" s="442"/>
      <c r="P9043" s="235"/>
      <c r="AI9043" s="38"/>
    </row>
    <row r="9044" ht="15.75" customHeight="1">
      <c r="A9044" s="35"/>
      <c r="C9044" s="442"/>
      <c r="P9044" s="235"/>
      <c r="AI9044" s="38"/>
    </row>
    <row r="9045" ht="15.75" customHeight="1">
      <c r="A9045" s="35"/>
      <c r="C9045" s="442"/>
      <c r="P9045" s="235"/>
      <c r="AI9045" s="38"/>
    </row>
    <row r="9046" ht="15.75" customHeight="1">
      <c r="A9046" s="35"/>
      <c r="C9046" s="442"/>
      <c r="P9046" s="235"/>
      <c r="AI9046" s="38"/>
    </row>
    <row r="9047" ht="15.75" customHeight="1">
      <c r="A9047" s="35"/>
      <c r="C9047" s="442"/>
      <c r="P9047" s="235"/>
      <c r="AI9047" s="38"/>
    </row>
    <row r="9048" ht="15.75" customHeight="1">
      <c r="A9048" s="35"/>
      <c r="C9048" s="442"/>
      <c r="P9048" s="235"/>
      <c r="AI9048" s="38"/>
    </row>
    <row r="9049" ht="15.75" customHeight="1">
      <c r="A9049" s="35"/>
      <c r="C9049" s="442"/>
      <c r="P9049" s="235"/>
      <c r="AI9049" s="38"/>
    </row>
    <row r="9050" ht="15.75" customHeight="1">
      <c r="A9050" s="35"/>
      <c r="C9050" s="442"/>
      <c r="P9050" s="235"/>
      <c r="AI9050" s="38"/>
    </row>
    <row r="9051" ht="15.75" customHeight="1">
      <c r="A9051" s="35"/>
      <c r="C9051" s="442"/>
      <c r="P9051" s="235"/>
      <c r="AI9051" s="38"/>
    </row>
    <row r="9052" ht="15.75" customHeight="1">
      <c r="A9052" s="35"/>
      <c r="C9052" s="442"/>
      <c r="P9052" s="235"/>
      <c r="AI9052" s="38"/>
    </row>
    <row r="9053" ht="15.75" customHeight="1">
      <c r="A9053" s="35"/>
      <c r="C9053" s="442"/>
      <c r="P9053" s="235"/>
      <c r="AI9053" s="38"/>
    </row>
    <row r="9054" ht="15.75" customHeight="1">
      <c r="A9054" s="35"/>
      <c r="C9054" s="442"/>
      <c r="P9054" s="235"/>
      <c r="AI9054" s="38"/>
    </row>
    <row r="9055" ht="15.75" customHeight="1">
      <c r="A9055" s="35"/>
      <c r="C9055" s="442"/>
      <c r="P9055" s="235"/>
      <c r="AI9055" s="38"/>
    </row>
    <row r="9056" ht="15.75" customHeight="1">
      <c r="A9056" s="35"/>
      <c r="C9056" s="442"/>
      <c r="P9056" s="235"/>
      <c r="AI9056" s="38"/>
    </row>
    <row r="9057" ht="15.75" customHeight="1">
      <c r="A9057" s="35"/>
      <c r="C9057" s="442"/>
      <c r="P9057" s="235"/>
      <c r="AI9057" s="38"/>
    </row>
    <row r="9058" ht="15.75" customHeight="1">
      <c r="A9058" s="35"/>
      <c r="C9058" s="442"/>
      <c r="P9058" s="235"/>
      <c r="AI9058" s="38"/>
    </row>
    <row r="9059" ht="15.75" customHeight="1">
      <c r="A9059" s="35"/>
      <c r="C9059" s="442"/>
      <c r="P9059" s="235"/>
      <c r="AI9059" s="38"/>
    </row>
    <row r="9060" ht="15.75" customHeight="1">
      <c r="A9060" s="35"/>
      <c r="C9060" s="442"/>
      <c r="P9060" s="235"/>
      <c r="AI9060" s="38"/>
    </row>
    <row r="9061" ht="15.75" customHeight="1">
      <c r="A9061" s="35"/>
      <c r="C9061" s="442"/>
      <c r="P9061" s="235"/>
      <c r="AI9061" s="38"/>
    </row>
    <row r="9062" ht="15.75" customHeight="1">
      <c r="A9062" s="35"/>
      <c r="C9062" s="442"/>
      <c r="P9062" s="235"/>
      <c r="AI9062" s="38"/>
    </row>
    <row r="9063" ht="15.75" customHeight="1">
      <c r="A9063" s="35"/>
      <c r="C9063" s="442"/>
      <c r="P9063" s="235"/>
      <c r="AI9063" s="38"/>
    </row>
    <row r="9064" ht="15.75" customHeight="1">
      <c r="A9064" s="35"/>
      <c r="C9064" s="442"/>
      <c r="P9064" s="235"/>
      <c r="AI9064" s="38"/>
    </row>
    <row r="9065" ht="15.75" customHeight="1">
      <c r="A9065" s="35"/>
      <c r="C9065" s="442"/>
      <c r="P9065" s="235"/>
      <c r="AI9065" s="38"/>
    </row>
    <row r="9066" ht="15.75" customHeight="1">
      <c r="A9066" s="35"/>
      <c r="C9066" s="442"/>
      <c r="P9066" s="235"/>
      <c r="AI9066" s="38"/>
    </row>
    <row r="9067" ht="15.75" customHeight="1">
      <c r="A9067" s="35"/>
      <c r="C9067" s="442"/>
      <c r="P9067" s="235"/>
      <c r="AI9067" s="38"/>
    </row>
    <row r="9068" ht="15.75" customHeight="1">
      <c r="A9068" s="35"/>
      <c r="C9068" s="442"/>
      <c r="P9068" s="235"/>
      <c r="AI9068" s="38"/>
    </row>
    <row r="9069" ht="15.75" customHeight="1">
      <c r="A9069" s="35"/>
      <c r="C9069" s="442"/>
      <c r="P9069" s="235"/>
      <c r="AI9069" s="38"/>
    </row>
    <row r="9070" ht="15.75" customHeight="1">
      <c r="A9070" s="35"/>
      <c r="C9070" s="442"/>
      <c r="P9070" s="235"/>
      <c r="AI9070" s="38"/>
    </row>
    <row r="9071" ht="15.75" customHeight="1">
      <c r="A9071" s="35"/>
      <c r="C9071" s="442"/>
      <c r="P9071" s="235"/>
      <c r="AI9071" s="38"/>
    </row>
    <row r="9072" ht="15.75" customHeight="1">
      <c r="A9072" s="35"/>
      <c r="C9072" s="442"/>
      <c r="P9072" s="235"/>
      <c r="AI9072" s="38"/>
    </row>
    <row r="9073" ht="15.75" customHeight="1">
      <c r="A9073" s="35"/>
      <c r="C9073" s="442"/>
      <c r="P9073" s="235"/>
      <c r="AI9073" s="38"/>
    </row>
    <row r="9074" ht="15.75" customHeight="1">
      <c r="A9074" s="35"/>
      <c r="C9074" s="442"/>
      <c r="P9074" s="235"/>
      <c r="AI9074" s="38"/>
    </row>
    <row r="9075" ht="15.75" customHeight="1">
      <c r="A9075" s="35"/>
      <c r="C9075" s="442"/>
      <c r="P9075" s="235"/>
      <c r="AI9075" s="38"/>
    </row>
    <row r="9076" ht="15.75" customHeight="1">
      <c r="A9076" s="35"/>
      <c r="C9076" s="442"/>
      <c r="P9076" s="235"/>
      <c r="AI9076" s="38"/>
    </row>
    <row r="9077" ht="15.75" customHeight="1">
      <c r="A9077" s="35"/>
      <c r="C9077" s="442"/>
      <c r="P9077" s="235"/>
      <c r="AI9077" s="38"/>
    </row>
    <row r="9078" ht="15.75" customHeight="1">
      <c r="A9078" s="35"/>
      <c r="C9078" s="442"/>
      <c r="P9078" s="235"/>
      <c r="AI9078" s="38"/>
    </row>
    <row r="9079" ht="15.75" customHeight="1">
      <c r="A9079" s="35"/>
      <c r="C9079" s="442"/>
      <c r="P9079" s="235"/>
      <c r="AI9079" s="38"/>
    </row>
    <row r="9080" ht="15.75" customHeight="1">
      <c r="A9080" s="35"/>
      <c r="C9080" s="442"/>
      <c r="P9080" s="235"/>
      <c r="AI9080" s="38"/>
    </row>
    <row r="9081" ht="15.75" customHeight="1">
      <c r="A9081" s="35"/>
      <c r="C9081" s="442"/>
      <c r="P9081" s="235"/>
      <c r="AI9081" s="38"/>
    </row>
    <row r="9082" ht="15.75" customHeight="1">
      <c r="A9082" s="35"/>
      <c r="C9082" s="442"/>
      <c r="P9082" s="235"/>
      <c r="AI9082" s="38"/>
    </row>
    <row r="9083" ht="15.75" customHeight="1">
      <c r="A9083" s="35"/>
      <c r="C9083" s="442"/>
      <c r="P9083" s="235"/>
      <c r="AI9083" s="38"/>
    </row>
    <row r="9084" ht="15.75" customHeight="1">
      <c r="A9084" s="35"/>
      <c r="C9084" s="442"/>
      <c r="P9084" s="235"/>
      <c r="AI9084" s="38"/>
    </row>
    <row r="9085" ht="15.75" customHeight="1">
      <c r="A9085" s="35"/>
      <c r="C9085" s="442"/>
      <c r="P9085" s="235"/>
      <c r="AI9085" s="38"/>
    </row>
    <row r="9086" ht="15.75" customHeight="1">
      <c r="A9086" s="35"/>
      <c r="C9086" s="442"/>
      <c r="P9086" s="235"/>
      <c r="AI9086" s="38"/>
    </row>
    <row r="9087" ht="15.75" customHeight="1">
      <c r="A9087" s="35"/>
      <c r="C9087" s="442"/>
      <c r="P9087" s="235"/>
      <c r="AI9087" s="38"/>
    </row>
    <row r="9088" ht="15.75" customHeight="1">
      <c r="A9088" s="35"/>
      <c r="C9088" s="442"/>
      <c r="P9088" s="235"/>
      <c r="AI9088" s="38"/>
    </row>
    <row r="9089" ht="15.75" customHeight="1">
      <c r="A9089" s="35"/>
      <c r="C9089" s="442"/>
      <c r="P9089" s="235"/>
      <c r="AI9089" s="38"/>
    </row>
    <row r="9090" ht="15.75" customHeight="1">
      <c r="A9090" s="35"/>
      <c r="C9090" s="442"/>
      <c r="P9090" s="235"/>
      <c r="AI9090" s="38"/>
    </row>
    <row r="9091" ht="15.75" customHeight="1">
      <c r="A9091" s="35"/>
      <c r="C9091" s="442"/>
      <c r="P9091" s="235"/>
      <c r="AI9091" s="38"/>
    </row>
    <row r="9092" ht="15.75" customHeight="1">
      <c r="A9092" s="35"/>
      <c r="C9092" s="442"/>
      <c r="P9092" s="235"/>
      <c r="AI9092" s="38"/>
    </row>
    <row r="9093" ht="15.75" customHeight="1">
      <c r="A9093" s="35"/>
      <c r="C9093" s="442"/>
      <c r="P9093" s="235"/>
      <c r="AI9093" s="38"/>
    </row>
    <row r="9094" ht="15.75" customHeight="1">
      <c r="A9094" s="35"/>
      <c r="C9094" s="442"/>
      <c r="P9094" s="235"/>
      <c r="AI9094" s="38"/>
    </row>
    <row r="9095" ht="15.75" customHeight="1">
      <c r="A9095" s="35"/>
      <c r="C9095" s="442"/>
      <c r="P9095" s="235"/>
      <c r="AI9095" s="38"/>
    </row>
    <row r="9096" ht="15.75" customHeight="1">
      <c r="A9096" s="35"/>
      <c r="C9096" s="442"/>
      <c r="P9096" s="235"/>
      <c r="AI9096" s="38"/>
    </row>
    <row r="9097" ht="15.75" customHeight="1">
      <c r="A9097" s="35"/>
      <c r="C9097" s="442"/>
      <c r="P9097" s="235"/>
      <c r="AI9097" s="38"/>
    </row>
    <row r="9098" ht="15.75" customHeight="1">
      <c r="A9098" s="35"/>
      <c r="C9098" s="442"/>
      <c r="P9098" s="235"/>
      <c r="AI9098" s="38"/>
    </row>
    <row r="9099" ht="15.75" customHeight="1">
      <c r="A9099" s="35"/>
      <c r="C9099" s="442"/>
      <c r="P9099" s="235"/>
      <c r="AI9099" s="38"/>
    </row>
    <row r="9100" ht="15.75" customHeight="1">
      <c r="A9100" s="35"/>
      <c r="C9100" s="442"/>
      <c r="P9100" s="235"/>
      <c r="AI9100" s="38"/>
    </row>
    <row r="9101" ht="15.75" customHeight="1">
      <c r="A9101" s="35"/>
      <c r="C9101" s="442"/>
      <c r="P9101" s="235"/>
      <c r="AI9101" s="38"/>
    </row>
    <row r="9102" ht="15.75" customHeight="1">
      <c r="A9102" s="35"/>
      <c r="C9102" s="442"/>
      <c r="P9102" s="235"/>
      <c r="AI9102" s="38"/>
    </row>
    <row r="9103" ht="15.75" customHeight="1">
      <c r="A9103" s="35"/>
      <c r="C9103" s="442"/>
      <c r="P9103" s="235"/>
      <c r="AI9103" s="38"/>
    </row>
    <row r="9104" ht="15.75" customHeight="1">
      <c r="A9104" s="35"/>
      <c r="C9104" s="442"/>
      <c r="P9104" s="235"/>
      <c r="AI9104" s="38"/>
    </row>
    <row r="9105" ht="15.75" customHeight="1">
      <c r="A9105" s="35"/>
      <c r="C9105" s="442"/>
      <c r="P9105" s="235"/>
      <c r="AI9105" s="38"/>
    </row>
    <row r="9106" ht="15.75" customHeight="1">
      <c r="A9106" s="35"/>
      <c r="C9106" s="442"/>
      <c r="P9106" s="235"/>
      <c r="AI9106" s="38"/>
    </row>
    <row r="9107" ht="15.75" customHeight="1">
      <c r="A9107" s="35"/>
      <c r="C9107" s="442"/>
      <c r="P9107" s="235"/>
      <c r="AI9107" s="38"/>
    </row>
    <row r="9108" ht="15.75" customHeight="1">
      <c r="A9108" s="35"/>
      <c r="C9108" s="442"/>
      <c r="P9108" s="235"/>
      <c r="AI9108" s="38"/>
    </row>
    <row r="9109" ht="15.75" customHeight="1">
      <c r="A9109" s="35"/>
      <c r="C9109" s="442"/>
      <c r="P9109" s="235"/>
      <c r="AI9109" s="38"/>
    </row>
    <row r="9110" ht="15.75" customHeight="1">
      <c r="A9110" s="35"/>
      <c r="C9110" s="442"/>
      <c r="P9110" s="235"/>
      <c r="AI9110" s="38"/>
    </row>
    <row r="9111" ht="15.75" customHeight="1">
      <c r="A9111" s="35"/>
      <c r="C9111" s="442"/>
      <c r="P9111" s="235"/>
      <c r="AI9111" s="38"/>
    </row>
    <row r="9112" ht="15.75" customHeight="1">
      <c r="A9112" s="35"/>
      <c r="C9112" s="442"/>
      <c r="P9112" s="235"/>
      <c r="AI9112" s="38"/>
    </row>
    <row r="9113" ht="15.75" customHeight="1">
      <c r="A9113" s="35"/>
      <c r="C9113" s="442"/>
      <c r="P9113" s="235"/>
      <c r="AI9113" s="38"/>
    </row>
    <row r="9114" ht="15.75" customHeight="1">
      <c r="A9114" s="35"/>
      <c r="C9114" s="442"/>
      <c r="P9114" s="235"/>
      <c r="AI9114" s="38"/>
    </row>
    <row r="9115" ht="15.75" customHeight="1">
      <c r="A9115" s="35"/>
      <c r="C9115" s="442"/>
      <c r="P9115" s="235"/>
      <c r="AI9115" s="38"/>
    </row>
    <row r="9116" ht="15.75" customHeight="1">
      <c r="A9116" s="35"/>
      <c r="C9116" s="442"/>
      <c r="P9116" s="235"/>
      <c r="AI9116" s="38"/>
    </row>
    <row r="9117" ht="15.75" customHeight="1">
      <c r="A9117" s="35"/>
      <c r="C9117" s="442"/>
      <c r="P9117" s="235"/>
      <c r="AI9117" s="38"/>
    </row>
    <row r="9118" ht="15.75" customHeight="1">
      <c r="A9118" s="35"/>
      <c r="C9118" s="442"/>
      <c r="P9118" s="235"/>
      <c r="AI9118" s="38"/>
    </row>
    <row r="9119" ht="15.75" customHeight="1">
      <c r="A9119" s="35"/>
      <c r="C9119" s="442"/>
      <c r="P9119" s="235"/>
      <c r="AI9119" s="38"/>
    </row>
    <row r="9120" ht="15.75" customHeight="1">
      <c r="A9120" s="35"/>
      <c r="C9120" s="442"/>
      <c r="P9120" s="235"/>
      <c r="AI9120" s="38"/>
    </row>
    <row r="9121" ht="15.75" customHeight="1">
      <c r="A9121" s="35"/>
      <c r="C9121" s="442"/>
      <c r="P9121" s="235"/>
      <c r="AI9121" s="38"/>
    </row>
    <row r="9122" ht="15.75" customHeight="1">
      <c r="A9122" s="35"/>
      <c r="C9122" s="442"/>
      <c r="P9122" s="235"/>
      <c r="AI9122" s="38"/>
    </row>
    <row r="9123" ht="15.75" customHeight="1">
      <c r="A9123" s="35"/>
      <c r="C9123" s="442"/>
      <c r="P9123" s="235"/>
      <c r="AI9123" s="38"/>
    </row>
    <row r="9124" ht="15.75" customHeight="1">
      <c r="A9124" s="35"/>
      <c r="C9124" s="442"/>
      <c r="P9124" s="235"/>
      <c r="AI9124" s="38"/>
    </row>
    <row r="9125" ht="15.75" customHeight="1">
      <c r="A9125" s="35"/>
      <c r="C9125" s="442"/>
      <c r="P9125" s="235"/>
      <c r="AI9125" s="38"/>
    </row>
    <row r="9126" ht="15.75" customHeight="1">
      <c r="A9126" s="35"/>
      <c r="C9126" s="442"/>
      <c r="P9126" s="235"/>
      <c r="AI9126" s="38"/>
    </row>
    <row r="9127" ht="15.75" customHeight="1">
      <c r="A9127" s="35"/>
      <c r="C9127" s="442"/>
      <c r="P9127" s="235"/>
      <c r="AI9127" s="38"/>
    </row>
    <row r="9128" ht="15.75" customHeight="1">
      <c r="A9128" s="35"/>
      <c r="C9128" s="442"/>
      <c r="P9128" s="235"/>
      <c r="AI9128" s="38"/>
    </row>
    <row r="9129" ht="15.75" customHeight="1">
      <c r="A9129" s="35"/>
      <c r="C9129" s="442"/>
      <c r="P9129" s="235"/>
      <c r="AI9129" s="38"/>
    </row>
    <row r="9130" ht="15.75" customHeight="1">
      <c r="A9130" s="35"/>
      <c r="C9130" s="442"/>
      <c r="P9130" s="235"/>
      <c r="AI9130" s="38"/>
    </row>
    <row r="9131" ht="15.75" customHeight="1">
      <c r="A9131" s="35"/>
      <c r="C9131" s="442"/>
      <c r="P9131" s="235"/>
      <c r="AI9131" s="38"/>
    </row>
    <row r="9132" ht="15.75" customHeight="1">
      <c r="A9132" s="35"/>
      <c r="C9132" s="442"/>
      <c r="P9132" s="235"/>
      <c r="AI9132" s="38"/>
    </row>
    <row r="9133" ht="15.75" customHeight="1">
      <c r="A9133" s="35"/>
      <c r="C9133" s="442"/>
      <c r="P9133" s="235"/>
      <c r="AI9133" s="38"/>
    </row>
    <row r="9134" ht="15.75" customHeight="1">
      <c r="A9134" s="35"/>
      <c r="C9134" s="442"/>
      <c r="P9134" s="235"/>
      <c r="AI9134" s="38"/>
    </row>
    <row r="9135" ht="15.75" customHeight="1">
      <c r="A9135" s="35"/>
      <c r="C9135" s="442"/>
      <c r="P9135" s="235"/>
      <c r="AI9135" s="38"/>
    </row>
    <row r="9136" ht="15.75" customHeight="1">
      <c r="A9136" s="35"/>
      <c r="C9136" s="442"/>
      <c r="P9136" s="235"/>
      <c r="AI9136" s="38"/>
    </row>
    <row r="9137" ht="15.75" customHeight="1">
      <c r="A9137" s="35"/>
      <c r="C9137" s="442"/>
      <c r="P9137" s="235"/>
      <c r="AI9137" s="38"/>
    </row>
    <row r="9138" ht="15.75" customHeight="1">
      <c r="A9138" s="35"/>
      <c r="C9138" s="442"/>
      <c r="P9138" s="235"/>
      <c r="AI9138" s="38"/>
    </row>
    <row r="9139" ht="15.75" customHeight="1">
      <c r="A9139" s="35"/>
      <c r="C9139" s="442"/>
      <c r="P9139" s="235"/>
      <c r="AI9139" s="38"/>
    </row>
    <row r="9140" ht="15.75" customHeight="1">
      <c r="A9140" s="35"/>
      <c r="C9140" s="442"/>
      <c r="P9140" s="235"/>
      <c r="AI9140" s="38"/>
    </row>
    <row r="9141" ht="15.75" customHeight="1">
      <c r="A9141" s="35"/>
      <c r="C9141" s="442"/>
      <c r="P9141" s="235"/>
      <c r="AI9141" s="38"/>
    </row>
    <row r="9142" ht="15.75" customHeight="1">
      <c r="A9142" s="35"/>
      <c r="C9142" s="442"/>
      <c r="P9142" s="235"/>
      <c r="AI9142" s="38"/>
    </row>
    <row r="9143" ht="15.75" customHeight="1">
      <c r="A9143" s="35"/>
      <c r="C9143" s="442"/>
      <c r="P9143" s="235"/>
      <c r="AI9143" s="38"/>
    </row>
    <row r="9144" ht="15.75" customHeight="1">
      <c r="A9144" s="35"/>
      <c r="C9144" s="442"/>
      <c r="P9144" s="235"/>
      <c r="AI9144" s="38"/>
    </row>
    <row r="9145" ht="15.75" customHeight="1">
      <c r="A9145" s="35"/>
      <c r="C9145" s="442"/>
      <c r="P9145" s="235"/>
      <c r="AI9145" s="38"/>
    </row>
    <row r="9146" ht="15.75" customHeight="1">
      <c r="A9146" s="35"/>
      <c r="C9146" s="442"/>
      <c r="P9146" s="235"/>
      <c r="AI9146" s="38"/>
    </row>
    <row r="9147" ht="15.75" customHeight="1">
      <c r="A9147" s="35"/>
      <c r="C9147" s="442"/>
      <c r="P9147" s="235"/>
      <c r="AI9147" s="38"/>
    </row>
    <row r="9148" ht="15.75" customHeight="1">
      <c r="A9148" s="35"/>
      <c r="C9148" s="442"/>
      <c r="P9148" s="235"/>
      <c r="AI9148" s="38"/>
    </row>
    <row r="9149" ht="15.75" customHeight="1">
      <c r="A9149" s="35"/>
      <c r="C9149" s="442"/>
      <c r="P9149" s="235"/>
      <c r="AI9149" s="38"/>
    </row>
    <row r="9150" ht="15.75" customHeight="1">
      <c r="A9150" s="35"/>
      <c r="C9150" s="442"/>
      <c r="P9150" s="235"/>
      <c r="AI9150" s="38"/>
    </row>
    <row r="9151" ht="15.75" customHeight="1">
      <c r="A9151" s="35"/>
      <c r="C9151" s="442"/>
      <c r="P9151" s="235"/>
      <c r="AI9151" s="38"/>
    </row>
    <row r="9152" ht="15.75" customHeight="1">
      <c r="A9152" s="35"/>
      <c r="C9152" s="442"/>
      <c r="P9152" s="235"/>
      <c r="AI9152" s="38"/>
    </row>
    <row r="9153" ht="15.75" customHeight="1">
      <c r="A9153" s="35"/>
      <c r="C9153" s="442"/>
      <c r="P9153" s="235"/>
      <c r="AI9153" s="38"/>
    </row>
    <row r="9154" ht="15.75" customHeight="1">
      <c r="A9154" s="35"/>
      <c r="C9154" s="442"/>
      <c r="P9154" s="235"/>
      <c r="AI9154" s="38"/>
    </row>
    <row r="9155" ht="15.75" customHeight="1">
      <c r="A9155" s="35"/>
      <c r="C9155" s="442"/>
      <c r="P9155" s="235"/>
      <c r="AI9155" s="38"/>
    </row>
    <row r="9156" ht="15.75" customHeight="1">
      <c r="A9156" s="35"/>
      <c r="C9156" s="442"/>
      <c r="P9156" s="235"/>
      <c r="AI9156" s="38"/>
    </row>
    <row r="9157" ht="15.75" customHeight="1">
      <c r="A9157" s="35"/>
      <c r="C9157" s="442"/>
      <c r="P9157" s="235"/>
      <c r="AI9157" s="38"/>
    </row>
    <row r="9158" ht="15.75" customHeight="1">
      <c r="A9158" s="35"/>
      <c r="C9158" s="442"/>
      <c r="P9158" s="235"/>
      <c r="AI9158" s="38"/>
    </row>
    <row r="9159" ht="15.75" customHeight="1">
      <c r="A9159" s="35"/>
      <c r="C9159" s="442"/>
      <c r="P9159" s="235"/>
      <c r="AI9159" s="38"/>
    </row>
    <row r="9160" ht="15.75" customHeight="1">
      <c r="A9160" s="35"/>
      <c r="C9160" s="442"/>
      <c r="P9160" s="235"/>
      <c r="AI9160" s="38"/>
    </row>
    <row r="9161" ht="15.75" customHeight="1">
      <c r="A9161" s="35"/>
      <c r="C9161" s="442"/>
      <c r="P9161" s="235"/>
      <c r="AI9161" s="38"/>
    </row>
    <row r="9162" ht="15.75" customHeight="1">
      <c r="A9162" s="35"/>
      <c r="C9162" s="442"/>
      <c r="P9162" s="235"/>
      <c r="AI9162" s="38"/>
    </row>
    <row r="9163" ht="15.75" customHeight="1">
      <c r="A9163" s="35"/>
      <c r="C9163" s="442"/>
      <c r="P9163" s="235"/>
      <c r="AI9163" s="38"/>
    </row>
    <row r="9164" ht="15.75" customHeight="1">
      <c r="A9164" s="35"/>
      <c r="C9164" s="442"/>
      <c r="P9164" s="235"/>
      <c r="AI9164" s="38"/>
    </row>
    <row r="9165" ht="15.75" customHeight="1">
      <c r="A9165" s="35"/>
      <c r="C9165" s="442"/>
      <c r="P9165" s="235"/>
      <c r="AI9165" s="38"/>
    </row>
    <row r="9166" ht="15.75" customHeight="1">
      <c r="A9166" s="35"/>
      <c r="C9166" s="442"/>
      <c r="P9166" s="235"/>
      <c r="AI9166" s="38"/>
    </row>
    <row r="9167" ht="15.75" customHeight="1">
      <c r="A9167" s="35"/>
      <c r="C9167" s="442"/>
      <c r="P9167" s="235"/>
      <c r="AI9167" s="38"/>
    </row>
    <row r="9168" ht="15.75" customHeight="1">
      <c r="A9168" s="35"/>
      <c r="C9168" s="442"/>
      <c r="P9168" s="235"/>
      <c r="AI9168" s="38"/>
    </row>
    <row r="9169" ht="15.75" customHeight="1">
      <c r="A9169" s="35"/>
      <c r="C9169" s="442"/>
      <c r="P9169" s="235"/>
      <c r="AI9169" s="38"/>
    </row>
    <row r="9170" ht="15.75" customHeight="1">
      <c r="A9170" s="35"/>
      <c r="C9170" s="442"/>
      <c r="P9170" s="235"/>
      <c r="AI9170" s="38"/>
    </row>
    <row r="9171" ht="15.75" customHeight="1">
      <c r="A9171" s="35"/>
      <c r="C9171" s="442"/>
      <c r="P9171" s="235"/>
      <c r="AI9171" s="38"/>
    </row>
    <row r="9172" ht="15.75" customHeight="1">
      <c r="A9172" s="35"/>
      <c r="C9172" s="442"/>
      <c r="P9172" s="235"/>
      <c r="AI9172" s="38"/>
    </row>
    <row r="9173" ht="15.75" customHeight="1">
      <c r="A9173" s="35"/>
      <c r="C9173" s="442"/>
      <c r="P9173" s="235"/>
      <c r="AI9173" s="38"/>
    </row>
    <row r="9174" ht="15.75" customHeight="1">
      <c r="A9174" s="35"/>
      <c r="C9174" s="442"/>
      <c r="P9174" s="235"/>
      <c r="AI9174" s="38"/>
    </row>
    <row r="9175" ht="15.75" customHeight="1">
      <c r="A9175" s="35"/>
      <c r="C9175" s="442"/>
      <c r="P9175" s="235"/>
      <c r="AI9175" s="38"/>
    </row>
    <row r="9176" ht="15.75" customHeight="1">
      <c r="A9176" s="35"/>
      <c r="C9176" s="442"/>
      <c r="P9176" s="235"/>
      <c r="AI9176" s="38"/>
    </row>
    <row r="9177" ht="15.75" customHeight="1">
      <c r="A9177" s="35"/>
      <c r="C9177" s="442"/>
      <c r="P9177" s="235"/>
      <c r="AI9177" s="38"/>
    </row>
    <row r="9178" ht="15.75" customHeight="1">
      <c r="A9178" s="35"/>
      <c r="C9178" s="442"/>
      <c r="P9178" s="235"/>
      <c r="AI9178" s="38"/>
    </row>
    <row r="9179" ht="15.75" customHeight="1">
      <c r="A9179" s="35"/>
      <c r="C9179" s="442"/>
      <c r="P9179" s="235"/>
      <c r="AI9179" s="38"/>
    </row>
    <row r="9180" ht="15.75" customHeight="1">
      <c r="A9180" s="35"/>
      <c r="C9180" s="442"/>
      <c r="P9180" s="235"/>
      <c r="AI9180" s="38"/>
    </row>
    <row r="9181" ht="15.75" customHeight="1">
      <c r="A9181" s="35"/>
      <c r="C9181" s="442"/>
      <c r="P9181" s="235"/>
      <c r="AI9181" s="38"/>
    </row>
    <row r="9182" ht="15.75" customHeight="1">
      <c r="A9182" s="35"/>
      <c r="C9182" s="442"/>
      <c r="P9182" s="235"/>
      <c r="AI9182" s="38"/>
    </row>
    <row r="9183" ht="15.75" customHeight="1">
      <c r="A9183" s="35"/>
      <c r="C9183" s="442"/>
      <c r="P9183" s="235"/>
      <c r="AI9183" s="38"/>
    </row>
    <row r="9184" ht="15.75" customHeight="1">
      <c r="A9184" s="35"/>
      <c r="C9184" s="442"/>
      <c r="P9184" s="235"/>
      <c r="AI9184" s="38"/>
    </row>
    <row r="9185" ht="15.75" customHeight="1">
      <c r="A9185" s="35"/>
      <c r="C9185" s="442"/>
      <c r="P9185" s="235"/>
      <c r="AI9185" s="38"/>
    </row>
    <row r="9186" ht="15.75" customHeight="1">
      <c r="A9186" s="35"/>
      <c r="C9186" s="442"/>
      <c r="P9186" s="235"/>
      <c r="AI9186" s="38"/>
    </row>
    <row r="9187" ht="15.75" customHeight="1">
      <c r="A9187" s="35"/>
      <c r="C9187" s="442"/>
      <c r="P9187" s="235"/>
      <c r="AI9187" s="38"/>
    </row>
    <row r="9188" ht="15.75" customHeight="1">
      <c r="A9188" s="35"/>
      <c r="C9188" s="442"/>
      <c r="P9188" s="235"/>
      <c r="AI9188" s="38"/>
    </row>
    <row r="9189" ht="15.75" customHeight="1">
      <c r="A9189" s="35"/>
      <c r="C9189" s="442"/>
      <c r="P9189" s="235"/>
      <c r="AI9189" s="38"/>
    </row>
    <row r="9190" ht="15.75" customHeight="1">
      <c r="A9190" s="35"/>
      <c r="C9190" s="442"/>
      <c r="P9190" s="235"/>
      <c r="AI9190" s="38"/>
    </row>
    <row r="9191" ht="15.75" customHeight="1">
      <c r="A9191" s="35"/>
      <c r="C9191" s="442"/>
      <c r="P9191" s="235"/>
      <c r="AI9191" s="38"/>
    </row>
    <row r="9192" ht="15.75" customHeight="1">
      <c r="A9192" s="35"/>
      <c r="C9192" s="442"/>
      <c r="P9192" s="235"/>
      <c r="AI9192" s="38"/>
    </row>
    <row r="9193" ht="15.75" customHeight="1">
      <c r="A9193" s="35"/>
      <c r="C9193" s="442"/>
      <c r="P9193" s="235"/>
      <c r="AI9193" s="38"/>
    </row>
    <row r="9194" ht="15.75" customHeight="1">
      <c r="A9194" s="35"/>
      <c r="C9194" s="442"/>
      <c r="P9194" s="235"/>
      <c r="AI9194" s="38"/>
    </row>
    <row r="9195" ht="15.75" customHeight="1">
      <c r="A9195" s="35"/>
      <c r="C9195" s="442"/>
      <c r="P9195" s="235"/>
      <c r="AI9195" s="38"/>
    </row>
    <row r="9196" ht="15.75" customHeight="1">
      <c r="A9196" s="35"/>
      <c r="C9196" s="442"/>
      <c r="P9196" s="235"/>
      <c r="AI9196" s="38"/>
    </row>
    <row r="9197" ht="15.75" customHeight="1">
      <c r="A9197" s="35"/>
      <c r="C9197" s="442"/>
      <c r="P9197" s="235"/>
      <c r="AI9197" s="38"/>
    </row>
    <row r="9198" ht="15.75" customHeight="1">
      <c r="A9198" s="35"/>
      <c r="C9198" s="442"/>
      <c r="P9198" s="235"/>
      <c r="AI9198" s="38"/>
    </row>
    <row r="9199" ht="15.75" customHeight="1">
      <c r="A9199" s="35"/>
      <c r="C9199" s="442"/>
      <c r="P9199" s="235"/>
      <c r="AI9199" s="38"/>
    </row>
    <row r="9200" ht="15.75" customHeight="1">
      <c r="A9200" s="35"/>
      <c r="C9200" s="442"/>
      <c r="P9200" s="235"/>
      <c r="AI9200" s="38"/>
    </row>
    <row r="9201" ht="15.75" customHeight="1">
      <c r="A9201" s="35"/>
      <c r="C9201" s="442"/>
      <c r="P9201" s="235"/>
      <c r="AI9201" s="38"/>
    </row>
    <row r="9202" ht="15.75" customHeight="1">
      <c r="A9202" s="35"/>
      <c r="C9202" s="442"/>
      <c r="P9202" s="235"/>
      <c r="AI9202" s="38"/>
    </row>
    <row r="9203" ht="15.75" customHeight="1">
      <c r="A9203" s="35"/>
      <c r="C9203" s="442"/>
      <c r="P9203" s="235"/>
      <c r="AI9203" s="38"/>
    </row>
    <row r="9204" ht="15.75" customHeight="1">
      <c r="A9204" s="35"/>
      <c r="C9204" s="442"/>
      <c r="P9204" s="235"/>
      <c r="AI9204" s="38"/>
    </row>
    <row r="9205" ht="15.75" customHeight="1">
      <c r="A9205" s="35"/>
      <c r="C9205" s="442"/>
      <c r="P9205" s="235"/>
      <c r="AI9205" s="38"/>
    </row>
    <row r="9206" ht="15.75" customHeight="1">
      <c r="A9206" s="35"/>
      <c r="C9206" s="442"/>
      <c r="P9206" s="235"/>
      <c r="AI9206" s="38"/>
    </row>
    <row r="9207" ht="15.75" customHeight="1">
      <c r="A9207" s="35"/>
      <c r="C9207" s="442"/>
      <c r="P9207" s="235"/>
      <c r="AI9207" s="38"/>
    </row>
    <row r="9208" ht="15.75" customHeight="1">
      <c r="A9208" s="35"/>
      <c r="C9208" s="442"/>
      <c r="P9208" s="235"/>
      <c r="AI9208" s="38"/>
    </row>
    <row r="9209" ht="15.75" customHeight="1">
      <c r="A9209" s="35"/>
      <c r="C9209" s="442"/>
      <c r="P9209" s="235"/>
      <c r="AI9209" s="38"/>
    </row>
    <row r="9210" ht="15.75" customHeight="1">
      <c r="A9210" s="35"/>
      <c r="C9210" s="442"/>
      <c r="P9210" s="235"/>
      <c r="AI9210" s="38"/>
    </row>
    <row r="9211" ht="15.75" customHeight="1">
      <c r="A9211" s="35"/>
      <c r="C9211" s="442"/>
      <c r="P9211" s="235"/>
      <c r="AI9211" s="38"/>
    </row>
    <row r="9212" ht="15.75" customHeight="1">
      <c r="A9212" s="35"/>
      <c r="C9212" s="442"/>
      <c r="P9212" s="235"/>
      <c r="AI9212" s="38"/>
    </row>
    <row r="9213" ht="15.75" customHeight="1">
      <c r="A9213" s="35"/>
      <c r="C9213" s="442"/>
      <c r="P9213" s="235"/>
      <c r="AI9213" s="38"/>
    </row>
    <row r="9214" ht="15.75" customHeight="1">
      <c r="A9214" s="35"/>
      <c r="C9214" s="442"/>
      <c r="P9214" s="235"/>
      <c r="AI9214" s="38"/>
    </row>
    <row r="9215" ht="15.75" customHeight="1">
      <c r="A9215" s="35"/>
      <c r="C9215" s="442"/>
      <c r="P9215" s="235"/>
      <c r="AI9215" s="38"/>
    </row>
    <row r="9216" ht="15.75" customHeight="1">
      <c r="A9216" s="35"/>
      <c r="C9216" s="442"/>
      <c r="P9216" s="235"/>
      <c r="AI9216" s="38"/>
    </row>
    <row r="9217" ht="15.75" customHeight="1">
      <c r="A9217" s="35"/>
      <c r="C9217" s="442"/>
      <c r="P9217" s="235"/>
      <c r="AI9217" s="38"/>
    </row>
    <row r="9218" ht="15.75" customHeight="1">
      <c r="A9218" s="35"/>
      <c r="C9218" s="442"/>
      <c r="P9218" s="235"/>
      <c r="AI9218" s="38"/>
    </row>
    <row r="9219" ht="15.75" customHeight="1">
      <c r="A9219" s="35"/>
      <c r="C9219" s="442"/>
      <c r="P9219" s="235"/>
      <c r="AI9219" s="38"/>
    </row>
    <row r="9220" ht="15.75" customHeight="1">
      <c r="A9220" s="35"/>
      <c r="C9220" s="442"/>
      <c r="P9220" s="235"/>
      <c r="AI9220" s="38"/>
    </row>
    <row r="9221" ht="15.75" customHeight="1">
      <c r="A9221" s="35"/>
      <c r="C9221" s="442"/>
      <c r="P9221" s="235"/>
      <c r="AI9221" s="38"/>
    </row>
    <row r="9222" ht="15.75" customHeight="1">
      <c r="A9222" s="35"/>
      <c r="C9222" s="442"/>
      <c r="P9222" s="235"/>
      <c r="AI9222" s="38"/>
    </row>
    <row r="9223" ht="15.75" customHeight="1">
      <c r="A9223" s="35"/>
      <c r="C9223" s="442"/>
      <c r="P9223" s="235"/>
      <c r="AI9223" s="38"/>
    </row>
    <row r="9224" ht="15.75" customHeight="1">
      <c r="A9224" s="35"/>
      <c r="C9224" s="442"/>
      <c r="P9224" s="235"/>
      <c r="AI9224" s="38"/>
    </row>
    <row r="9225" ht="15.75" customHeight="1">
      <c r="A9225" s="35"/>
      <c r="C9225" s="442"/>
      <c r="P9225" s="235"/>
      <c r="AI9225" s="38"/>
    </row>
    <row r="9226" ht="15.75" customHeight="1">
      <c r="A9226" s="35"/>
      <c r="C9226" s="442"/>
      <c r="P9226" s="235"/>
      <c r="AI9226" s="38"/>
    </row>
    <row r="9227" ht="15.75" customHeight="1">
      <c r="A9227" s="35"/>
      <c r="C9227" s="442"/>
      <c r="P9227" s="235"/>
      <c r="AI9227" s="38"/>
    </row>
    <row r="9228" ht="15.75" customHeight="1">
      <c r="A9228" s="35"/>
      <c r="C9228" s="442"/>
      <c r="P9228" s="235"/>
      <c r="AI9228" s="38"/>
    </row>
    <row r="9229" ht="15.75" customHeight="1">
      <c r="A9229" s="35"/>
      <c r="C9229" s="442"/>
      <c r="P9229" s="235"/>
      <c r="AI9229" s="38"/>
    </row>
    <row r="9230" ht="15.75" customHeight="1">
      <c r="A9230" s="35"/>
      <c r="C9230" s="442"/>
      <c r="P9230" s="235"/>
      <c r="AI9230" s="38"/>
    </row>
    <row r="9231" ht="15.75" customHeight="1">
      <c r="A9231" s="35"/>
      <c r="C9231" s="442"/>
      <c r="P9231" s="235"/>
      <c r="AI9231" s="38"/>
    </row>
    <row r="9232" ht="15.75" customHeight="1">
      <c r="A9232" s="35"/>
      <c r="C9232" s="442"/>
      <c r="P9232" s="235"/>
      <c r="AI9232" s="38"/>
    </row>
    <row r="9233" ht="15.75" customHeight="1">
      <c r="A9233" s="35"/>
      <c r="C9233" s="442"/>
      <c r="P9233" s="235"/>
      <c r="AI9233" s="38"/>
    </row>
    <row r="9234" ht="15.75" customHeight="1">
      <c r="A9234" s="35"/>
      <c r="C9234" s="442"/>
      <c r="P9234" s="235"/>
      <c r="AI9234" s="38"/>
    </row>
    <row r="9235" ht="15.75" customHeight="1">
      <c r="A9235" s="35"/>
      <c r="C9235" s="442"/>
      <c r="P9235" s="235"/>
      <c r="AI9235" s="38"/>
    </row>
    <row r="9236" ht="15.75" customHeight="1">
      <c r="A9236" s="35"/>
      <c r="C9236" s="442"/>
      <c r="P9236" s="235"/>
      <c r="AI9236" s="38"/>
    </row>
    <row r="9237" ht="15.75" customHeight="1">
      <c r="A9237" s="35"/>
      <c r="C9237" s="442"/>
      <c r="P9237" s="235"/>
      <c r="AI9237" s="38"/>
    </row>
    <row r="9238" ht="15.75" customHeight="1">
      <c r="A9238" s="35"/>
      <c r="C9238" s="442"/>
      <c r="P9238" s="235"/>
      <c r="AI9238" s="38"/>
    </row>
    <row r="9239" ht="15.75" customHeight="1">
      <c r="A9239" s="35"/>
      <c r="C9239" s="442"/>
      <c r="P9239" s="235"/>
      <c r="AI9239" s="38"/>
    </row>
    <row r="9240" ht="15.75" customHeight="1">
      <c r="A9240" s="35"/>
      <c r="C9240" s="442"/>
      <c r="P9240" s="235"/>
      <c r="AI9240" s="38"/>
    </row>
    <row r="9241" ht="15.75" customHeight="1">
      <c r="A9241" s="35"/>
      <c r="C9241" s="442"/>
      <c r="P9241" s="235"/>
      <c r="AI9241" s="38"/>
    </row>
    <row r="9242" ht="15.75" customHeight="1">
      <c r="A9242" s="35"/>
      <c r="C9242" s="442"/>
      <c r="P9242" s="235"/>
      <c r="AI9242" s="38"/>
    </row>
    <row r="9243" ht="15.75" customHeight="1">
      <c r="A9243" s="35"/>
      <c r="C9243" s="442"/>
      <c r="P9243" s="235"/>
      <c r="AI9243" s="38"/>
    </row>
    <row r="9244" ht="15.75" customHeight="1">
      <c r="A9244" s="35"/>
      <c r="C9244" s="442"/>
      <c r="P9244" s="235"/>
      <c r="AI9244" s="38"/>
    </row>
    <row r="9245" ht="15.75" customHeight="1">
      <c r="A9245" s="35"/>
      <c r="C9245" s="442"/>
      <c r="P9245" s="235"/>
      <c r="AI9245" s="38"/>
    </row>
    <row r="9246" ht="15.75" customHeight="1">
      <c r="A9246" s="35"/>
      <c r="C9246" s="442"/>
      <c r="P9246" s="235"/>
      <c r="AI9246" s="38"/>
    </row>
    <row r="9247" ht="15.75" customHeight="1">
      <c r="A9247" s="35"/>
      <c r="C9247" s="442"/>
      <c r="P9247" s="235"/>
      <c r="AI9247" s="38"/>
    </row>
    <row r="9248" ht="15.75" customHeight="1">
      <c r="A9248" s="35"/>
      <c r="C9248" s="442"/>
      <c r="P9248" s="235"/>
      <c r="AI9248" s="38"/>
    </row>
    <row r="9249" ht="15.75" customHeight="1">
      <c r="A9249" s="35"/>
      <c r="C9249" s="442"/>
      <c r="P9249" s="235"/>
      <c r="AI9249" s="38"/>
    </row>
    <row r="9250" ht="15.75" customHeight="1">
      <c r="A9250" s="35"/>
      <c r="C9250" s="442"/>
      <c r="P9250" s="235"/>
      <c r="AI9250" s="38"/>
    </row>
    <row r="9251" ht="15.75" customHeight="1">
      <c r="A9251" s="35"/>
      <c r="C9251" s="442"/>
      <c r="P9251" s="235"/>
      <c r="AI9251" s="38"/>
    </row>
    <row r="9252" ht="15.75" customHeight="1">
      <c r="A9252" s="35"/>
      <c r="C9252" s="442"/>
      <c r="P9252" s="235"/>
      <c r="AI9252" s="38"/>
    </row>
    <row r="9253" ht="15.75" customHeight="1">
      <c r="A9253" s="35"/>
      <c r="C9253" s="442"/>
      <c r="P9253" s="235"/>
      <c r="AI9253" s="38"/>
    </row>
    <row r="9254" ht="15.75" customHeight="1">
      <c r="A9254" s="35"/>
      <c r="C9254" s="442"/>
      <c r="P9254" s="235"/>
      <c r="AI9254" s="38"/>
    </row>
    <row r="9255" ht="15.75" customHeight="1">
      <c r="A9255" s="35"/>
      <c r="C9255" s="442"/>
      <c r="P9255" s="235"/>
      <c r="AI9255" s="38"/>
    </row>
    <row r="9256" ht="15.75" customHeight="1">
      <c r="A9256" s="35"/>
      <c r="C9256" s="442"/>
      <c r="P9256" s="235"/>
      <c r="AI9256" s="38"/>
    </row>
    <row r="9257" ht="15.75" customHeight="1">
      <c r="A9257" s="35"/>
      <c r="C9257" s="442"/>
      <c r="P9257" s="235"/>
      <c r="AI9257" s="38"/>
    </row>
    <row r="9258" ht="15.75" customHeight="1">
      <c r="A9258" s="35"/>
      <c r="C9258" s="442"/>
      <c r="P9258" s="235"/>
      <c r="AI9258" s="38"/>
    </row>
    <row r="9259" ht="15.75" customHeight="1">
      <c r="A9259" s="35"/>
      <c r="C9259" s="442"/>
      <c r="P9259" s="235"/>
      <c r="AI9259" s="38"/>
    </row>
    <row r="9260" ht="15.75" customHeight="1">
      <c r="A9260" s="35"/>
      <c r="C9260" s="442"/>
      <c r="P9260" s="235"/>
      <c r="AI9260" s="38"/>
    </row>
    <row r="9261" ht="15.75" customHeight="1">
      <c r="A9261" s="35"/>
      <c r="C9261" s="442"/>
      <c r="P9261" s="235"/>
      <c r="AI9261" s="38"/>
    </row>
    <row r="9262" ht="15.75" customHeight="1">
      <c r="A9262" s="35"/>
      <c r="C9262" s="442"/>
      <c r="P9262" s="235"/>
      <c r="AI9262" s="38"/>
    </row>
    <row r="9263" ht="15.75" customHeight="1">
      <c r="A9263" s="35"/>
      <c r="C9263" s="442"/>
      <c r="P9263" s="235"/>
      <c r="AI9263" s="38"/>
    </row>
    <row r="9264" ht="15.75" customHeight="1">
      <c r="A9264" s="35"/>
      <c r="C9264" s="442"/>
      <c r="P9264" s="235"/>
      <c r="AI9264" s="38"/>
    </row>
    <row r="9265" ht="15.75" customHeight="1">
      <c r="A9265" s="35"/>
      <c r="C9265" s="442"/>
      <c r="P9265" s="235"/>
      <c r="AI9265" s="38"/>
    </row>
    <row r="9266" ht="15.75" customHeight="1">
      <c r="A9266" s="35"/>
      <c r="C9266" s="442"/>
      <c r="P9266" s="235"/>
      <c r="AI9266" s="38"/>
    </row>
    <row r="9267" ht="15.75" customHeight="1">
      <c r="A9267" s="35"/>
      <c r="C9267" s="442"/>
      <c r="P9267" s="235"/>
      <c r="AI9267" s="38"/>
    </row>
    <row r="9268" ht="15.75" customHeight="1">
      <c r="A9268" s="35"/>
      <c r="C9268" s="442"/>
      <c r="P9268" s="235"/>
      <c r="AI9268" s="38"/>
    </row>
    <row r="9269" ht="15.75" customHeight="1">
      <c r="A9269" s="35"/>
      <c r="C9269" s="442"/>
      <c r="P9269" s="235"/>
      <c r="AI9269" s="38"/>
    </row>
    <row r="9270" ht="15.75" customHeight="1">
      <c r="A9270" s="35"/>
      <c r="C9270" s="442"/>
      <c r="P9270" s="235"/>
      <c r="AI9270" s="38"/>
    </row>
    <row r="9271" ht="15.75" customHeight="1">
      <c r="A9271" s="35"/>
      <c r="C9271" s="442"/>
      <c r="P9271" s="235"/>
      <c r="AI9271" s="38"/>
    </row>
    <row r="9272" ht="15.75" customHeight="1">
      <c r="A9272" s="35"/>
      <c r="C9272" s="442"/>
      <c r="P9272" s="235"/>
      <c r="AI9272" s="38"/>
    </row>
    <row r="9273" ht="15.75" customHeight="1">
      <c r="A9273" s="35"/>
      <c r="C9273" s="442"/>
      <c r="P9273" s="235"/>
      <c r="AI9273" s="38"/>
    </row>
    <row r="9274" ht="15.75" customHeight="1">
      <c r="A9274" s="35"/>
      <c r="C9274" s="442"/>
      <c r="P9274" s="235"/>
      <c r="AI9274" s="38"/>
    </row>
    <row r="9275" ht="15.75" customHeight="1">
      <c r="A9275" s="35"/>
      <c r="C9275" s="442"/>
      <c r="P9275" s="235"/>
      <c r="AI9275" s="38"/>
    </row>
    <row r="9276" ht="15.75" customHeight="1">
      <c r="A9276" s="35"/>
      <c r="C9276" s="442"/>
      <c r="P9276" s="235"/>
      <c r="AI9276" s="38"/>
    </row>
    <row r="9277" ht="15.75" customHeight="1">
      <c r="A9277" s="35"/>
      <c r="C9277" s="442"/>
      <c r="P9277" s="235"/>
      <c r="AI9277" s="38"/>
    </row>
    <row r="9278" ht="15.75" customHeight="1">
      <c r="A9278" s="35"/>
      <c r="C9278" s="442"/>
      <c r="P9278" s="235"/>
      <c r="AI9278" s="38"/>
    </row>
    <row r="9279" ht="15.75" customHeight="1">
      <c r="A9279" s="35"/>
      <c r="C9279" s="442"/>
      <c r="P9279" s="235"/>
      <c r="AI9279" s="38"/>
    </row>
    <row r="9280" ht="15.75" customHeight="1">
      <c r="A9280" s="35"/>
      <c r="C9280" s="442"/>
      <c r="P9280" s="235"/>
      <c r="AI9280" s="38"/>
    </row>
    <row r="9281" ht="15.75" customHeight="1">
      <c r="A9281" s="35"/>
      <c r="C9281" s="442"/>
      <c r="P9281" s="235"/>
      <c r="AI9281" s="38"/>
    </row>
    <row r="9282" ht="15.75" customHeight="1">
      <c r="A9282" s="35"/>
      <c r="C9282" s="442"/>
      <c r="P9282" s="235"/>
      <c r="AI9282" s="38"/>
    </row>
    <row r="9283" ht="15.75" customHeight="1">
      <c r="A9283" s="35"/>
      <c r="C9283" s="442"/>
      <c r="P9283" s="235"/>
      <c r="AI9283" s="38"/>
    </row>
    <row r="9284" ht="15.75" customHeight="1">
      <c r="A9284" s="35"/>
      <c r="C9284" s="442"/>
      <c r="P9284" s="235"/>
      <c r="AI9284" s="38"/>
    </row>
    <row r="9285" ht="15.75" customHeight="1">
      <c r="A9285" s="35"/>
      <c r="C9285" s="442"/>
      <c r="P9285" s="235"/>
      <c r="AI9285" s="38"/>
    </row>
    <row r="9286" ht="15.75" customHeight="1">
      <c r="A9286" s="35"/>
      <c r="C9286" s="442"/>
      <c r="P9286" s="235"/>
      <c r="AI9286" s="38"/>
    </row>
    <row r="9287" ht="15.75" customHeight="1">
      <c r="A9287" s="35"/>
      <c r="C9287" s="442"/>
      <c r="P9287" s="235"/>
      <c r="AI9287" s="38"/>
    </row>
    <row r="9288" ht="15.75" customHeight="1">
      <c r="A9288" s="35"/>
      <c r="C9288" s="442"/>
      <c r="P9288" s="235"/>
      <c r="AI9288" s="38"/>
    </row>
    <row r="9289" ht="15.75" customHeight="1">
      <c r="A9289" s="35"/>
      <c r="C9289" s="442"/>
      <c r="P9289" s="235"/>
      <c r="AI9289" s="38"/>
    </row>
    <row r="9290" ht="15.75" customHeight="1">
      <c r="A9290" s="35"/>
      <c r="C9290" s="442"/>
      <c r="P9290" s="235"/>
      <c r="AI9290" s="38"/>
    </row>
    <row r="9291" ht="15.75" customHeight="1">
      <c r="A9291" s="35"/>
      <c r="C9291" s="442"/>
      <c r="P9291" s="235"/>
      <c r="AI9291" s="38"/>
    </row>
    <row r="9292" ht="15.75" customHeight="1">
      <c r="A9292" s="35"/>
      <c r="C9292" s="442"/>
      <c r="P9292" s="235"/>
      <c r="AI9292" s="38"/>
    </row>
    <row r="9293" ht="15.75" customHeight="1">
      <c r="A9293" s="35"/>
      <c r="C9293" s="442"/>
      <c r="P9293" s="235"/>
      <c r="AI9293" s="38"/>
    </row>
    <row r="9294" ht="15.75" customHeight="1">
      <c r="A9294" s="35"/>
      <c r="C9294" s="442"/>
      <c r="P9294" s="235"/>
      <c r="AI9294" s="38"/>
    </row>
    <row r="9295" ht="15.75" customHeight="1">
      <c r="A9295" s="35"/>
      <c r="C9295" s="442"/>
      <c r="P9295" s="235"/>
      <c r="AI9295" s="38"/>
    </row>
    <row r="9296" ht="15.75" customHeight="1">
      <c r="A9296" s="35"/>
      <c r="C9296" s="442"/>
      <c r="P9296" s="235"/>
      <c r="AI9296" s="38"/>
    </row>
    <row r="9297" ht="15.75" customHeight="1">
      <c r="A9297" s="35"/>
      <c r="C9297" s="442"/>
      <c r="P9297" s="235"/>
      <c r="AI9297" s="38"/>
    </row>
    <row r="9298" ht="15.75" customHeight="1">
      <c r="A9298" s="35"/>
      <c r="C9298" s="442"/>
      <c r="P9298" s="235"/>
      <c r="AI9298" s="38"/>
    </row>
    <row r="9299" ht="15.75" customHeight="1">
      <c r="A9299" s="35"/>
      <c r="C9299" s="442"/>
      <c r="P9299" s="235"/>
      <c r="AI9299" s="38"/>
    </row>
    <row r="9300" ht="15.75" customHeight="1">
      <c r="A9300" s="35"/>
      <c r="C9300" s="442"/>
      <c r="P9300" s="235"/>
      <c r="AI9300" s="38"/>
    </row>
    <row r="9301" ht="15.75" customHeight="1">
      <c r="A9301" s="35"/>
      <c r="C9301" s="442"/>
      <c r="P9301" s="235"/>
      <c r="AI9301" s="38"/>
    </row>
    <row r="9302" ht="15.75" customHeight="1">
      <c r="A9302" s="35"/>
      <c r="C9302" s="442"/>
      <c r="P9302" s="235"/>
      <c r="AI9302" s="38"/>
    </row>
    <row r="9303" ht="15.75" customHeight="1">
      <c r="A9303" s="35"/>
      <c r="C9303" s="442"/>
      <c r="P9303" s="235"/>
      <c r="AI9303" s="38"/>
    </row>
    <row r="9304" ht="15.75" customHeight="1">
      <c r="A9304" s="35"/>
      <c r="C9304" s="442"/>
      <c r="P9304" s="235"/>
      <c r="AI9304" s="38"/>
    </row>
    <row r="9305" ht="15.75" customHeight="1">
      <c r="A9305" s="35"/>
      <c r="C9305" s="442"/>
      <c r="P9305" s="235"/>
      <c r="AI9305" s="38"/>
    </row>
    <row r="9306" ht="15.75" customHeight="1">
      <c r="A9306" s="35"/>
      <c r="C9306" s="442"/>
      <c r="P9306" s="235"/>
      <c r="AI9306" s="38"/>
    </row>
    <row r="9307" ht="15.75" customHeight="1">
      <c r="A9307" s="35"/>
      <c r="C9307" s="442"/>
      <c r="P9307" s="235"/>
      <c r="AI9307" s="38"/>
    </row>
    <row r="9308" ht="15.75" customHeight="1">
      <c r="A9308" s="35"/>
      <c r="C9308" s="442"/>
      <c r="P9308" s="235"/>
      <c r="AI9308" s="38"/>
    </row>
    <row r="9309" ht="15.75" customHeight="1">
      <c r="A9309" s="35"/>
      <c r="C9309" s="442"/>
      <c r="P9309" s="235"/>
      <c r="AI9309" s="38"/>
    </row>
    <row r="9310" ht="15.75" customHeight="1">
      <c r="A9310" s="35"/>
      <c r="C9310" s="442"/>
      <c r="P9310" s="235"/>
      <c r="AI9310" s="38"/>
    </row>
    <row r="9311" ht="15.75" customHeight="1">
      <c r="A9311" s="35"/>
      <c r="C9311" s="442"/>
      <c r="P9311" s="235"/>
      <c r="AI9311" s="38"/>
    </row>
    <row r="9312" ht="15.75" customHeight="1">
      <c r="A9312" s="35"/>
      <c r="C9312" s="442"/>
      <c r="P9312" s="235"/>
      <c r="AI9312" s="38"/>
    </row>
    <row r="9313" ht="15.75" customHeight="1">
      <c r="A9313" s="35"/>
      <c r="C9313" s="442"/>
      <c r="P9313" s="235"/>
      <c r="AI9313" s="38"/>
    </row>
    <row r="9314" ht="15.75" customHeight="1">
      <c r="A9314" s="35"/>
      <c r="C9314" s="442"/>
      <c r="P9314" s="235"/>
      <c r="AI9314" s="38"/>
    </row>
    <row r="9315" ht="15.75" customHeight="1">
      <c r="A9315" s="35"/>
      <c r="C9315" s="442"/>
      <c r="P9315" s="235"/>
      <c r="AI9315" s="38"/>
    </row>
    <row r="9316" ht="15.75" customHeight="1">
      <c r="A9316" s="35"/>
      <c r="C9316" s="442"/>
      <c r="P9316" s="235"/>
      <c r="AI9316" s="38"/>
    </row>
    <row r="9317" ht="15.75" customHeight="1">
      <c r="A9317" s="35"/>
      <c r="C9317" s="442"/>
      <c r="P9317" s="235"/>
      <c r="AI9317" s="38"/>
    </row>
    <row r="9318" ht="15.75" customHeight="1">
      <c r="A9318" s="35"/>
      <c r="C9318" s="442"/>
      <c r="P9318" s="235"/>
      <c r="AI9318" s="38"/>
    </row>
    <row r="9319" ht="15.75" customHeight="1">
      <c r="A9319" s="35"/>
      <c r="C9319" s="442"/>
      <c r="P9319" s="235"/>
      <c r="AI9319" s="38"/>
    </row>
    <row r="9320" ht="15.75" customHeight="1">
      <c r="A9320" s="35"/>
      <c r="C9320" s="442"/>
      <c r="P9320" s="235"/>
      <c r="AI9320" s="38"/>
    </row>
    <row r="9321" ht="15.75" customHeight="1">
      <c r="A9321" s="35"/>
      <c r="C9321" s="442"/>
      <c r="P9321" s="235"/>
      <c r="AI9321" s="38"/>
    </row>
    <row r="9322" ht="15.75" customHeight="1">
      <c r="A9322" s="35"/>
      <c r="C9322" s="442"/>
      <c r="P9322" s="235"/>
      <c r="AI9322" s="38"/>
    </row>
    <row r="9323" ht="15.75" customHeight="1">
      <c r="A9323" s="35"/>
      <c r="C9323" s="442"/>
      <c r="P9323" s="235"/>
      <c r="AI9323" s="38"/>
    </row>
    <row r="9324" ht="15.75" customHeight="1">
      <c r="A9324" s="35"/>
      <c r="C9324" s="442"/>
      <c r="P9324" s="235"/>
      <c r="AI9324" s="38"/>
    </row>
    <row r="9325" ht="15.75" customHeight="1">
      <c r="A9325" s="35"/>
      <c r="C9325" s="442"/>
      <c r="P9325" s="235"/>
      <c r="AI9325" s="38"/>
    </row>
    <row r="9326" ht="15.75" customHeight="1">
      <c r="A9326" s="35"/>
      <c r="C9326" s="442"/>
      <c r="P9326" s="235"/>
      <c r="AI9326" s="38"/>
    </row>
    <row r="9327" ht="15.75" customHeight="1">
      <c r="A9327" s="35"/>
      <c r="C9327" s="442"/>
      <c r="P9327" s="235"/>
      <c r="AI9327" s="38"/>
    </row>
    <row r="9328" ht="15.75" customHeight="1">
      <c r="A9328" s="35"/>
      <c r="C9328" s="442"/>
      <c r="P9328" s="235"/>
      <c r="AI9328" s="38"/>
    </row>
    <row r="9329" ht="15.75" customHeight="1">
      <c r="A9329" s="35"/>
      <c r="C9329" s="442"/>
      <c r="P9329" s="235"/>
      <c r="AI9329" s="38"/>
    </row>
    <row r="9330" ht="15.75" customHeight="1">
      <c r="A9330" s="35"/>
      <c r="C9330" s="442"/>
      <c r="P9330" s="235"/>
      <c r="AI9330" s="38"/>
    </row>
    <row r="9331" ht="15.75" customHeight="1">
      <c r="A9331" s="35"/>
      <c r="C9331" s="442"/>
      <c r="P9331" s="235"/>
      <c r="AI9331" s="38"/>
    </row>
    <row r="9332" ht="15.75" customHeight="1">
      <c r="A9332" s="35"/>
      <c r="C9332" s="442"/>
      <c r="P9332" s="235"/>
      <c r="AI9332" s="38"/>
    </row>
    <row r="9333" ht="15.75" customHeight="1">
      <c r="A9333" s="35"/>
      <c r="C9333" s="442"/>
      <c r="P9333" s="235"/>
      <c r="AI9333" s="38"/>
    </row>
    <row r="9334" ht="15.75" customHeight="1">
      <c r="A9334" s="35"/>
      <c r="C9334" s="442"/>
      <c r="P9334" s="235"/>
      <c r="AI9334" s="38"/>
    </row>
    <row r="9335" ht="15.75" customHeight="1">
      <c r="A9335" s="35"/>
      <c r="C9335" s="442"/>
      <c r="P9335" s="235"/>
      <c r="AI9335" s="38"/>
    </row>
    <row r="9336" ht="15.75" customHeight="1">
      <c r="A9336" s="35"/>
      <c r="C9336" s="442"/>
      <c r="P9336" s="235"/>
      <c r="AI9336" s="38"/>
    </row>
    <row r="9337" ht="15.75" customHeight="1">
      <c r="A9337" s="35"/>
      <c r="C9337" s="442"/>
      <c r="P9337" s="235"/>
      <c r="AI9337" s="38"/>
    </row>
    <row r="9338" ht="15.75" customHeight="1">
      <c r="A9338" s="35"/>
      <c r="C9338" s="442"/>
      <c r="P9338" s="235"/>
      <c r="AI9338" s="38"/>
    </row>
    <row r="9339" ht="15.75" customHeight="1">
      <c r="A9339" s="35"/>
      <c r="C9339" s="442"/>
      <c r="P9339" s="235"/>
      <c r="AI9339" s="38"/>
    </row>
    <row r="9340" ht="15.75" customHeight="1">
      <c r="A9340" s="35"/>
      <c r="C9340" s="442"/>
      <c r="P9340" s="235"/>
      <c r="AI9340" s="38"/>
    </row>
    <row r="9341" ht="15.75" customHeight="1">
      <c r="A9341" s="35"/>
      <c r="C9341" s="442"/>
      <c r="P9341" s="235"/>
      <c r="AI9341" s="38"/>
    </row>
    <row r="9342" ht="15.75" customHeight="1">
      <c r="A9342" s="35"/>
      <c r="C9342" s="442"/>
      <c r="P9342" s="235"/>
      <c r="AI9342" s="38"/>
    </row>
    <row r="9343" ht="15.75" customHeight="1">
      <c r="A9343" s="35"/>
      <c r="C9343" s="442"/>
      <c r="P9343" s="235"/>
      <c r="AI9343" s="38"/>
    </row>
    <row r="9344" ht="15.75" customHeight="1">
      <c r="A9344" s="35"/>
      <c r="C9344" s="442"/>
      <c r="P9344" s="235"/>
      <c r="AI9344" s="38"/>
    </row>
    <row r="9345" ht="15.75" customHeight="1">
      <c r="A9345" s="35"/>
      <c r="C9345" s="442"/>
      <c r="P9345" s="235"/>
      <c r="AI9345" s="38"/>
    </row>
    <row r="9346" ht="15.75" customHeight="1">
      <c r="A9346" s="35"/>
      <c r="C9346" s="442"/>
      <c r="P9346" s="235"/>
      <c r="AI9346" s="38"/>
    </row>
    <row r="9347" ht="15.75" customHeight="1">
      <c r="A9347" s="35"/>
      <c r="C9347" s="442"/>
      <c r="P9347" s="235"/>
      <c r="AI9347" s="38"/>
    </row>
    <row r="9348" ht="15.75" customHeight="1">
      <c r="A9348" s="35"/>
      <c r="C9348" s="442"/>
      <c r="P9348" s="235"/>
      <c r="AI9348" s="38"/>
    </row>
    <row r="9349" ht="15.75" customHeight="1">
      <c r="A9349" s="35"/>
      <c r="C9349" s="442"/>
      <c r="P9349" s="235"/>
      <c r="AI9349" s="38"/>
    </row>
    <row r="9350" ht="15.75" customHeight="1">
      <c r="A9350" s="35"/>
      <c r="C9350" s="442"/>
      <c r="P9350" s="235"/>
      <c r="AI9350" s="38"/>
    </row>
    <row r="9351" ht="15.75" customHeight="1">
      <c r="A9351" s="35"/>
      <c r="C9351" s="442"/>
      <c r="P9351" s="235"/>
      <c r="AI9351" s="38"/>
    </row>
    <row r="9352" ht="15.75" customHeight="1">
      <c r="A9352" s="35"/>
      <c r="C9352" s="442"/>
      <c r="P9352" s="235"/>
      <c r="AI9352" s="38"/>
    </row>
    <row r="9353" ht="15.75" customHeight="1">
      <c r="A9353" s="35"/>
      <c r="C9353" s="442"/>
      <c r="P9353" s="235"/>
      <c r="AI9353" s="38"/>
    </row>
    <row r="9354" ht="15.75" customHeight="1">
      <c r="A9354" s="35"/>
      <c r="C9354" s="442"/>
      <c r="P9354" s="235"/>
      <c r="AI9354" s="38"/>
    </row>
    <row r="9355" ht="15.75" customHeight="1">
      <c r="A9355" s="35"/>
      <c r="C9355" s="442"/>
      <c r="P9355" s="235"/>
      <c r="AI9355" s="38"/>
    </row>
    <row r="9356" ht="15.75" customHeight="1">
      <c r="A9356" s="35"/>
      <c r="C9356" s="442"/>
      <c r="P9356" s="235"/>
      <c r="AI9356" s="38"/>
    </row>
    <row r="9357" ht="15.75" customHeight="1">
      <c r="A9357" s="35"/>
      <c r="C9357" s="442"/>
      <c r="P9357" s="235"/>
      <c r="AI9357" s="38"/>
    </row>
    <row r="9358" ht="15.75" customHeight="1">
      <c r="A9358" s="35"/>
      <c r="C9358" s="442"/>
      <c r="P9358" s="235"/>
      <c r="AI9358" s="38"/>
    </row>
    <row r="9359" ht="15.75" customHeight="1">
      <c r="A9359" s="35"/>
      <c r="C9359" s="442"/>
      <c r="P9359" s="235"/>
      <c r="AI9359" s="38"/>
    </row>
    <row r="9360" ht="15.75" customHeight="1">
      <c r="A9360" s="35"/>
      <c r="C9360" s="442"/>
      <c r="P9360" s="235"/>
      <c r="AI9360" s="38"/>
    </row>
    <row r="9361" ht="15.75" customHeight="1">
      <c r="A9361" s="35"/>
      <c r="C9361" s="442"/>
      <c r="P9361" s="235"/>
      <c r="AI9361" s="38"/>
    </row>
    <row r="9362" ht="15.75" customHeight="1">
      <c r="A9362" s="35"/>
      <c r="C9362" s="442"/>
      <c r="P9362" s="235"/>
      <c r="AI9362" s="38"/>
    </row>
    <row r="9363" ht="15.75" customHeight="1">
      <c r="A9363" s="35"/>
      <c r="C9363" s="442"/>
      <c r="P9363" s="235"/>
      <c r="AI9363" s="38"/>
    </row>
    <row r="9364" ht="15.75" customHeight="1">
      <c r="A9364" s="35"/>
      <c r="C9364" s="442"/>
      <c r="P9364" s="235"/>
      <c r="AI9364" s="38"/>
    </row>
    <row r="9365" ht="15.75" customHeight="1">
      <c r="A9365" s="35"/>
      <c r="C9365" s="442"/>
      <c r="P9365" s="235"/>
      <c r="AI9365" s="38"/>
    </row>
    <row r="9366" ht="15.75" customHeight="1">
      <c r="A9366" s="35"/>
      <c r="C9366" s="442"/>
      <c r="P9366" s="235"/>
      <c r="AI9366" s="38"/>
    </row>
    <row r="9367" ht="15.75" customHeight="1">
      <c r="A9367" s="35"/>
      <c r="C9367" s="442"/>
      <c r="P9367" s="235"/>
      <c r="AI9367" s="38"/>
    </row>
    <row r="9368" ht="15.75" customHeight="1">
      <c r="A9368" s="35"/>
      <c r="C9368" s="442"/>
      <c r="P9368" s="235"/>
      <c r="AI9368" s="38"/>
    </row>
    <row r="9369" ht="15.75" customHeight="1">
      <c r="A9369" s="35"/>
      <c r="C9369" s="442"/>
      <c r="P9369" s="235"/>
      <c r="AI9369" s="38"/>
    </row>
    <row r="9370" ht="15.75" customHeight="1">
      <c r="A9370" s="35"/>
      <c r="C9370" s="442"/>
      <c r="P9370" s="235"/>
      <c r="AI9370" s="38"/>
    </row>
    <row r="9371" ht="15.75" customHeight="1">
      <c r="A9371" s="35"/>
      <c r="C9371" s="442"/>
      <c r="P9371" s="235"/>
      <c r="AI9371" s="38"/>
    </row>
    <row r="9372" ht="15.75" customHeight="1">
      <c r="A9372" s="35"/>
      <c r="C9372" s="442"/>
      <c r="P9372" s="235"/>
      <c r="AI9372" s="38"/>
    </row>
    <row r="9373" ht="15.75" customHeight="1">
      <c r="A9373" s="35"/>
      <c r="C9373" s="442"/>
      <c r="P9373" s="235"/>
      <c r="AI9373" s="38"/>
    </row>
    <row r="9374" ht="15.75" customHeight="1">
      <c r="A9374" s="35"/>
      <c r="C9374" s="442"/>
      <c r="P9374" s="235"/>
      <c r="AI9374" s="38"/>
    </row>
    <row r="9375" ht="15.75" customHeight="1">
      <c r="A9375" s="35"/>
      <c r="C9375" s="442"/>
      <c r="P9375" s="235"/>
      <c r="AI9375" s="38"/>
    </row>
    <row r="9376" ht="15.75" customHeight="1">
      <c r="A9376" s="35"/>
      <c r="C9376" s="442"/>
      <c r="P9376" s="235"/>
      <c r="AI9376" s="38"/>
    </row>
    <row r="9377" ht="15.75" customHeight="1">
      <c r="A9377" s="35"/>
      <c r="C9377" s="442"/>
      <c r="P9377" s="235"/>
      <c r="AI9377" s="38"/>
    </row>
    <row r="9378" ht="15.75" customHeight="1">
      <c r="A9378" s="35"/>
      <c r="C9378" s="442"/>
      <c r="P9378" s="235"/>
      <c r="AI9378" s="38"/>
    </row>
    <row r="9379" ht="15.75" customHeight="1">
      <c r="A9379" s="35"/>
      <c r="C9379" s="442"/>
      <c r="P9379" s="235"/>
      <c r="AI9379" s="38"/>
    </row>
    <row r="9380" ht="15.75" customHeight="1">
      <c r="A9380" s="35"/>
      <c r="C9380" s="442"/>
      <c r="P9380" s="235"/>
      <c r="AI9380" s="38"/>
    </row>
    <row r="9381" ht="15.75" customHeight="1">
      <c r="A9381" s="35"/>
      <c r="C9381" s="442"/>
      <c r="P9381" s="235"/>
      <c r="AI9381" s="38"/>
    </row>
    <row r="9382" ht="15.75" customHeight="1">
      <c r="A9382" s="35"/>
      <c r="C9382" s="442"/>
      <c r="P9382" s="235"/>
      <c r="AI9382" s="38"/>
    </row>
    <row r="9383" ht="15.75" customHeight="1">
      <c r="A9383" s="35"/>
      <c r="C9383" s="442"/>
      <c r="P9383" s="235"/>
      <c r="AI9383" s="38"/>
    </row>
    <row r="9384" ht="15.75" customHeight="1">
      <c r="A9384" s="35"/>
      <c r="C9384" s="442"/>
      <c r="P9384" s="235"/>
      <c r="AI9384" s="38"/>
    </row>
    <row r="9385" ht="15.75" customHeight="1">
      <c r="A9385" s="35"/>
      <c r="C9385" s="442"/>
      <c r="P9385" s="235"/>
      <c r="AI9385" s="38"/>
    </row>
    <row r="9386" ht="15.75" customHeight="1">
      <c r="A9386" s="35"/>
      <c r="C9386" s="442"/>
      <c r="P9386" s="235"/>
      <c r="AI9386" s="38"/>
    </row>
    <row r="9387" ht="15.75" customHeight="1">
      <c r="A9387" s="35"/>
      <c r="C9387" s="442"/>
      <c r="P9387" s="235"/>
      <c r="AI9387" s="38"/>
    </row>
    <row r="9388" ht="15.75" customHeight="1">
      <c r="A9388" s="35"/>
      <c r="C9388" s="442"/>
      <c r="P9388" s="235"/>
      <c r="AI9388" s="38"/>
    </row>
    <row r="9389" ht="15.75" customHeight="1">
      <c r="A9389" s="35"/>
      <c r="C9389" s="442"/>
      <c r="P9389" s="235"/>
      <c r="AI9389" s="38"/>
    </row>
    <row r="9390" ht="15.75" customHeight="1">
      <c r="A9390" s="35"/>
      <c r="C9390" s="442"/>
      <c r="P9390" s="235"/>
      <c r="AI9390" s="38"/>
    </row>
    <row r="9391" ht="15.75" customHeight="1">
      <c r="A9391" s="35"/>
      <c r="C9391" s="442"/>
      <c r="P9391" s="235"/>
      <c r="AI9391" s="38"/>
    </row>
    <row r="9392" ht="15.75" customHeight="1">
      <c r="A9392" s="35"/>
      <c r="C9392" s="442"/>
      <c r="P9392" s="235"/>
      <c r="AI9392" s="38"/>
    </row>
    <row r="9393" ht="15.75" customHeight="1">
      <c r="A9393" s="35"/>
      <c r="C9393" s="442"/>
      <c r="P9393" s="235"/>
      <c r="AI9393" s="38"/>
    </row>
    <row r="9394" ht="15.75" customHeight="1">
      <c r="A9394" s="35"/>
      <c r="C9394" s="442"/>
      <c r="P9394" s="235"/>
      <c r="AI9394" s="38"/>
    </row>
    <row r="9395" ht="15.75" customHeight="1">
      <c r="A9395" s="35"/>
      <c r="C9395" s="442"/>
      <c r="P9395" s="235"/>
      <c r="AI9395" s="38"/>
    </row>
    <row r="9396" ht="15.75" customHeight="1">
      <c r="A9396" s="35"/>
      <c r="C9396" s="442"/>
      <c r="P9396" s="235"/>
      <c r="AI9396" s="38"/>
    </row>
    <row r="9397" ht="15.75" customHeight="1">
      <c r="A9397" s="35"/>
      <c r="C9397" s="442"/>
      <c r="P9397" s="235"/>
      <c r="AI9397" s="38"/>
    </row>
    <row r="9398" ht="15.75" customHeight="1">
      <c r="A9398" s="35"/>
      <c r="C9398" s="442"/>
      <c r="P9398" s="235"/>
      <c r="AI9398" s="38"/>
    </row>
    <row r="9399" ht="15.75" customHeight="1">
      <c r="A9399" s="35"/>
      <c r="C9399" s="442"/>
      <c r="P9399" s="235"/>
      <c r="AI9399" s="38"/>
    </row>
    <row r="9400" ht="15.75" customHeight="1">
      <c r="A9400" s="35"/>
      <c r="C9400" s="442"/>
      <c r="P9400" s="235"/>
      <c r="AI9400" s="38"/>
    </row>
    <row r="9401" ht="15.75" customHeight="1">
      <c r="A9401" s="35"/>
      <c r="C9401" s="442"/>
      <c r="P9401" s="235"/>
      <c r="AI9401" s="38"/>
    </row>
    <row r="9402" ht="15.75" customHeight="1">
      <c r="A9402" s="35"/>
      <c r="C9402" s="442"/>
      <c r="P9402" s="235"/>
      <c r="AI9402" s="38"/>
    </row>
    <row r="9403" ht="15.75" customHeight="1">
      <c r="A9403" s="35"/>
      <c r="C9403" s="442"/>
      <c r="P9403" s="235"/>
      <c r="AI9403" s="38"/>
    </row>
    <row r="9404" ht="15.75" customHeight="1">
      <c r="A9404" s="35"/>
      <c r="C9404" s="442"/>
      <c r="P9404" s="235"/>
      <c r="AI9404" s="38"/>
    </row>
    <row r="9405" ht="15.75" customHeight="1">
      <c r="A9405" s="35"/>
      <c r="C9405" s="442"/>
      <c r="P9405" s="235"/>
      <c r="AI9405" s="38"/>
    </row>
    <row r="9406" ht="15.75" customHeight="1">
      <c r="A9406" s="35"/>
      <c r="C9406" s="442"/>
      <c r="P9406" s="235"/>
      <c r="AI9406" s="38"/>
    </row>
    <row r="9407" ht="15.75" customHeight="1">
      <c r="A9407" s="35"/>
      <c r="C9407" s="442"/>
      <c r="P9407" s="235"/>
      <c r="AI9407" s="38"/>
    </row>
    <row r="9408" ht="15.75" customHeight="1">
      <c r="A9408" s="35"/>
      <c r="C9408" s="442"/>
      <c r="P9408" s="235"/>
      <c r="AI9408" s="38"/>
    </row>
    <row r="9409" ht="15.75" customHeight="1">
      <c r="A9409" s="35"/>
      <c r="C9409" s="442"/>
      <c r="P9409" s="235"/>
      <c r="AI9409" s="38"/>
    </row>
    <row r="9410" ht="15.75" customHeight="1">
      <c r="A9410" s="35"/>
      <c r="C9410" s="442"/>
      <c r="P9410" s="235"/>
      <c r="AI9410" s="38"/>
    </row>
    <row r="9411" ht="15.75" customHeight="1">
      <c r="A9411" s="35"/>
      <c r="C9411" s="442"/>
      <c r="P9411" s="235"/>
      <c r="AI9411" s="38"/>
    </row>
    <row r="9412" ht="15.75" customHeight="1">
      <c r="A9412" s="35"/>
      <c r="C9412" s="442"/>
      <c r="P9412" s="235"/>
      <c r="AI9412" s="38"/>
    </row>
    <row r="9413" ht="15.75" customHeight="1">
      <c r="A9413" s="35"/>
      <c r="C9413" s="442"/>
      <c r="P9413" s="235"/>
      <c r="AI9413" s="38"/>
    </row>
    <row r="9414" ht="15.75" customHeight="1">
      <c r="A9414" s="35"/>
      <c r="C9414" s="442"/>
      <c r="P9414" s="235"/>
      <c r="AI9414" s="38"/>
    </row>
    <row r="9415" ht="15.75" customHeight="1">
      <c r="A9415" s="35"/>
      <c r="C9415" s="442"/>
      <c r="P9415" s="235"/>
      <c r="AI9415" s="38"/>
    </row>
    <row r="9416" ht="15.75" customHeight="1">
      <c r="A9416" s="35"/>
      <c r="C9416" s="442"/>
      <c r="P9416" s="235"/>
      <c r="AI9416" s="38"/>
    </row>
    <row r="9417" ht="15.75" customHeight="1">
      <c r="A9417" s="35"/>
      <c r="C9417" s="442"/>
      <c r="P9417" s="235"/>
      <c r="AI9417" s="38"/>
    </row>
    <row r="9418" ht="15.75" customHeight="1">
      <c r="A9418" s="35"/>
      <c r="C9418" s="442"/>
      <c r="P9418" s="235"/>
      <c r="AI9418" s="38"/>
    </row>
    <row r="9419" ht="15.75" customHeight="1">
      <c r="A9419" s="35"/>
      <c r="C9419" s="442"/>
      <c r="P9419" s="235"/>
      <c r="AI9419" s="38"/>
    </row>
    <row r="9420" ht="15.75" customHeight="1">
      <c r="A9420" s="35"/>
      <c r="C9420" s="442"/>
      <c r="P9420" s="235"/>
      <c r="AI9420" s="38"/>
    </row>
    <row r="9421" ht="15.75" customHeight="1">
      <c r="A9421" s="35"/>
      <c r="C9421" s="442"/>
      <c r="P9421" s="235"/>
      <c r="AI9421" s="38"/>
    </row>
    <row r="9422" ht="15.75" customHeight="1">
      <c r="A9422" s="35"/>
      <c r="C9422" s="442"/>
      <c r="P9422" s="235"/>
      <c r="AI9422" s="38"/>
    </row>
    <row r="9423" ht="15.75" customHeight="1">
      <c r="A9423" s="35"/>
      <c r="C9423" s="442"/>
      <c r="P9423" s="235"/>
      <c r="AI9423" s="38"/>
    </row>
    <row r="9424" ht="15.75" customHeight="1">
      <c r="A9424" s="35"/>
      <c r="C9424" s="442"/>
      <c r="P9424" s="235"/>
      <c r="AI9424" s="38"/>
    </row>
    <row r="9425" ht="15.75" customHeight="1">
      <c r="A9425" s="35"/>
      <c r="C9425" s="442"/>
      <c r="P9425" s="235"/>
      <c r="AI9425" s="38"/>
    </row>
    <row r="9426" ht="15.75" customHeight="1">
      <c r="A9426" s="35"/>
      <c r="C9426" s="442"/>
      <c r="P9426" s="235"/>
      <c r="AI9426" s="38"/>
    </row>
    <row r="9427" ht="15.75" customHeight="1">
      <c r="A9427" s="35"/>
      <c r="C9427" s="442"/>
      <c r="P9427" s="235"/>
      <c r="AI9427" s="38"/>
    </row>
    <row r="9428" ht="15.75" customHeight="1">
      <c r="A9428" s="35"/>
      <c r="C9428" s="442"/>
      <c r="P9428" s="235"/>
      <c r="AI9428" s="38"/>
    </row>
    <row r="9429" ht="15.75" customHeight="1">
      <c r="A9429" s="35"/>
      <c r="C9429" s="442"/>
      <c r="P9429" s="235"/>
      <c r="AI9429" s="38"/>
    </row>
    <row r="9430" ht="15.75" customHeight="1">
      <c r="A9430" s="35"/>
      <c r="C9430" s="442"/>
      <c r="P9430" s="235"/>
      <c r="AI9430" s="38"/>
    </row>
    <row r="9431" ht="15.75" customHeight="1">
      <c r="A9431" s="35"/>
      <c r="C9431" s="442"/>
      <c r="P9431" s="235"/>
      <c r="AI9431" s="38"/>
    </row>
    <row r="9432" ht="15.75" customHeight="1">
      <c r="A9432" s="35"/>
      <c r="C9432" s="442"/>
      <c r="P9432" s="235"/>
      <c r="AI9432" s="38"/>
    </row>
    <row r="9433" ht="15.75" customHeight="1">
      <c r="A9433" s="35"/>
      <c r="C9433" s="442"/>
      <c r="P9433" s="235"/>
      <c r="AI9433" s="38"/>
    </row>
    <row r="9434" ht="15.75" customHeight="1">
      <c r="A9434" s="35"/>
      <c r="C9434" s="442"/>
      <c r="P9434" s="235"/>
      <c r="AI9434" s="38"/>
    </row>
    <row r="9435" ht="15.75" customHeight="1">
      <c r="A9435" s="35"/>
      <c r="C9435" s="442"/>
      <c r="P9435" s="235"/>
      <c r="AI9435" s="38"/>
    </row>
    <row r="9436" ht="15.75" customHeight="1">
      <c r="A9436" s="35"/>
      <c r="C9436" s="442"/>
      <c r="P9436" s="235"/>
      <c r="AI9436" s="38"/>
    </row>
    <row r="9437" ht="15.75" customHeight="1">
      <c r="A9437" s="35"/>
      <c r="C9437" s="442"/>
      <c r="P9437" s="235"/>
      <c r="AI9437" s="38"/>
    </row>
    <row r="9438" ht="15.75" customHeight="1">
      <c r="A9438" s="35"/>
      <c r="C9438" s="442"/>
      <c r="P9438" s="235"/>
      <c r="AI9438" s="38"/>
    </row>
    <row r="9439" ht="15.75" customHeight="1">
      <c r="A9439" s="35"/>
      <c r="C9439" s="442"/>
      <c r="P9439" s="235"/>
      <c r="AI9439" s="38"/>
    </row>
    <row r="9440" ht="15.75" customHeight="1">
      <c r="A9440" s="35"/>
      <c r="C9440" s="442"/>
      <c r="P9440" s="235"/>
      <c r="AI9440" s="38"/>
    </row>
    <row r="9441" ht="15.75" customHeight="1">
      <c r="A9441" s="35"/>
      <c r="C9441" s="442"/>
      <c r="P9441" s="235"/>
      <c r="AI9441" s="38"/>
    </row>
    <row r="9442" ht="15.75" customHeight="1">
      <c r="A9442" s="35"/>
      <c r="C9442" s="442"/>
      <c r="P9442" s="235"/>
      <c r="AI9442" s="38"/>
    </row>
    <row r="9443" ht="15.75" customHeight="1">
      <c r="A9443" s="35"/>
      <c r="C9443" s="442"/>
      <c r="P9443" s="235"/>
      <c r="AI9443" s="38"/>
    </row>
    <row r="9444" ht="15.75" customHeight="1">
      <c r="A9444" s="35"/>
      <c r="C9444" s="442"/>
      <c r="P9444" s="235"/>
      <c r="AI9444" s="38"/>
    </row>
    <row r="9445" ht="15.75" customHeight="1">
      <c r="A9445" s="35"/>
      <c r="C9445" s="442"/>
      <c r="P9445" s="235"/>
      <c r="AI9445" s="38"/>
    </row>
    <row r="9446" ht="15.75" customHeight="1">
      <c r="A9446" s="35"/>
      <c r="C9446" s="442"/>
      <c r="P9446" s="235"/>
      <c r="AI9446" s="38"/>
    </row>
    <row r="9447" ht="15.75" customHeight="1">
      <c r="A9447" s="35"/>
      <c r="C9447" s="442"/>
      <c r="P9447" s="235"/>
      <c r="AI9447" s="38"/>
    </row>
    <row r="9448" ht="15.75" customHeight="1">
      <c r="A9448" s="35"/>
      <c r="C9448" s="442"/>
      <c r="P9448" s="235"/>
      <c r="AI9448" s="38"/>
    </row>
    <row r="9449" ht="15.75" customHeight="1">
      <c r="A9449" s="35"/>
      <c r="C9449" s="442"/>
      <c r="P9449" s="235"/>
      <c r="AI9449" s="38"/>
    </row>
    <row r="9450" ht="15.75" customHeight="1">
      <c r="A9450" s="35"/>
      <c r="C9450" s="442"/>
      <c r="P9450" s="235"/>
      <c r="AI9450" s="38"/>
    </row>
    <row r="9451" ht="15.75" customHeight="1">
      <c r="A9451" s="35"/>
      <c r="C9451" s="442"/>
      <c r="P9451" s="235"/>
      <c r="AI9451" s="38"/>
    </row>
    <row r="9452" ht="15.75" customHeight="1">
      <c r="A9452" s="35"/>
      <c r="C9452" s="442"/>
      <c r="P9452" s="235"/>
      <c r="AI9452" s="38"/>
    </row>
    <row r="9453" ht="15.75" customHeight="1">
      <c r="A9453" s="35"/>
      <c r="C9453" s="442"/>
      <c r="P9453" s="235"/>
      <c r="AI9453" s="38"/>
    </row>
    <row r="9454" ht="15.75" customHeight="1">
      <c r="A9454" s="35"/>
      <c r="C9454" s="442"/>
      <c r="P9454" s="235"/>
      <c r="AI9454" s="38"/>
    </row>
    <row r="9455" ht="15.75" customHeight="1">
      <c r="A9455" s="35"/>
      <c r="C9455" s="442"/>
      <c r="P9455" s="235"/>
      <c r="AI9455" s="38"/>
    </row>
    <row r="9456" ht="15.75" customHeight="1">
      <c r="A9456" s="35"/>
      <c r="C9456" s="442"/>
      <c r="P9456" s="235"/>
      <c r="AI9456" s="38"/>
    </row>
    <row r="9457" ht="15.75" customHeight="1">
      <c r="A9457" s="35"/>
      <c r="C9457" s="442"/>
      <c r="P9457" s="235"/>
      <c r="AI9457" s="38"/>
    </row>
    <row r="9458" ht="15.75" customHeight="1">
      <c r="A9458" s="35"/>
      <c r="C9458" s="442"/>
      <c r="P9458" s="235"/>
      <c r="AI9458" s="38"/>
    </row>
    <row r="9459" ht="15.75" customHeight="1">
      <c r="A9459" s="35"/>
      <c r="C9459" s="442"/>
      <c r="P9459" s="235"/>
      <c r="AI9459" s="38"/>
    </row>
    <row r="9460" ht="15.75" customHeight="1">
      <c r="A9460" s="35"/>
      <c r="C9460" s="442"/>
      <c r="P9460" s="235"/>
      <c r="AI9460" s="38"/>
    </row>
    <row r="9461" ht="15.75" customHeight="1">
      <c r="A9461" s="35"/>
      <c r="C9461" s="442"/>
      <c r="P9461" s="235"/>
      <c r="AI9461" s="38"/>
    </row>
    <row r="9462" ht="15.75" customHeight="1">
      <c r="A9462" s="35"/>
      <c r="C9462" s="442"/>
      <c r="P9462" s="235"/>
      <c r="AI9462" s="38"/>
    </row>
    <row r="9463" ht="15.75" customHeight="1">
      <c r="A9463" s="35"/>
      <c r="C9463" s="442"/>
      <c r="P9463" s="235"/>
      <c r="AI9463" s="38"/>
    </row>
    <row r="9464" ht="15.75" customHeight="1">
      <c r="A9464" s="35"/>
      <c r="C9464" s="442"/>
      <c r="P9464" s="235"/>
      <c r="AI9464" s="38"/>
    </row>
    <row r="9465" ht="15.75" customHeight="1">
      <c r="A9465" s="35"/>
      <c r="C9465" s="442"/>
      <c r="P9465" s="235"/>
      <c r="AI9465" s="38"/>
    </row>
    <row r="9466" ht="15.75" customHeight="1">
      <c r="A9466" s="35"/>
      <c r="C9466" s="442"/>
      <c r="P9466" s="235"/>
      <c r="AI9466" s="38"/>
    </row>
    <row r="9467" ht="15.75" customHeight="1">
      <c r="A9467" s="35"/>
      <c r="C9467" s="442"/>
      <c r="P9467" s="235"/>
      <c r="AI9467" s="38"/>
    </row>
    <row r="9468" ht="15.75" customHeight="1">
      <c r="A9468" s="35"/>
      <c r="C9468" s="442"/>
      <c r="P9468" s="235"/>
      <c r="AI9468" s="38"/>
    </row>
    <row r="9469" ht="15.75" customHeight="1">
      <c r="A9469" s="35"/>
      <c r="C9469" s="442"/>
      <c r="P9469" s="235"/>
      <c r="AI9469" s="38"/>
    </row>
    <row r="9470" ht="15.75" customHeight="1">
      <c r="A9470" s="35"/>
      <c r="C9470" s="442"/>
      <c r="P9470" s="235"/>
      <c r="AI9470" s="38"/>
    </row>
    <row r="9471" ht="15.75" customHeight="1">
      <c r="A9471" s="35"/>
      <c r="C9471" s="442"/>
      <c r="P9471" s="235"/>
      <c r="AI9471" s="38"/>
    </row>
    <row r="9472" ht="15.75" customHeight="1">
      <c r="A9472" s="35"/>
      <c r="C9472" s="442"/>
      <c r="P9472" s="235"/>
      <c r="AI9472" s="38"/>
    </row>
    <row r="9473" ht="15.75" customHeight="1">
      <c r="A9473" s="35"/>
      <c r="C9473" s="442"/>
      <c r="P9473" s="235"/>
      <c r="AI9473" s="38"/>
    </row>
    <row r="9474" ht="15.75" customHeight="1">
      <c r="A9474" s="35"/>
      <c r="C9474" s="442"/>
      <c r="P9474" s="235"/>
      <c r="AI9474" s="38"/>
    </row>
    <row r="9475" ht="15.75" customHeight="1">
      <c r="A9475" s="35"/>
      <c r="C9475" s="442"/>
      <c r="P9475" s="235"/>
      <c r="AI9475" s="38"/>
    </row>
    <row r="9476" ht="15.75" customHeight="1">
      <c r="A9476" s="35"/>
      <c r="C9476" s="442"/>
      <c r="P9476" s="235"/>
      <c r="AI9476" s="38"/>
    </row>
    <row r="9477" ht="15.75" customHeight="1">
      <c r="A9477" s="35"/>
      <c r="C9477" s="442"/>
      <c r="P9477" s="235"/>
      <c r="AI9477" s="38"/>
    </row>
    <row r="9478" ht="15.75" customHeight="1">
      <c r="A9478" s="35"/>
      <c r="C9478" s="442"/>
      <c r="P9478" s="235"/>
      <c r="AI9478" s="38"/>
    </row>
    <row r="9479" ht="15.75" customHeight="1">
      <c r="A9479" s="35"/>
      <c r="C9479" s="442"/>
      <c r="P9479" s="235"/>
      <c r="AI9479" s="38"/>
    </row>
    <row r="9480" ht="15.75" customHeight="1">
      <c r="A9480" s="35"/>
      <c r="C9480" s="442"/>
      <c r="P9480" s="235"/>
      <c r="AI9480" s="38"/>
    </row>
    <row r="9481" ht="15.75" customHeight="1">
      <c r="A9481" s="35"/>
      <c r="C9481" s="442"/>
      <c r="P9481" s="235"/>
      <c r="AI9481" s="38"/>
    </row>
    <row r="9482" ht="15.75" customHeight="1">
      <c r="A9482" s="35"/>
      <c r="C9482" s="442"/>
      <c r="P9482" s="235"/>
      <c r="AI9482" s="38"/>
    </row>
    <row r="9483" ht="15.75" customHeight="1">
      <c r="A9483" s="35"/>
      <c r="C9483" s="442"/>
      <c r="P9483" s="235"/>
      <c r="AI9483" s="38"/>
    </row>
    <row r="9484" ht="15.75" customHeight="1">
      <c r="A9484" s="35"/>
      <c r="C9484" s="442"/>
      <c r="P9484" s="235"/>
      <c r="AI9484" s="38"/>
    </row>
    <row r="9485" ht="15.75" customHeight="1">
      <c r="A9485" s="35"/>
      <c r="C9485" s="442"/>
      <c r="P9485" s="235"/>
      <c r="AI9485" s="38"/>
    </row>
    <row r="9486" ht="15.75" customHeight="1">
      <c r="A9486" s="35"/>
      <c r="C9486" s="442"/>
      <c r="P9486" s="235"/>
      <c r="AI9486" s="38"/>
    </row>
    <row r="9487" ht="15.75" customHeight="1">
      <c r="A9487" s="35"/>
      <c r="C9487" s="442"/>
      <c r="P9487" s="235"/>
      <c r="AI9487" s="38"/>
    </row>
    <row r="9488" ht="15.75" customHeight="1">
      <c r="A9488" s="35"/>
      <c r="C9488" s="442"/>
      <c r="P9488" s="235"/>
      <c r="AI9488" s="38"/>
    </row>
    <row r="9489" ht="15.75" customHeight="1">
      <c r="A9489" s="35"/>
      <c r="C9489" s="442"/>
      <c r="P9489" s="235"/>
      <c r="AI9489" s="38"/>
    </row>
    <row r="9490" ht="15.75" customHeight="1">
      <c r="A9490" s="35"/>
      <c r="C9490" s="442"/>
      <c r="P9490" s="235"/>
      <c r="AI9490" s="38"/>
    </row>
    <row r="9491" ht="15.75" customHeight="1">
      <c r="A9491" s="35"/>
      <c r="C9491" s="442"/>
      <c r="P9491" s="235"/>
      <c r="AI9491" s="38"/>
    </row>
    <row r="9492" ht="15.75" customHeight="1">
      <c r="A9492" s="35"/>
      <c r="C9492" s="442"/>
      <c r="P9492" s="235"/>
      <c r="AI9492" s="38"/>
    </row>
    <row r="9493" ht="15.75" customHeight="1">
      <c r="A9493" s="35"/>
      <c r="C9493" s="442"/>
      <c r="P9493" s="235"/>
      <c r="AI9493" s="38"/>
    </row>
    <row r="9494" ht="15.75" customHeight="1">
      <c r="A9494" s="35"/>
      <c r="C9494" s="442"/>
      <c r="P9494" s="235"/>
      <c r="AI9494" s="38"/>
    </row>
    <row r="9495" ht="15.75" customHeight="1">
      <c r="A9495" s="35"/>
      <c r="C9495" s="442"/>
      <c r="P9495" s="235"/>
      <c r="AI9495" s="38"/>
    </row>
    <row r="9496" ht="15.75" customHeight="1">
      <c r="A9496" s="35"/>
      <c r="C9496" s="442"/>
      <c r="P9496" s="235"/>
      <c r="AI9496" s="38"/>
    </row>
    <row r="9497" ht="15.75" customHeight="1">
      <c r="A9497" s="35"/>
      <c r="C9497" s="442"/>
      <c r="P9497" s="235"/>
      <c r="AI9497" s="38"/>
    </row>
    <row r="9498" ht="15.75" customHeight="1">
      <c r="A9498" s="35"/>
      <c r="C9498" s="442"/>
      <c r="P9498" s="235"/>
      <c r="AI9498" s="38"/>
    </row>
    <row r="9499" ht="15.75" customHeight="1">
      <c r="A9499" s="35"/>
      <c r="C9499" s="442"/>
      <c r="P9499" s="235"/>
      <c r="AI9499" s="38"/>
    </row>
    <row r="9500" ht="15.75" customHeight="1">
      <c r="A9500" s="35"/>
      <c r="C9500" s="442"/>
      <c r="P9500" s="235"/>
      <c r="AI9500" s="38"/>
    </row>
    <row r="9501" ht="15.75" customHeight="1">
      <c r="A9501" s="35"/>
      <c r="C9501" s="442"/>
      <c r="P9501" s="235"/>
      <c r="AI9501" s="38"/>
    </row>
    <row r="9502" ht="15.75" customHeight="1">
      <c r="A9502" s="35"/>
      <c r="C9502" s="442"/>
      <c r="P9502" s="235"/>
      <c r="AI9502" s="38"/>
    </row>
    <row r="9503" ht="15.75" customHeight="1">
      <c r="A9503" s="35"/>
      <c r="C9503" s="442"/>
      <c r="P9503" s="235"/>
      <c r="AI9503" s="38"/>
    </row>
    <row r="9504" ht="15.75" customHeight="1">
      <c r="A9504" s="35"/>
      <c r="C9504" s="442"/>
      <c r="P9504" s="235"/>
      <c r="AI9504" s="38"/>
    </row>
    <row r="9505" ht="15.75" customHeight="1">
      <c r="A9505" s="35"/>
      <c r="C9505" s="442"/>
      <c r="P9505" s="235"/>
      <c r="AI9505" s="38"/>
    </row>
    <row r="9506" ht="15.75" customHeight="1">
      <c r="A9506" s="35"/>
      <c r="C9506" s="442"/>
      <c r="P9506" s="235"/>
      <c r="AI9506" s="38"/>
    </row>
    <row r="9507" ht="15.75" customHeight="1">
      <c r="A9507" s="35"/>
      <c r="C9507" s="442"/>
      <c r="P9507" s="235"/>
      <c r="AI9507" s="38"/>
    </row>
    <row r="9508" ht="15.75" customHeight="1">
      <c r="A9508" s="35"/>
      <c r="C9508" s="442"/>
      <c r="P9508" s="235"/>
      <c r="AI9508" s="38"/>
    </row>
    <row r="9509" ht="15.75" customHeight="1">
      <c r="A9509" s="35"/>
      <c r="C9509" s="442"/>
      <c r="P9509" s="235"/>
      <c r="AI9509" s="38"/>
    </row>
    <row r="9510" ht="15.75" customHeight="1">
      <c r="A9510" s="35"/>
      <c r="C9510" s="442"/>
      <c r="P9510" s="235"/>
      <c r="AI9510" s="38"/>
    </row>
    <row r="9511" ht="15.75" customHeight="1">
      <c r="A9511" s="35"/>
      <c r="C9511" s="442"/>
      <c r="P9511" s="235"/>
      <c r="AI9511" s="38"/>
    </row>
    <row r="9512" ht="15.75" customHeight="1">
      <c r="A9512" s="35"/>
      <c r="C9512" s="442"/>
      <c r="P9512" s="235"/>
      <c r="AI9512" s="38"/>
    </row>
    <row r="9513" ht="15.75" customHeight="1">
      <c r="A9513" s="35"/>
      <c r="C9513" s="442"/>
      <c r="P9513" s="235"/>
      <c r="AI9513" s="38"/>
    </row>
    <row r="9514" ht="15.75" customHeight="1">
      <c r="A9514" s="35"/>
      <c r="C9514" s="442"/>
      <c r="P9514" s="235"/>
      <c r="AI9514" s="38"/>
    </row>
    <row r="9515" ht="15.75" customHeight="1">
      <c r="A9515" s="35"/>
      <c r="C9515" s="442"/>
      <c r="P9515" s="235"/>
      <c r="AI9515" s="38"/>
    </row>
    <row r="9516" ht="15.75" customHeight="1">
      <c r="A9516" s="35"/>
      <c r="C9516" s="442"/>
      <c r="P9516" s="235"/>
      <c r="AI9516" s="38"/>
    </row>
    <row r="9517" ht="15.75" customHeight="1">
      <c r="A9517" s="35"/>
      <c r="C9517" s="442"/>
      <c r="P9517" s="235"/>
      <c r="AI9517" s="38"/>
    </row>
    <row r="9518" ht="15.75" customHeight="1">
      <c r="A9518" s="35"/>
      <c r="C9518" s="442"/>
      <c r="P9518" s="235"/>
      <c r="AI9518" s="38"/>
    </row>
    <row r="9519" ht="15.75" customHeight="1">
      <c r="A9519" s="35"/>
      <c r="C9519" s="442"/>
      <c r="P9519" s="235"/>
      <c r="AI9519" s="38"/>
    </row>
    <row r="9520" ht="15.75" customHeight="1">
      <c r="A9520" s="35"/>
      <c r="C9520" s="442"/>
      <c r="P9520" s="235"/>
      <c r="AI9520" s="38"/>
    </row>
    <row r="9521" ht="15.75" customHeight="1">
      <c r="A9521" s="35"/>
      <c r="C9521" s="442"/>
      <c r="P9521" s="235"/>
      <c r="AI9521" s="38"/>
    </row>
    <row r="9522" ht="15.75" customHeight="1">
      <c r="A9522" s="35"/>
      <c r="C9522" s="442"/>
      <c r="P9522" s="235"/>
      <c r="AI9522" s="38"/>
    </row>
    <row r="9523" ht="15.75" customHeight="1">
      <c r="A9523" s="35"/>
      <c r="C9523" s="442"/>
      <c r="P9523" s="235"/>
      <c r="AI9523" s="38"/>
    </row>
    <row r="9524" ht="15.75" customHeight="1">
      <c r="A9524" s="35"/>
      <c r="C9524" s="442"/>
      <c r="P9524" s="235"/>
      <c r="AI9524" s="38"/>
    </row>
    <row r="9525" ht="15.75" customHeight="1">
      <c r="A9525" s="35"/>
      <c r="C9525" s="442"/>
      <c r="P9525" s="235"/>
      <c r="AI9525" s="38"/>
    </row>
    <row r="9526" ht="15.75" customHeight="1">
      <c r="A9526" s="35"/>
      <c r="C9526" s="442"/>
      <c r="P9526" s="235"/>
      <c r="AI9526" s="38"/>
    </row>
    <row r="9527" ht="15.75" customHeight="1">
      <c r="A9527" s="35"/>
      <c r="C9527" s="442"/>
      <c r="P9527" s="235"/>
      <c r="AI9527" s="38"/>
    </row>
    <row r="9528" ht="15.75" customHeight="1">
      <c r="A9528" s="35"/>
      <c r="C9528" s="442"/>
      <c r="P9528" s="235"/>
      <c r="AI9528" s="38"/>
    </row>
    <row r="9529" ht="15.75" customHeight="1">
      <c r="A9529" s="35"/>
      <c r="C9529" s="442"/>
      <c r="P9529" s="235"/>
      <c r="AI9529" s="38"/>
    </row>
    <row r="9530" ht="15.75" customHeight="1">
      <c r="A9530" s="35"/>
      <c r="C9530" s="442"/>
      <c r="P9530" s="235"/>
      <c r="AI9530" s="38"/>
    </row>
    <row r="9531" ht="15.75" customHeight="1">
      <c r="A9531" s="35"/>
      <c r="C9531" s="442"/>
      <c r="P9531" s="235"/>
      <c r="AI9531" s="38"/>
    </row>
    <row r="9532" ht="15.75" customHeight="1">
      <c r="A9532" s="35"/>
      <c r="C9532" s="442"/>
      <c r="P9532" s="235"/>
      <c r="AI9532" s="38"/>
    </row>
    <row r="9533" ht="15.75" customHeight="1">
      <c r="A9533" s="35"/>
      <c r="C9533" s="442"/>
      <c r="P9533" s="235"/>
      <c r="AI9533" s="38"/>
    </row>
    <row r="9534" ht="15.75" customHeight="1">
      <c r="A9534" s="35"/>
      <c r="C9534" s="442"/>
      <c r="P9534" s="235"/>
      <c r="AI9534" s="38"/>
    </row>
    <row r="9535" ht="15.75" customHeight="1">
      <c r="A9535" s="35"/>
      <c r="C9535" s="442"/>
      <c r="P9535" s="235"/>
      <c r="AI9535" s="38"/>
    </row>
    <row r="9536" ht="15.75" customHeight="1">
      <c r="A9536" s="35"/>
      <c r="C9536" s="442"/>
      <c r="P9536" s="235"/>
      <c r="AI9536" s="38"/>
    </row>
    <row r="9537" ht="15.75" customHeight="1">
      <c r="A9537" s="35"/>
      <c r="C9537" s="442"/>
      <c r="P9537" s="235"/>
      <c r="AI9537" s="38"/>
    </row>
    <row r="9538" ht="15.75" customHeight="1">
      <c r="A9538" s="35"/>
      <c r="C9538" s="442"/>
      <c r="P9538" s="235"/>
      <c r="AI9538" s="38"/>
    </row>
    <row r="9539" ht="15.75" customHeight="1">
      <c r="A9539" s="35"/>
      <c r="C9539" s="442"/>
      <c r="P9539" s="235"/>
      <c r="AI9539" s="38"/>
    </row>
    <row r="9540" ht="15.75" customHeight="1">
      <c r="A9540" s="35"/>
      <c r="C9540" s="442"/>
      <c r="P9540" s="235"/>
      <c r="AI9540" s="38"/>
    </row>
    <row r="9541" ht="15.75" customHeight="1">
      <c r="A9541" s="35"/>
      <c r="C9541" s="442"/>
      <c r="P9541" s="235"/>
      <c r="AI9541" s="38"/>
    </row>
    <row r="9542" ht="15.75" customHeight="1">
      <c r="A9542" s="35"/>
      <c r="C9542" s="442"/>
      <c r="P9542" s="235"/>
      <c r="AI9542" s="38"/>
    </row>
    <row r="9543" ht="15.75" customHeight="1">
      <c r="A9543" s="35"/>
      <c r="C9543" s="442"/>
      <c r="P9543" s="235"/>
      <c r="AI9543" s="38"/>
    </row>
    <row r="9544" ht="15.75" customHeight="1">
      <c r="A9544" s="35"/>
      <c r="C9544" s="442"/>
      <c r="P9544" s="235"/>
      <c r="AI9544" s="38"/>
    </row>
    <row r="9545" ht="15.75" customHeight="1">
      <c r="A9545" s="35"/>
      <c r="C9545" s="442"/>
      <c r="P9545" s="235"/>
      <c r="AI9545" s="38"/>
    </row>
    <row r="9546" ht="15.75" customHeight="1">
      <c r="A9546" s="35"/>
      <c r="C9546" s="442"/>
      <c r="P9546" s="235"/>
      <c r="AI9546" s="38"/>
    </row>
    <row r="9547" ht="15.75" customHeight="1">
      <c r="A9547" s="35"/>
      <c r="C9547" s="442"/>
      <c r="P9547" s="235"/>
      <c r="AI9547" s="38"/>
    </row>
    <row r="9548" ht="15.75" customHeight="1">
      <c r="A9548" s="35"/>
      <c r="C9548" s="442"/>
      <c r="P9548" s="235"/>
      <c r="AI9548" s="38"/>
    </row>
    <row r="9549" ht="15.75" customHeight="1">
      <c r="A9549" s="35"/>
      <c r="C9549" s="442"/>
      <c r="P9549" s="235"/>
      <c r="AI9549" s="38"/>
    </row>
    <row r="9550" ht="15.75" customHeight="1">
      <c r="A9550" s="35"/>
      <c r="C9550" s="442"/>
      <c r="P9550" s="235"/>
      <c r="AI9550" s="38"/>
    </row>
    <row r="9551" ht="15.75" customHeight="1">
      <c r="A9551" s="35"/>
      <c r="C9551" s="442"/>
      <c r="P9551" s="235"/>
      <c r="AI9551" s="38"/>
    </row>
    <row r="9552" ht="15.75" customHeight="1">
      <c r="A9552" s="35"/>
      <c r="C9552" s="442"/>
      <c r="P9552" s="235"/>
      <c r="AI9552" s="38"/>
    </row>
    <row r="9553" ht="15.75" customHeight="1">
      <c r="A9553" s="35"/>
      <c r="C9553" s="442"/>
      <c r="P9553" s="235"/>
      <c r="AI9553" s="38"/>
    </row>
    <row r="9554" ht="15.75" customHeight="1">
      <c r="A9554" s="35"/>
      <c r="C9554" s="442"/>
      <c r="P9554" s="235"/>
      <c r="AI9554" s="38"/>
    </row>
    <row r="9555" ht="15.75" customHeight="1">
      <c r="A9555" s="35"/>
      <c r="C9555" s="442"/>
      <c r="P9555" s="235"/>
      <c r="AI9555" s="38"/>
    </row>
    <row r="9556" ht="15.75" customHeight="1">
      <c r="A9556" s="35"/>
      <c r="C9556" s="442"/>
      <c r="P9556" s="235"/>
      <c r="AI9556" s="38"/>
    </row>
    <row r="9557" ht="15.75" customHeight="1">
      <c r="A9557" s="35"/>
      <c r="C9557" s="442"/>
      <c r="P9557" s="235"/>
      <c r="AI9557" s="38"/>
    </row>
    <row r="9558" ht="15.75" customHeight="1">
      <c r="A9558" s="35"/>
      <c r="C9558" s="442"/>
      <c r="P9558" s="235"/>
      <c r="AI9558" s="38"/>
    </row>
    <row r="9559" ht="15.75" customHeight="1">
      <c r="A9559" s="35"/>
      <c r="C9559" s="442"/>
      <c r="P9559" s="235"/>
      <c r="AI9559" s="38"/>
    </row>
    <row r="9560" ht="15.75" customHeight="1">
      <c r="A9560" s="35"/>
      <c r="C9560" s="442"/>
      <c r="P9560" s="235"/>
      <c r="AI9560" s="38"/>
    </row>
    <row r="9561" ht="15.75" customHeight="1">
      <c r="A9561" s="35"/>
      <c r="C9561" s="442"/>
      <c r="P9561" s="235"/>
      <c r="AI9561" s="38"/>
    </row>
    <row r="9562" ht="15.75" customHeight="1">
      <c r="A9562" s="35"/>
      <c r="C9562" s="442"/>
      <c r="P9562" s="235"/>
      <c r="AI9562" s="38"/>
    </row>
    <row r="9563" ht="15.75" customHeight="1">
      <c r="A9563" s="35"/>
      <c r="C9563" s="442"/>
      <c r="P9563" s="235"/>
      <c r="AI9563" s="38"/>
    </row>
    <row r="9564" ht="15.75" customHeight="1">
      <c r="A9564" s="35"/>
      <c r="C9564" s="442"/>
      <c r="P9564" s="235"/>
      <c r="AI9564" s="38"/>
    </row>
    <row r="9565" ht="15.75" customHeight="1">
      <c r="A9565" s="35"/>
      <c r="C9565" s="442"/>
      <c r="P9565" s="235"/>
      <c r="AI9565" s="38"/>
    </row>
    <row r="9566" ht="15.75" customHeight="1">
      <c r="A9566" s="35"/>
      <c r="C9566" s="442"/>
      <c r="P9566" s="235"/>
      <c r="AI9566" s="38"/>
    </row>
    <row r="9567" ht="15.75" customHeight="1">
      <c r="A9567" s="35"/>
      <c r="C9567" s="442"/>
      <c r="P9567" s="235"/>
      <c r="AI9567" s="38"/>
    </row>
    <row r="9568" ht="15.75" customHeight="1">
      <c r="A9568" s="35"/>
      <c r="C9568" s="442"/>
      <c r="P9568" s="235"/>
      <c r="AI9568" s="38"/>
    </row>
    <row r="9569" ht="15.75" customHeight="1">
      <c r="A9569" s="35"/>
      <c r="C9569" s="442"/>
      <c r="P9569" s="235"/>
      <c r="AI9569" s="38"/>
    </row>
    <row r="9570" ht="15.75" customHeight="1">
      <c r="A9570" s="35"/>
      <c r="C9570" s="442"/>
      <c r="P9570" s="235"/>
      <c r="AI9570" s="38"/>
    </row>
    <row r="9571" ht="15.75" customHeight="1">
      <c r="A9571" s="35"/>
      <c r="C9571" s="442"/>
      <c r="P9571" s="235"/>
      <c r="AI9571" s="38"/>
    </row>
    <row r="9572" ht="15.75" customHeight="1">
      <c r="A9572" s="35"/>
      <c r="C9572" s="442"/>
      <c r="P9572" s="235"/>
      <c r="AI9572" s="38"/>
    </row>
    <row r="9573" ht="15.75" customHeight="1">
      <c r="A9573" s="35"/>
      <c r="C9573" s="442"/>
      <c r="P9573" s="235"/>
      <c r="AI9573" s="38"/>
    </row>
    <row r="9574" ht="15.75" customHeight="1">
      <c r="A9574" s="35"/>
      <c r="C9574" s="442"/>
      <c r="P9574" s="235"/>
      <c r="AI9574" s="38"/>
    </row>
    <row r="9575" ht="15.75" customHeight="1">
      <c r="A9575" s="35"/>
      <c r="C9575" s="442"/>
      <c r="P9575" s="235"/>
      <c r="AI9575" s="38"/>
    </row>
    <row r="9576" ht="15.75" customHeight="1">
      <c r="A9576" s="35"/>
      <c r="C9576" s="442"/>
      <c r="P9576" s="235"/>
      <c r="AI9576" s="38"/>
    </row>
    <row r="9577" ht="15.75" customHeight="1">
      <c r="A9577" s="35"/>
      <c r="C9577" s="442"/>
      <c r="P9577" s="235"/>
      <c r="AI9577" s="38"/>
    </row>
    <row r="9578" ht="15.75" customHeight="1">
      <c r="A9578" s="35"/>
      <c r="C9578" s="442"/>
      <c r="P9578" s="235"/>
      <c r="AI9578" s="38"/>
    </row>
    <row r="9579" ht="15.75" customHeight="1">
      <c r="A9579" s="35"/>
      <c r="C9579" s="442"/>
      <c r="P9579" s="235"/>
      <c r="AI9579" s="38"/>
    </row>
    <row r="9580" ht="15.75" customHeight="1">
      <c r="A9580" s="35"/>
      <c r="C9580" s="442"/>
      <c r="P9580" s="235"/>
      <c r="AI9580" s="38"/>
    </row>
    <row r="9581" ht="15.75" customHeight="1">
      <c r="A9581" s="35"/>
      <c r="C9581" s="442"/>
      <c r="P9581" s="235"/>
      <c r="AI9581" s="38"/>
    </row>
    <row r="9582" ht="15.75" customHeight="1">
      <c r="A9582" s="35"/>
      <c r="C9582" s="442"/>
      <c r="P9582" s="235"/>
      <c r="AI9582" s="38"/>
    </row>
    <row r="9583" ht="15.75" customHeight="1">
      <c r="A9583" s="35"/>
      <c r="C9583" s="442"/>
      <c r="P9583" s="235"/>
      <c r="AI9583" s="38"/>
    </row>
    <row r="9584" ht="15.75" customHeight="1">
      <c r="A9584" s="35"/>
      <c r="C9584" s="442"/>
      <c r="P9584" s="235"/>
      <c r="AI9584" s="38"/>
    </row>
    <row r="9585" ht="15.75" customHeight="1">
      <c r="A9585" s="35"/>
      <c r="C9585" s="442"/>
      <c r="P9585" s="235"/>
      <c r="AI9585" s="38"/>
    </row>
    <row r="9586" ht="15.75" customHeight="1">
      <c r="A9586" s="35"/>
      <c r="C9586" s="442"/>
      <c r="P9586" s="235"/>
      <c r="AI9586" s="38"/>
    </row>
    <row r="9587" ht="15.75" customHeight="1">
      <c r="A9587" s="35"/>
      <c r="C9587" s="442"/>
      <c r="P9587" s="235"/>
      <c r="AI9587" s="38"/>
    </row>
    <row r="9588" ht="15.75" customHeight="1">
      <c r="A9588" s="35"/>
      <c r="C9588" s="442"/>
      <c r="P9588" s="235"/>
      <c r="AI9588" s="38"/>
    </row>
    <row r="9589" ht="15.75" customHeight="1">
      <c r="A9589" s="35"/>
      <c r="C9589" s="442"/>
      <c r="P9589" s="235"/>
      <c r="AI9589" s="38"/>
    </row>
    <row r="9590" ht="15.75" customHeight="1">
      <c r="A9590" s="35"/>
      <c r="C9590" s="442"/>
      <c r="P9590" s="235"/>
      <c r="AI9590" s="38"/>
    </row>
    <row r="9591" ht="15.75" customHeight="1">
      <c r="A9591" s="35"/>
      <c r="C9591" s="442"/>
      <c r="P9591" s="235"/>
      <c r="AI9591" s="38"/>
    </row>
    <row r="9592" ht="15.75" customHeight="1">
      <c r="A9592" s="35"/>
      <c r="C9592" s="442"/>
      <c r="P9592" s="235"/>
      <c r="AI9592" s="38"/>
    </row>
    <row r="9593" ht="15.75" customHeight="1">
      <c r="A9593" s="35"/>
      <c r="C9593" s="442"/>
      <c r="P9593" s="235"/>
      <c r="AI9593" s="38"/>
    </row>
    <row r="9594" ht="15.75" customHeight="1">
      <c r="A9594" s="35"/>
      <c r="C9594" s="442"/>
      <c r="P9594" s="235"/>
      <c r="AI9594" s="38"/>
    </row>
    <row r="9595" ht="15.75" customHeight="1">
      <c r="A9595" s="35"/>
      <c r="C9595" s="442"/>
      <c r="P9595" s="235"/>
      <c r="AI9595" s="38"/>
    </row>
    <row r="9596" ht="15.75" customHeight="1">
      <c r="A9596" s="35"/>
      <c r="C9596" s="442"/>
      <c r="P9596" s="235"/>
      <c r="AI9596" s="38"/>
    </row>
    <row r="9597" ht="15.75" customHeight="1">
      <c r="A9597" s="35"/>
      <c r="C9597" s="442"/>
      <c r="P9597" s="235"/>
      <c r="AI9597" s="38"/>
    </row>
    <row r="9598" ht="15.75" customHeight="1">
      <c r="A9598" s="35"/>
      <c r="C9598" s="442"/>
      <c r="P9598" s="235"/>
      <c r="AI9598" s="38"/>
    </row>
    <row r="9599" ht="15.75" customHeight="1">
      <c r="A9599" s="35"/>
      <c r="C9599" s="442"/>
      <c r="P9599" s="235"/>
      <c r="AI9599" s="38"/>
    </row>
    <row r="9600" ht="15.75" customHeight="1">
      <c r="A9600" s="35"/>
      <c r="C9600" s="442"/>
      <c r="P9600" s="235"/>
      <c r="AI9600" s="38"/>
    </row>
    <row r="9601" ht="15.75" customHeight="1">
      <c r="A9601" s="35"/>
      <c r="C9601" s="442"/>
      <c r="P9601" s="235"/>
      <c r="AI9601" s="38"/>
    </row>
    <row r="9602" ht="15.75" customHeight="1">
      <c r="A9602" s="35"/>
      <c r="C9602" s="442"/>
      <c r="P9602" s="235"/>
      <c r="AI9602" s="38"/>
    </row>
    <row r="9603" ht="15.75" customHeight="1">
      <c r="A9603" s="35"/>
      <c r="C9603" s="442"/>
      <c r="P9603" s="235"/>
      <c r="AI9603" s="38"/>
    </row>
    <row r="9604" ht="15.75" customHeight="1">
      <c r="A9604" s="35"/>
      <c r="C9604" s="442"/>
      <c r="P9604" s="235"/>
      <c r="AI9604" s="38"/>
    </row>
    <row r="9605" ht="15.75" customHeight="1">
      <c r="A9605" s="35"/>
      <c r="C9605" s="442"/>
      <c r="P9605" s="235"/>
      <c r="AI9605" s="38"/>
    </row>
    <row r="9606" ht="15.75" customHeight="1">
      <c r="A9606" s="35"/>
      <c r="C9606" s="442"/>
      <c r="P9606" s="235"/>
      <c r="AI9606" s="38"/>
    </row>
    <row r="9607" ht="15.75" customHeight="1">
      <c r="A9607" s="35"/>
      <c r="C9607" s="442"/>
      <c r="P9607" s="235"/>
      <c r="AI9607" s="38"/>
    </row>
    <row r="9608" ht="15.75" customHeight="1">
      <c r="A9608" s="35"/>
      <c r="C9608" s="442"/>
      <c r="P9608" s="235"/>
      <c r="AI9608" s="38"/>
    </row>
    <row r="9609" ht="15.75" customHeight="1">
      <c r="A9609" s="35"/>
      <c r="C9609" s="442"/>
      <c r="P9609" s="235"/>
      <c r="AI9609" s="38"/>
    </row>
    <row r="9610" ht="15.75" customHeight="1">
      <c r="A9610" s="35"/>
      <c r="C9610" s="442"/>
      <c r="P9610" s="235"/>
      <c r="AI9610" s="38"/>
    </row>
    <row r="9611" ht="15.75" customHeight="1">
      <c r="A9611" s="35"/>
      <c r="C9611" s="442"/>
      <c r="P9611" s="235"/>
      <c r="AI9611" s="38"/>
    </row>
    <row r="9612" ht="15.75" customHeight="1">
      <c r="A9612" s="35"/>
      <c r="C9612" s="442"/>
      <c r="P9612" s="235"/>
      <c r="AI9612" s="38"/>
    </row>
    <row r="9613" ht="15.75" customHeight="1">
      <c r="A9613" s="35"/>
      <c r="C9613" s="442"/>
      <c r="P9613" s="235"/>
      <c r="AI9613" s="38"/>
    </row>
    <row r="9614" ht="15.75" customHeight="1">
      <c r="A9614" s="35"/>
      <c r="C9614" s="442"/>
      <c r="P9614" s="235"/>
      <c r="AI9614" s="38"/>
    </row>
    <row r="9615" ht="15.75" customHeight="1">
      <c r="A9615" s="35"/>
      <c r="C9615" s="442"/>
      <c r="P9615" s="235"/>
      <c r="AI9615" s="38"/>
    </row>
    <row r="9616" ht="15.75" customHeight="1">
      <c r="A9616" s="35"/>
      <c r="C9616" s="442"/>
      <c r="P9616" s="235"/>
      <c r="AI9616" s="38"/>
    </row>
    <row r="9617" ht="15.75" customHeight="1">
      <c r="A9617" s="35"/>
      <c r="C9617" s="442"/>
      <c r="P9617" s="235"/>
      <c r="AI9617" s="38"/>
    </row>
    <row r="9618" ht="15.75" customHeight="1">
      <c r="A9618" s="35"/>
      <c r="C9618" s="442"/>
      <c r="P9618" s="235"/>
      <c r="AI9618" s="38"/>
    </row>
    <row r="9619" ht="15.75" customHeight="1">
      <c r="A9619" s="35"/>
      <c r="C9619" s="442"/>
      <c r="P9619" s="235"/>
      <c r="AI9619" s="38"/>
    </row>
    <row r="9620" ht="15.75" customHeight="1">
      <c r="A9620" s="35"/>
      <c r="C9620" s="442"/>
      <c r="P9620" s="235"/>
      <c r="AI9620" s="38"/>
    </row>
    <row r="9621" ht="15.75" customHeight="1">
      <c r="A9621" s="35"/>
      <c r="C9621" s="442"/>
      <c r="P9621" s="235"/>
      <c r="AI9621" s="38"/>
    </row>
    <row r="9622" ht="15.75" customHeight="1">
      <c r="A9622" s="35"/>
      <c r="C9622" s="442"/>
      <c r="P9622" s="235"/>
      <c r="AI9622" s="38"/>
    </row>
    <row r="9623" ht="15.75" customHeight="1">
      <c r="A9623" s="35"/>
      <c r="C9623" s="442"/>
      <c r="P9623" s="235"/>
      <c r="AI9623" s="38"/>
    </row>
    <row r="9624" ht="15.75" customHeight="1">
      <c r="A9624" s="35"/>
      <c r="C9624" s="442"/>
      <c r="P9624" s="235"/>
      <c r="AI9624" s="38"/>
    </row>
    <row r="9625" ht="15.75" customHeight="1">
      <c r="A9625" s="35"/>
      <c r="C9625" s="442"/>
      <c r="P9625" s="235"/>
      <c r="AI9625" s="38"/>
    </row>
    <row r="9626" ht="15.75" customHeight="1">
      <c r="A9626" s="35"/>
      <c r="C9626" s="442"/>
      <c r="P9626" s="235"/>
      <c r="AI9626" s="38"/>
    </row>
    <row r="9627" ht="15.75" customHeight="1">
      <c r="A9627" s="35"/>
      <c r="C9627" s="442"/>
      <c r="P9627" s="235"/>
      <c r="AI9627" s="38"/>
    </row>
    <row r="9628" ht="15.75" customHeight="1">
      <c r="A9628" s="35"/>
      <c r="C9628" s="442"/>
      <c r="P9628" s="235"/>
      <c r="AI9628" s="38"/>
    </row>
    <row r="9629" ht="15.75" customHeight="1">
      <c r="A9629" s="35"/>
      <c r="C9629" s="442"/>
      <c r="P9629" s="235"/>
      <c r="AI9629" s="38"/>
    </row>
    <row r="9630" ht="15.75" customHeight="1">
      <c r="A9630" s="35"/>
      <c r="C9630" s="442"/>
      <c r="P9630" s="235"/>
      <c r="AI9630" s="38"/>
    </row>
    <row r="9631" ht="15.75" customHeight="1">
      <c r="A9631" s="35"/>
      <c r="C9631" s="442"/>
      <c r="P9631" s="235"/>
      <c r="AI9631" s="38"/>
    </row>
    <row r="9632" ht="15.75" customHeight="1">
      <c r="A9632" s="35"/>
      <c r="C9632" s="442"/>
      <c r="P9632" s="235"/>
      <c r="AI9632" s="38"/>
    </row>
    <row r="9633" ht="15.75" customHeight="1">
      <c r="A9633" s="35"/>
      <c r="C9633" s="442"/>
      <c r="P9633" s="235"/>
      <c r="AI9633" s="38"/>
    </row>
    <row r="9634" ht="15.75" customHeight="1">
      <c r="A9634" s="35"/>
      <c r="C9634" s="442"/>
      <c r="P9634" s="235"/>
      <c r="AI9634" s="38"/>
    </row>
    <row r="9635" ht="15.75" customHeight="1">
      <c r="A9635" s="35"/>
      <c r="C9635" s="442"/>
      <c r="P9635" s="235"/>
      <c r="AI9635" s="38"/>
    </row>
    <row r="9636" ht="15.75" customHeight="1">
      <c r="A9636" s="35"/>
      <c r="C9636" s="442"/>
      <c r="P9636" s="235"/>
      <c r="AI9636" s="38"/>
    </row>
    <row r="9637" ht="15.75" customHeight="1">
      <c r="A9637" s="35"/>
      <c r="C9637" s="442"/>
      <c r="P9637" s="235"/>
      <c r="AI9637" s="38"/>
    </row>
    <row r="9638" ht="15.75" customHeight="1">
      <c r="A9638" s="35"/>
      <c r="C9638" s="442"/>
      <c r="P9638" s="235"/>
      <c r="AI9638" s="38"/>
    </row>
    <row r="9639" ht="15.75" customHeight="1">
      <c r="A9639" s="35"/>
      <c r="C9639" s="442"/>
      <c r="P9639" s="235"/>
      <c r="AI9639" s="38"/>
    </row>
    <row r="9640" ht="15.75" customHeight="1">
      <c r="A9640" s="35"/>
      <c r="C9640" s="442"/>
      <c r="P9640" s="235"/>
      <c r="AI9640" s="38"/>
    </row>
    <row r="9641" ht="15.75" customHeight="1">
      <c r="A9641" s="35"/>
      <c r="C9641" s="442"/>
      <c r="P9641" s="235"/>
      <c r="AI9641" s="38"/>
    </row>
    <row r="9642" ht="15.75" customHeight="1">
      <c r="A9642" s="35"/>
      <c r="C9642" s="442"/>
      <c r="P9642" s="235"/>
      <c r="AI9642" s="38"/>
    </row>
    <row r="9643" ht="15.75" customHeight="1">
      <c r="A9643" s="35"/>
      <c r="C9643" s="442"/>
      <c r="P9643" s="235"/>
      <c r="AI9643" s="38"/>
    </row>
    <row r="9644" ht="15.75" customHeight="1">
      <c r="A9644" s="35"/>
      <c r="C9644" s="442"/>
      <c r="P9644" s="235"/>
      <c r="AI9644" s="38"/>
    </row>
    <row r="9645" ht="15.75" customHeight="1">
      <c r="A9645" s="35"/>
      <c r="C9645" s="442"/>
      <c r="P9645" s="235"/>
      <c r="AI9645" s="38"/>
    </row>
    <row r="9646" ht="15.75" customHeight="1">
      <c r="A9646" s="35"/>
      <c r="C9646" s="442"/>
      <c r="P9646" s="235"/>
      <c r="AI9646" s="38"/>
    </row>
    <row r="9647" ht="15.75" customHeight="1">
      <c r="A9647" s="35"/>
      <c r="C9647" s="442"/>
      <c r="P9647" s="235"/>
      <c r="AI9647" s="38"/>
    </row>
    <row r="9648" ht="15.75" customHeight="1">
      <c r="A9648" s="35"/>
      <c r="C9648" s="442"/>
      <c r="P9648" s="235"/>
      <c r="AI9648" s="38"/>
    </row>
    <row r="9649" ht="15.75" customHeight="1">
      <c r="A9649" s="35"/>
      <c r="C9649" s="442"/>
      <c r="P9649" s="235"/>
      <c r="AI9649" s="38"/>
    </row>
    <row r="9650" ht="15.75" customHeight="1">
      <c r="A9650" s="35"/>
      <c r="C9650" s="442"/>
      <c r="P9650" s="235"/>
      <c r="AI9650" s="38"/>
    </row>
    <row r="9651" ht="15.75" customHeight="1">
      <c r="A9651" s="35"/>
      <c r="C9651" s="442"/>
      <c r="P9651" s="235"/>
      <c r="AI9651" s="38"/>
    </row>
    <row r="9652" ht="15.75" customHeight="1">
      <c r="A9652" s="35"/>
      <c r="C9652" s="442"/>
      <c r="P9652" s="235"/>
      <c r="AI9652" s="38"/>
    </row>
    <row r="9653" ht="15.75" customHeight="1">
      <c r="A9653" s="35"/>
      <c r="C9653" s="442"/>
      <c r="P9653" s="235"/>
      <c r="AI9653" s="38"/>
    </row>
    <row r="9654" ht="15.75" customHeight="1">
      <c r="A9654" s="35"/>
      <c r="C9654" s="442"/>
      <c r="P9654" s="235"/>
      <c r="AI9654" s="38"/>
    </row>
    <row r="9655" ht="15.75" customHeight="1">
      <c r="A9655" s="35"/>
      <c r="C9655" s="442"/>
      <c r="P9655" s="235"/>
      <c r="AI9655" s="38"/>
    </row>
    <row r="9656" ht="15.75" customHeight="1">
      <c r="A9656" s="35"/>
      <c r="C9656" s="442"/>
      <c r="P9656" s="235"/>
      <c r="AI9656" s="38"/>
    </row>
    <row r="9657" ht="15.75" customHeight="1">
      <c r="A9657" s="35"/>
      <c r="C9657" s="442"/>
      <c r="P9657" s="235"/>
      <c r="AI9657" s="38"/>
    </row>
    <row r="9658" ht="15.75" customHeight="1">
      <c r="A9658" s="35"/>
      <c r="C9658" s="442"/>
      <c r="P9658" s="235"/>
      <c r="AI9658" s="38"/>
    </row>
    <row r="9659" ht="15.75" customHeight="1">
      <c r="A9659" s="35"/>
      <c r="C9659" s="442"/>
      <c r="P9659" s="235"/>
      <c r="AI9659" s="38"/>
    </row>
    <row r="9660" ht="15.75" customHeight="1">
      <c r="A9660" s="35"/>
      <c r="C9660" s="442"/>
      <c r="P9660" s="235"/>
      <c r="AI9660" s="38"/>
    </row>
    <row r="9661" ht="15.75" customHeight="1">
      <c r="A9661" s="35"/>
      <c r="C9661" s="442"/>
      <c r="P9661" s="235"/>
      <c r="AI9661" s="38"/>
    </row>
    <row r="9662" ht="15.75" customHeight="1">
      <c r="A9662" s="35"/>
      <c r="C9662" s="442"/>
      <c r="P9662" s="235"/>
      <c r="AI9662" s="38"/>
    </row>
    <row r="9663" ht="15.75" customHeight="1">
      <c r="A9663" s="35"/>
      <c r="C9663" s="442"/>
      <c r="P9663" s="235"/>
      <c r="AI9663" s="38"/>
    </row>
    <row r="9664" ht="15.75" customHeight="1">
      <c r="A9664" s="35"/>
      <c r="C9664" s="442"/>
      <c r="P9664" s="235"/>
      <c r="AI9664" s="38"/>
    </row>
    <row r="9665" ht="15.75" customHeight="1">
      <c r="A9665" s="35"/>
      <c r="C9665" s="442"/>
      <c r="P9665" s="235"/>
      <c r="AI9665" s="38"/>
    </row>
    <row r="9666" ht="15.75" customHeight="1">
      <c r="A9666" s="35"/>
      <c r="C9666" s="442"/>
      <c r="P9666" s="235"/>
      <c r="AI9666" s="38"/>
    </row>
    <row r="9667" ht="15.75" customHeight="1">
      <c r="A9667" s="35"/>
      <c r="C9667" s="442"/>
      <c r="P9667" s="235"/>
      <c r="AI9667" s="38"/>
    </row>
    <row r="9668" ht="15.75" customHeight="1">
      <c r="A9668" s="35"/>
      <c r="C9668" s="442"/>
      <c r="P9668" s="235"/>
      <c r="AI9668" s="38"/>
    </row>
    <row r="9669" ht="15.75" customHeight="1">
      <c r="A9669" s="35"/>
      <c r="C9669" s="442"/>
      <c r="P9669" s="235"/>
      <c r="AI9669" s="38"/>
    </row>
    <row r="9670" ht="15.75" customHeight="1">
      <c r="A9670" s="35"/>
      <c r="C9670" s="442"/>
      <c r="P9670" s="235"/>
      <c r="AI9670" s="38"/>
    </row>
    <row r="9671" ht="15.75" customHeight="1">
      <c r="A9671" s="35"/>
      <c r="C9671" s="442"/>
      <c r="P9671" s="235"/>
      <c r="AI9671" s="38"/>
    </row>
    <row r="9672" ht="15.75" customHeight="1">
      <c r="A9672" s="35"/>
      <c r="C9672" s="442"/>
      <c r="P9672" s="235"/>
      <c r="AI9672" s="38"/>
    </row>
    <row r="9673" ht="15.75" customHeight="1">
      <c r="A9673" s="35"/>
      <c r="C9673" s="442"/>
      <c r="P9673" s="235"/>
      <c r="AI9673" s="38"/>
    </row>
    <row r="9674" ht="15.75" customHeight="1">
      <c r="A9674" s="35"/>
      <c r="C9674" s="442"/>
      <c r="P9674" s="235"/>
      <c r="AI9674" s="38"/>
    </row>
    <row r="9675" ht="15.75" customHeight="1">
      <c r="A9675" s="35"/>
      <c r="C9675" s="442"/>
      <c r="P9675" s="235"/>
      <c r="AI9675" s="38"/>
    </row>
    <row r="9676" ht="15.75" customHeight="1">
      <c r="A9676" s="35"/>
      <c r="C9676" s="442"/>
      <c r="P9676" s="235"/>
      <c r="AI9676" s="38"/>
    </row>
    <row r="9677" ht="15.75" customHeight="1">
      <c r="A9677" s="35"/>
      <c r="C9677" s="442"/>
      <c r="P9677" s="235"/>
      <c r="AI9677" s="38"/>
    </row>
    <row r="9678" ht="15.75" customHeight="1">
      <c r="A9678" s="35"/>
      <c r="C9678" s="442"/>
      <c r="P9678" s="235"/>
      <c r="AI9678" s="38"/>
    </row>
    <row r="9679" ht="15.75" customHeight="1">
      <c r="A9679" s="35"/>
      <c r="C9679" s="442"/>
      <c r="P9679" s="235"/>
      <c r="AI9679" s="38"/>
    </row>
    <row r="9680" ht="15.75" customHeight="1">
      <c r="A9680" s="35"/>
      <c r="C9680" s="442"/>
      <c r="P9680" s="235"/>
      <c r="AI9680" s="38"/>
    </row>
    <row r="9681" ht="15.75" customHeight="1">
      <c r="A9681" s="35"/>
      <c r="C9681" s="442"/>
      <c r="P9681" s="235"/>
      <c r="AI9681" s="38"/>
    </row>
    <row r="9682" ht="15.75" customHeight="1">
      <c r="A9682" s="35"/>
      <c r="C9682" s="442"/>
      <c r="P9682" s="235"/>
      <c r="AI9682" s="38"/>
    </row>
    <row r="9683" ht="15.75" customHeight="1">
      <c r="A9683" s="35"/>
      <c r="C9683" s="442"/>
      <c r="P9683" s="235"/>
      <c r="AI9683" s="38"/>
    </row>
    <row r="9684" ht="15.75" customHeight="1">
      <c r="A9684" s="35"/>
      <c r="C9684" s="442"/>
      <c r="P9684" s="235"/>
      <c r="AI9684" s="38"/>
    </row>
    <row r="9685" ht="15.75" customHeight="1">
      <c r="A9685" s="35"/>
      <c r="C9685" s="442"/>
      <c r="P9685" s="235"/>
      <c r="AI9685" s="38"/>
    </row>
    <row r="9686" ht="15.75" customHeight="1">
      <c r="A9686" s="35"/>
      <c r="C9686" s="442"/>
      <c r="P9686" s="235"/>
      <c r="AI9686" s="38"/>
    </row>
    <row r="9687" ht="15.75" customHeight="1">
      <c r="A9687" s="35"/>
      <c r="C9687" s="442"/>
      <c r="P9687" s="235"/>
      <c r="AI9687" s="38"/>
    </row>
    <row r="9688" ht="15.75" customHeight="1">
      <c r="A9688" s="35"/>
      <c r="C9688" s="442"/>
      <c r="P9688" s="235"/>
      <c r="AI9688" s="38"/>
    </row>
    <row r="9689" ht="15.75" customHeight="1">
      <c r="A9689" s="35"/>
      <c r="C9689" s="442"/>
      <c r="P9689" s="235"/>
      <c r="AI9689" s="38"/>
    </row>
    <row r="9690" ht="15.75" customHeight="1">
      <c r="A9690" s="35"/>
      <c r="C9690" s="442"/>
      <c r="P9690" s="235"/>
      <c r="AI9690" s="38"/>
    </row>
    <row r="9691" ht="15.75" customHeight="1">
      <c r="A9691" s="35"/>
      <c r="C9691" s="442"/>
      <c r="P9691" s="235"/>
      <c r="AI9691" s="38"/>
    </row>
    <row r="9692" ht="15.75" customHeight="1">
      <c r="A9692" s="35"/>
      <c r="C9692" s="442"/>
      <c r="P9692" s="235"/>
      <c r="AI9692" s="38"/>
    </row>
    <row r="9693" ht="15.75" customHeight="1">
      <c r="A9693" s="35"/>
      <c r="C9693" s="442"/>
      <c r="P9693" s="235"/>
      <c r="AI9693" s="38"/>
    </row>
    <row r="9694" ht="15.75" customHeight="1">
      <c r="A9694" s="35"/>
      <c r="C9694" s="442"/>
      <c r="P9694" s="235"/>
      <c r="AI9694" s="38"/>
    </row>
    <row r="9695" ht="15.75" customHeight="1">
      <c r="A9695" s="35"/>
      <c r="C9695" s="442"/>
      <c r="P9695" s="235"/>
      <c r="AI9695" s="38"/>
    </row>
    <row r="9696" ht="15.75" customHeight="1">
      <c r="A9696" s="35"/>
      <c r="C9696" s="442"/>
      <c r="P9696" s="235"/>
      <c r="AI9696" s="38"/>
    </row>
    <row r="9697" ht="15.75" customHeight="1">
      <c r="A9697" s="35"/>
      <c r="C9697" s="442"/>
      <c r="P9697" s="235"/>
      <c r="AI9697" s="38"/>
    </row>
    <row r="9698" ht="15.75" customHeight="1">
      <c r="A9698" s="35"/>
      <c r="C9698" s="442"/>
      <c r="P9698" s="235"/>
      <c r="AI9698" s="38"/>
    </row>
    <row r="9699" ht="15.75" customHeight="1">
      <c r="A9699" s="35"/>
      <c r="C9699" s="442"/>
      <c r="P9699" s="235"/>
      <c r="AI9699" s="38"/>
    </row>
    <row r="9700" ht="15.75" customHeight="1">
      <c r="A9700" s="35"/>
      <c r="C9700" s="442"/>
      <c r="P9700" s="235"/>
      <c r="AI9700" s="38"/>
    </row>
    <row r="9701" ht="15.75" customHeight="1">
      <c r="A9701" s="35"/>
      <c r="C9701" s="442"/>
      <c r="P9701" s="235"/>
      <c r="AI9701" s="38"/>
    </row>
    <row r="9702" ht="15.75" customHeight="1">
      <c r="A9702" s="35"/>
      <c r="C9702" s="442"/>
      <c r="P9702" s="235"/>
      <c r="AI9702" s="38"/>
    </row>
    <row r="9703" ht="15.75" customHeight="1">
      <c r="A9703" s="35"/>
      <c r="C9703" s="442"/>
      <c r="P9703" s="235"/>
      <c r="AI9703" s="38"/>
    </row>
    <row r="9704" ht="15.75" customHeight="1">
      <c r="A9704" s="35"/>
      <c r="C9704" s="442"/>
      <c r="P9704" s="235"/>
      <c r="AI9704" s="38"/>
    </row>
    <row r="9705" ht="15.75" customHeight="1">
      <c r="A9705" s="35"/>
      <c r="C9705" s="442"/>
      <c r="P9705" s="235"/>
      <c r="AI9705" s="38"/>
    </row>
    <row r="9706" ht="15.75" customHeight="1">
      <c r="A9706" s="35"/>
      <c r="C9706" s="442"/>
      <c r="P9706" s="235"/>
      <c r="AI9706" s="38"/>
    </row>
    <row r="9707" ht="15.75" customHeight="1">
      <c r="A9707" s="35"/>
      <c r="C9707" s="442"/>
      <c r="P9707" s="235"/>
      <c r="AI9707" s="38"/>
    </row>
    <row r="9708" ht="15.75" customHeight="1">
      <c r="A9708" s="35"/>
      <c r="C9708" s="442"/>
      <c r="P9708" s="235"/>
      <c r="AI9708" s="38"/>
    </row>
    <row r="9709" ht="15.75" customHeight="1">
      <c r="A9709" s="35"/>
      <c r="C9709" s="442"/>
      <c r="P9709" s="235"/>
      <c r="AI9709" s="38"/>
    </row>
    <row r="9710" ht="15.75" customHeight="1">
      <c r="A9710" s="35"/>
      <c r="C9710" s="442"/>
      <c r="P9710" s="235"/>
      <c r="AI9710" s="38"/>
    </row>
    <row r="9711" ht="15.75" customHeight="1">
      <c r="A9711" s="35"/>
      <c r="C9711" s="442"/>
      <c r="P9711" s="235"/>
      <c r="AI9711" s="38"/>
    </row>
    <row r="9712" ht="15.75" customHeight="1">
      <c r="A9712" s="35"/>
      <c r="C9712" s="442"/>
      <c r="P9712" s="235"/>
      <c r="AI9712" s="38"/>
    </row>
    <row r="9713" ht="15.75" customHeight="1">
      <c r="A9713" s="35"/>
      <c r="C9713" s="442"/>
      <c r="P9713" s="235"/>
      <c r="AI9713" s="38"/>
    </row>
    <row r="9714" ht="15.75" customHeight="1">
      <c r="A9714" s="35"/>
      <c r="C9714" s="442"/>
      <c r="P9714" s="235"/>
      <c r="AI9714" s="38"/>
    </row>
    <row r="9715" ht="15.75" customHeight="1">
      <c r="A9715" s="35"/>
      <c r="C9715" s="442"/>
      <c r="P9715" s="235"/>
      <c r="AI9715" s="38"/>
    </row>
    <row r="9716" ht="15.75" customHeight="1">
      <c r="A9716" s="35"/>
      <c r="C9716" s="442"/>
      <c r="P9716" s="235"/>
      <c r="AI9716" s="38"/>
    </row>
    <row r="9717" ht="15.75" customHeight="1">
      <c r="A9717" s="35"/>
      <c r="C9717" s="442"/>
      <c r="P9717" s="235"/>
      <c r="AI9717" s="38"/>
    </row>
    <row r="9718" ht="15.75" customHeight="1">
      <c r="A9718" s="35"/>
      <c r="C9718" s="442"/>
      <c r="P9718" s="235"/>
      <c r="AI9718" s="38"/>
    </row>
    <row r="9719" ht="15.75" customHeight="1">
      <c r="A9719" s="35"/>
      <c r="C9719" s="442"/>
      <c r="P9719" s="235"/>
      <c r="AI9719" s="38"/>
    </row>
    <row r="9720" ht="15.75" customHeight="1">
      <c r="A9720" s="35"/>
      <c r="C9720" s="442"/>
      <c r="P9720" s="235"/>
      <c r="AI9720" s="38"/>
    </row>
    <row r="9721" ht="15.75" customHeight="1">
      <c r="A9721" s="35"/>
      <c r="C9721" s="442"/>
      <c r="P9721" s="235"/>
      <c r="AI9721" s="38"/>
    </row>
    <row r="9722" ht="15.75" customHeight="1">
      <c r="A9722" s="35"/>
      <c r="C9722" s="442"/>
      <c r="P9722" s="235"/>
      <c r="AI9722" s="38"/>
    </row>
    <row r="9723" ht="15.75" customHeight="1">
      <c r="A9723" s="35"/>
      <c r="C9723" s="442"/>
      <c r="P9723" s="235"/>
      <c r="AI9723" s="38"/>
    </row>
    <row r="9724" ht="15.75" customHeight="1">
      <c r="A9724" s="35"/>
      <c r="C9724" s="442"/>
      <c r="P9724" s="235"/>
      <c r="AI9724" s="38"/>
    </row>
    <row r="9725" ht="15.75" customHeight="1">
      <c r="A9725" s="35"/>
      <c r="C9725" s="442"/>
      <c r="P9725" s="235"/>
      <c r="AI9725" s="38"/>
    </row>
    <row r="9726" ht="15.75" customHeight="1">
      <c r="A9726" s="35"/>
      <c r="C9726" s="442"/>
      <c r="P9726" s="235"/>
      <c r="AI9726" s="38"/>
    </row>
    <row r="9727" ht="15.75" customHeight="1">
      <c r="A9727" s="35"/>
      <c r="C9727" s="442"/>
      <c r="P9727" s="235"/>
      <c r="AI9727" s="38"/>
    </row>
    <row r="9728" ht="15.75" customHeight="1">
      <c r="A9728" s="35"/>
      <c r="C9728" s="442"/>
      <c r="P9728" s="235"/>
      <c r="AI9728" s="38"/>
    </row>
    <row r="9729" ht="15.75" customHeight="1">
      <c r="A9729" s="35"/>
      <c r="C9729" s="442"/>
      <c r="P9729" s="235"/>
      <c r="AI9729" s="38"/>
    </row>
    <row r="9730" ht="15.75" customHeight="1">
      <c r="A9730" s="35"/>
      <c r="C9730" s="442"/>
      <c r="P9730" s="235"/>
      <c r="AI9730" s="38"/>
    </row>
    <row r="9731" ht="15.75" customHeight="1">
      <c r="A9731" s="35"/>
      <c r="C9731" s="442"/>
      <c r="P9731" s="235"/>
      <c r="AI9731" s="38"/>
    </row>
    <row r="9732" ht="15.75" customHeight="1">
      <c r="A9732" s="35"/>
      <c r="C9732" s="442"/>
      <c r="P9732" s="235"/>
      <c r="AI9732" s="38"/>
    </row>
    <row r="9733" ht="15.75" customHeight="1">
      <c r="A9733" s="35"/>
      <c r="C9733" s="442"/>
      <c r="P9733" s="235"/>
      <c r="AI9733" s="38"/>
    </row>
    <row r="9734" ht="15.75" customHeight="1">
      <c r="A9734" s="35"/>
      <c r="C9734" s="442"/>
      <c r="P9734" s="235"/>
      <c r="AI9734" s="38"/>
    </row>
    <row r="9735" ht="15.75" customHeight="1">
      <c r="A9735" s="35"/>
      <c r="C9735" s="442"/>
      <c r="P9735" s="235"/>
      <c r="AI9735" s="38"/>
    </row>
    <row r="9736" ht="15.75" customHeight="1">
      <c r="A9736" s="35"/>
      <c r="C9736" s="442"/>
      <c r="P9736" s="235"/>
      <c r="AI9736" s="38"/>
    </row>
    <row r="9737" ht="15.75" customHeight="1">
      <c r="A9737" s="35"/>
      <c r="C9737" s="442"/>
      <c r="P9737" s="235"/>
      <c r="AI9737" s="38"/>
    </row>
    <row r="9738" ht="15.75" customHeight="1">
      <c r="A9738" s="35"/>
      <c r="C9738" s="442"/>
      <c r="P9738" s="235"/>
      <c r="AI9738" s="38"/>
    </row>
    <row r="9739" ht="15.75" customHeight="1">
      <c r="A9739" s="35"/>
      <c r="C9739" s="442"/>
      <c r="P9739" s="235"/>
      <c r="AI9739" s="38"/>
    </row>
    <row r="9740" ht="15.75" customHeight="1">
      <c r="A9740" s="35"/>
      <c r="C9740" s="442"/>
      <c r="P9740" s="235"/>
      <c r="AI9740" s="38"/>
    </row>
    <row r="9741" ht="15.75" customHeight="1">
      <c r="A9741" s="35"/>
      <c r="C9741" s="442"/>
      <c r="P9741" s="235"/>
      <c r="AI9741" s="38"/>
    </row>
    <row r="9742" ht="15.75" customHeight="1">
      <c r="A9742" s="35"/>
      <c r="C9742" s="442"/>
      <c r="P9742" s="235"/>
      <c r="AI9742" s="38"/>
    </row>
    <row r="9743" ht="15.75" customHeight="1">
      <c r="A9743" s="35"/>
      <c r="C9743" s="442"/>
      <c r="P9743" s="235"/>
      <c r="AI9743" s="38"/>
    </row>
    <row r="9744" ht="15.75" customHeight="1">
      <c r="A9744" s="35"/>
      <c r="C9744" s="442"/>
      <c r="P9744" s="235"/>
      <c r="AI9744" s="38"/>
    </row>
    <row r="9745" ht="15.75" customHeight="1">
      <c r="A9745" s="35"/>
      <c r="C9745" s="442"/>
      <c r="P9745" s="235"/>
      <c r="AI9745" s="38"/>
    </row>
    <row r="9746" ht="15.75" customHeight="1">
      <c r="A9746" s="35"/>
      <c r="C9746" s="442"/>
      <c r="P9746" s="235"/>
      <c r="AI9746" s="38"/>
    </row>
    <row r="9747" ht="15.75" customHeight="1">
      <c r="A9747" s="35"/>
      <c r="C9747" s="442"/>
      <c r="P9747" s="235"/>
      <c r="AI9747" s="38"/>
    </row>
    <row r="9748" ht="15.75" customHeight="1">
      <c r="A9748" s="35"/>
      <c r="C9748" s="442"/>
      <c r="P9748" s="235"/>
      <c r="AI9748" s="38"/>
    </row>
    <row r="9749" ht="15.75" customHeight="1">
      <c r="A9749" s="35"/>
      <c r="C9749" s="442"/>
      <c r="P9749" s="235"/>
      <c r="AI9749" s="38"/>
    </row>
    <row r="9750" ht="15.75" customHeight="1">
      <c r="A9750" s="35"/>
      <c r="C9750" s="442"/>
      <c r="P9750" s="235"/>
      <c r="AI9750" s="38"/>
    </row>
    <row r="9751" ht="15.75" customHeight="1">
      <c r="A9751" s="35"/>
      <c r="C9751" s="442"/>
      <c r="P9751" s="235"/>
      <c r="AI9751" s="38"/>
    </row>
    <row r="9752" ht="15.75" customHeight="1">
      <c r="A9752" s="35"/>
      <c r="C9752" s="442"/>
      <c r="P9752" s="235"/>
      <c r="AI9752" s="38"/>
    </row>
    <row r="9753" ht="15.75" customHeight="1">
      <c r="A9753" s="35"/>
      <c r="C9753" s="442"/>
      <c r="P9753" s="235"/>
      <c r="AI9753" s="38"/>
    </row>
    <row r="9754" ht="15.75" customHeight="1">
      <c r="A9754" s="35"/>
      <c r="C9754" s="442"/>
      <c r="P9754" s="235"/>
      <c r="AI9754" s="38"/>
    </row>
    <row r="9755" ht="15.75" customHeight="1">
      <c r="A9755" s="35"/>
      <c r="C9755" s="442"/>
      <c r="P9755" s="235"/>
      <c r="AI9755" s="38"/>
    </row>
    <row r="9756" ht="15.75" customHeight="1">
      <c r="A9756" s="35"/>
      <c r="C9756" s="442"/>
      <c r="P9756" s="235"/>
      <c r="AI9756" s="38"/>
    </row>
    <row r="9757" ht="15.75" customHeight="1">
      <c r="A9757" s="35"/>
      <c r="C9757" s="442"/>
      <c r="P9757" s="235"/>
      <c r="AI9757" s="38"/>
    </row>
    <row r="9758" ht="15.75" customHeight="1">
      <c r="A9758" s="35"/>
      <c r="C9758" s="442"/>
      <c r="P9758" s="235"/>
      <c r="AI9758" s="38"/>
    </row>
    <row r="9759" ht="15.75" customHeight="1">
      <c r="A9759" s="35"/>
      <c r="C9759" s="442"/>
      <c r="P9759" s="235"/>
      <c r="AI9759" s="38"/>
    </row>
    <row r="9760" ht="15.75" customHeight="1">
      <c r="A9760" s="35"/>
      <c r="C9760" s="442"/>
      <c r="P9760" s="235"/>
      <c r="AI9760" s="38"/>
    </row>
    <row r="9761" ht="15.75" customHeight="1">
      <c r="A9761" s="35"/>
      <c r="C9761" s="442"/>
      <c r="P9761" s="235"/>
      <c r="AI9761" s="38"/>
    </row>
    <row r="9762" ht="15.75" customHeight="1">
      <c r="A9762" s="35"/>
      <c r="C9762" s="442"/>
      <c r="P9762" s="235"/>
      <c r="AI9762" s="38"/>
    </row>
    <row r="9763" ht="15.75" customHeight="1">
      <c r="A9763" s="35"/>
      <c r="C9763" s="442"/>
      <c r="P9763" s="235"/>
      <c r="AI9763" s="38"/>
    </row>
    <row r="9764" ht="15.75" customHeight="1">
      <c r="A9764" s="35"/>
      <c r="C9764" s="442"/>
      <c r="P9764" s="235"/>
      <c r="AI9764" s="38"/>
    </row>
    <row r="9765" ht="15.75" customHeight="1">
      <c r="A9765" s="35"/>
      <c r="C9765" s="442"/>
      <c r="P9765" s="235"/>
      <c r="AI9765" s="38"/>
    </row>
    <row r="9766" ht="15.75" customHeight="1">
      <c r="A9766" s="35"/>
      <c r="C9766" s="442"/>
      <c r="P9766" s="235"/>
      <c r="AI9766" s="38"/>
    </row>
    <row r="9767" ht="15.75" customHeight="1">
      <c r="A9767" s="35"/>
      <c r="C9767" s="442"/>
      <c r="P9767" s="235"/>
      <c r="AI9767" s="38"/>
    </row>
    <row r="9768" ht="15.75" customHeight="1">
      <c r="A9768" s="35"/>
      <c r="C9768" s="442"/>
      <c r="P9768" s="235"/>
      <c r="AI9768" s="38"/>
    </row>
    <row r="9769" ht="15.75" customHeight="1">
      <c r="A9769" s="35"/>
      <c r="C9769" s="442"/>
      <c r="P9769" s="235"/>
      <c r="AI9769" s="38"/>
    </row>
    <row r="9770" ht="15.75" customHeight="1">
      <c r="A9770" s="35"/>
      <c r="C9770" s="442"/>
      <c r="P9770" s="235"/>
      <c r="AI9770" s="38"/>
    </row>
    <row r="9771" ht="15.75" customHeight="1">
      <c r="A9771" s="35"/>
      <c r="C9771" s="442"/>
      <c r="P9771" s="235"/>
      <c r="AI9771" s="38"/>
    </row>
    <row r="9772" ht="15.75" customHeight="1">
      <c r="A9772" s="35"/>
      <c r="C9772" s="442"/>
      <c r="P9772" s="235"/>
      <c r="AI9772" s="38"/>
    </row>
    <row r="9773" ht="15.75" customHeight="1">
      <c r="A9773" s="35"/>
      <c r="C9773" s="442"/>
      <c r="P9773" s="235"/>
      <c r="AI9773" s="38"/>
    </row>
    <row r="9774" ht="15.75" customHeight="1">
      <c r="A9774" s="35"/>
      <c r="C9774" s="442"/>
      <c r="P9774" s="235"/>
      <c r="AI9774" s="38"/>
    </row>
    <row r="9775" ht="15.75" customHeight="1">
      <c r="A9775" s="35"/>
      <c r="C9775" s="442"/>
      <c r="P9775" s="235"/>
      <c r="AI9775" s="38"/>
    </row>
    <row r="9776" ht="15.75" customHeight="1">
      <c r="A9776" s="35"/>
      <c r="C9776" s="442"/>
      <c r="P9776" s="235"/>
      <c r="AI9776" s="38"/>
    </row>
    <row r="9777" ht="15.75" customHeight="1">
      <c r="A9777" s="35"/>
      <c r="C9777" s="442"/>
      <c r="P9777" s="235"/>
      <c r="AI9777" s="38"/>
    </row>
    <row r="9778" ht="15.75" customHeight="1">
      <c r="A9778" s="35"/>
      <c r="C9778" s="442"/>
      <c r="P9778" s="235"/>
      <c r="AI9778" s="38"/>
    </row>
    <row r="9779" ht="15.75" customHeight="1">
      <c r="A9779" s="35"/>
      <c r="C9779" s="442"/>
      <c r="P9779" s="235"/>
      <c r="AI9779" s="38"/>
    </row>
    <row r="9780" ht="15.75" customHeight="1">
      <c r="A9780" s="35"/>
      <c r="C9780" s="442"/>
      <c r="P9780" s="235"/>
      <c r="AI9780" s="38"/>
    </row>
    <row r="9781" ht="15.75" customHeight="1">
      <c r="A9781" s="35"/>
      <c r="C9781" s="442"/>
      <c r="P9781" s="235"/>
      <c r="AI9781" s="38"/>
    </row>
    <row r="9782" ht="15.75" customHeight="1">
      <c r="A9782" s="35"/>
      <c r="C9782" s="442"/>
      <c r="P9782" s="235"/>
      <c r="AI9782" s="38"/>
    </row>
    <row r="9783" ht="15.75" customHeight="1">
      <c r="A9783" s="35"/>
      <c r="C9783" s="442"/>
      <c r="P9783" s="235"/>
      <c r="AI9783" s="38"/>
    </row>
    <row r="9784" ht="15.75" customHeight="1">
      <c r="A9784" s="35"/>
      <c r="C9784" s="442"/>
      <c r="P9784" s="235"/>
      <c r="AI9784" s="38"/>
    </row>
    <row r="9785" ht="15.75" customHeight="1">
      <c r="A9785" s="35"/>
      <c r="C9785" s="442"/>
      <c r="P9785" s="235"/>
      <c r="AI9785" s="38"/>
    </row>
    <row r="9786" ht="15.75" customHeight="1">
      <c r="A9786" s="35"/>
      <c r="C9786" s="442"/>
      <c r="P9786" s="235"/>
      <c r="AI9786" s="38"/>
    </row>
    <row r="9787" ht="15.75" customHeight="1">
      <c r="A9787" s="35"/>
      <c r="C9787" s="442"/>
      <c r="P9787" s="235"/>
      <c r="AI9787" s="38"/>
    </row>
    <row r="9788" ht="15.75" customHeight="1">
      <c r="A9788" s="35"/>
      <c r="C9788" s="442"/>
      <c r="P9788" s="235"/>
      <c r="AI9788" s="38"/>
    </row>
    <row r="9789" ht="15.75" customHeight="1">
      <c r="A9789" s="35"/>
      <c r="C9789" s="442"/>
      <c r="P9789" s="235"/>
      <c r="AI9789" s="38"/>
    </row>
    <row r="9790" ht="15.75" customHeight="1">
      <c r="A9790" s="35"/>
      <c r="C9790" s="442"/>
      <c r="P9790" s="235"/>
      <c r="AI9790" s="38"/>
    </row>
    <row r="9791" ht="15.75" customHeight="1">
      <c r="A9791" s="35"/>
      <c r="C9791" s="442"/>
      <c r="P9791" s="235"/>
      <c r="AI9791" s="38"/>
    </row>
    <row r="9792" ht="15.75" customHeight="1">
      <c r="A9792" s="35"/>
      <c r="C9792" s="442"/>
      <c r="P9792" s="235"/>
      <c r="AI9792" s="38"/>
    </row>
    <row r="9793" ht="15.75" customHeight="1">
      <c r="A9793" s="35"/>
      <c r="C9793" s="442"/>
      <c r="P9793" s="235"/>
      <c r="AI9793" s="38"/>
    </row>
    <row r="9794" ht="15.75" customHeight="1">
      <c r="A9794" s="35"/>
      <c r="C9794" s="442"/>
      <c r="P9794" s="235"/>
      <c r="AI9794" s="38"/>
    </row>
    <row r="9795" ht="15.75" customHeight="1">
      <c r="A9795" s="35"/>
      <c r="C9795" s="442"/>
      <c r="P9795" s="235"/>
      <c r="AI9795" s="38"/>
    </row>
    <row r="9796" ht="15.75" customHeight="1">
      <c r="A9796" s="35"/>
      <c r="C9796" s="442"/>
      <c r="P9796" s="235"/>
      <c r="AI9796" s="38"/>
    </row>
    <row r="9797" ht="15.75" customHeight="1">
      <c r="A9797" s="35"/>
      <c r="C9797" s="442"/>
      <c r="P9797" s="235"/>
      <c r="AI9797" s="38"/>
    </row>
    <row r="9798" ht="15.75" customHeight="1">
      <c r="A9798" s="35"/>
      <c r="C9798" s="442"/>
      <c r="P9798" s="235"/>
      <c r="AI9798" s="38"/>
    </row>
    <row r="9799" ht="15.75" customHeight="1">
      <c r="A9799" s="35"/>
      <c r="C9799" s="442"/>
      <c r="P9799" s="235"/>
      <c r="AI9799" s="38"/>
    </row>
    <row r="9800" ht="15.75" customHeight="1">
      <c r="A9800" s="35"/>
      <c r="C9800" s="442"/>
      <c r="P9800" s="235"/>
      <c r="AI9800" s="38"/>
    </row>
    <row r="9801" ht="15.75" customHeight="1">
      <c r="A9801" s="35"/>
      <c r="C9801" s="442"/>
      <c r="P9801" s="235"/>
      <c r="AI9801" s="38"/>
    </row>
    <row r="9802" ht="15.75" customHeight="1">
      <c r="A9802" s="35"/>
      <c r="C9802" s="442"/>
      <c r="P9802" s="235"/>
      <c r="AI9802" s="38"/>
    </row>
    <row r="9803" ht="15.75" customHeight="1">
      <c r="A9803" s="35"/>
      <c r="C9803" s="442"/>
      <c r="P9803" s="235"/>
      <c r="AI9803" s="38"/>
    </row>
    <row r="9804" ht="15.75" customHeight="1">
      <c r="A9804" s="35"/>
      <c r="C9804" s="442"/>
      <c r="P9804" s="235"/>
      <c r="AI9804" s="38"/>
    </row>
    <row r="9805" ht="15.75" customHeight="1">
      <c r="A9805" s="35"/>
      <c r="C9805" s="442"/>
      <c r="P9805" s="235"/>
      <c r="AI9805" s="38"/>
    </row>
    <row r="9806" ht="15.75" customHeight="1">
      <c r="A9806" s="35"/>
      <c r="C9806" s="442"/>
      <c r="P9806" s="235"/>
      <c r="AI9806" s="38"/>
    </row>
    <row r="9807" ht="15.75" customHeight="1">
      <c r="A9807" s="35"/>
      <c r="C9807" s="442"/>
      <c r="P9807" s="235"/>
      <c r="AI9807" s="38"/>
    </row>
    <row r="9808" ht="15.75" customHeight="1">
      <c r="A9808" s="35"/>
      <c r="C9808" s="442"/>
      <c r="P9808" s="235"/>
      <c r="AI9808" s="38"/>
    </row>
    <row r="9809" ht="15.75" customHeight="1">
      <c r="A9809" s="35"/>
      <c r="C9809" s="442"/>
      <c r="P9809" s="235"/>
      <c r="AI9809" s="38"/>
    </row>
    <row r="9810" ht="15.75" customHeight="1">
      <c r="A9810" s="35"/>
      <c r="C9810" s="442"/>
      <c r="P9810" s="235"/>
      <c r="AI9810" s="38"/>
    </row>
    <row r="9811" ht="15.75" customHeight="1">
      <c r="A9811" s="35"/>
      <c r="C9811" s="442"/>
      <c r="P9811" s="235"/>
      <c r="AI9811" s="38"/>
    </row>
    <row r="9812" ht="15.75" customHeight="1">
      <c r="A9812" s="35"/>
      <c r="C9812" s="442"/>
      <c r="P9812" s="235"/>
      <c r="AI9812" s="38"/>
    </row>
    <row r="9813" ht="15.75" customHeight="1">
      <c r="A9813" s="35"/>
      <c r="C9813" s="442"/>
      <c r="P9813" s="235"/>
      <c r="AI9813" s="38"/>
    </row>
    <row r="9814" ht="15.75" customHeight="1">
      <c r="A9814" s="35"/>
      <c r="C9814" s="442"/>
      <c r="P9814" s="235"/>
      <c r="AI9814" s="38"/>
    </row>
    <row r="9815" ht="15.75" customHeight="1">
      <c r="A9815" s="35"/>
      <c r="C9815" s="442"/>
      <c r="P9815" s="235"/>
      <c r="AI9815" s="38"/>
    </row>
    <row r="9816" ht="15.75" customHeight="1">
      <c r="A9816" s="35"/>
      <c r="C9816" s="442"/>
      <c r="P9816" s="235"/>
      <c r="AI9816" s="38"/>
    </row>
    <row r="9817" ht="15.75" customHeight="1">
      <c r="A9817" s="35"/>
      <c r="C9817" s="442"/>
      <c r="P9817" s="235"/>
      <c r="AI9817" s="38"/>
    </row>
    <row r="9818" ht="15.75" customHeight="1">
      <c r="A9818" s="35"/>
      <c r="C9818" s="442"/>
      <c r="P9818" s="235"/>
      <c r="AI9818" s="38"/>
    </row>
    <row r="9819" ht="15.75" customHeight="1">
      <c r="A9819" s="35"/>
      <c r="C9819" s="442"/>
      <c r="P9819" s="235"/>
      <c r="AI9819" s="38"/>
    </row>
    <row r="9820" ht="15.75" customHeight="1">
      <c r="A9820" s="35"/>
      <c r="C9820" s="442"/>
      <c r="P9820" s="235"/>
      <c r="AI9820" s="38"/>
    </row>
    <row r="9821" ht="15.75" customHeight="1">
      <c r="A9821" s="35"/>
      <c r="C9821" s="442"/>
      <c r="P9821" s="235"/>
      <c r="AI9821" s="38"/>
    </row>
    <row r="9822" ht="15.75" customHeight="1">
      <c r="A9822" s="35"/>
      <c r="C9822" s="442"/>
      <c r="P9822" s="235"/>
      <c r="AI9822" s="38"/>
    </row>
    <row r="9823" ht="15.75" customHeight="1">
      <c r="A9823" s="35"/>
      <c r="C9823" s="442"/>
      <c r="P9823" s="235"/>
      <c r="AI9823" s="38"/>
    </row>
    <row r="9824" ht="15.75" customHeight="1">
      <c r="A9824" s="35"/>
      <c r="C9824" s="442"/>
      <c r="P9824" s="235"/>
      <c r="AI9824" s="38"/>
    </row>
    <row r="9825" ht="15.75" customHeight="1">
      <c r="A9825" s="35"/>
      <c r="C9825" s="442"/>
      <c r="P9825" s="235"/>
      <c r="AI9825" s="38"/>
    </row>
    <row r="9826" ht="15.75" customHeight="1">
      <c r="A9826" s="35"/>
      <c r="C9826" s="442"/>
      <c r="P9826" s="235"/>
      <c r="AI9826" s="38"/>
    </row>
    <row r="9827" ht="15.75" customHeight="1">
      <c r="A9827" s="35"/>
      <c r="C9827" s="442"/>
      <c r="P9827" s="235"/>
      <c r="AI9827" s="38"/>
    </row>
    <row r="9828" ht="15.75" customHeight="1">
      <c r="A9828" s="35"/>
      <c r="C9828" s="442"/>
      <c r="P9828" s="235"/>
      <c r="AI9828" s="38"/>
    </row>
    <row r="9829" ht="15.75" customHeight="1">
      <c r="A9829" s="35"/>
      <c r="C9829" s="442"/>
      <c r="P9829" s="235"/>
      <c r="AI9829" s="38"/>
    </row>
    <row r="9830" ht="15.75" customHeight="1">
      <c r="A9830" s="35"/>
      <c r="C9830" s="442"/>
      <c r="P9830" s="235"/>
      <c r="AI9830" s="38"/>
    </row>
    <row r="9831" ht="15.75" customHeight="1">
      <c r="A9831" s="35"/>
      <c r="C9831" s="442"/>
      <c r="P9831" s="235"/>
      <c r="AI9831" s="38"/>
    </row>
    <row r="9832" ht="15.75" customHeight="1">
      <c r="A9832" s="35"/>
      <c r="C9832" s="442"/>
      <c r="P9832" s="235"/>
      <c r="AI9832" s="38"/>
    </row>
    <row r="9833" ht="15.75" customHeight="1">
      <c r="A9833" s="35"/>
      <c r="C9833" s="442"/>
      <c r="P9833" s="235"/>
      <c r="AI9833" s="38"/>
    </row>
    <row r="9834" ht="15.75" customHeight="1">
      <c r="A9834" s="35"/>
      <c r="C9834" s="442"/>
      <c r="P9834" s="235"/>
      <c r="AI9834" s="38"/>
    </row>
    <row r="9835" ht="15.75" customHeight="1">
      <c r="A9835" s="35"/>
      <c r="C9835" s="442"/>
      <c r="P9835" s="235"/>
      <c r="AI9835" s="38"/>
    </row>
    <row r="9836" ht="15.75" customHeight="1">
      <c r="A9836" s="35"/>
      <c r="C9836" s="442"/>
      <c r="P9836" s="235"/>
      <c r="AI9836" s="38"/>
    </row>
    <row r="9837" ht="15.75" customHeight="1">
      <c r="A9837" s="35"/>
      <c r="C9837" s="442"/>
      <c r="P9837" s="235"/>
      <c r="AI9837" s="38"/>
    </row>
    <row r="9838" ht="15.75" customHeight="1">
      <c r="A9838" s="35"/>
      <c r="C9838" s="442"/>
      <c r="P9838" s="235"/>
      <c r="AI9838" s="38"/>
    </row>
    <row r="9839" ht="15.75" customHeight="1">
      <c r="A9839" s="35"/>
      <c r="C9839" s="442"/>
      <c r="P9839" s="235"/>
      <c r="AI9839" s="38"/>
    </row>
    <row r="9840" ht="15.75" customHeight="1">
      <c r="A9840" s="35"/>
      <c r="C9840" s="442"/>
      <c r="P9840" s="235"/>
      <c r="AI9840" s="38"/>
    </row>
    <row r="9841" ht="15.75" customHeight="1">
      <c r="A9841" s="35"/>
      <c r="C9841" s="442"/>
      <c r="P9841" s="235"/>
      <c r="AI9841" s="38"/>
    </row>
    <row r="9842" ht="15.75" customHeight="1">
      <c r="A9842" s="35"/>
      <c r="C9842" s="442"/>
      <c r="P9842" s="235"/>
      <c r="AI9842" s="38"/>
    </row>
    <row r="9843" ht="15.75" customHeight="1">
      <c r="A9843" s="35"/>
      <c r="C9843" s="442"/>
      <c r="P9843" s="235"/>
      <c r="AI9843" s="38"/>
    </row>
    <row r="9844" ht="15.75" customHeight="1">
      <c r="A9844" s="35"/>
      <c r="C9844" s="442"/>
      <c r="P9844" s="235"/>
      <c r="AI9844" s="38"/>
    </row>
    <row r="9845" ht="15.75" customHeight="1">
      <c r="A9845" s="35"/>
      <c r="C9845" s="442"/>
      <c r="P9845" s="235"/>
      <c r="AI9845" s="38"/>
    </row>
    <row r="9846" ht="15.75" customHeight="1">
      <c r="A9846" s="35"/>
      <c r="C9846" s="442"/>
      <c r="P9846" s="235"/>
      <c r="AI9846" s="38"/>
    </row>
    <row r="9847" ht="15.75" customHeight="1">
      <c r="A9847" s="35"/>
      <c r="C9847" s="442"/>
      <c r="P9847" s="235"/>
      <c r="AI9847" s="38"/>
    </row>
    <row r="9848" ht="15.75" customHeight="1">
      <c r="A9848" s="35"/>
      <c r="C9848" s="442"/>
      <c r="P9848" s="235"/>
      <c r="AI9848" s="38"/>
    </row>
    <row r="9849" ht="15.75" customHeight="1">
      <c r="A9849" s="35"/>
      <c r="C9849" s="442"/>
      <c r="P9849" s="235"/>
      <c r="AI9849" s="38"/>
    </row>
    <row r="9850" ht="15.75" customHeight="1">
      <c r="A9850" s="35"/>
      <c r="C9850" s="442"/>
      <c r="P9850" s="235"/>
      <c r="AI9850" s="38"/>
    </row>
    <row r="9851" ht="15.75" customHeight="1">
      <c r="A9851" s="35"/>
      <c r="C9851" s="442"/>
      <c r="P9851" s="235"/>
      <c r="AI9851" s="38"/>
    </row>
    <row r="9852" ht="15.75" customHeight="1">
      <c r="A9852" s="35"/>
      <c r="C9852" s="442"/>
      <c r="P9852" s="235"/>
      <c r="AI9852" s="38"/>
    </row>
    <row r="9853" ht="15.75" customHeight="1">
      <c r="A9853" s="35"/>
      <c r="C9853" s="442"/>
      <c r="P9853" s="235"/>
      <c r="AI9853" s="38"/>
    </row>
    <row r="9854" ht="15.75" customHeight="1">
      <c r="A9854" s="35"/>
      <c r="C9854" s="442"/>
      <c r="P9854" s="235"/>
      <c r="AI9854" s="38"/>
    </row>
    <row r="9855" ht="15.75" customHeight="1">
      <c r="A9855" s="35"/>
      <c r="C9855" s="442"/>
      <c r="P9855" s="235"/>
      <c r="AI9855" s="38"/>
    </row>
    <row r="9856" ht="15.75" customHeight="1">
      <c r="A9856" s="35"/>
      <c r="C9856" s="442"/>
      <c r="P9856" s="235"/>
      <c r="AI9856" s="38"/>
    </row>
    <row r="9857" ht="15.75" customHeight="1">
      <c r="A9857" s="35"/>
      <c r="C9857" s="442"/>
      <c r="P9857" s="235"/>
      <c r="AI9857" s="38"/>
    </row>
    <row r="9858" ht="15.75" customHeight="1">
      <c r="A9858" s="35"/>
      <c r="C9858" s="442"/>
      <c r="P9858" s="235"/>
      <c r="AI9858" s="38"/>
    </row>
    <row r="9859" ht="15.75" customHeight="1">
      <c r="A9859" s="35"/>
      <c r="C9859" s="442"/>
      <c r="P9859" s="235"/>
      <c r="AI9859" s="38"/>
    </row>
    <row r="9860" ht="15.75" customHeight="1">
      <c r="A9860" s="35"/>
      <c r="C9860" s="442"/>
      <c r="P9860" s="235"/>
      <c r="AI9860" s="38"/>
    </row>
    <row r="9861" ht="15.75" customHeight="1">
      <c r="A9861" s="35"/>
      <c r="C9861" s="442"/>
      <c r="P9861" s="235"/>
      <c r="AI9861" s="38"/>
    </row>
    <row r="9862" ht="15.75" customHeight="1">
      <c r="A9862" s="35"/>
      <c r="C9862" s="442"/>
      <c r="P9862" s="235"/>
      <c r="AI9862" s="38"/>
    </row>
    <row r="9863" ht="15.75" customHeight="1">
      <c r="A9863" s="35"/>
      <c r="C9863" s="442"/>
      <c r="P9863" s="235"/>
      <c r="AI9863" s="38"/>
    </row>
    <row r="9864" ht="15.75" customHeight="1">
      <c r="A9864" s="35"/>
      <c r="C9864" s="442"/>
      <c r="P9864" s="235"/>
      <c r="AI9864" s="38"/>
    </row>
    <row r="9865" ht="15.75" customHeight="1">
      <c r="A9865" s="35"/>
      <c r="C9865" s="442"/>
      <c r="P9865" s="235"/>
      <c r="AI9865" s="38"/>
    </row>
    <row r="9866" ht="15.75" customHeight="1">
      <c r="A9866" s="35"/>
      <c r="C9866" s="442"/>
      <c r="P9866" s="235"/>
      <c r="AI9866" s="38"/>
    </row>
    <row r="9867" ht="15.75" customHeight="1">
      <c r="A9867" s="35"/>
      <c r="C9867" s="442"/>
      <c r="P9867" s="235"/>
      <c r="AI9867" s="38"/>
    </row>
    <row r="9868" ht="15.75" customHeight="1">
      <c r="A9868" s="35"/>
      <c r="C9868" s="442"/>
      <c r="P9868" s="235"/>
      <c r="AI9868" s="38"/>
    </row>
    <row r="9869" ht="15.75" customHeight="1">
      <c r="A9869" s="35"/>
      <c r="C9869" s="442"/>
      <c r="P9869" s="235"/>
      <c r="AI9869" s="38"/>
    </row>
    <row r="9870" ht="15.75" customHeight="1">
      <c r="A9870" s="35"/>
      <c r="C9870" s="442"/>
      <c r="P9870" s="235"/>
      <c r="AI9870" s="38"/>
    </row>
    <row r="9871" ht="15.75" customHeight="1">
      <c r="A9871" s="35"/>
      <c r="C9871" s="442"/>
      <c r="P9871" s="235"/>
      <c r="AI9871" s="38"/>
    </row>
    <row r="9872" ht="15.75" customHeight="1">
      <c r="A9872" s="35"/>
      <c r="C9872" s="442"/>
      <c r="P9872" s="235"/>
      <c r="AI9872" s="38"/>
    </row>
    <row r="9873" ht="15.75" customHeight="1">
      <c r="A9873" s="35"/>
      <c r="C9873" s="442"/>
      <c r="P9873" s="235"/>
      <c r="AI9873" s="38"/>
    </row>
    <row r="9874" ht="15.75" customHeight="1">
      <c r="A9874" s="35"/>
      <c r="C9874" s="442"/>
      <c r="P9874" s="235"/>
      <c r="AI9874" s="38"/>
    </row>
    <row r="9875" ht="15.75" customHeight="1">
      <c r="A9875" s="35"/>
      <c r="C9875" s="442"/>
      <c r="P9875" s="235"/>
      <c r="AI9875" s="38"/>
    </row>
    <row r="9876" ht="15.75" customHeight="1">
      <c r="A9876" s="35"/>
      <c r="C9876" s="442"/>
      <c r="P9876" s="235"/>
      <c r="AI9876" s="38"/>
    </row>
    <row r="9877" ht="15.75" customHeight="1">
      <c r="A9877" s="35"/>
      <c r="C9877" s="442"/>
      <c r="P9877" s="235"/>
      <c r="AI9877" s="38"/>
    </row>
    <row r="9878" ht="15.75" customHeight="1">
      <c r="A9878" s="35"/>
      <c r="C9878" s="442"/>
      <c r="P9878" s="235"/>
      <c r="AI9878" s="38"/>
    </row>
    <row r="9879" ht="15.75" customHeight="1">
      <c r="A9879" s="35"/>
      <c r="C9879" s="442"/>
      <c r="P9879" s="235"/>
      <c r="AI9879" s="38"/>
    </row>
    <row r="9880" ht="15.75" customHeight="1">
      <c r="A9880" s="35"/>
      <c r="C9880" s="442"/>
      <c r="P9880" s="235"/>
      <c r="AI9880" s="38"/>
    </row>
    <row r="9881" ht="15.75" customHeight="1">
      <c r="A9881" s="35"/>
      <c r="C9881" s="442"/>
      <c r="P9881" s="235"/>
      <c r="AI9881" s="38"/>
    </row>
    <row r="9882" ht="15.75" customHeight="1">
      <c r="A9882" s="35"/>
      <c r="C9882" s="442"/>
      <c r="P9882" s="235"/>
      <c r="AI9882" s="38"/>
    </row>
    <row r="9883" ht="15.75" customHeight="1">
      <c r="A9883" s="35"/>
      <c r="C9883" s="442"/>
      <c r="P9883" s="235"/>
      <c r="AI9883" s="38"/>
    </row>
    <row r="9884" ht="15.75" customHeight="1">
      <c r="A9884" s="35"/>
      <c r="C9884" s="442"/>
      <c r="P9884" s="235"/>
      <c r="AI9884" s="38"/>
    </row>
    <row r="9885" ht="15.75" customHeight="1">
      <c r="A9885" s="35"/>
      <c r="C9885" s="442"/>
      <c r="P9885" s="235"/>
      <c r="AI9885" s="38"/>
    </row>
    <row r="9886" ht="15.75" customHeight="1">
      <c r="A9886" s="35"/>
      <c r="C9886" s="442"/>
      <c r="P9886" s="235"/>
      <c r="AI9886" s="38"/>
    </row>
    <row r="9887" ht="15.75" customHeight="1">
      <c r="A9887" s="35"/>
      <c r="C9887" s="442"/>
      <c r="P9887" s="235"/>
      <c r="AI9887" s="38"/>
    </row>
    <row r="9888" ht="15.75" customHeight="1">
      <c r="A9888" s="35"/>
      <c r="C9888" s="442"/>
      <c r="P9888" s="235"/>
      <c r="AI9888" s="38"/>
    </row>
    <row r="9889" ht="15.75" customHeight="1">
      <c r="A9889" s="35"/>
      <c r="C9889" s="442"/>
      <c r="P9889" s="235"/>
      <c r="AI9889" s="38"/>
    </row>
    <row r="9890" ht="15.75" customHeight="1">
      <c r="A9890" s="35"/>
      <c r="C9890" s="442"/>
      <c r="P9890" s="235"/>
      <c r="AI9890" s="38"/>
    </row>
    <row r="9891" ht="15.75" customHeight="1">
      <c r="A9891" s="35"/>
      <c r="C9891" s="442"/>
      <c r="P9891" s="235"/>
      <c r="AI9891" s="38"/>
    </row>
    <row r="9892" ht="15.75" customHeight="1">
      <c r="A9892" s="35"/>
      <c r="C9892" s="442"/>
      <c r="P9892" s="235"/>
      <c r="AI9892" s="38"/>
    </row>
    <row r="9893" ht="15.75" customHeight="1">
      <c r="A9893" s="35"/>
      <c r="C9893" s="442"/>
      <c r="P9893" s="235"/>
      <c r="AI9893" s="38"/>
    </row>
    <row r="9894" ht="15.75" customHeight="1">
      <c r="A9894" s="35"/>
      <c r="C9894" s="442"/>
      <c r="P9894" s="235"/>
      <c r="AI9894" s="38"/>
    </row>
    <row r="9895" ht="15.75" customHeight="1">
      <c r="A9895" s="35"/>
      <c r="C9895" s="442"/>
      <c r="P9895" s="235"/>
      <c r="AI9895" s="38"/>
    </row>
    <row r="9896" ht="15.75" customHeight="1">
      <c r="A9896" s="35"/>
      <c r="C9896" s="442"/>
      <c r="P9896" s="235"/>
      <c r="AI9896" s="38"/>
    </row>
    <row r="9897" ht="15.75" customHeight="1">
      <c r="A9897" s="35"/>
      <c r="C9897" s="442"/>
      <c r="P9897" s="235"/>
      <c r="AI9897" s="38"/>
    </row>
    <row r="9898" ht="15.75" customHeight="1">
      <c r="A9898" s="35"/>
      <c r="C9898" s="442"/>
      <c r="P9898" s="235"/>
      <c r="AI9898" s="38"/>
    </row>
    <row r="9899" ht="15.75" customHeight="1">
      <c r="A9899" s="35"/>
      <c r="C9899" s="442"/>
      <c r="P9899" s="235"/>
      <c r="AI9899" s="38"/>
    </row>
    <row r="9900" ht="15.75" customHeight="1">
      <c r="A9900" s="35"/>
      <c r="C9900" s="442"/>
      <c r="P9900" s="235"/>
      <c r="AI9900" s="38"/>
    </row>
    <row r="9901" ht="15.75" customHeight="1">
      <c r="A9901" s="35"/>
      <c r="C9901" s="442"/>
      <c r="P9901" s="235"/>
      <c r="AI9901" s="38"/>
    </row>
    <row r="9902" ht="15.75" customHeight="1">
      <c r="A9902" s="35"/>
      <c r="C9902" s="442"/>
      <c r="P9902" s="235"/>
      <c r="AI9902" s="38"/>
    </row>
    <row r="9903" ht="15.75" customHeight="1">
      <c r="A9903" s="35"/>
      <c r="C9903" s="442"/>
      <c r="P9903" s="235"/>
      <c r="AI9903" s="38"/>
    </row>
    <row r="9904" ht="15.75" customHeight="1">
      <c r="A9904" s="35"/>
      <c r="C9904" s="442"/>
      <c r="P9904" s="235"/>
      <c r="AI9904" s="38"/>
    </row>
    <row r="9905" ht="15.75" customHeight="1">
      <c r="A9905" s="35"/>
      <c r="C9905" s="442"/>
      <c r="P9905" s="235"/>
      <c r="AI9905" s="38"/>
    </row>
    <row r="9906" ht="15.75" customHeight="1">
      <c r="A9906" s="35"/>
      <c r="C9906" s="442"/>
      <c r="P9906" s="235"/>
      <c r="AI9906" s="38"/>
    </row>
    <row r="9907" ht="15.75" customHeight="1">
      <c r="A9907" s="35"/>
      <c r="C9907" s="442"/>
      <c r="P9907" s="235"/>
      <c r="AI9907" s="38"/>
    </row>
    <row r="9908" ht="15.75" customHeight="1">
      <c r="A9908" s="35"/>
      <c r="C9908" s="442"/>
      <c r="P9908" s="235"/>
      <c r="AI9908" s="38"/>
    </row>
    <row r="9909" ht="15.75" customHeight="1">
      <c r="A9909" s="35"/>
      <c r="C9909" s="442"/>
      <c r="P9909" s="235"/>
      <c r="AI9909" s="38"/>
    </row>
    <row r="9910" ht="15.75" customHeight="1">
      <c r="A9910" s="35"/>
      <c r="C9910" s="442"/>
      <c r="P9910" s="235"/>
      <c r="AI9910" s="38"/>
    </row>
    <row r="9911" ht="15.75" customHeight="1">
      <c r="A9911" s="35"/>
      <c r="C9911" s="442"/>
      <c r="P9911" s="235"/>
      <c r="AI9911" s="38"/>
    </row>
    <row r="9912" ht="15.75" customHeight="1">
      <c r="A9912" s="35"/>
      <c r="C9912" s="442"/>
      <c r="P9912" s="235"/>
      <c r="AI9912" s="38"/>
    </row>
    <row r="9913" ht="15.75" customHeight="1">
      <c r="A9913" s="35"/>
      <c r="C9913" s="442"/>
      <c r="P9913" s="235"/>
      <c r="AI9913" s="38"/>
    </row>
    <row r="9914" ht="15.75" customHeight="1">
      <c r="A9914" s="35"/>
      <c r="C9914" s="442"/>
      <c r="P9914" s="235"/>
      <c r="AI9914" s="38"/>
    </row>
    <row r="9915" ht="15.75" customHeight="1">
      <c r="A9915" s="35"/>
      <c r="C9915" s="442"/>
      <c r="P9915" s="235"/>
      <c r="AI9915" s="38"/>
    </row>
    <row r="9916" ht="15.75" customHeight="1">
      <c r="A9916" s="35"/>
      <c r="C9916" s="442"/>
      <c r="P9916" s="235"/>
      <c r="AI9916" s="38"/>
    </row>
    <row r="9917" ht="15.75" customHeight="1">
      <c r="A9917" s="35"/>
      <c r="C9917" s="442"/>
      <c r="P9917" s="235"/>
      <c r="AI9917" s="38"/>
    </row>
    <row r="9918" ht="15.75" customHeight="1">
      <c r="A9918" s="35"/>
      <c r="C9918" s="442"/>
      <c r="P9918" s="235"/>
      <c r="AI9918" s="38"/>
    </row>
    <row r="9919" ht="15.75" customHeight="1">
      <c r="A9919" s="35"/>
      <c r="C9919" s="442"/>
      <c r="P9919" s="235"/>
      <c r="AI9919" s="38"/>
    </row>
    <row r="9920" ht="15.75" customHeight="1">
      <c r="A9920" s="35"/>
      <c r="C9920" s="442"/>
      <c r="P9920" s="235"/>
      <c r="AI9920" s="38"/>
    </row>
    <row r="9921" ht="15.75" customHeight="1">
      <c r="A9921" s="35"/>
      <c r="C9921" s="442"/>
      <c r="P9921" s="235"/>
      <c r="AI9921" s="38"/>
    </row>
    <row r="9922" ht="15.75" customHeight="1">
      <c r="A9922" s="35"/>
      <c r="C9922" s="442"/>
      <c r="P9922" s="235"/>
      <c r="AI9922" s="38"/>
    </row>
    <row r="9923" ht="15.75" customHeight="1">
      <c r="A9923" s="35"/>
      <c r="C9923" s="442"/>
      <c r="P9923" s="235"/>
      <c r="AI9923" s="38"/>
    </row>
    <row r="9924" ht="15.75" customHeight="1">
      <c r="A9924" s="35"/>
      <c r="C9924" s="442"/>
      <c r="P9924" s="235"/>
      <c r="AI9924" s="38"/>
    </row>
    <row r="9925" ht="15.75" customHeight="1">
      <c r="A9925" s="35"/>
      <c r="C9925" s="442"/>
      <c r="P9925" s="235"/>
      <c r="AI9925" s="38"/>
    </row>
    <row r="9926" ht="15.75" customHeight="1">
      <c r="A9926" s="35"/>
      <c r="C9926" s="442"/>
      <c r="P9926" s="235"/>
      <c r="AI9926" s="38"/>
    </row>
    <row r="9927" ht="15.75" customHeight="1">
      <c r="A9927" s="35"/>
      <c r="C9927" s="442"/>
      <c r="P9927" s="235"/>
      <c r="AI9927" s="38"/>
    </row>
    <row r="9928" ht="15.75" customHeight="1">
      <c r="A9928" s="35"/>
      <c r="C9928" s="442"/>
      <c r="P9928" s="235"/>
      <c r="AI9928" s="38"/>
    </row>
    <row r="9929" ht="15.75" customHeight="1">
      <c r="A9929" s="35"/>
      <c r="C9929" s="442"/>
      <c r="P9929" s="235"/>
      <c r="AI9929" s="38"/>
    </row>
    <row r="9930" ht="15.75" customHeight="1">
      <c r="A9930" s="35"/>
      <c r="C9930" s="442"/>
      <c r="P9930" s="235"/>
      <c r="AI9930" s="38"/>
    </row>
    <row r="9931" ht="15.75" customHeight="1">
      <c r="A9931" s="35"/>
      <c r="C9931" s="442"/>
      <c r="P9931" s="235"/>
      <c r="AI9931" s="38"/>
    </row>
    <row r="9932" ht="15.75" customHeight="1">
      <c r="A9932" s="35"/>
      <c r="C9932" s="442"/>
      <c r="P9932" s="235"/>
      <c r="AI9932" s="38"/>
    </row>
    <row r="9933" ht="15.75" customHeight="1">
      <c r="A9933" s="35"/>
      <c r="C9933" s="442"/>
      <c r="P9933" s="235"/>
      <c r="AI9933" s="38"/>
    </row>
    <row r="9934" ht="15.75" customHeight="1">
      <c r="A9934" s="35"/>
      <c r="C9934" s="442"/>
      <c r="P9934" s="235"/>
      <c r="AI9934" s="38"/>
    </row>
    <row r="9935" ht="15.75" customHeight="1">
      <c r="A9935" s="35"/>
      <c r="C9935" s="442"/>
      <c r="P9935" s="235"/>
      <c r="AI9935" s="38"/>
    </row>
    <row r="9936" ht="15.75" customHeight="1">
      <c r="A9936" s="35"/>
      <c r="C9936" s="442"/>
      <c r="P9936" s="235"/>
      <c r="AI9936" s="38"/>
    </row>
    <row r="9937" ht="15.75" customHeight="1">
      <c r="A9937" s="35"/>
      <c r="C9937" s="442"/>
      <c r="P9937" s="235"/>
      <c r="AI9937" s="38"/>
    </row>
    <row r="9938" ht="15.75" customHeight="1">
      <c r="A9938" s="35"/>
      <c r="C9938" s="442"/>
      <c r="P9938" s="235"/>
      <c r="AI9938" s="38"/>
    </row>
    <row r="9939" ht="15.75" customHeight="1">
      <c r="A9939" s="35"/>
      <c r="C9939" s="442"/>
      <c r="P9939" s="235"/>
      <c r="AI9939" s="38"/>
    </row>
    <row r="9940" ht="15.75" customHeight="1">
      <c r="A9940" s="35"/>
      <c r="C9940" s="442"/>
      <c r="P9940" s="235"/>
      <c r="AI9940" s="38"/>
    </row>
    <row r="9941" ht="15.75" customHeight="1">
      <c r="A9941" s="35"/>
      <c r="C9941" s="442"/>
      <c r="P9941" s="235"/>
      <c r="AI9941" s="38"/>
    </row>
    <row r="9942" ht="15.75" customHeight="1">
      <c r="A9942" s="35"/>
      <c r="C9942" s="442"/>
      <c r="P9942" s="235"/>
      <c r="AI9942" s="38"/>
    </row>
    <row r="9943" ht="15.75" customHeight="1">
      <c r="A9943" s="35"/>
      <c r="C9943" s="442"/>
      <c r="P9943" s="235"/>
      <c r="AI9943" s="38"/>
    </row>
    <row r="9944" ht="15.75" customHeight="1">
      <c r="A9944" s="35"/>
      <c r="C9944" s="442"/>
      <c r="P9944" s="235"/>
      <c r="AI9944" s="38"/>
    </row>
    <row r="9945" ht="15.75" customHeight="1">
      <c r="A9945" s="35"/>
      <c r="C9945" s="442"/>
      <c r="P9945" s="235"/>
      <c r="AI9945" s="38"/>
    </row>
    <row r="9946" ht="15.75" customHeight="1">
      <c r="A9946" s="35"/>
      <c r="C9946" s="442"/>
      <c r="P9946" s="235"/>
      <c r="AI9946" s="38"/>
    </row>
    <row r="9947" ht="15.75" customHeight="1">
      <c r="A9947" s="35"/>
      <c r="C9947" s="442"/>
      <c r="P9947" s="235"/>
      <c r="AI9947" s="38"/>
    </row>
    <row r="9948" ht="15.75" customHeight="1">
      <c r="A9948" s="35"/>
      <c r="C9948" s="442"/>
      <c r="P9948" s="235"/>
      <c r="AI9948" s="38"/>
    </row>
    <row r="9949" ht="15.75" customHeight="1">
      <c r="A9949" s="35"/>
      <c r="C9949" s="442"/>
      <c r="P9949" s="235"/>
      <c r="AI9949" s="38"/>
    </row>
    <row r="9950" ht="15.75" customHeight="1">
      <c r="A9950" s="35"/>
      <c r="C9950" s="442"/>
      <c r="P9950" s="235"/>
      <c r="AI9950" s="38"/>
    </row>
    <row r="9951" ht="15.75" customHeight="1">
      <c r="A9951" s="35"/>
      <c r="C9951" s="442"/>
      <c r="P9951" s="235"/>
      <c r="AI9951" s="38"/>
    </row>
    <row r="9952" ht="15.75" customHeight="1">
      <c r="A9952" s="35"/>
      <c r="C9952" s="442"/>
      <c r="P9952" s="235"/>
      <c r="AI9952" s="38"/>
    </row>
    <row r="9953" ht="15.75" customHeight="1">
      <c r="A9953" s="35"/>
      <c r="C9953" s="442"/>
      <c r="P9953" s="235"/>
      <c r="AI9953" s="38"/>
    </row>
    <row r="9954" ht="15.75" customHeight="1">
      <c r="A9954" s="35"/>
      <c r="C9954" s="442"/>
      <c r="P9954" s="235"/>
      <c r="AI9954" s="38"/>
    </row>
    <row r="9955" ht="15.75" customHeight="1">
      <c r="A9955" s="35"/>
      <c r="C9955" s="442"/>
      <c r="P9955" s="235"/>
      <c r="AI9955" s="38"/>
    </row>
    <row r="9956" ht="15.75" customHeight="1">
      <c r="A9956" s="35"/>
      <c r="C9956" s="442"/>
      <c r="P9956" s="235"/>
      <c r="AI9956" s="38"/>
    </row>
    <row r="9957" ht="15.75" customHeight="1">
      <c r="A9957" s="35"/>
      <c r="C9957" s="442"/>
      <c r="P9957" s="235"/>
      <c r="AI9957" s="38"/>
    </row>
    <row r="9958" ht="15.75" customHeight="1">
      <c r="A9958" s="35"/>
      <c r="C9958" s="442"/>
      <c r="P9958" s="235"/>
      <c r="AI9958" s="38"/>
    </row>
    <row r="9959" ht="15.75" customHeight="1">
      <c r="A9959" s="35"/>
      <c r="C9959" s="442"/>
      <c r="P9959" s="235"/>
      <c r="AI9959" s="38"/>
    </row>
    <row r="9960" ht="15.75" customHeight="1">
      <c r="A9960" s="35"/>
      <c r="C9960" s="442"/>
      <c r="P9960" s="235"/>
      <c r="AI9960" s="38"/>
    </row>
    <row r="9961" ht="15.75" customHeight="1">
      <c r="A9961" s="35"/>
      <c r="C9961" s="442"/>
      <c r="P9961" s="235"/>
      <c r="AI9961" s="38"/>
    </row>
    <row r="9962" ht="15.75" customHeight="1">
      <c r="A9962" s="35"/>
      <c r="C9962" s="442"/>
      <c r="P9962" s="235"/>
      <c r="AI9962" s="38"/>
    </row>
    <row r="9963" ht="15.75" customHeight="1">
      <c r="A9963" s="35"/>
      <c r="C9963" s="442"/>
      <c r="P9963" s="235"/>
      <c r="AI9963" s="38"/>
    </row>
    <row r="9964" ht="15.75" customHeight="1">
      <c r="A9964" s="35"/>
      <c r="C9964" s="442"/>
      <c r="P9964" s="235"/>
      <c r="AI9964" s="38"/>
    </row>
    <row r="9965" ht="15.75" customHeight="1">
      <c r="A9965" s="35"/>
      <c r="C9965" s="442"/>
      <c r="P9965" s="235"/>
      <c r="AI9965" s="38"/>
    </row>
    <row r="9966" ht="15.75" customHeight="1">
      <c r="A9966" s="35"/>
      <c r="C9966" s="442"/>
      <c r="P9966" s="235"/>
      <c r="AI9966" s="38"/>
    </row>
    <row r="9967" ht="15.75" customHeight="1">
      <c r="A9967" s="35"/>
      <c r="C9967" s="442"/>
      <c r="P9967" s="235"/>
      <c r="AI9967" s="38"/>
    </row>
    <row r="9968" ht="15.75" customHeight="1">
      <c r="A9968" s="35"/>
      <c r="C9968" s="442"/>
      <c r="P9968" s="235"/>
      <c r="AI9968" s="38"/>
    </row>
    <row r="9969" ht="15.75" customHeight="1">
      <c r="A9969" s="35"/>
      <c r="C9969" s="442"/>
      <c r="P9969" s="235"/>
      <c r="AI9969" s="38"/>
    </row>
    <row r="9970" ht="15.75" customHeight="1">
      <c r="A9970" s="35"/>
      <c r="C9970" s="442"/>
      <c r="P9970" s="235"/>
      <c r="AI9970" s="38"/>
    </row>
    <row r="9971" ht="15.75" customHeight="1">
      <c r="A9971" s="35"/>
      <c r="C9971" s="442"/>
      <c r="P9971" s="235"/>
      <c r="AI9971" s="38"/>
    </row>
    <row r="9972" ht="15.75" customHeight="1">
      <c r="A9972" s="35"/>
      <c r="C9972" s="442"/>
      <c r="P9972" s="235"/>
      <c r="AI9972" s="38"/>
    </row>
    <row r="9973" ht="15.75" customHeight="1">
      <c r="A9973" s="35"/>
      <c r="C9973" s="442"/>
      <c r="P9973" s="235"/>
      <c r="AI9973" s="38"/>
    </row>
    <row r="9974" ht="15.75" customHeight="1">
      <c r="A9974" s="35"/>
      <c r="C9974" s="442"/>
      <c r="P9974" s="235"/>
      <c r="AI9974" s="38"/>
    </row>
    <row r="9975" ht="15.75" customHeight="1">
      <c r="A9975" s="35"/>
      <c r="C9975" s="442"/>
      <c r="P9975" s="235"/>
      <c r="AI9975" s="38"/>
    </row>
    <row r="9976" ht="15.75" customHeight="1">
      <c r="A9976" s="35"/>
      <c r="C9976" s="442"/>
      <c r="P9976" s="235"/>
      <c r="AI9976" s="38"/>
    </row>
    <row r="9977" ht="15.75" customHeight="1">
      <c r="A9977" s="35"/>
      <c r="C9977" s="442"/>
      <c r="P9977" s="235"/>
      <c r="AI9977" s="38"/>
    </row>
    <row r="9978" ht="15.75" customHeight="1">
      <c r="A9978" s="35"/>
      <c r="C9978" s="442"/>
      <c r="P9978" s="235"/>
      <c r="AI9978" s="38"/>
    </row>
    <row r="9979" ht="15.75" customHeight="1">
      <c r="A9979" s="35"/>
      <c r="C9979" s="442"/>
      <c r="P9979" s="235"/>
      <c r="AI9979" s="38"/>
    </row>
    <row r="9980" ht="15.75" customHeight="1">
      <c r="A9980" s="35"/>
      <c r="C9980" s="442"/>
      <c r="P9980" s="235"/>
      <c r="AI9980" s="38"/>
    </row>
    <row r="9981" ht="15.75" customHeight="1">
      <c r="A9981" s="35"/>
      <c r="C9981" s="442"/>
      <c r="P9981" s="235"/>
      <c r="AI9981" s="38"/>
    </row>
    <row r="9982" ht="15.75" customHeight="1">
      <c r="A9982" s="35"/>
      <c r="C9982" s="442"/>
      <c r="P9982" s="235"/>
      <c r="AI9982" s="38"/>
    </row>
    <row r="9983" ht="15.75" customHeight="1">
      <c r="A9983" s="35"/>
      <c r="C9983" s="442"/>
      <c r="P9983" s="235"/>
      <c r="AI9983" s="38"/>
    </row>
    <row r="9984" ht="15.75" customHeight="1">
      <c r="A9984" s="35"/>
      <c r="C9984" s="442"/>
      <c r="P9984" s="235"/>
      <c r="AI9984" s="38"/>
    </row>
    <row r="9985" ht="15.75" customHeight="1">
      <c r="A9985" s="35"/>
      <c r="C9985" s="442"/>
      <c r="P9985" s="235"/>
      <c r="AI9985" s="38"/>
    </row>
    <row r="9986" ht="15.75" customHeight="1">
      <c r="A9986" s="35"/>
      <c r="C9986" s="442"/>
      <c r="P9986" s="235"/>
      <c r="AI9986" s="38"/>
    </row>
    <row r="9987" ht="15.75" customHeight="1">
      <c r="A9987" s="35"/>
      <c r="C9987" s="442"/>
      <c r="P9987" s="235"/>
      <c r="AI9987" s="38"/>
    </row>
    <row r="9988" ht="15.75" customHeight="1">
      <c r="A9988" s="35"/>
      <c r="C9988" s="442"/>
      <c r="P9988" s="235"/>
      <c r="AI9988" s="38"/>
    </row>
    <row r="9989" ht="15.75" customHeight="1">
      <c r="A9989" s="35"/>
      <c r="C9989" s="442"/>
      <c r="P9989" s="235"/>
      <c r="AI9989" s="38"/>
    </row>
    <row r="9990" ht="15.75" customHeight="1">
      <c r="A9990" s="35"/>
      <c r="C9990" s="442"/>
      <c r="P9990" s="235"/>
      <c r="AI9990" s="38"/>
    </row>
    <row r="9991" ht="15.75" customHeight="1">
      <c r="A9991" s="35"/>
      <c r="C9991" s="442"/>
      <c r="P9991" s="235"/>
      <c r="AI9991" s="38"/>
    </row>
    <row r="9992" ht="15.75" customHeight="1">
      <c r="A9992" s="35"/>
      <c r="C9992" s="442"/>
      <c r="P9992" s="235"/>
      <c r="AI9992" s="38"/>
    </row>
    <row r="9993" ht="15.75" customHeight="1">
      <c r="A9993" s="35"/>
      <c r="C9993" s="442"/>
      <c r="P9993" s="235"/>
      <c r="AI9993" s="38"/>
    </row>
    <row r="9994" ht="15.75" customHeight="1">
      <c r="A9994" s="35"/>
      <c r="C9994" s="442"/>
      <c r="P9994" s="235"/>
      <c r="AI9994" s="38"/>
    </row>
    <row r="9995" ht="15.75" customHeight="1">
      <c r="A9995" s="35"/>
      <c r="C9995" s="442"/>
      <c r="P9995" s="235"/>
      <c r="AI9995" s="38"/>
    </row>
    <row r="9996" ht="15.75" customHeight="1">
      <c r="A9996" s="35"/>
      <c r="C9996" s="442"/>
      <c r="P9996" s="235"/>
      <c r="AI9996" s="38"/>
    </row>
    <row r="9997" ht="15.75" customHeight="1">
      <c r="A9997" s="35"/>
      <c r="C9997" s="442"/>
      <c r="P9997" s="235"/>
      <c r="AI9997" s="38"/>
    </row>
    <row r="9998" ht="15.75" customHeight="1">
      <c r="A9998" s="35"/>
      <c r="C9998" s="442"/>
      <c r="P9998" s="235"/>
      <c r="AI9998" s="38"/>
    </row>
    <row r="9999" ht="15.75" customHeight="1">
      <c r="A9999" s="35"/>
      <c r="C9999" s="442"/>
      <c r="P9999" s="235"/>
      <c r="AI9999" s="38"/>
    </row>
    <row r="10000" ht="15.75" customHeight="1">
      <c r="A10000" s="35"/>
      <c r="C10000" s="442"/>
      <c r="P10000" s="235"/>
      <c r="AI10000" s="38"/>
    </row>
    <row r="10001" ht="15.75" customHeight="1">
      <c r="A10001" s="35"/>
      <c r="C10001" s="442"/>
      <c r="P10001" s="235"/>
      <c r="AI10001" s="38"/>
    </row>
    <row r="10002" ht="15.75" customHeight="1">
      <c r="A10002" s="35"/>
      <c r="C10002" s="442"/>
      <c r="P10002" s="235"/>
      <c r="AI10002" s="38"/>
    </row>
    <row r="10003" ht="15.75" customHeight="1">
      <c r="A10003" s="35"/>
      <c r="C10003" s="442"/>
      <c r="P10003" s="235"/>
      <c r="AI10003" s="38"/>
    </row>
    <row r="10004" ht="15.75" customHeight="1">
      <c r="A10004" s="35"/>
      <c r="C10004" s="442"/>
      <c r="P10004" s="235"/>
      <c r="AI10004" s="38"/>
    </row>
    <row r="10005" ht="15.75" customHeight="1">
      <c r="A10005" s="35"/>
      <c r="C10005" s="442"/>
      <c r="P10005" s="235"/>
      <c r="AI10005" s="38"/>
    </row>
    <row r="10006" ht="15.75" customHeight="1">
      <c r="A10006" s="35"/>
      <c r="C10006" s="442"/>
      <c r="P10006" s="235"/>
      <c r="AI10006" s="38"/>
    </row>
    <row r="10007" ht="15.75" customHeight="1">
      <c r="A10007" s="35"/>
      <c r="C10007" s="442"/>
      <c r="P10007" s="235"/>
      <c r="AI10007" s="38"/>
    </row>
    <row r="10008" ht="15.75" customHeight="1">
      <c r="A10008" s="35"/>
      <c r="C10008" s="442"/>
      <c r="P10008" s="235"/>
      <c r="AI10008" s="38"/>
    </row>
    <row r="10009" ht="15.75" customHeight="1">
      <c r="A10009" s="35"/>
      <c r="C10009" s="442"/>
      <c r="P10009" s="235"/>
      <c r="AI10009" s="38"/>
    </row>
    <row r="10010" ht="15.75" customHeight="1">
      <c r="A10010" s="35"/>
      <c r="C10010" s="442"/>
      <c r="P10010" s="235"/>
      <c r="AI10010" s="38"/>
    </row>
    <row r="10011" ht="15.75" customHeight="1">
      <c r="A10011" s="35"/>
      <c r="C10011" s="442"/>
      <c r="P10011" s="235"/>
      <c r="AI10011" s="38"/>
    </row>
    <row r="10012" ht="15.75" customHeight="1">
      <c r="A10012" s="35"/>
      <c r="C10012" s="442"/>
      <c r="P10012" s="235"/>
      <c r="AI10012" s="38"/>
    </row>
    <row r="10013" ht="15.75" customHeight="1">
      <c r="A10013" s="35"/>
      <c r="C10013" s="442"/>
      <c r="P10013" s="235"/>
      <c r="AI10013" s="38"/>
    </row>
    <row r="10014" ht="15.75" customHeight="1">
      <c r="A10014" s="35"/>
      <c r="C10014" s="442"/>
      <c r="P10014" s="235"/>
      <c r="AI10014" s="38"/>
    </row>
    <row r="10015" ht="15.75" customHeight="1">
      <c r="A10015" s="35"/>
      <c r="C10015" s="442"/>
      <c r="P10015" s="235"/>
      <c r="AI10015" s="38"/>
    </row>
    <row r="10016" ht="15.75" customHeight="1">
      <c r="A10016" s="35"/>
      <c r="C10016" s="442"/>
      <c r="P10016" s="235"/>
      <c r="AI10016" s="38"/>
    </row>
    <row r="10017" ht="15.75" customHeight="1">
      <c r="A10017" s="35"/>
      <c r="C10017" s="442"/>
      <c r="P10017" s="235"/>
      <c r="AI10017" s="38"/>
    </row>
    <row r="10018" ht="15.75" customHeight="1">
      <c r="A10018" s="35"/>
      <c r="C10018" s="442"/>
      <c r="P10018" s="235"/>
      <c r="AI10018" s="38"/>
    </row>
    <row r="10019" ht="15.75" customHeight="1">
      <c r="A10019" s="35"/>
      <c r="C10019" s="442"/>
      <c r="P10019" s="235"/>
      <c r="AI10019" s="38"/>
    </row>
    <row r="10020" ht="15.75" customHeight="1">
      <c r="A10020" s="35"/>
      <c r="C10020" s="442"/>
      <c r="P10020" s="235"/>
      <c r="AI10020" s="38"/>
    </row>
    <row r="10021" ht="15.75" customHeight="1">
      <c r="A10021" s="35"/>
      <c r="C10021" s="442"/>
      <c r="P10021" s="235"/>
      <c r="AI10021" s="38"/>
    </row>
    <row r="10022" ht="15.75" customHeight="1">
      <c r="A10022" s="35"/>
      <c r="C10022" s="442"/>
      <c r="P10022" s="235"/>
      <c r="AI10022" s="38"/>
    </row>
    <row r="10023" ht="15.75" customHeight="1">
      <c r="A10023" s="35"/>
      <c r="C10023" s="442"/>
      <c r="P10023" s="235"/>
      <c r="AI10023" s="38"/>
    </row>
    <row r="10024" ht="15.75" customHeight="1">
      <c r="A10024" s="35"/>
      <c r="C10024" s="442"/>
      <c r="P10024" s="235"/>
      <c r="AI10024" s="38"/>
    </row>
    <row r="10025" ht="15.75" customHeight="1">
      <c r="A10025" s="35"/>
      <c r="C10025" s="442"/>
      <c r="P10025" s="235"/>
      <c r="AI10025" s="38"/>
    </row>
    <row r="10026" ht="15.75" customHeight="1">
      <c r="A10026" s="35"/>
      <c r="C10026" s="442"/>
      <c r="P10026" s="235"/>
      <c r="AI10026" s="38"/>
    </row>
    <row r="10027" ht="15.75" customHeight="1">
      <c r="A10027" s="35"/>
      <c r="C10027" s="442"/>
      <c r="P10027" s="235"/>
      <c r="AI10027" s="38"/>
    </row>
    <row r="10028" ht="15.75" customHeight="1">
      <c r="A10028" s="35"/>
      <c r="C10028" s="442"/>
      <c r="P10028" s="235"/>
      <c r="AI10028" s="38"/>
    </row>
    <row r="10029" ht="15.75" customHeight="1">
      <c r="A10029" s="35"/>
      <c r="C10029" s="442"/>
      <c r="P10029" s="235"/>
      <c r="AI10029" s="38"/>
    </row>
    <row r="10030" ht="15.75" customHeight="1">
      <c r="A10030" s="35"/>
      <c r="C10030" s="442"/>
      <c r="P10030" s="235"/>
      <c r="AI10030" s="38"/>
    </row>
    <row r="10031" ht="15.75" customHeight="1">
      <c r="A10031" s="35"/>
      <c r="C10031" s="442"/>
      <c r="P10031" s="235"/>
      <c r="AI10031" s="38"/>
    </row>
    <row r="10032" ht="15.75" customHeight="1">
      <c r="A10032" s="35"/>
      <c r="C10032" s="442"/>
      <c r="P10032" s="235"/>
      <c r="AI10032" s="38"/>
    </row>
    <row r="10033" ht="15.75" customHeight="1">
      <c r="A10033" s="35"/>
      <c r="C10033" s="442"/>
      <c r="P10033" s="235"/>
      <c r="AI10033" s="38"/>
    </row>
    <row r="10034" ht="15.75" customHeight="1">
      <c r="A10034" s="35"/>
      <c r="C10034" s="442"/>
      <c r="P10034" s="235"/>
      <c r="AI10034" s="38"/>
    </row>
    <row r="10035" ht="15.75" customHeight="1">
      <c r="A10035" s="35"/>
      <c r="C10035" s="442"/>
      <c r="P10035" s="235"/>
      <c r="AI10035" s="38"/>
    </row>
    <row r="10036" ht="15.75" customHeight="1">
      <c r="A10036" s="35"/>
      <c r="C10036" s="442"/>
      <c r="P10036" s="235"/>
      <c r="AI10036" s="38"/>
    </row>
    <row r="10037" ht="15.75" customHeight="1">
      <c r="A10037" s="35"/>
      <c r="C10037" s="442"/>
      <c r="P10037" s="235"/>
      <c r="AI10037" s="38"/>
    </row>
    <row r="10038" ht="15.75" customHeight="1">
      <c r="A10038" s="35"/>
      <c r="C10038" s="442"/>
      <c r="P10038" s="235"/>
      <c r="AI10038" s="38"/>
    </row>
    <row r="10039" ht="15.75" customHeight="1">
      <c r="A10039" s="35"/>
      <c r="C10039" s="442"/>
      <c r="P10039" s="235"/>
      <c r="AI10039" s="38"/>
    </row>
    <row r="10040" ht="15.75" customHeight="1">
      <c r="A10040" s="35"/>
      <c r="C10040" s="442"/>
      <c r="P10040" s="235"/>
      <c r="AI10040" s="38"/>
    </row>
    <row r="10041" ht="15.75" customHeight="1">
      <c r="A10041" s="35"/>
      <c r="C10041" s="442"/>
      <c r="P10041" s="235"/>
      <c r="AI10041" s="38"/>
    </row>
    <row r="10042" ht="15.75" customHeight="1">
      <c r="A10042" s="35"/>
      <c r="C10042" s="442"/>
      <c r="P10042" s="235"/>
      <c r="AI10042" s="38"/>
    </row>
    <row r="10043" ht="15.75" customHeight="1">
      <c r="A10043" s="35"/>
      <c r="C10043" s="442"/>
      <c r="P10043" s="235"/>
      <c r="AI10043" s="38"/>
    </row>
    <row r="10044" ht="15.75" customHeight="1">
      <c r="A10044" s="35"/>
      <c r="C10044" s="442"/>
      <c r="P10044" s="235"/>
      <c r="AI10044" s="38"/>
    </row>
    <row r="10045" ht="15.75" customHeight="1">
      <c r="A10045" s="35"/>
      <c r="C10045" s="442"/>
      <c r="P10045" s="235"/>
      <c r="AI10045" s="38"/>
    </row>
    <row r="10046" ht="15.75" customHeight="1">
      <c r="A10046" s="35"/>
      <c r="C10046" s="442"/>
      <c r="P10046" s="235"/>
      <c r="AI10046" s="38"/>
    </row>
    <row r="10047" ht="15.75" customHeight="1">
      <c r="A10047" s="35"/>
      <c r="C10047" s="442"/>
      <c r="P10047" s="235"/>
      <c r="AI10047" s="38"/>
    </row>
    <row r="10048" ht="15.75" customHeight="1">
      <c r="A10048" s="35"/>
      <c r="C10048" s="442"/>
      <c r="P10048" s="235"/>
      <c r="AI10048" s="38"/>
    </row>
    <row r="10049" ht="15.75" customHeight="1">
      <c r="A10049" s="35"/>
      <c r="C10049" s="442"/>
      <c r="P10049" s="235"/>
      <c r="AI10049" s="38"/>
    </row>
    <row r="10050" ht="15.75" customHeight="1">
      <c r="A10050" s="35"/>
      <c r="C10050" s="442"/>
      <c r="P10050" s="235"/>
      <c r="AI10050" s="38"/>
    </row>
    <row r="10051" ht="15.75" customHeight="1">
      <c r="A10051" s="35"/>
      <c r="C10051" s="442"/>
      <c r="P10051" s="235"/>
      <c r="AI10051" s="38"/>
    </row>
    <row r="10052" ht="15.75" customHeight="1">
      <c r="A10052" s="35"/>
      <c r="C10052" s="442"/>
      <c r="P10052" s="235"/>
      <c r="AI10052" s="38"/>
    </row>
    <row r="10053" ht="15.75" customHeight="1">
      <c r="A10053" s="35"/>
      <c r="C10053" s="442"/>
      <c r="P10053" s="235"/>
      <c r="AI10053" s="38"/>
    </row>
    <row r="10054" ht="15.75" customHeight="1">
      <c r="A10054" s="35"/>
      <c r="C10054" s="442"/>
      <c r="P10054" s="235"/>
      <c r="AI10054" s="38"/>
    </row>
    <row r="10055" ht="15.75" customHeight="1">
      <c r="A10055" s="35"/>
      <c r="C10055" s="442"/>
      <c r="P10055" s="235"/>
      <c r="AI10055" s="38"/>
    </row>
    <row r="10056" ht="15.75" customHeight="1">
      <c r="A10056" s="35"/>
      <c r="C10056" s="442"/>
      <c r="P10056" s="235"/>
      <c r="AI10056" s="38"/>
    </row>
    <row r="10057" ht="15.75" customHeight="1">
      <c r="A10057" s="35"/>
      <c r="C10057" s="442"/>
      <c r="P10057" s="235"/>
      <c r="AI10057" s="38"/>
    </row>
    <row r="10058" ht="15.75" customHeight="1">
      <c r="A10058" s="35"/>
      <c r="C10058" s="442"/>
      <c r="P10058" s="235"/>
      <c r="AI10058" s="38"/>
    </row>
    <row r="10059" ht="15.75" customHeight="1">
      <c r="A10059" s="35"/>
      <c r="C10059" s="442"/>
      <c r="P10059" s="235"/>
      <c r="AI10059" s="38"/>
    </row>
    <row r="10060" ht="15.75" customHeight="1">
      <c r="A10060" s="35"/>
      <c r="C10060" s="442"/>
      <c r="P10060" s="235"/>
      <c r="AI10060" s="38"/>
    </row>
    <row r="10061" ht="15.75" customHeight="1">
      <c r="A10061" s="35"/>
      <c r="C10061" s="442"/>
      <c r="P10061" s="235"/>
      <c r="AI10061" s="38"/>
    </row>
    <row r="10062" ht="15.75" customHeight="1">
      <c r="A10062" s="35"/>
      <c r="C10062" s="442"/>
      <c r="P10062" s="235"/>
      <c r="AI10062" s="38"/>
    </row>
    <row r="10063" ht="15.75" customHeight="1">
      <c r="A10063" s="35"/>
      <c r="C10063" s="442"/>
      <c r="P10063" s="235"/>
      <c r="AI10063" s="38"/>
    </row>
    <row r="10064" ht="15.75" customHeight="1">
      <c r="A10064" s="35"/>
      <c r="C10064" s="442"/>
      <c r="P10064" s="235"/>
      <c r="AI10064" s="38"/>
    </row>
    <row r="10065" ht="15.75" customHeight="1">
      <c r="A10065" s="35"/>
      <c r="C10065" s="442"/>
      <c r="P10065" s="235"/>
      <c r="AI10065" s="38"/>
    </row>
    <row r="10066" ht="15.75" customHeight="1">
      <c r="A10066" s="35"/>
      <c r="C10066" s="442"/>
      <c r="P10066" s="235"/>
      <c r="AI10066" s="38"/>
    </row>
    <row r="10067" ht="15.75" customHeight="1">
      <c r="A10067" s="35"/>
      <c r="C10067" s="442"/>
      <c r="P10067" s="235"/>
      <c r="AI10067" s="38"/>
    </row>
    <row r="10068" ht="15.75" customHeight="1">
      <c r="A10068" s="35"/>
      <c r="C10068" s="442"/>
      <c r="P10068" s="235"/>
      <c r="AI10068" s="38"/>
    </row>
    <row r="10069" ht="15.75" customHeight="1">
      <c r="A10069" s="35"/>
      <c r="C10069" s="442"/>
      <c r="P10069" s="235"/>
      <c r="AI10069" s="38"/>
    </row>
    <row r="10070" ht="15.75" customHeight="1">
      <c r="A10070" s="35"/>
      <c r="C10070" s="442"/>
      <c r="P10070" s="235"/>
      <c r="AI10070" s="38"/>
    </row>
    <row r="10071" ht="15.75" customHeight="1">
      <c r="A10071" s="35"/>
      <c r="C10071" s="442"/>
      <c r="P10071" s="235"/>
      <c r="AI10071" s="38"/>
    </row>
    <row r="10072" ht="15.75" customHeight="1">
      <c r="A10072" s="35"/>
      <c r="C10072" s="442"/>
      <c r="P10072" s="235"/>
      <c r="AI10072" s="38"/>
    </row>
    <row r="10073" ht="15.75" customHeight="1">
      <c r="A10073" s="35"/>
      <c r="C10073" s="442"/>
      <c r="P10073" s="235"/>
      <c r="AI10073" s="38"/>
    </row>
    <row r="10074" ht="15.75" customHeight="1">
      <c r="A10074" s="35"/>
      <c r="C10074" s="442"/>
      <c r="P10074" s="235"/>
      <c r="AI10074" s="38"/>
    </row>
    <row r="10075" ht="15.75" customHeight="1">
      <c r="A10075" s="35"/>
      <c r="C10075" s="442"/>
      <c r="P10075" s="235"/>
      <c r="AI10075" s="38"/>
    </row>
    <row r="10076" ht="15.75" customHeight="1">
      <c r="A10076" s="35"/>
      <c r="C10076" s="442"/>
      <c r="P10076" s="235"/>
      <c r="AI10076" s="38"/>
    </row>
    <row r="10077" ht="15.75" customHeight="1">
      <c r="A10077" s="35"/>
      <c r="C10077" s="442"/>
      <c r="P10077" s="235"/>
      <c r="AI10077" s="38"/>
    </row>
    <row r="10078" ht="15.75" customHeight="1">
      <c r="A10078" s="35"/>
      <c r="C10078" s="442"/>
      <c r="P10078" s="235"/>
      <c r="AI10078" s="38"/>
    </row>
    <row r="10079" ht="15.75" customHeight="1">
      <c r="A10079" s="35"/>
      <c r="C10079" s="442"/>
      <c r="P10079" s="235"/>
      <c r="AI10079" s="38"/>
    </row>
    <row r="10080" ht="15.75" customHeight="1">
      <c r="A10080" s="35"/>
      <c r="C10080" s="442"/>
      <c r="P10080" s="235"/>
      <c r="AI10080" s="38"/>
    </row>
    <row r="10081" ht="15.75" customHeight="1">
      <c r="A10081" s="35"/>
      <c r="C10081" s="442"/>
      <c r="P10081" s="235"/>
      <c r="AI10081" s="38"/>
    </row>
    <row r="10082" ht="15.75" customHeight="1">
      <c r="A10082" s="35"/>
      <c r="C10082" s="442"/>
      <c r="P10082" s="235"/>
      <c r="AI10082" s="38"/>
    </row>
    <row r="10083" ht="15.75" customHeight="1">
      <c r="A10083" s="35"/>
      <c r="C10083" s="442"/>
      <c r="P10083" s="235"/>
      <c r="AI10083" s="38"/>
    </row>
    <row r="10084" ht="15.75" customHeight="1">
      <c r="A10084" s="35"/>
      <c r="C10084" s="442"/>
      <c r="P10084" s="235"/>
      <c r="AI10084" s="38"/>
    </row>
    <row r="10085" ht="15.75" customHeight="1">
      <c r="A10085" s="35"/>
      <c r="C10085" s="442"/>
      <c r="P10085" s="235"/>
      <c r="AI10085" s="38"/>
    </row>
    <row r="10086" ht="15.75" customHeight="1">
      <c r="A10086" s="35"/>
      <c r="C10086" s="442"/>
      <c r="P10086" s="235"/>
      <c r="AI10086" s="38"/>
    </row>
    <row r="10087" ht="15.75" customHeight="1">
      <c r="A10087" s="35"/>
      <c r="C10087" s="442"/>
      <c r="P10087" s="235"/>
      <c r="AI10087" s="38"/>
    </row>
    <row r="10088" ht="15.75" customHeight="1">
      <c r="A10088" s="35"/>
      <c r="C10088" s="442"/>
      <c r="P10088" s="235"/>
      <c r="AI10088" s="38"/>
    </row>
    <row r="10089" ht="15.75" customHeight="1">
      <c r="A10089" s="35"/>
      <c r="C10089" s="442"/>
      <c r="P10089" s="235"/>
      <c r="AI10089" s="38"/>
    </row>
    <row r="10090" ht="15.75" customHeight="1">
      <c r="A10090" s="35"/>
      <c r="C10090" s="442"/>
      <c r="P10090" s="235"/>
      <c r="AI10090" s="38"/>
    </row>
    <row r="10091" ht="15.75" customHeight="1">
      <c r="A10091" s="35"/>
      <c r="C10091" s="442"/>
      <c r="P10091" s="235"/>
      <c r="AI10091" s="38"/>
    </row>
    <row r="10092" ht="15.75" customHeight="1">
      <c r="A10092" s="35"/>
      <c r="C10092" s="442"/>
      <c r="P10092" s="235"/>
      <c r="AI10092" s="38"/>
    </row>
    <row r="10093" ht="15.75" customHeight="1">
      <c r="A10093" s="35"/>
      <c r="C10093" s="442"/>
      <c r="P10093" s="235"/>
      <c r="AI10093" s="38"/>
    </row>
    <row r="10094" ht="15.75" customHeight="1">
      <c r="A10094" s="35"/>
      <c r="C10094" s="442"/>
      <c r="P10094" s="235"/>
      <c r="AI10094" s="38"/>
    </row>
    <row r="10095" ht="15.75" customHeight="1">
      <c r="A10095" s="35"/>
      <c r="C10095" s="442"/>
      <c r="P10095" s="235"/>
      <c r="AI10095" s="38"/>
    </row>
    <row r="10096" ht="15.75" customHeight="1">
      <c r="A10096" s="35"/>
      <c r="C10096" s="442"/>
      <c r="P10096" s="235"/>
      <c r="AI10096" s="38"/>
    </row>
    <row r="10097" ht="15.75" customHeight="1">
      <c r="A10097" s="35"/>
      <c r="C10097" s="442"/>
      <c r="P10097" s="235"/>
      <c r="AI10097" s="38"/>
    </row>
    <row r="10098" ht="15.75" customHeight="1">
      <c r="A10098" s="35"/>
      <c r="C10098" s="442"/>
      <c r="P10098" s="235"/>
      <c r="AI10098" s="38"/>
    </row>
    <row r="10099" ht="15.75" customHeight="1">
      <c r="A10099" s="35"/>
      <c r="C10099" s="442"/>
      <c r="P10099" s="235"/>
      <c r="AI10099" s="38"/>
    </row>
    <row r="10100" ht="15.75" customHeight="1">
      <c r="A10100" s="35"/>
      <c r="C10100" s="442"/>
      <c r="P10100" s="235"/>
      <c r="AI10100" s="38"/>
    </row>
    <row r="10101" ht="15.75" customHeight="1">
      <c r="A10101" s="35"/>
      <c r="C10101" s="442"/>
      <c r="P10101" s="235"/>
      <c r="AI10101" s="38"/>
    </row>
    <row r="10102" ht="15.75" customHeight="1">
      <c r="A10102" s="35"/>
      <c r="C10102" s="442"/>
      <c r="P10102" s="235"/>
      <c r="AI10102" s="38"/>
    </row>
    <row r="10103" ht="15.75" customHeight="1">
      <c r="A10103" s="35"/>
      <c r="C10103" s="442"/>
      <c r="P10103" s="235"/>
      <c r="AI10103" s="38"/>
    </row>
    <row r="10104" ht="15.75" customHeight="1">
      <c r="A10104" s="35"/>
      <c r="C10104" s="442"/>
      <c r="P10104" s="235"/>
      <c r="AI10104" s="38"/>
    </row>
    <row r="10105" ht="15.75" customHeight="1">
      <c r="A10105" s="35"/>
      <c r="C10105" s="442"/>
      <c r="P10105" s="235"/>
      <c r="AI10105" s="38"/>
    </row>
    <row r="10106" ht="15.75" customHeight="1">
      <c r="A10106" s="35"/>
      <c r="C10106" s="442"/>
      <c r="P10106" s="235"/>
      <c r="AI10106" s="38"/>
    </row>
    <row r="10107" ht="15.75" customHeight="1">
      <c r="A10107" s="35"/>
      <c r="C10107" s="442"/>
      <c r="P10107" s="235"/>
      <c r="AI10107" s="38"/>
    </row>
    <row r="10108" ht="15.75" customHeight="1">
      <c r="A10108" s="35"/>
      <c r="C10108" s="442"/>
      <c r="P10108" s="235"/>
      <c r="AI10108" s="38"/>
    </row>
    <row r="10109" ht="15.75" customHeight="1">
      <c r="A10109" s="35"/>
      <c r="C10109" s="442"/>
      <c r="P10109" s="235"/>
      <c r="AI10109" s="38"/>
    </row>
    <row r="10110" ht="15.75" customHeight="1">
      <c r="A10110" s="35"/>
      <c r="C10110" s="442"/>
      <c r="P10110" s="235"/>
      <c r="AI10110" s="38"/>
    </row>
    <row r="10111" ht="15.75" customHeight="1">
      <c r="A10111" s="35"/>
      <c r="C10111" s="442"/>
      <c r="P10111" s="235"/>
      <c r="AI10111" s="38"/>
    </row>
    <row r="10112" ht="15.75" customHeight="1">
      <c r="A10112" s="35"/>
      <c r="C10112" s="442"/>
      <c r="P10112" s="235"/>
      <c r="AI10112" s="38"/>
    </row>
    <row r="10113" ht="15.75" customHeight="1">
      <c r="A10113" s="35"/>
      <c r="C10113" s="442"/>
      <c r="P10113" s="235"/>
      <c r="AI10113" s="38"/>
    </row>
    <row r="10114" ht="15.75" customHeight="1">
      <c r="A10114" s="35"/>
      <c r="C10114" s="442"/>
      <c r="P10114" s="235"/>
      <c r="AI10114" s="38"/>
    </row>
    <row r="10115" ht="15.75" customHeight="1">
      <c r="A10115" s="35"/>
      <c r="C10115" s="442"/>
      <c r="P10115" s="235"/>
      <c r="AI10115" s="38"/>
    </row>
    <row r="10116" ht="15.75" customHeight="1">
      <c r="A10116" s="35"/>
      <c r="C10116" s="442"/>
      <c r="P10116" s="235"/>
      <c r="AI10116" s="38"/>
    </row>
    <row r="10117" ht="15.75" customHeight="1">
      <c r="A10117" s="35"/>
      <c r="C10117" s="442"/>
      <c r="P10117" s="235"/>
      <c r="AI10117" s="38"/>
    </row>
    <row r="10118" ht="15.75" customHeight="1">
      <c r="A10118" s="35"/>
      <c r="C10118" s="442"/>
      <c r="P10118" s="235"/>
      <c r="AI10118" s="38"/>
    </row>
    <row r="10119" ht="15.75" customHeight="1">
      <c r="A10119" s="35"/>
      <c r="C10119" s="442"/>
      <c r="P10119" s="235"/>
      <c r="AI10119" s="38"/>
    </row>
    <row r="10120" ht="15.75" customHeight="1">
      <c r="A10120" s="35"/>
      <c r="C10120" s="442"/>
      <c r="P10120" s="235"/>
      <c r="AI10120" s="38"/>
    </row>
    <row r="10121" ht="15.75" customHeight="1">
      <c r="A10121" s="35"/>
      <c r="C10121" s="442"/>
      <c r="P10121" s="235"/>
      <c r="AI10121" s="38"/>
    </row>
    <row r="10122" ht="15.75" customHeight="1">
      <c r="A10122" s="35"/>
      <c r="C10122" s="442"/>
      <c r="P10122" s="235"/>
      <c r="AI10122" s="38"/>
    </row>
    <row r="10123" ht="15.75" customHeight="1">
      <c r="A10123" s="35"/>
      <c r="C10123" s="442"/>
      <c r="P10123" s="235"/>
      <c r="AI10123" s="38"/>
    </row>
    <row r="10124" ht="15.75" customHeight="1">
      <c r="A10124" s="35"/>
      <c r="C10124" s="442"/>
      <c r="P10124" s="235"/>
      <c r="AI10124" s="38"/>
    </row>
    <row r="10125" ht="15.75" customHeight="1">
      <c r="A10125" s="35"/>
      <c r="C10125" s="442"/>
      <c r="P10125" s="235"/>
      <c r="AI10125" s="38"/>
    </row>
    <row r="10126" ht="15.75" customHeight="1">
      <c r="A10126" s="35"/>
      <c r="C10126" s="442"/>
      <c r="P10126" s="235"/>
      <c r="AI10126" s="38"/>
    </row>
    <row r="10127" ht="15.75" customHeight="1">
      <c r="A10127" s="35"/>
      <c r="C10127" s="442"/>
      <c r="P10127" s="235"/>
      <c r="AI10127" s="38"/>
    </row>
    <row r="10128" ht="15.75" customHeight="1">
      <c r="A10128" s="35"/>
      <c r="C10128" s="442"/>
      <c r="P10128" s="235"/>
      <c r="AI10128" s="38"/>
    </row>
    <row r="10129" ht="15.75" customHeight="1">
      <c r="A10129" s="35"/>
      <c r="C10129" s="442"/>
      <c r="P10129" s="235"/>
      <c r="AI10129" s="38"/>
    </row>
    <row r="10130" ht="15.75" customHeight="1">
      <c r="A10130" s="35"/>
      <c r="C10130" s="442"/>
      <c r="P10130" s="235"/>
      <c r="AI10130" s="38"/>
    </row>
    <row r="10131" ht="15.75" customHeight="1">
      <c r="A10131" s="35"/>
      <c r="C10131" s="442"/>
      <c r="P10131" s="235"/>
      <c r="AI10131" s="38"/>
    </row>
    <row r="10132" ht="15.75" customHeight="1">
      <c r="A10132" s="35"/>
      <c r="C10132" s="442"/>
      <c r="P10132" s="235"/>
      <c r="AI10132" s="38"/>
    </row>
    <row r="10133" ht="15.75" customHeight="1">
      <c r="A10133" s="35"/>
      <c r="C10133" s="442"/>
      <c r="P10133" s="235"/>
      <c r="AI10133" s="38"/>
    </row>
    <row r="10134" ht="15.75" customHeight="1">
      <c r="A10134" s="35"/>
      <c r="C10134" s="442"/>
      <c r="P10134" s="235"/>
      <c r="AI10134" s="38"/>
    </row>
    <row r="10135" ht="15.75" customHeight="1">
      <c r="A10135" s="35"/>
      <c r="C10135" s="442"/>
      <c r="P10135" s="235"/>
      <c r="AI10135" s="38"/>
    </row>
    <row r="10136" ht="15.75" customHeight="1">
      <c r="A10136" s="35"/>
      <c r="C10136" s="442"/>
      <c r="P10136" s="235"/>
      <c r="AI10136" s="38"/>
    </row>
    <row r="10137" ht="15.75" customHeight="1">
      <c r="A10137" s="35"/>
      <c r="C10137" s="442"/>
      <c r="P10137" s="235"/>
      <c r="AI10137" s="38"/>
    </row>
    <row r="10138" ht="15.75" customHeight="1">
      <c r="A10138" s="35"/>
      <c r="C10138" s="442"/>
      <c r="P10138" s="235"/>
      <c r="AI10138" s="38"/>
    </row>
    <row r="10139" ht="15.75" customHeight="1">
      <c r="A10139" s="35"/>
      <c r="C10139" s="442"/>
      <c r="P10139" s="235"/>
      <c r="AI10139" s="38"/>
    </row>
    <row r="10140" ht="15.75" customHeight="1">
      <c r="A10140" s="35"/>
      <c r="C10140" s="442"/>
      <c r="P10140" s="235"/>
      <c r="AI10140" s="38"/>
    </row>
    <row r="10141" ht="15.75" customHeight="1">
      <c r="A10141" s="35"/>
      <c r="C10141" s="442"/>
      <c r="P10141" s="235"/>
      <c r="AI10141" s="38"/>
    </row>
    <row r="10142" ht="15.75" customHeight="1">
      <c r="A10142" s="35"/>
      <c r="C10142" s="442"/>
      <c r="P10142" s="235"/>
      <c r="AI10142" s="38"/>
    </row>
    <row r="10143" ht="15.75" customHeight="1">
      <c r="A10143" s="35"/>
      <c r="C10143" s="442"/>
      <c r="P10143" s="235"/>
      <c r="AI10143" s="38"/>
    </row>
    <row r="10144" ht="15.75" customHeight="1">
      <c r="A10144" s="35"/>
      <c r="C10144" s="442"/>
      <c r="P10144" s="235"/>
      <c r="AI10144" s="38"/>
    </row>
    <row r="10145" ht="15.75" customHeight="1">
      <c r="A10145" s="35"/>
      <c r="C10145" s="442"/>
      <c r="P10145" s="235"/>
      <c r="AI10145" s="38"/>
    </row>
    <row r="10146" ht="15.75" customHeight="1">
      <c r="A10146" s="35"/>
      <c r="C10146" s="442"/>
      <c r="P10146" s="235"/>
      <c r="AI10146" s="38"/>
    </row>
    <row r="10147" ht="15.75" customHeight="1">
      <c r="A10147" s="35"/>
      <c r="C10147" s="442"/>
      <c r="P10147" s="235"/>
      <c r="AI10147" s="38"/>
    </row>
    <row r="10148" ht="15.75" customHeight="1">
      <c r="A10148" s="35"/>
      <c r="C10148" s="442"/>
      <c r="P10148" s="235"/>
      <c r="AI10148" s="38"/>
    </row>
    <row r="10149" ht="15.75" customHeight="1">
      <c r="A10149" s="35"/>
      <c r="C10149" s="442"/>
      <c r="P10149" s="235"/>
      <c r="AI10149" s="38"/>
    </row>
    <row r="10150" ht="15.75" customHeight="1">
      <c r="A10150" s="35"/>
      <c r="C10150" s="442"/>
      <c r="P10150" s="235"/>
      <c r="AI10150" s="38"/>
    </row>
    <row r="10151" ht="15.75" customHeight="1">
      <c r="A10151" s="35"/>
      <c r="C10151" s="442"/>
      <c r="P10151" s="235"/>
      <c r="AI10151" s="38"/>
    </row>
    <row r="10152" ht="15.75" customHeight="1">
      <c r="A10152" s="35"/>
      <c r="C10152" s="442"/>
      <c r="P10152" s="235"/>
      <c r="AI10152" s="38"/>
    </row>
    <row r="10153" ht="15.75" customHeight="1">
      <c r="A10153" s="35"/>
      <c r="C10153" s="442"/>
      <c r="P10153" s="235"/>
      <c r="AI10153" s="38"/>
    </row>
    <row r="10154" ht="15.75" customHeight="1">
      <c r="A10154" s="35"/>
      <c r="C10154" s="442"/>
      <c r="P10154" s="235"/>
      <c r="AI10154" s="38"/>
    </row>
    <row r="10155" ht="15.75" customHeight="1">
      <c r="A10155" s="35"/>
      <c r="C10155" s="442"/>
      <c r="P10155" s="235"/>
      <c r="AI10155" s="38"/>
    </row>
    <row r="10156" ht="15.75" customHeight="1">
      <c r="A10156" s="35"/>
      <c r="C10156" s="442"/>
      <c r="P10156" s="235"/>
      <c r="AI10156" s="38"/>
    </row>
    <row r="10157" ht="15.75" customHeight="1">
      <c r="A10157" s="35"/>
      <c r="C10157" s="442"/>
      <c r="P10157" s="235"/>
      <c r="AI10157" s="38"/>
    </row>
    <row r="10158" ht="15.75" customHeight="1">
      <c r="A10158" s="35"/>
      <c r="C10158" s="442"/>
      <c r="P10158" s="235"/>
      <c r="AI10158" s="38"/>
    </row>
    <row r="10159" ht="15.75" customHeight="1">
      <c r="A10159" s="35"/>
      <c r="C10159" s="442"/>
      <c r="P10159" s="235"/>
      <c r="AI10159" s="38"/>
    </row>
    <row r="10160" ht="15.75" customHeight="1">
      <c r="A10160" s="35"/>
      <c r="C10160" s="442"/>
      <c r="P10160" s="235"/>
      <c r="AI10160" s="38"/>
    </row>
    <row r="10161" ht="15.75" customHeight="1">
      <c r="A10161" s="35"/>
      <c r="C10161" s="442"/>
      <c r="P10161" s="235"/>
      <c r="AI10161" s="38"/>
    </row>
    <row r="10162" ht="15.75" customHeight="1">
      <c r="A10162" s="35"/>
      <c r="C10162" s="442"/>
      <c r="P10162" s="235"/>
      <c r="AI10162" s="38"/>
    </row>
    <row r="10163" ht="15.75" customHeight="1">
      <c r="A10163" s="35"/>
      <c r="C10163" s="442"/>
      <c r="P10163" s="235"/>
      <c r="AI10163" s="38"/>
    </row>
    <row r="10164" ht="15.75" customHeight="1">
      <c r="A10164" s="35"/>
      <c r="C10164" s="442"/>
      <c r="P10164" s="235"/>
      <c r="AI10164" s="38"/>
    </row>
    <row r="10165" ht="15.75" customHeight="1">
      <c r="A10165" s="35"/>
      <c r="C10165" s="442"/>
      <c r="P10165" s="235"/>
      <c r="AI10165" s="38"/>
    </row>
    <row r="10166" ht="15.75" customHeight="1">
      <c r="A10166" s="35"/>
      <c r="C10166" s="442"/>
      <c r="P10166" s="235"/>
      <c r="AI10166" s="38"/>
    </row>
    <row r="10167" ht="15.75" customHeight="1">
      <c r="A10167" s="35"/>
      <c r="C10167" s="442"/>
      <c r="P10167" s="235"/>
      <c r="AI10167" s="38"/>
    </row>
    <row r="10168" ht="15.75" customHeight="1">
      <c r="A10168" s="35"/>
      <c r="C10168" s="442"/>
      <c r="P10168" s="235"/>
      <c r="AI10168" s="38"/>
    </row>
    <row r="10169" ht="15.75" customHeight="1">
      <c r="A10169" s="35"/>
      <c r="C10169" s="442"/>
      <c r="P10169" s="235"/>
      <c r="AI10169" s="38"/>
    </row>
    <row r="10170" ht="15.75" customHeight="1">
      <c r="A10170" s="35"/>
      <c r="C10170" s="442"/>
      <c r="P10170" s="235"/>
      <c r="AI10170" s="38"/>
    </row>
    <row r="10171" ht="15.75" customHeight="1">
      <c r="A10171" s="35"/>
      <c r="C10171" s="442"/>
      <c r="P10171" s="235"/>
      <c r="AI10171" s="38"/>
    </row>
    <row r="10172" ht="15.75" customHeight="1">
      <c r="A10172" s="35"/>
      <c r="C10172" s="442"/>
      <c r="P10172" s="235"/>
      <c r="AI10172" s="38"/>
    </row>
    <row r="10173" ht="15.75" customHeight="1">
      <c r="A10173" s="35"/>
      <c r="C10173" s="442"/>
      <c r="P10173" s="235"/>
      <c r="AI10173" s="38"/>
    </row>
    <row r="10174" ht="15.75" customHeight="1">
      <c r="A10174" s="35"/>
      <c r="C10174" s="442"/>
      <c r="P10174" s="235"/>
      <c r="AI10174" s="38"/>
    </row>
    <row r="10175" ht="15.75" customHeight="1">
      <c r="A10175" s="35"/>
      <c r="C10175" s="442"/>
      <c r="P10175" s="235"/>
      <c r="AI10175" s="38"/>
    </row>
    <row r="10176" ht="15.75" customHeight="1">
      <c r="A10176" s="35"/>
      <c r="C10176" s="442"/>
      <c r="P10176" s="235"/>
      <c r="AI10176" s="38"/>
    </row>
    <row r="10177" ht="15.75" customHeight="1">
      <c r="A10177" s="35"/>
      <c r="C10177" s="442"/>
      <c r="P10177" s="235"/>
      <c r="AI10177" s="38"/>
    </row>
    <row r="10178" ht="15.75" customHeight="1">
      <c r="A10178" s="35"/>
      <c r="C10178" s="442"/>
      <c r="P10178" s="235"/>
      <c r="AI10178" s="38"/>
    </row>
    <row r="10179" ht="15.75" customHeight="1">
      <c r="A10179" s="35"/>
      <c r="C10179" s="442"/>
      <c r="P10179" s="235"/>
      <c r="AI10179" s="38"/>
    </row>
    <row r="10180" ht="15.75" customHeight="1">
      <c r="A10180" s="35"/>
      <c r="C10180" s="442"/>
      <c r="P10180" s="235"/>
      <c r="AI10180" s="38"/>
    </row>
    <row r="10181" ht="15.75" customHeight="1">
      <c r="A10181" s="35"/>
      <c r="C10181" s="442"/>
      <c r="P10181" s="235"/>
      <c r="AI10181" s="38"/>
    </row>
    <row r="10182" ht="15.75" customHeight="1">
      <c r="A10182" s="35"/>
      <c r="C10182" s="442"/>
      <c r="P10182" s="235"/>
      <c r="AI10182" s="38"/>
    </row>
    <row r="10183" ht="15.75" customHeight="1">
      <c r="A10183" s="35"/>
      <c r="C10183" s="442"/>
      <c r="P10183" s="235"/>
      <c r="AI10183" s="38"/>
    </row>
    <row r="10184" ht="15.75" customHeight="1">
      <c r="A10184" s="35"/>
      <c r="C10184" s="442"/>
      <c r="P10184" s="235"/>
      <c r="AI10184" s="38"/>
    </row>
    <row r="10185" ht="15.75" customHeight="1">
      <c r="A10185" s="35"/>
      <c r="C10185" s="442"/>
      <c r="P10185" s="235"/>
      <c r="AI10185" s="38"/>
    </row>
    <row r="10186" ht="15.75" customHeight="1">
      <c r="A10186" s="35"/>
      <c r="C10186" s="442"/>
      <c r="P10186" s="235"/>
      <c r="AI10186" s="38"/>
    </row>
    <row r="10187" ht="15.75" customHeight="1">
      <c r="A10187" s="35"/>
      <c r="C10187" s="442"/>
      <c r="P10187" s="235"/>
      <c r="AI10187" s="38"/>
    </row>
    <row r="10188" ht="15.75" customHeight="1">
      <c r="A10188" s="35"/>
      <c r="C10188" s="442"/>
      <c r="P10188" s="235"/>
      <c r="AI10188" s="38"/>
    </row>
    <row r="10189" ht="15.75" customHeight="1">
      <c r="A10189" s="35"/>
      <c r="C10189" s="442"/>
      <c r="P10189" s="235"/>
      <c r="AI10189" s="38"/>
    </row>
    <row r="10190" ht="15.75" customHeight="1">
      <c r="A10190" s="35"/>
      <c r="C10190" s="442"/>
      <c r="P10190" s="235"/>
      <c r="AI10190" s="38"/>
    </row>
    <row r="10191" ht="15.75" customHeight="1">
      <c r="A10191" s="35"/>
      <c r="C10191" s="442"/>
      <c r="P10191" s="235"/>
      <c r="AI10191" s="38"/>
    </row>
    <row r="10192" ht="15.75" customHeight="1">
      <c r="A10192" s="35"/>
      <c r="C10192" s="442"/>
      <c r="P10192" s="235"/>
      <c r="AI10192" s="38"/>
    </row>
    <row r="10193" ht="15.75" customHeight="1">
      <c r="A10193" s="35"/>
      <c r="C10193" s="442"/>
      <c r="P10193" s="235"/>
      <c r="AI10193" s="38"/>
    </row>
    <row r="10194" ht="15.75" customHeight="1">
      <c r="A10194" s="35"/>
      <c r="C10194" s="442"/>
      <c r="P10194" s="235"/>
      <c r="AI10194" s="38"/>
    </row>
    <row r="10195" ht="15.75" customHeight="1">
      <c r="A10195" s="35"/>
      <c r="C10195" s="442"/>
      <c r="P10195" s="235"/>
      <c r="AI10195" s="38"/>
    </row>
    <row r="10196" ht="15.75" customHeight="1">
      <c r="A10196" s="35"/>
      <c r="C10196" s="442"/>
      <c r="P10196" s="235"/>
      <c r="AI10196" s="38"/>
    </row>
    <row r="10197" ht="15.75" customHeight="1">
      <c r="A10197" s="35"/>
      <c r="C10197" s="442"/>
      <c r="P10197" s="235"/>
      <c r="AI10197" s="38"/>
    </row>
    <row r="10198" ht="15.75" customHeight="1">
      <c r="A10198" s="35"/>
      <c r="C10198" s="442"/>
      <c r="P10198" s="235"/>
      <c r="AI10198" s="38"/>
    </row>
    <row r="10199" ht="15.75" customHeight="1">
      <c r="A10199" s="35"/>
      <c r="C10199" s="442"/>
      <c r="P10199" s="235"/>
      <c r="AI10199" s="38"/>
    </row>
    <row r="10200" ht="15.75" customHeight="1">
      <c r="A10200" s="35"/>
      <c r="C10200" s="442"/>
      <c r="P10200" s="235"/>
      <c r="AI10200" s="38"/>
    </row>
    <row r="10201" ht="15.75" customHeight="1">
      <c r="A10201" s="35"/>
      <c r="C10201" s="442"/>
      <c r="P10201" s="235"/>
      <c r="AI10201" s="38"/>
    </row>
    <row r="10202" ht="15.75" customHeight="1">
      <c r="A10202" s="35"/>
      <c r="C10202" s="442"/>
      <c r="P10202" s="235"/>
      <c r="AI10202" s="38"/>
    </row>
    <row r="10203" ht="15.75" customHeight="1">
      <c r="A10203" s="35"/>
      <c r="C10203" s="442"/>
      <c r="P10203" s="235"/>
      <c r="AI10203" s="38"/>
    </row>
    <row r="10204" ht="15.75" customHeight="1">
      <c r="A10204" s="35"/>
      <c r="C10204" s="442"/>
      <c r="P10204" s="235"/>
      <c r="AI10204" s="38"/>
    </row>
    <row r="10205" ht="15.75" customHeight="1">
      <c r="A10205" s="35"/>
      <c r="C10205" s="442"/>
      <c r="P10205" s="235"/>
      <c r="AI10205" s="38"/>
    </row>
    <row r="10206" ht="15.75" customHeight="1">
      <c r="A10206" s="35"/>
      <c r="C10206" s="442"/>
      <c r="P10206" s="235"/>
      <c r="AI10206" s="38"/>
    </row>
    <row r="10207" ht="15.75" customHeight="1">
      <c r="A10207" s="35"/>
      <c r="C10207" s="442"/>
      <c r="P10207" s="235"/>
      <c r="AI10207" s="38"/>
    </row>
    <row r="10208" ht="15.75" customHeight="1">
      <c r="A10208" s="35"/>
      <c r="C10208" s="442"/>
      <c r="P10208" s="235"/>
      <c r="AI10208" s="38"/>
    </row>
    <row r="10209" ht="15.75" customHeight="1">
      <c r="A10209" s="35"/>
      <c r="C10209" s="442"/>
      <c r="P10209" s="235"/>
      <c r="AI10209" s="38"/>
    </row>
    <row r="10210" ht="15.75" customHeight="1">
      <c r="A10210" s="35"/>
      <c r="C10210" s="442"/>
      <c r="P10210" s="235"/>
      <c r="AI10210" s="38"/>
    </row>
    <row r="10211" ht="15.75" customHeight="1">
      <c r="A10211" s="35"/>
      <c r="C10211" s="442"/>
      <c r="P10211" s="235"/>
      <c r="AI10211" s="38"/>
    </row>
    <row r="10212" ht="15.75" customHeight="1">
      <c r="A10212" s="35"/>
      <c r="C10212" s="442"/>
      <c r="P10212" s="235"/>
      <c r="AI10212" s="38"/>
    </row>
    <row r="10213" ht="15.75" customHeight="1">
      <c r="A10213" s="35"/>
      <c r="C10213" s="442"/>
      <c r="P10213" s="235"/>
      <c r="AI10213" s="38"/>
    </row>
    <row r="10214" ht="15.75" customHeight="1">
      <c r="A10214" s="35"/>
      <c r="C10214" s="442"/>
      <c r="P10214" s="235"/>
      <c r="AI10214" s="38"/>
    </row>
    <row r="10215" ht="15.75" customHeight="1">
      <c r="A10215" s="35"/>
      <c r="C10215" s="442"/>
      <c r="P10215" s="235"/>
      <c r="AI10215" s="38"/>
    </row>
    <row r="10216" ht="15.75" customHeight="1">
      <c r="A10216" s="35"/>
      <c r="C10216" s="442"/>
      <c r="P10216" s="235"/>
      <c r="AI10216" s="38"/>
    </row>
    <row r="10217" ht="15.75" customHeight="1">
      <c r="A10217" s="35"/>
      <c r="C10217" s="442"/>
      <c r="P10217" s="235"/>
      <c r="AI10217" s="38"/>
    </row>
    <row r="10218" ht="15.75" customHeight="1">
      <c r="A10218" s="35"/>
      <c r="C10218" s="442"/>
      <c r="P10218" s="235"/>
      <c r="AI10218" s="38"/>
    </row>
    <row r="10219" ht="15.75" customHeight="1">
      <c r="A10219" s="35"/>
      <c r="C10219" s="442"/>
      <c r="P10219" s="235"/>
      <c r="AI10219" s="38"/>
    </row>
    <row r="10220" ht="15.75" customHeight="1">
      <c r="A10220" s="35"/>
      <c r="C10220" s="442"/>
      <c r="P10220" s="235"/>
      <c r="AI10220" s="38"/>
    </row>
    <row r="10221" ht="15.75" customHeight="1">
      <c r="A10221" s="35"/>
      <c r="C10221" s="442"/>
      <c r="P10221" s="235"/>
      <c r="AI10221" s="38"/>
    </row>
    <row r="10222" ht="15.75" customHeight="1">
      <c r="A10222" s="35"/>
      <c r="C10222" s="442"/>
      <c r="P10222" s="235"/>
      <c r="AI10222" s="38"/>
    </row>
    <row r="10223" ht="15.75" customHeight="1">
      <c r="A10223" s="35"/>
      <c r="C10223" s="442"/>
      <c r="P10223" s="235"/>
      <c r="AI10223" s="38"/>
    </row>
    <row r="10224" ht="15.75" customHeight="1">
      <c r="A10224" s="35"/>
      <c r="C10224" s="442"/>
      <c r="P10224" s="235"/>
      <c r="AI10224" s="38"/>
    </row>
    <row r="10225" ht="15.75" customHeight="1">
      <c r="A10225" s="35"/>
      <c r="C10225" s="442"/>
      <c r="P10225" s="235"/>
      <c r="AI10225" s="38"/>
    </row>
    <row r="10226" ht="15.75" customHeight="1">
      <c r="A10226" s="35"/>
      <c r="C10226" s="442"/>
      <c r="P10226" s="235"/>
      <c r="AI10226" s="38"/>
    </row>
    <row r="10227" ht="15.75" customHeight="1">
      <c r="A10227" s="35"/>
      <c r="C10227" s="442"/>
      <c r="P10227" s="235"/>
      <c r="AI10227" s="38"/>
    </row>
    <row r="10228" ht="15.75" customHeight="1">
      <c r="A10228" s="35"/>
      <c r="C10228" s="442"/>
      <c r="P10228" s="235"/>
      <c r="AI10228" s="38"/>
    </row>
    <row r="10229" ht="15.75" customHeight="1">
      <c r="A10229" s="35"/>
      <c r="C10229" s="442"/>
      <c r="P10229" s="235"/>
      <c r="AI10229" s="38"/>
    </row>
    <row r="10230" ht="15.75" customHeight="1">
      <c r="A10230" s="35"/>
      <c r="C10230" s="442"/>
      <c r="P10230" s="235"/>
      <c r="AI10230" s="38"/>
    </row>
    <row r="10231" ht="15.75" customHeight="1">
      <c r="A10231" s="35"/>
      <c r="C10231" s="442"/>
      <c r="P10231" s="235"/>
      <c r="AI10231" s="38"/>
    </row>
    <row r="10232" ht="15.75" customHeight="1">
      <c r="A10232" s="35"/>
      <c r="C10232" s="442"/>
      <c r="P10232" s="235"/>
      <c r="AI10232" s="38"/>
    </row>
    <row r="10233" ht="15.75" customHeight="1">
      <c r="A10233" s="35"/>
      <c r="C10233" s="442"/>
      <c r="P10233" s="235"/>
      <c r="AI10233" s="38"/>
    </row>
    <row r="10234" ht="15.75" customHeight="1">
      <c r="A10234" s="35"/>
      <c r="C10234" s="442"/>
      <c r="P10234" s="235"/>
      <c r="AI10234" s="38"/>
    </row>
    <row r="10235" ht="15.75" customHeight="1">
      <c r="A10235" s="35"/>
      <c r="C10235" s="442"/>
      <c r="P10235" s="235"/>
      <c r="AI10235" s="38"/>
    </row>
    <row r="10236" ht="15.75" customHeight="1">
      <c r="A10236" s="35"/>
      <c r="C10236" s="442"/>
      <c r="P10236" s="235"/>
      <c r="AI10236" s="38"/>
    </row>
    <row r="10237" ht="15.75" customHeight="1">
      <c r="A10237" s="35"/>
      <c r="C10237" s="442"/>
      <c r="P10237" s="235"/>
      <c r="AI10237" s="38"/>
    </row>
    <row r="10238" ht="15.75" customHeight="1">
      <c r="A10238" s="35"/>
      <c r="C10238" s="442"/>
      <c r="P10238" s="235"/>
      <c r="AI10238" s="38"/>
    </row>
    <row r="10239" ht="15.75" customHeight="1">
      <c r="A10239" s="35"/>
      <c r="C10239" s="442"/>
      <c r="P10239" s="235"/>
      <c r="AI10239" s="38"/>
    </row>
    <row r="10240" ht="15.75" customHeight="1">
      <c r="A10240" s="35"/>
      <c r="C10240" s="442"/>
      <c r="P10240" s="235"/>
      <c r="AI10240" s="38"/>
    </row>
    <row r="10241" ht="15.75" customHeight="1">
      <c r="A10241" s="35"/>
      <c r="C10241" s="442"/>
      <c r="P10241" s="235"/>
      <c r="AI10241" s="38"/>
    </row>
    <row r="10242" ht="15.75" customHeight="1">
      <c r="A10242" s="35"/>
      <c r="C10242" s="442"/>
      <c r="P10242" s="235"/>
      <c r="AI10242" s="38"/>
    </row>
    <row r="10243" ht="15.75" customHeight="1">
      <c r="A10243" s="35"/>
      <c r="C10243" s="442"/>
      <c r="P10243" s="235"/>
      <c r="AI10243" s="38"/>
    </row>
    <row r="10244" ht="15.75" customHeight="1">
      <c r="A10244" s="35"/>
      <c r="C10244" s="442"/>
      <c r="P10244" s="235"/>
      <c r="AI10244" s="38"/>
    </row>
    <row r="10245" ht="15.75" customHeight="1">
      <c r="A10245" s="35"/>
      <c r="C10245" s="442"/>
      <c r="P10245" s="235"/>
      <c r="AI10245" s="38"/>
    </row>
    <row r="10246" ht="15.75" customHeight="1">
      <c r="A10246" s="35"/>
      <c r="C10246" s="442"/>
      <c r="P10246" s="235"/>
      <c r="AI10246" s="38"/>
    </row>
    <row r="10247" ht="15.75" customHeight="1">
      <c r="A10247" s="35"/>
      <c r="C10247" s="442"/>
      <c r="P10247" s="235"/>
      <c r="AI10247" s="38"/>
    </row>
    <row r="10248" ht="15.75" customHeight="1">
      <c r="A10248" s="35"/>
      <c r="C10248" s="442"/>
      <c r="P10248" s="235"/>
      <c r="AI10248" s="38"/>
    </row>
    <row r="10249" ht="15.75" customHeight="1">
      <c r="A10249" s="35"/>
      <c r="C10249" s="442"/>
      <c r="P10249" s="235"/>
      <c r="AI10249" s="38"/>
    </row>
    <row r="10250" ht="15.75" customHeight="1">
      <c r="A10250" s="35"/>
      <c r="C10250" s="442"/>
      <c r="P10250" s="235"/>
      <c r="AI10250" s="38"/>
    </row>
    <row r="10251" ht="15.75" customHeight="1">
      <c r="A10251" s="35"/>
      <c r="C10251" s="442"/>
      <c r="P10251" s="235"/>
      <c r="AI10251" s="38"/>
    </row>
    <row r="10252" ht="15.75" customHeight="1">
      <c r="A10252" s="35"/>
      <c r="C10252" s="442"/>
      <c r="P10252" s="235"/>
      <c r="AI10252" s="38"/>
    </row>
    <row r="10253" ht="15.75" customHeight="1">
      <c r="A10253" s="35"/>
      <c r="C10253" s="442"/>
      <c r="P10253" s="235"/>
      <c r="AI10253" s="38"/>
    </row>
    <row r="10254" ht="15.75" customHeight="1">
      <c r="A10254" s="35"/>
      <c r="C10254" s="442"/>
      <c r="P10254" s="235"/>
      <c r="AI10254" s="38"/>
    </row>
    <row r="10255" ht="15.75" customHeight="1">
      <c r="A10255" s="35"/>
      <c r="C10255" s="442"/>
      <c r="P10255" s="235"/>
      <c r="AI10255" s="38"/>
    </row>
    <row r="10256" ht="15.75" customHeight="1">
      <c r="A10256" s="35"/>
      <c r="C10256" s="442"/>
      <c r="P10256" s="235"/>
      <c r="AI10256" s="38"/>
    </row>
    <row r="10257" ht="15.75" customHeight="1">
      <c r="A10257" s="35"/>
      <c r="C10257" s="442"/>
      <c r="P10257" s="235"/>
      <c r="AI10257" s="38"/>
    </row>
    <row r="10258" ht="15.75" customHeight="1">
      <c r="A10258" s="35"/>
      <c r="C10258" s="442"/>
      <c r="P10258" s="235"/>
      <c r="AI10258" s="38"/>
    </row>
    <row r="10259" ht="15.75" customHeight="1">
      <c r="A10259" s="35"/>
      <c r="C10259" s="442"/>
      <c r="P10259" s="235"/>
      <c r="AI10259" s="38"/>
    </row>
    <row r="10260" ht="15.75" customHeight="1">
      <c r="A10260" s="35"/>
      <c r="C10260" s="442"/>
      <c r="P10260" s="235"/>
      <c r="AI10260" s="38"/>
    </row>
    <row r="10261" ht="15.75" customHeight="1">
      <c r="A10261" s="35"/>
      <c r="C10261" s="442"/>
      <c r="P10261" s="235"/>
      <c r="AI10261" s="38"/>
    </row>
    <row r="10262" ht="15.75" customHeight="1">
      <c r="A10262" s="35"/>
      <c r="C10262" s="442"/>
      <c r="P10262" s="235"/>
      <c r="AI10262" s="38"/>
    </row>
    <row r="10263" ht="15.75" customHeight="1">
      <c r="A10263" s="35"/>
      <c r="C10263" s="442"/>
      <c r="P10263" s="235"/>
      <c r="AI10263" s="38"/>
    </row>
    <row r="10264" ht="15.75" customHeight="1">
      <c r="A10264" s="35"/>
      <c r="C10264" s="442"/>
      <c r="P10264" s="235"/>
      <c r="AI10264" s="38"/>
    </row>
    <row r="10265" ht="15.75" customHeight="1">
      <c r="A10265" s="35"/>
      <c r="C10265" s="442"/>
      <c r="P10265" s="235"/>
      <c r="AI10265" s="38"/>
    </row>
    <row r="10266" ht="15.75" customHeight="1">
      <c r="A10266" s="35"/>
      <c r="C10266" s="442"/>
      <c r="P10266" s="235"/>
      <c r="AI10266" s="38"/>
    </row>
    <row r="10267" ht="15.75" customHeight="1">
      <c r="A10267" s="35"/>
      <c r="C10267" s="442"/>
      <c r="P10267" s="235"/>
      <c r="AI10267" s="38"/>
    </row>
    <row r="10268" ht="15.75" customHeight="1">
      <c r="A10268" s="35"/>
      <c r="C10268" s="442"/>
      <c r="P10268" s="235"/>
      <c r="AI10268" s="38"/>
    </row>
    <row r="10269" ht="15.75" customHeight="1">
      <c r="A10269" s="35"/>
      <c r="C10269" s="442"/>
      <c r="P10269" s="235"/>
      <c r="AI10269" s="38"/>
    </row>
    <row r="10270" ht="15.75" customHeight="1">
      <c r="A10270" s="35"/>
      <c r="C10270" s="442"/>
      <c r="P10270" s="235"/>
      <c r="AI10270" s="38"/>
    </row>
    <row r="10271" ht="15.75" customHeight="1">
      <c r="A10271" s="35"/>
      <c r="C10271" s="442"/>
      <c r="P10271" s="235"/>
      <c r="AI10271" s="38"/>
    </row>
    <row r="10272" ht="15.75" customHeight="1">
      <c r="A10272" s="35"/>
      <c r="C10272" s="442"/>
      <c r="P10272" s="235"/>
      <c r="AI10272" s="38"/>
    </row>
    <row r="10273" ht="15.75" customHeight="1">
      <c r="A10273" s="35"/>
      <c r="C10273" s="442"/>
      <c r="P10273" s="235"/>
      <c r="AI10273" s="38"/>
    </row>
    <row r="10274" ht="15.75" customHeight="1">
      <c r="A10274" s="35"/>
      <c r="C10274" s="442"/>
      <c r="P10274" s="235"/>
      <c r="AI10274" s="38"/>
    </row>
    <row r="10275" ht="15.75" customHeight="1">
      <c r="A10275" s="35"/>
      <c r="C10275" s="442"/>
      <c r="P10275" s="235"/>
      <c r="AI10275" s="38"/>
    </row>
    <row r="10276" ht="15.75" customHeight="1">
      <c r="A10276" s="35"/>
      <c r="C10276" s="442"/>
      <c r="P10276" s="235"/>
      <c r="AI10276" s="38"/>
    </row>
    <row r="10277" ht="15.75" customHeight="1">
      <c r="A10277" s="35"/>
      <c r="C10277" s="442"/>
      <c r="P10277" s="235"/>
      <c r="AI10277" s="38"/>
    </row>
    <row r="10278" ht="15.75" customHeight="1">
      <c r="A10278" s="35"/>
      <c r="C10278" s="442"/>
      <c r="P10278" s="235"/>
      <c r="AI10278" s="38"/>
    </row>
    <row r="10279" ht="15.75" customHeight="1">
      <c r="A10279" s="35"/>
      <c r="C10279" s="442"/>
      <c r="P10279" s="235"/>
      <c r="AI10279" s="38"/>
    </row>
    <row r="10280" ht="15.75" customHeight="1">
      <c r="A10280" s="35"/>
      <c r="C10280" s="442"/>
      <c r="P10280" s="235"/>
      <c r="AI10280" s="38"/>
    </row>
    <row r="10281" ht="15.75" customHeight="1">
      <c r="A10281" s="35"/>
      <c r="C10281" s="442"/>
      <c r="P10281" s="235"/>
      <c r="AI10281" s="38"/>
    </row>
    <row r="10282" ht="15.75" customHeight="1">
      <c r="A10282" s="35"/>
      <c r="C10282" s="442"/>
      <c r="P10282" s="235"/>
      <c r="AI10282" s="38"/>
    </row>
    <row r="10283" ht="15.75" customHeight="1">
      <c r="A10283" s="35"/>
      <c r="C10283" s="442"/>
      <c r="P10283" s="235"/>
      <c r="AI10283" s="38"/>
    </row>
    <row r="10284" ht="15.75" customHeight="1">
      <c r="A10284" s="35"/>
      <c r="C10284" s="442"/>
      <c r="P10284" s="235"/>
      <c r="AI10284" s="38"/>
    </row>
    <row r="10285" ht="15.75" customHeight="1">
      <c r="A10285" s="35"/>
      <c r="C10285" s="442"/>
      <c r="P10285" s="235"/>
      <c r="AI10285" s="38"/>
    </row>
    <row r="10286" ht="15.75" customHeight="1">
      <c r="A10286" s="35"/>
      <c r="C10286" s="442"/>
      <c r="P10286" s="235"/>
      <c r="AI10286" s="38"/>
    </row>
    <row r="10287" ht="15.75" customHeight="1">
      <c r="A10287" s="35"/>
      <c r="C10287" s="442"/>
      <c r="P10287" s="235"/>
      <c r="AI10287" s="38"/>
    </row>
    <row r="10288" ht="15.75" customHeight="1">
      <c r="A10288" s="35"/>
      <c r="C10288" s="442"/>
      <c r="P10288" s="235"/>
      <c r="AI10288" s="38"/>
    </row>
    <row r="10289" ht="15.75" customHeight="1">
      <c r="A10289" s="35"/>
      <c r="C10289" s="442"/>
      <c r="P10289" s="235"/>
      <c r="AI10289" s="38"/>
    </row>
    <row r="10290" ht="15.75" customHeight="1">
      <c r="A10290" s="35"/>
      <c r="C10290" s="442"/>
      <c r="P10290" s="235"/>
      <c r="AI10290" s="38"/>
    </row>
    <row r="10291" ht="15.75" customHeight="1">
      <c r="A10291" s="35"/>
      <c r="C10291" s="442"/>
      <c r="P10291" s="235"/>
      <c r="AI10291" s="38"/>
    </row>
    <row r="10292" ht="15.75" customHeight="1">
      <c r="A10292" s="35"/>
      <c r="C10292" s="442"/>
      <c r="P10292" s="235"/>
      <c r="AI10292" s="38"/>
    </row>
    <row r="10293" ht="15.75" customHeight="1">
      <c r="A10293" s="35"/>
      <c r="C10293" s="442"/>
      <c r="P10293" s="235"/>
      <c r="AI10293" s="38"/>
    </row>
    <row r="10294" ht="15.75" customHeight="1">
      <c r="A10294" s="35"/>
      <c r="C10294" s="442"/>
      <c r="P10294" s="235"/>
      <c r="AI10294" s="38"/>
    </row>
    <row r="10295" ht="15.75" customHeight="1">
      <c r="A10295" s="35"/>
      <c r="C10295" s="442"/>
      <c r="P10295" s="235"/>
      <c r="AI10295" s="38"/>
    </row>
    <row r="10296" ht="15.75" customHeight="1">
      <c r="A10296" s="35"/>
      <c r="C10296" s="442"/>
      <c r="P10296" s="235"/>
      <c r="AI10296" s="38"/>
    </row>
    <row r="10297" ht="15.75" customHeight="1">
      <c r="A10297" s="35"/>
      <c r="C10297" s="442"/>
      <c r="P10297" s="235"/>
      <c r="AI10297" s="38"/>
    </row>
    <row r="10298" ht="15.75" customHeight="1">
      <c r="A10298" s="35"/>
      <c r="C10298" s="442"/>
      <c r="P10298" s="235"/>
      <c r="AI10298" s="38"/>
    </row>
    <row r="10299" ht="15.75" customHeight="1">
      <c r="A10299" s="35"/>
      <c r="C10299" s="442"/>
      <c r="P10299" s="235"/>
      <c r="AI10299" s="38"/>
    </row>
    <row r="10300" ht="15.75" customHeight="1">
      <c r="A10300" s="35"/>
      <c r="C10300" s="442"/>
      <c r="P10300" s="235"/>
      <c r="AI10300" s="38"/>
    </row>
    <row r="10301" ht="15.75" customHeight="1">
      <c r="A10301" s="35"/>
      <c r="C10301" s="442"/>
      <c r="P10301" s="235"/>
      <c r="AI10301" s="38"/>
    </row>
    <row r="10302" ht="15.75" customHeight="1">
      <c r="A10302" s="35"/>
      <c r="C10302" s="442"/>
      <c r="P10302" s="235"/>
      <c r="AI10302" s="38"/>
    </row>
    <row r="10303" ht="15.75" customHeight="1">
      <c r="A10303" s="35"/>
      <c r="C10303" s="442"/>
      <c r="P10303" s="235"/>
      <c r="AI10303" s="38"/>
    </row>
    <row r="10304" ht="15.75" customHeight="1">
      <c r="A10304" s="35"/>
      <c r="C10304" s="442"/>
      <c r="P10304" s="235"/>
      <c r="AI10304" s="38"/>
    </row>
    <row r="10305" ht="15.75" customHeight="1">
      <c r="A10305" s="35"/>
      <c r="C10305" s="442"/>
      <c r="P10305" s="235"/>
      <c r="AI10305" s="38"/>
    </row>
    <row r="10306" ht="15.75" customHeight="1">
      <c r="A10306" s="35"/>
      <c r="C10306" s="442"/>
      <c r="P10306" s="235"/>
      <c r="AI10306" s="38"/>
    </row>
    <row r="10307" ht="15.75" customHeight="1">
      <c r="A10307" s="35"/>
      <c r="C10307" s="442"/>
      <c r="P10307" s="235"/>
      <c r="AI10307" s="38"/>
    </row>
    <row r="10308" ht="15.75" customHeight="1">
      <c r="A10308" s="35"/>
      <c r="C10308" s="442"/>
      <c r="P10308" s="235"/>
      <c r="AI10308" s="38"/>
    </row>
    <row r="10309" ht="15.75" customHeight="1">
      <c r="A10309" s="35"/>
      <c r="C10309" s="442"/>
      <c r="P10309" s="235"/>
      <c r="AI10309" s="38"/>
    </row>
    <row r="10310" ht="15.75" customHeight="1">
      <c r="A10310" s="35"/>
      <c r="C10310" s="442"/>
      <c r="P10310" s="235"/>
      <c r="AI10310" s="38"/>
    </row>
    <row r="10311" ht="15.75" customHeight="1">
      <c r="A10311" s="35"/>
      <c r="C10311" s="442"/>
      <c r="P10311" s="235"/>
      <c r="AI10311" s="38"/>
    </row>
    <row r="10312" ht="15.75" customHeight="1">
      <c r="A10312" s="35"/>
      <c r="C10312" s="442"/>
      <c r="P10312" s="235"/>
      <c r="AI10312" s="38"/>
    </row>
    <row r="10313" ht="15.75" customHeight="1">
      <c r="A10313" s="35"/>
      <c r="C10313" s="442"/>
      <c r="P10313" s="235"/>
      <c r="AI10313" s="38"/>
    </row>
    <row r="10314" ht="15.75" customHeight="1">
      <c r="A10314" s="35"/>
      <c r="C10314" s="442"/>
      <c r="P10314" s="235"/>
      <c r="AI10314" s="38"/>
    </row>
    <row r="10315" ht="15.75" customHeight="1">
      <c r="A10315" s="35"/>
      <c r="C10315" s="442"/>
      <c r="P10315" s="235"/>
      <c r="AI10315" s="38"/>
    </row>
    <row r="10316" ht="15.75" customHeight="1">
      <c r="A10316" s="35"/>
      <c r="C10316" s="442"/>
      <c r="P10316" s="235"/>
      <c r="AI10316" s="38"/>
    </row>
    <row r="10317" ht="15.75" customHeight="1">
      <c r="A10317" s="35"/>
      <c r="C10317" s="442"/>
      <c r="P10317" s="235"/>
      <c r="AI10317" s="38"/>
    </row>
    <row r="10318" ht="15.75" customHeight="1">
      <c r="A10318" s="35"/>
      <c r="C10318" s="442"/>
      <c r="P10318" s="235"/>
      <c r="AI10318" s="38"/>
    </row>
    <row r="10319" ht="15.75" customHeight="1">
      <c r="A10319" s="35"/>
      <c r="C10319" s="442"/>
      <c r="P10319" s="235"/>
      <c r="AI10319" s="38"/>
    </row>
    <row r="10320" ht="15.75" customHeight="1">
      <c r="A10320" s="35"/>
      <c r="C10320" s="442"/>
      <c r="P10320" s="235"/>
      <c r="AI10320" s="38"/>
    </row>
    <row r="10321" ht="15.75" customHeight="1">
      <c r="A10321" s="35"/>
      <c r="C10321" s="442"/>
      <c r="P10321" s="235"/>
      <c r="AI10321" s="38"/>
    </row>
    <row r="10322" ht="15.75" customHeight="1">
      <c r="A10322" s="35"/>
      <c r="C10322" s="442"/>
      <c r="P10322" s="235"/>
      <c r="AI10322" s="38"/>
    </row>
    <row r="10323" ht="15.75" customHeight="1">
      <c r="A10323" s="35"/>
      <c r="C10323" s="442"/>
      <c r="P10323" s="235"/>
      <c r="AI10323" s="38"/>
    </row>
    <row r="10324" ht="15.75" customHeight="1">
      <c r="A10324" s="35"/>
      <c r="C10324" s="442"/>
      <c r="P10324" s="235"/>
      <c r="AI10324" s="38"/>
    </row>
    <row r="10325" ht="15.75" customHeight="1">
      <c r="A10325" s="35"/>
      <c r="C10325" s="442"/>
      <c r="P10325" s="235"/>
      <c r="AI10325" s="38"/>
    </row>
    <row r="10326" ht="15.75" customHeight="1">
      <c r="A10326" s="35"/>
      <c r="C10326" s="442"/>
      <c r="P10326" s="235"/>
      <c r="AI10326" s="38"/>
    </row>
    <row r="10327" ht="15.75" customHeight="1">
      <c r="A10327" s="35"/>
      <c r="C10327" s="442"/>
      <c r="P10327" s="235"/>
      <c r="AI10327" s="38"/>
    </row>
    <row r="10328" ht="15.75" customHeight="1">
      <c r="A10328" s="35"/>
      <c r="C10328" s="442"/>
      <c r="P10328" s="235"/>
      <c r="AI10328" s="38"/>
    </row>
    <row r="10329" ht="15.75" customHeight="1">
      <c r="A10329" s="35"/>
      <c r="C10329" s="442"/>
      <c r="P10329" s="235"/>
      <c r="AI10329" s="38"/>
    </row>
    <row r="10330" ht="15.75" customHeight="1">
      <c r="A10330" s="35"/>
      <c r="C10330" s="442"/>
      <c r="P10330" s="235"/>
      <c r="AI10330" s="38"/>
    </row>
    <row r="10331" ht="15.75" customHeight="1">
      <c r="A10331" s="35"/>
      <c r="C10331" s="442"/>
      <c r="P10331" s="235"/>
      <c r="AI10331" s="38"/>
    </row>
    <row r="10332" ht="15.75" customHeight="1">
      <c r="A10332" s="35"/>
      <c r="C10332" s="442"/>
      <c r="P10332" s="235"/>
      <c r="AI10332" s="38"/>
    </row>
    <row r="10333" ht="15.75" customHeight="1">
      <c r="A10333" s="35"/>
      <c r="C10333" s="442"/>
      <c r="P10333" s="235"/>
      <c r="AI10333" s="38"/>
    </row>
    <row r="10334" ht="15.75" customHeight="1">
      <c r="A10334" s="35"/>
      <c r="C10334" s="442"/>
      <c r="P10334" s="235"/>
      <c r="AI10334" s="38"/>
    </row>
    <row r="10335" ht="15.75" customHeight="1">
      <c r="A10335" s="35"/>
      <c r="C10335" s="442"/>
      <c r="P10335" s="235"/>
      <c r="AI10335" s="38"/>
    </row>
    <row r="10336" ht="15.75" customHeight="1">
      <c r="A10336" s="35"/>
      <c r="C10336" s="442"/>
      <c r="P10336" s="235"/>
      <c r="AI10336" s="38"/>
    </row>
    <row r="10337" ht="15.75" customHeight="1">
      <c r="A10337" s="35"/>
      <c r="C10337" s="442"/>
      <c r="P10337" s="235"/>
      <c r="AI10337" s="38"/>
    </row>
    <row r="10338" ht="15.75" customHeight="1">
      <c r="A10338" s="35"/>
      <c r="C10338" s="442"/>
      <c r="P10338" s="235"/>
      <c r="AI10338" s="38"/>
    </row>
    <row r="10339" ht="15.75" customHeight="1">
      <c r="A10339" s="35"/>
      <c r="C10339" s="442"/>
      <c r="P10339" s="235"/>
      <c r="AI10339" s="38"/>
    </row>
    <row r="10340" ht="15.75" customHeight="1">
      <c r="A10340" s="35"/>
      <c r="C10340" s="442"/>
      <c r="P10340" s="235"/>
      <c r="AI10340" s="38"/>
    </row>
    <row r="10341" ht="15.75" customHeight="1">
      <c r="A10341" s="35"/>
      <c r="C10341" s="442"/>
      <c r="P10341" s="235"/>
      <c r="AI10341" s="38"/>
    </row>
    <row r="10342" ht="15.75" customHeight="1">
      <c r="A10342" s="35"/>
      <c r="C10342" s="442"/>
      <c r="P10342" s="235"/>
      <c r="AI10342" s="38"/>
    </row>
    <row r="10343" ht="15.75" customHeight="1">
      <c r="A10343" s="35"/>
      <c r="C10343" s="442"/>
      <c r="P10343" s="235"/>
      <c r="AI10343" s="38"/>
    </row>
    <row r="10344" ht="15.75" customHeight="1">
      <c r="A10344" s="35"/>
      <c r="C10344" s="442"/>
      <c r="P10344" s="235"/>
      <c r="AI10344" s="38"/>
    </row>
    <row r="10345" ht="15.75" customHeight="1">
      <c r="A10345" s="35"/>
      <c r="C10345" s="442"/>
      <c r="P10345" s="235"/>
      <c r="AI10345" s="38"/>
    </row>
    <row r="10346" ht="15.75" customHeight="1">
      <c r="A10346" s="35"/>
      <c r="C10346" s="442"/>
      <c r="P10346" s="235"/>
      <c r="AI10346" s="38"/>
    </row>
    <row r="10347" ht="15.75" customHeight="1">
      <c r="A10347" s="35"/>
      <c r="C10347" s="442"/>
      <c r="P10347" s="235"/>
      <c r="AI10347" s="38"/>
    </row>
    <row r="10348" ht="15.75" customHeight="1">
      <c r="A10348" s="35"/>
      <c r="C10348" s="442"/>
      <c r="P10348" s="235"/>
      <c r="AI10348" s="38"/>
    </row>
    <row r="10349" ht="15.75" customHeight="1">
      <c r="A10349" s="35"/>
      <c r="C10349" s="442"/>
      <c r="P10349" s="235"/>
      <c r="AI10349" s="38"/>
    </row>
    <row r="10350" ht="15.75" customHeight="1">
      <c r="A10350" s="35"/>
      <c r="C10350" s="442"/>
      <c r="P10350" s="235"/>
      <c r="AI10350" s="38"/>
    </row>
    <row r="10351" ht="15.75" customHeight="1">
      <c r="A10351" s="35"/>
      <c r="C10351" s="442"/>
      <c r="P10351" s="235"/>
      <c r="AI10351" s="38"/>
    </row>
    <row r="10352" ht="15.75" customHeight="1">
      <c r="A10352" s="35"/>
      <c r="C10352" s="442"/>
      <c r="P10352" s="235"/>
      <c r="AI10352" s="38"/>
    </row>
    <row r="10353" ht="15.75" customHeight="1">
      <c r="A10353" s="35"/>
      <c r="C10353" s="442"/>
      <c r="P10353" s="235"/>
      <c r="AI10353" s="38"/>
    </row>
    <row r="10354" ht="15.75" customHeight="1">
      <c r="A10354" s="35"/>
      <c r="C10354" s="442"/>
      <c r="P10354" s="235"/>
      <c r="AI10354" s="38"/>
    </row>
    <row r="10355" ht="15.75" customHeight="1">
      <c r="A10355" s="35"/>
      <c r="C10355" s="442"/>
      <c r="P10355" s="235"/>
      <c r="AI10355" s="38"/>
    </row>
    <row r="10356" ht="15.75" customHeight="1">
      <c r="A10356" s="35"/>
      <c r="C10356" s="442"/>
      <c r="P10356" s="235"/>
      <c r="AI10356" s="38"/>
    </row>
    <row r="10357" ht="15.75" customHeight="1">
      <c r="A10357" s="35"/>
      <c r="C10357" s="442"/>
      <c r="P10357" s="235"/>
      <c r="AI10357" s="38"/>
    </row>
    <row r="10358" ht="15.75" customHeight="1">
      <c r="A10358" s="35"/>
      <c r="C10358" s="442"/>
      <c r="P10358" s="235"/>
      <c r="AI10358" s="38"/>
    </row>
    <row r="10359" ht="15.75" customHeight="1">
      <c r="A10359" s="35"/>
      <c r="C10359" s="442"/>
      <c r="P10359" s="235"/>
      <c r="AI10359" s="38"/>
    </row>
    <row r="10360" ht="15.75" customHeight="1">
      <c r="A10360" s="35"/>
      <c r="C10360" s="442"/>
      <c r="P10360" s="235"/>
      <c r="AI10360" s="38"/>
    </row>
    <row r="10361" ht="15.75" customHeight="1">
      <c r="A10361" s="35"/>
      <c r="C10361" s="442"/>
      <c r="P10361" s="235"/>
      <c r="AI10361" s="38"/>
    </row>
    <row r="10362" ht="15.75" customHeight="1">
      <c r="A10362" s="35"/>
      <c r="C10362" s="442"/>
      <c r="P10362" s="235"/>
      <c r="AI10362" s="38"/>
    </row>
    <row r="10363" ht="15.75" customHeight="1">
      <c r="A10363" s="35"/>
      <c r="C10363" s="442"/>
      <c r="P10363" s="235"/>
      <c r="AI10363" s="38"/>
    </row>
    <row r="10364" ht="15.75" customHeight="1">
      <c r="A10364" s="35"/>
      <c r="C10364" s="442"/>
      <c r="P10364" s="235"/>
      <c r="AI10364" s="38"/>
    </row>
    <row r="10365" ht="15.75" customHeight="1">
      <c r="A10365" s="35"/>
      <c r="C10365" s="442"/>
      <c r="P10365" s="235"/>
      <c r="AI10365" s="38"/>
    </row>
    <row r="10366" ht="15.75" customHeight="1">
      <c r="A10366" s="35"/>
      <c r="C10366" s="442"/>
      <c r="P10366" s="235"/>
      <c r="AI10366" s="38"/>
    </row>
    <row r="10367" ht="15.75" customHeight="1">
      <c r="A10367" s="35"/>
      <c r="C10367" s="442"/>
      <c r="P10367" s="235"/>
      <c r="AI10367" s="38"/>
    </row>
    <row r="10368" ht="15.75" customHeight="1">
      <c r="A10368" s="35"/>
      <c r="C10368" s="442"/>
      <c r="P10368" s="235"/>
      <c r="AI10368" s="38"/>
    </row>
    <row r="10369" ht="15.75" customHeight="1">
      <c r="A10369" s="35"/>
      <c r="C10369" s="442"/>
      <c r="P10369" s="235"/>
      <c r="AI10369" s="38"/>
    </row>
    <row r="10370" ht="15.75" customHeight="1">
      <c r="A10370" s="35"/>
      <c r="C10370" s="442"/>
      <c r="P10370" s="235"/>
      <c r="AI10370" s="38"/>
    </row>
    <row r="10371" ht="15.75" customHeight="1">
      <c r="A10371" s="35"/>
      <c r="C10371" s="442"/>
      <c r="P10371" s="235"/>
      <c r="AI10371" s="38"/>
    </row>
    <row r="10372" ht="15.75" customHeight="1">
      <c r="A10372" s="35"/>
      <c r="C10372" s="442"/>
      <c r="P10372" s="235"/>
      <c r="AI10372" s="38"/>
    </row>
    <row r="10373" ht="15.75" customHeight="1">
      <c r="A10373" s="35"/>
      <c r="C10373" s="442"/>
      <c r="P10373" s="235"/>
      <c r="AI10373" s="38"/>
    </row>
    <row r="10374" ht="15.75" customHeight="1">
      <c r="A10374" s="35"/>
      <c r="C10374" s="442"/>
      <c r="P10374" s="235"/>
      <c r="AI10374" s="38"/>
    </row>
    <row r="10375" ht="15.75" customHeight="1">
      <c r="A10375" s="35"/>
      <c r="C10375" s="442"/>
      <c r="P10375" s="235"/>
      <c r="AI10375" s="38"/>
    </row>
    <row r="10376" ht="15.75" customHeight="1">
      <c r="A10376" s="35"/>
      <c r="C10376" s="442"/>
      <c r="P10376" s="235"/>
      <c r="AI10376" s="38"/>
    </row>
    <row r="10377" ht="15.75" customHeight="1">
      <c r="A10377" s="35"/>
      <c r="C10377" s="442"/>
      <c r="P10377" s="235"/>
      <c r="AI10377" s="38"/>
    </row>
    <row r="10378" ht="15.75" customHeight="1">
      <c r="A10378" s="35"/>
      <c r="C10378" s="442"/>
      <c r="P10378" s="235"/>
      <c r="AI10378" s="38"/>
    </row>
    <row r="10379" ht="15.75" customHeight="1">
      <c r="A10379" s="35"/>
      <c r="C10379" s="442"/>
      <c r="P10379" s="235"/>
      <c r="AI10379" s="38"/>
    </row>
    <row r="10380" ht="15.75" customHeight="1">
      <c r="A10380" s="35"/>
      <c r="C10380" s="442"/>
      <c r="P10380" s="235"/>
      <c r="AI10380" s="38"/>
    </row>
    <row r="10381" ht="15.75" customHeight="1">
      <c r="A10381" s="35"/>
      <c r="C10381" s="442"/>
      <c r="P10381" s="235"/>
      <c r="AI10381" s="38"/>
    </row>
    <row r="10382" ht="15.75" customHeight="1">
      <c r="A10382" s="35"/>
      <c r="C10382" s="442"/>
      <c r="P10382" s="235"/>
      <c r="AI10382" s="38"/>
    </row>
    <row r="10383" ht="15.75" customHeight="1">
      <c r="A10383" s="35"/>
      <c r="C10383" s="442"/>
      <c r="P10383" s="235"/>
      <c r="AI10383" s="38"/>
    </row>
    <row r="10384" ht="15.75" customHeight="1">
      <c r="A10384" s="35"/>
      <c r="C10384" s="442"/>
      <c r="P10384" s="235"/>
      <c r="AI10384" s="38"/>
    </row>
    <row r="10385" ht="15.75" customHeight="1">
      <c r="A10385" s="35"/>
      <c r="C10385" s="442"/>
      <c r="P10385" s="235"/>
      <c r="AI10385" s="38"/>
    </row>
    <row r="10386" ht="15.75" customHeight="1">
      <c r="A10386" s="35"/>
      <c r="C10386" s="442"/>
      <c r="P10386" s="235"/>
      <c r="AI10386" s="38"/>
    </row>
    <row r="10387" ht="15.75" customHeight="1">
      <c r="A10387" s="35"/>
      <c r="C10387" s="442"/>
      <c r="P10387" s="235"/>
      <c r="AI10387" s="38"/>
    </row>
    <row r="10388" ht="15.75" customHeight="1">
      <c r="A10388" s="35"/>
      <c r="C10388" s="442"/>
      <c r="P10388" s="235"/>
      <c r="AI10388" s="38"/>
    </row>
    <row r="10389" ht="15.75" customHeight="1">
      <c r="A10389" s="35"/>
      <c r="C10389" s="442"/>
      <c r="P10389" s="235"/>
      <c r="AI10389" s="38"/>
    </row>
    <row r="10390" ht="15.75" customHeight="1">
      <c r="A10390" s="35"/>
      <c r="C10390" s="442"/>
      <c r="P10390" s="235"/>
      <c r="AI10390" s="38"/>
    </row>
    <row r="10391" ht="15.75" customHeight="1">
      <c r="A10391" s="35"/>
      <c r="C10391" s="442"/>
      <c r="P10391" s="235"/>
      <c r="AI10391" s="38"/>
    </row>
    <row r="10392" ht="15.75" customHeight="1">
      <c r="A10392" s="35"/>
      <c r="C10392" s="442"/>
      <c r="P10392" s="235"/>
      <c r="AI10392" s="38"/>
    </row>
    <row r="10393" ht="15.75" customHeight="1">
      <c r="A10393" s="35"/>
      <c r="C10393" s="442"/>
      <c r="P10393" s="235"/>
      <c r="AI10393" s="38"/>
    </row>
    <row r="10394" ht="15.75" customHeight="1">
      <c r="A10394" s="35"/>
      <c r="C10394" s="442"/>
      <c r="P10394" s="235"/>
      <c r="AI10394" s="38"/>
    </row>
    <row r="10395" ht="15.75" customHeight="1">
      <c r="A10395" s="35"/>
      <c r="C10395" s="442"/>
      <c r="P10395" s="235"/>
      <c r="AI10395" s="38"/>
    </row>
    <row r="10396" ht="15.75" customHeight="1">
      <c r="A10396" s="35"/>
      <c r="C10396" s="442"/>
      <c r="P10396" s="235"/>
      <c r="AI10396" s="38"/>
    </row>
    <row r="10397" ht="15.75" customHeight="1">
      <c r="A10397" s="35"/>
      <c r="C10397" s="442"/>
      <c r="P10397" s="235"/>
      <c r="AI10397" s="38"/>
    </row>
    <row r="10398" ht="15.75" customHeight="1">
      <c r="A10398" s="35"/>
      <c r="C10398" s="442"/>
      <c r="P10398" s="235"/>
      <c r="AI10398" s="38"/>
    </row>
    <row r="10399" ht="15.75" customHeight="1">
      <c r="A10399" s="35"/>
      <c r="C10399" s="442"/>
      <c r="P10399" s="235"/>
      <c r="AI10399" s="38"/>
    </row>
    <row r="10400" ht="15.75" customHeight="1">
      <c r="A10400" s="35"/>
      <c r="C10400" s="442"/>
      <c r="P10400" s="235"/>
      <c r="AI10400" s="38"/>
    </row>
    <row r="10401" ht="15.75" customHeight="1">
      <c r="A10401" s="35"/>
      <c r="C10401" s="442"/>
      <c r="P10401" s="235"/>
      <c r="AI10401" s="38"/>
    </row>
    <row r="10402" ht="15.75" customHeight="1">
      <c r="A10402" s="35"/>
      <c r="C10402" s="442"/>
      <c r="P10402" s="235"/>
      <c r="AI10402" s="38"/>
    </row>
    <row r="10403" ht="15.75" customHeight="1">
      <c r="A10403" s="35"/>
      <c r="C10403" s="442"/>
      <c r="P10403" s="235"/>
      <c r="AI10403" s="38"/>
    </row>
    <row r="10404" ht="15.75" customHeight="1">
      <c r="A10404" s="35"/>
      <c r="C10404" s="442"/>
      <c r="P10404" s="235"/>
      <c r="AI10404" s="38"/>
    </row>
    <row r="10405" ht="15.75" customHeight="1">
      <c r="A10405" s="35"/>
      <c r="C10405" s="442"/>
      <c r="P10405" s="235"/>
      <c r="AI10405" s="38"/>
    </row>
    <row r="10406" ht="15.75" customHeight="1">
      <c r="A10406" s="35"/>
      <c r="C10406" s="442"/>
      <c r="P10406" s="235"/>
      <c r="AI10406" s="38"/>
    </row>
    <row r="10407" ht="15.75" customHeight="1">
      <c r="A10407" s="35"/>
      <c r="C10407" s="442"/>
      <c r="P10407" s="235"/>
      <c r="AI10407" s="38"/>
    </row>
    <row r="10408" ht="15.75" customHeight="1">
      <c r="A10408" s="35"/>
      <c r="C10408" s="442"/>
      <c r="P10408" s="235"/>
      <c r="AI10408" s="38"/>
    </row>
    <row r="10409" ht="15.75" customHeight="1">
      <c r="A10409" s="35"/>
      <c r="C10409" s="442"/>
      <c r="P10409" s="235"/>
      <c r="AI10409" s="38"/>
    </row>
    <row r="10410" ht="15.75" customHeight="1">
      <c r="A10410" s="35"/>
      <c r="C10410" s="442"/>
      <c r="P10410" s="235"/>
      <c r="AI10410" s="38"/>
    </row>
    <row r="10411" ht="15.75" customHeight="1">
      <c r="A10411" s="35"/>
      <c r="C10411" s="442"/>
      <c r="P10411" s="235"/>
      <c r="AI10411" s="38"/>
    </row>
    <row r="10412" ht="15.75" customHeight="1">
      <c r="A10412" s="35"/>
      <c r="C10412" s="442"/>
      <c r="P10412" s="235"/>
      <c r="AI10412" s="38"/>
    </row>
    <row r="10413" ht="15.75" customHeight="1">
      <c r="A10413" s="35"/>
      <c r="C10413" s="442"/>
      <c r="P10413" s="235"/>
      <c r="AI10413" s="38"/>
    </row>
    <row r="10414" ht="15.75" customHeight="1">
      <c r="A10414" s="35"/>
      <c r="C10414" s="442"/>
      <c r="P10414" s="235"/>
      <c r="AI10414" s="38"/>
    </row>
    <row r="10415" ht="15.75" customHeight="1">
      <c r="A10415" s="35"/>
      <c r="C10415" s="442"/>
      <c r="P10415" s="235"/>
      <c r="AI10415" s="38"/>
    </row>
    <row r="10416" ht="15.75" customHeight="1">
      <c r="A10416" s="35"/>
      <c r="C10416" s="442"/>
      <c r="P10416" s="235"/>
      <c r="AI10416" s="38"/>
    </row>
    <row r="10417" ht="15.75" customHeight="1">
      <c r="A10417" s="35"/>
      <c r="C10417" s="442"/>
      <c r="P10417" s="235"/>
      <c r="AI10417" s="38"/>
    </row>
    <row r="10418" ht="15.75" customHeight="1">
      <c r="A10418" s="35"/>
      <c r="C10418" s="442"/>
      <c r="P10418" s="235"/>
      <c r="AI10418" s="38"/>
    </row>
    <row r="10419" ht="15.75" customHeight="1">
      <c r="A10419" s="35"/>
      <c r="C10419" s="442"/>
      <c r="P10419" s="235"/>
      <c r="AI10419" s="38"/>
    </row>
    <row r="10420" ht="15.75" customHeight="1">
      <c r="A10420" s="35"/>
      <c r="C10420" s="442"/>
      <c r="P10420" s="235"/>
      <c r="AI10420" s="38"/>
    </row>
    <row r="10421" ht="15.75" customHeight="1">
      <c r="A10421" s="35"/>
      <c r="C10421" s="442"/>
      <c r="P10421" s="235"/>
      <c r="AI10421" s="38"/>
    </row>
    <row r="10422" ht="15.75" customHeight="1">
      <c r="A10422" s="35"/>
      <c r="C10422" s="442"/>
      <c r="P10422" s="235"/>
      <c r="AI10422" s="38"/>
    </row>
    <row r="10423" ht="15.75" customHeight="1">
      <c r="A10423" s="35"/>
      <c r="C10423" s="442"/>
      <c r="P10423" s="235"/>
      <c r="AI10423" s="38"/>
    </row>
    <row r="10424" ht="15.75" customHeight="1">
      <c r="A10424" s="35"/>
      <c r="C10424" s="442"/>
      <c r="P10424" s="235"/>
      <c r="AI10424" s="38"/>
    </row>
    <row r="10425" ht="15.75" customHeight="1">
      <c r="A10425" s="35"/>
      <c r="C10425" s="442"/>
      <c r="P10425" s="235"/>
      <c r="AI10425" s="38"/>
    </row>
    <row r="10426" ht="15.75" customHeight="1">
      <c r="A10426" s="35"/>
      <c r="C10426" s="442"/>
      <c r="P10426" s="235"/>
      <c r="AI10426" s="38"/>
    </row>
    <row r="10427" ht="15.75" customHeight="1">
      <c r="A10427" s="35"/>
      <c r="C10427" s="442"/>
      <c r="P10427" s="235"/>
      <c r="AI10427" s="38"/>
    </row>
    <row r="10428" ht="15.75" customHeight="1">
      <c r="A10428" s="35"/>
      <c r="C10428" s="442"/>
      <c r="P10428" s="235"/>
      <c r="AI10428" s="38"/>
    </row>
    <row r="10429" ht="15.75" customHeight="1">
      <c r="A10429" s="35"/>
      <c r="C10429" s="442"/>
      <c r="P10429" s="235"/>
      <c r="AI10429" s="38"/>
    </row>
    <row r="10430" ht="15.75" customHeight="1">
      <c r="A10430" s="35"/>
      <c r="C10430" s="442"/>
      <c r="P10430" s="235"/>
      <c r="AI10430" s="38"/>
    </row>
    <row r="10431" ht="15.75" customHeight="1">
      <c r="A10431" s="35"/>
      <c r="C10431" s="442"/>
      <c r="P10431" s="235"/>
      <c r="AI10431" s="38"/>
    </row>
    <row r="10432" ht="15.75" customHeight="1">
      <c r="A10432" s="35"/>
      <c r="C10432" s="442"/>
      <c r="P10432" s="235"/>
      <c r="AI10432" s="38"/>
    </row>
    <row r="10433" ht="15.75" customHeight="1">
      <c r="A10433" s="35"/>
      <c r="C10433" s="442"/>
      <c r="P10433" s="235"/>
      <c r="AI10433" s="38"/>
    </row>
    <row r="10434" ht="15.75" customHeight="1">
      <c r="A10434" s="35"/>
      <c r="C10434" s="442"/>
      <c r="P10434" s="235"/>
      <c r="AI10434" s="38"/>
    </row>
    <row r="10435" ht="15.75" customHeight="1">
      <c r="A10435" s="35"/>
      <c r="C10435" s="442"/>
      <c r="P10435" s="235"/>
      <c r="AI10435" s="38"/>
    </row>
    <row r="10436" ht="15.75" customHeight="1">
      <c r="A10436" s="35"/>
      <c r="C10436" s="442"/>
      <c r="P10436" s="235"/>
      <c r="AI10436" s="38"/>
    </row>
    <row r="10437" ht="15.75" customHeight="1">
      <c r="A10437" s="35"/>
      <c r="C10437" s="442"/>
      <c r="P10437" s="235"/>
      <c r="AI10437" s="38"/>
    </row>
    <row r="10438" ht="15.75" customHeight="1">
      <c r="A10438" s="35"/>
      <c r="C10438" s="442"/>
      <c r="P10438" s="235"/>
      <c r="AI10438" s="38"/>
    </row>
    <row r="10439" ht="15.75" customHeight="1">
      <c r="A10439" s="35"/>
      <c r="C10439" s="442"/>
      <c r="P10439" s="235"/>
      <c r="AI10439" s="38"/>
    </row>
    <row r="10440" ht="15.75" customHeight="1">
      <c r="A10440" s="35"/>
      <c r="C10440" s="442"/>
      <c r="P10440" s="235"/>
      <c r="AI10440" s="38"/>
    </row>
    <row r="10441" ht="15.75" customHeight="1">
      <c r="A10441" s="35"/>
      <c r="C10441" s="442"/>
      <c r="P10441" s="235"/>
      <c r="AI10441" s="38"/>
    </row>
    <row r="10442" ht="15.75" customHeight="1">
      <c r="A10442" s="35"/>
      <c r="C10442" s="442"/>
      <c r="P10442" s="235"/>
      <c r="AI10442" s="38"/>
    </row>
    <row r="10443" ht="15.75" customHeight="1">
      <c r="A10443" s="35"/>
      <c r="C10443" s="442"/>
      <c r="P10443" s="235"/>
      <c r="AI10443" s="38"/>
    </row>
    <row r="10444" ht="15.75" customHeight="1">
      <c r="A10444" s="35"/>
      <c r="C10444" s="442"/>
      <c r="P10444" s="235"/>
      <c r="AI10444" s="38"/>
    </row>
    <row r="10445" ht="15.75" customHeight="1">
      <c r="A10445" s="35"/>
      <c r="C10445" s="442"/>
      <c r="P10445" s="235"/>
      <c r="AI10445" s="38"/>
    </row>
    <row r="10446" ht="15.75" customHeight="1">
      <c r="A10446" s="35"/>
      <c r="C10446" s="442"/>
      <c r="P10446" s="235"/>
      <c r="AI10446" s="38"/>
    </row>
    <row r="10447" ht="15.75" customHeight="1">
      <c r="A10447" s="35"/>
      <c r="C10447" s="442"/>
      <c r="P10447" s="235"/>
      <c r="AI10447" s="38"/>
    </row>
    <row r="10448" ht="15.75" customHeight="1">
      <c r="A10448" s="35"/>
      <c r="C10448" s="442"/>
      <c r="P10448" s="235"/>
      <c r="AI10448" s="38"/>
    </row>
    <row r="10449" ht="15.75" customHeight="1">
      <c r="A10449" s="35"/>
      <c r="C10449" s="442"/>
      <c r="P10449" s="235"/>
      <c r="AI10449" s="38"/>
    </row>
    <row r="10450" ht="15.75" customHeight="1">
      <c r="A10450" s="35"/>
      <c r="C10450" s="442"/>
      <c r="P10450" s="235"/>
      <c r="AI10450" s="38"/>
    </row>
    <row r="10451" ht="15.75" customHeight="1">
      <c r="A10451" s="35"/>
      <c r="C10451" s="442"/>
      <c r="P10451" s="235"/>
      <c r="AI10451" s="38"/>
    </row>
    <row r="10452" ht="15.75" customHeight="1">
      <c r="A10452" s="35"/>
      <c r="C10452" s="442"/>
      <c r="P10452" s="235"/>
      <c r="AI10452" s="38"/>
    </row>
    <row r="10453" ht="15.75" customHeight="1">
      <c r="A10453" s="35"/>
      <c r="C10453" s="442"/>
      <c r="P10453" s="235"/>
      <c r="AI10453" s="38"/>
    </row>
    <row r="10454" ht="15.75" customHeight="1">
      <c r="A10454" s="35"/>
      <c r="C10454" s="442"/>
      <c r="P10454" s="235"/>
      <c r="AI10454" s="38"/>
    </row>
    <row r="10455" ht="15.75" customHeight="1">
      <c r="A10455" s="35"/>
      <c r="C10455" s="442"/>
      <c r="P10455" s="235"/>
      <c r="AI10455" s="38"/>
    </row>
    <row r="10456" ht="15.75" customHeight="1">
      <c r="A10456" s="35"/>
      <c r="C10456" s="442"/>
      <c r="P10456" s="235"/>
      <c r="AI10456" s="38"/>
    </row>
    <row r="10457" ht="15.75" customHeight="1">
      <c r="A10457" s="35"/>
      <c r="C10457" s="442"/>
      <c r="P10457" s="235"/>
      <c r="AI10457" s="38"/>
    </row>
    <row r="10458" ht="15.75" customHeight="1">
      <c r="A10458" s="35"/>
      <c r="C10458" s="442"/>
      <c r="P10458" s="235"/>
      <c r="AI10458" s="38"/>
    </row>
    <row r="10459" ht="15.75" customHeight="1">
      <c r="A10459" s="35"/>
      <c r="C10459" s="442"/>
      <c r="P10459" s="235"/>
      <c r="AI10459" s="38"/>
    </row>
    <row r="10460" ht="15.75" customHeight="1">
      <c r="A10460" s="35"/>
      <c r="C10460" s="442"/>
      <c r="P10460" s="235"/>
      <c r="AI10460" s="38"/>
    </row>
    <row r="10461" ht="15.75" customHeight="1">
      <c r="A10461" s="35"/>
      <c r="C10461" s="442"/>
      <c r="P10461" s="235"/>
      <c r="AI10461" s="38"/>
    </row>
    <row r="10462" ht="15.75" customHeight="1">
      <c r="A10462" s="35"/>
      <c r="C10462" s="442"/>
      <c r="P10462" s="235"/>
      <c r="AI10462" s="38"/>
    </row>
    <row r="10463" ht="15.75" customHeight="1">
      <c r="A10463" s="35"/>
      <c r="C10463" s="442"/>
      <c r="P10463" s="235"/>
      <c r="AI10463" s="38"/>
    </row>
    <row r="10464" ht="15.75" customHeight="1">
      <c r="A10464" s="35"/>
      <c r="C10464" s="442"/>
      <c r="P10464" s="235"/>
      <c r="AI10464" s="38"/>
    </row>
    <row r="10465" ht="15.75" customHeight="1">
      <c r="A10465" s="35"/>
      <c r="C10465" s="442"/>
      <c r="P10465" s="235"/>
      <c r="AI10465" s="38"/>
    </row>
    <row r="10466" ht="15.75" customHeight="1">
      <c r="A10466" s="35"/>
      <c r="C10466" s="442"/>
      <c r="P10466" s="235"/>
      <c r="AI10466" s="38"/>
    </row>
    <row r="10467" ht="15.75" customHeight="1">
      <c r="A10467" s="35"/>
      <c r="C10467" s="442"/>
      <c r="P10467" s="235"/>
      <c r="AI10467" s="38"/>
    </row>
    <row r="10468" ht="15.75" customHeight="1">
      <c r="A10468" s="35"/>
      <c r="C10468" s="442"/>
      <c r="P10468" s="235"/>
      <c r="AI10468" s="38"/>
    </row>
    <row r="10469" ht="15.75" customHeight="1">
      <c r="A10469" s="35"/>
      <c r="C10469" s="442"/>
      <c r="P10469" s="235"/>
      <c r="AI10469" s="38"/>
    </row>
    <row r="10470" ht="15.75" customHeight="1">
      <c r="A10470" s="35"/>
      <c r="C10470" s="442"/>
      <c r="P10470" s="235"/>
      <c r="AI10470" s="38"/>
    </row>
    <row r="10471" ht="15.75" customHeight="1">
      <c r="A10471" s="35"/>
      <c r="C10471" s="442"/>
      <c r="P10471" s="235"/>
      <c r="AI10471" s="38"/>
    </row>
    <row r="10472" ht="15.75" customHeight="1">
      <c r="A10472" s="35"/>
      <c r="C10472" s="442"/>
      <c r="P10472" s="235"/>
      <c r="AI10472" s="38"/>
    </row>
    <row r="10473" ht="15.75" customHeight="1">
      <c r="A10473" s="35"/>
      <c r="C10473" s="442"/>
      <c r="P10473" s="235"/>
      <c r="AI10473" s="38"/>
    </row>
    <row r="10474" ht="15.75" customHeight="1">
      <c r="A10474" s="35"/>
      <c r="C10474" s="442"/>
      <c r="P10474" s="235"/>
      <c r="AI10474" s="38"/>
    </row>
    <row r="10475" ht="15.75" customHeight="1">
      <c r="A10475" s="35"/>
      <c r="C10475" s="442"/>
      <c r="P10475" s="235"/>
      <c r="AI10475" s="38"/>
    </row>
    <row r="10476" ht="15.75" customHeight="1">
      <c r="A10476" s="35"/>
      <c r="C10476" s="442"/>
      <c r="P10476" s="235"/>
      <c r="AI10476" s="38"/>
    </row>
    <row r="10477" ht="15.75" customHeight="1">
      <c r="A10477" s="35"/>
      <c r="C10477" s="442"/>
      <c r="P10477" s="235"/>
      <c r="AI10477" s="38"/>
    </row>
    <row r="10478" ht="15.75" customHeight="1">
      <c r="A10478" s="35"/>
      <c r="C10478" s="442"/>
      <c r="P10478" s="235"/>
      <c r="AI10478" s="38"/>
    </row>
    <row r="10479" ht="15.75" customHeight="1">
      <c r="A10479" s="35"/>
      <c r="C10479" s="442"/>
      <c r="P10479" s="235"/>
      <c r="AI10479" s="38"/>
    </row>
    <row r="10480" ht="15.75" customHeight="1">
      <c r="A10480" s="35"/>
      <c r="C10480" s="442"/>
      <c r="P10480" s="235"/>
      <c r="AI10480" s="38"/>
    </row>
    <row r="10481" ht="15.75" customHeight="1">
      <c r="A10481" s="35"/>
      <c r="C10481" s="442"/>
      <c r="P10481" s="235"/>
      <c r="AI10481" s="38"/>
    </row>
    <row r="10482" ht="15.75" customHeight="1">
      <c r="A10482" s="35"/>
      <c r="C10482" s="442"/>
      <c r="P10482" s="235"/>
      <c r="AI10482" s="38"/>
    </row>
    <row r="10483" ht="15.75" customHeight="1">
      <c r="A10483" s="35"/>
      <c r="C10483" s="442"/>
      <c r="P10483" s="235"/>
      <c r="AI10483" s="38"/>
    </row>
    <row r="10484" ht="15.75" customHeight="1">
      <c r="A10484" s="35"/>
      <c r="C10484" s="442"/>
      <c r="P10484" s="235"/>
      <c r="AI10484" s="38"/>
    </row>
    <row r="10485" ht="15.75" customHeight="1">
      <c r="A10485" s="35"/>
      <c r="C10485" s="442"/>
      <c r="P10485" s="235"/>
      <c r="AI10485" s="38"/>
    </row>
    <row r="10486" ht="15.75" customHeight="1">
      <c r="A10486" s="35"/>
      <c r="C10486" s="442"/>
      <c r="P10486" s="235"/>
      <c r="AI10486" s="38"/>
    </row>
    <row r="10487" ht="15.75" customHeight="1">
      <c r="A10487" s="35"/>
      <c r="C10487" s="442"/>
      <c r="P10487" s="235"/>
      <c r="AI10487" s="38"/>
    </row>
    <row r="10488" ht="15.75" customHeight="1">
      <c r="A10488" s="35"/>
      <c r="C10488" s="442"/>
      <c r="P10488" s="235"/>
      <c r="AI10488" s="38"/>
    </row>
    <row r="10489" ht="15.75" customHeight="1">
      <c r="A10489" s="35"/>
      <c r="C10489" s="442"/>
      <c r="P10489" s="235"/>
      <c r="AI10489" s="38"/>
    </row>
    <row r="10490" ht="15.75" customHeight="1">
      <c r="A10490" s="35"/>
      <c r="C10490" s="442"/>
      <c r="P10490" s="235"/>
      <c r="AI10490" s="38"/>
    </row>
    <row r="10491" ht="15.75" customHeight="1">
      <c r="A10491" s="35"/>
      <c r="C10491" s="442"/>
      <c r="P10491" s="235"/>
      <c r="AI10491" s="38"/>
    </row>
    <row r="10492" ht="15.75" customHeight="1">
      <c r="A10492" s="35"/>
      <c r="C10492" s="442"/>
      <c r="P10492" s="235"/>
      <c r="AI10492" s="38"/>
    </row>
    <row r="10493" ht="15.75" customHeight="1">
      <c r="A10493" s="35"/>
      <c r="C10493" s="442"/>
      <c r="P10493" s="235"/>
      <c r="AI10493" s="38"/>
    </row>
    <row r="10494" ht="15.75" customHeight="1">
      <c r="A10494" s="35"/>
      <c r="C10494" s="442"/>
      <c r="P10494" s="235"/>
      <c r="AI10494" s="38"/>
    </row>
    <row r="10495" ht="15.75" customHeight="1">
      <c r="A10495" s="35"/>
      <c r="C10495" s="442"/>
      <c r="P10495" s="235"/>
      <c r="AI10495" s="38"/>
    </row>
    <row r="10496" ht="15.75" customHeight="1">
      <c r="A10496" s="35"/>
      <c r="C10496" s="442"/>
      <c r="P10496" s="235"/>
      <c r="AI10496" s="38"/>
    </row>
    <row r="10497" ht="15.75" customHeight="1">
      <c r="A10497" s="35"/>
      <c r="C10497" s="442"/>
      <c r="P10497" s="235"/>
      <c r="AI10497" s="38"/>
    </row>
    <row r="10498" ht="15.75" customHeight="1">
      <c r="A10498" s="35"/>
      <c r="C10498" s="442"/>
      <c r="P10498" s="235"/>
      <c r="AI10498" s="38"/>
    </row>
    <row r="10499" ht="15.75" customHeight="1">
      <c r="A10499" s="35"/>
      <c r="C10499" s="442"/>
      <c r="P10499" s="235"/>
      <c r="AI10499" s="38"/>
    </row>
    <row r="10500" ht="15.75" customHeight="1">
      <c r="A10500" s="35"/>
      <c r="C10500" s="442"/>
      <c r="P10500" s="235"/>
      <c r="AI10500" s="38"/>
    </row>
    <row r="10501" ht="15.75" customHeight="1">
      <c r="A10501" s="35"/>
      <c r="C10501" s="442"/>
      <c r="P10501" s="235"/>
      <c r="AI10501" s="38"/>
    </row>
    <row r="10502" ht="15.75" customHeight="1">
      <c r="A10502" s="35"/>
      <c r="C10502" s="442"/>
      <c r="P10502" s="235"/>
      <c r="AI10502" s="38"/>
    </row>
    <row r="10503" ht="15.75" customHeight="1">
      <c r="A10503" s="35"/>
      <c r="C10503" s="442"/>
      <c r="P10503" s="235"/>
      <c r="AI10503" s="38"/>
    </row>
    <row r="10504" ht="15.75" customHeight="1">
      <c r="A10504" s="35"/>
      <c r="C10504" s="442"/>
      <c r="P10504" s="235"/>
      <c r="AI10504" s="38"/>
    </row>
    <row r="10505" ht="15.75" customHeight="1">
      <c r="A10505" s="35"/>
      <c r="C10505" s="442"/>
      <c r="P10505" s="235"/>
      <c r="AI10505" s="38"/>
    </row>
    <row r="10506" ht="15.75" customHeight="1">
      <c r="A10506" s="35"/>
      <c r="C10506" s="442"/>
      <c r="P10506" s="235"/>
      <c r="AI10506" s="38"/>
    </row>
    <row r="10507" ht="15.75" customHeight="1">
      <c r="A10507" s="35"/>
      <c r="C10507" s="442"/>
      <c r="P10507" s="235"/>
      <c r="AI10507" s="38"/>
    </row>
    <row r="10508" ht="15.75" customHeight="1">
      <c r="A10508" s="35"/>
      <c r="C10508" s="442"/>
      <c r="P10508" s="235"/>
      <c r="AI10508" s="38"/>
    </row>
    <row r="10509" ht="15.75" customHeight="1">
      <c r="A10509" s="35"/>
      <c r="C10509" s="442"/>
      <c r="P10509" s="235"/>
      <c r="AI10509" s="38"/>
    </row>
    <row r="10510" ht="15.75" customHeight="1">
      <c r="A10510" s="35"/>
      <c r="C10510" s="442"/>
      <c r="P10510" s="235"/>
      <c r="AI10510" s="38"/>
    </row>
    <row r="10511" ht="15.75" customHeight="1">
      <c r="A10511" s="35"/>
      <c r="C10511" s="442"/>
      <c r="P10511" s="235"/>
      <c r="AI10511" s="38"/>
    </row>
    <row r="10512" ht="15.75" customHeight="1">
      <c r="A10512" s="35"/>
      <c r="C10512" s="442"/>
      <c r="P10512" s="235"/>
      <c r="AI10512" s="38"/>
    </row>
    <row r="10513" ht="15.75" customHeight="1">
      <c r="A10513" s="35"/>
      <c r="C10513" s="442"/>
      <c r="P10513" s="235"/>
      <c r="AI10513" s="38"/>
    </row>
    <row r="10514" ht="15.75" customHeight="1">
      <c r="A10514" s="35"/>
      <c r="C10514" s="442"/>
      <c r="P10514" s="235"/>
      <c r="AI10514" s="38"/>
    </row>
    <row r="10515" ht="15.75" customHeight="1">
      <c r="A10515" s="35"/>
      <c r="C10515" s="442"/>
      <c r="P10515" s="235"/>
      <c r="AI10515" s="38"/>
    </row>
    <row r="10516" ht="15.75" customHeight="1">
      <c r="A10516" s="35"/>
      <c r="C10516" s="442"/>
      <c r="P10516" s="235"/>
      <c r="AI10516" s="38"/>
    </row>
    <row r="10517" ht="15.75" customHeight="1">
      <c r="A10517" s="35"/>
      <c r="C10517" s="442"/>
      <c r="P10517" s="235"/>
      <c r="AI10517" s="38"/>
    </row>
    <row r="10518" ht="15.75" customHeight="1">
      <c r="A10518" s="35"/>
      <c r="C10518" s="442"/>
      <c r="P10518" s="235"/>
      <c r="AI10518" s="38"/>
    </row>
    <row r="10519" ht="15.75" customHeight="1">
      <c r="A10519" s="35"/>
      <c r="C10519" s="442"/>
      <c r="P10519" s="235"/>
      <c r="AI10519" s="38"/>
    </row>
    <row r="10520" ht="15.75" customHeight="1">
      <c r="A10520" s="35"/>
      <c r="C10520" s="442"/>
      <c r="P10520" s="235"/>
      <c r="AI10520" s="38"/>
    </row>
    <row r="10521" ht="15.75" customHeight="1">
      <c r="A10521" s="35"/>
      <c r="C10521" s="442"/>
      <c r="P10521" s="235"/>
      <c r="AI10521" s="38"/>
    </row>
    <row r="10522" ht="15.75" customHeight="1">
      <c r="A10522" s="35"/>
      <c r="C10522" s="442"/>
      <c r="P10522" s="235"/>
      <c r="AI10522" s="38"/>
    </row>
    <row r="10523" ht="15.75" customHeight="1">
      <c r="A10523" s="35"/>
      <c r="C10523" s="442"/>
      <c r="P10523" s="235"/>
      <c r="AI10523" s="38"/>
    </row>
    <row r="10524" ht="15.75" customHeight="1">
      <c r="A10524" s="35"/>
      <c r="C10524" s="442"/>
      <c r="P10524" s="235"/>
      <c r="AI10524" s="38"/>
    </row>
    <row r="10525" ht="15.75" customHeight="1">
      <c r="A10525" s="35"/>
      <c r="C10525" s="442"/>
      <c r="P10525" s="235"/>
      <c r="AI10525" s="38"/>
    </row>
    <row r="10526" ht="15.75" customHeight="1">
      <c r="A10526" s="35"/>
      <c r="C10526" s="442"/>
      <c r="P10526" s="235"/>
      <c r="AI10526" s="38"/>
    </row>
    <row r="10527" ht="15.75" customHeight="1">
      <c r="A10527" s="35"/>
      <c r="C10527" s="442"/>
      <c r="P10527" s="235"/>
      <c r="AI10527" s="38"/>
    </row>
    <row r="10528" ht="15.75" customHeight="1">
      <c r="A10528" s="35"/>
      <c r="C10528" s="442"/>
      <c r="P10528" s="235"/>
      <c r="AI10528" s="38"/>
    </row>
    <row r="10529" ht="15.75" customHeight="1">
      <c r="A10529" s="35"/>
      <c r="C10529" s="442"/>
      <c r="P10529" s="235"/>
      <c r="AI10529" s="38"/>
    </row>
    <row r="10530" ht="15.75" customHeight="1">
      <c r="A10530" s="35"/>
      <c r="C10530" s="442"/>
      <c r="P10530" s="235"/>
      <c r="AI10530" s="38"/>
    </row>
    <row r="10531" ht="15.75" customHeight="1">
      <c r="A10531" s="35"/>
      <c r="C10531" s="442"/>
      <c r="P10531" s="235"/>
      <c r="AI10531" s="38"/>
    </row>
    <row r="10532" ht="15.75" customHeight="1">
      <c r="A10532" s="35"/>
      <c r="C10532" s="442"/>
      <c r="P10532" s="235"/>
      <c r="AI10532" s="38"/>
    </row>
    <row r="10533" ht="15.75" customHeight="1">
      <c r="A10533" s="35"/>
      <c r="C10533" s="442"/>
      <c r="P10533" s="235"/>
      <c r="AI10533" s="38"/>
    </row>
    <row r="10534" ht="15.75" customHeight="1">
      <c r="A10534" s="35"/>
      <c r="C10534" s="442"/>
      <c r="P10534" s="235"/>
      <c r="AI10534" s="38"/>
    </row>
    <row r="10535" ht="15.75" customHeight="1">
      <c r="A10535" s="35"/>
      <c r="C10535" s="442"/>
      <c r="P10535" s="235"/>
      <c r="AI10535" s="38"/>
    </row>
    <row r="10536" ht="15.75" customHeight="1">
      <c r="A10536" s="35"/>
      <c r="C10536" s="442"/>
      <c r="P10536" s="235"/>
      <c r="AI10536" s="38"/>
    </row>
    <row r="10537" ht="15.75" customHeight="1">
      <c r="A10537" s="35"/>
      <c r="C10537" s="442"/>
      <c r="P10537" s="235"/>
      <c r="AI10537" s="38"/>
    </row>
    <row r="10538" ht="15.75" customHeight="1">
      <c r="A10538" s="35"/>
      <c r="C10538" s="442"/>
      <c r="P10538" s="235"/>
      <c r="AI10538" s="38"/>
    </row>
    <row r="10539" ht="15.75" customHeight="1">
      <c r="A10539" s="35"/>
      <c r="C10539" s="442"/>
      <c r="P10539" s="235"/>
      <c r="AI10539" s="38"/>
    </row>
    <row r="10540" ht="15.75" customHeight="1">
      <c r="A10540" s="35"/>
      <c r="C10540" s="442"/>
      <c r="P10540" s="235"/>
      <c r="AI10540" s="38"/>
    </row>
    <row r="10541" ht="15.75" customHeight="1">
      <c r="A10541" s="35"/>
      <c r="C10541" s="442"/>
      <c r="P10541" s="235"/>
      <c r="AI10541" s="38"/>
    </row>
    <row r="10542" ht="15.75" customHeight="1">
      <c r="A10542" s="35"/>
      <c r="C10542" s="442"/>
      <c r="P10542" s="235"/>
      <c r="AI10542" s="38"/>
    </row>
    <row r="10543" ht="15.75" customHeight="1">
      <c r="A10543" s="35"/>
      <c r="C10543" s="442"/>
      <c r="P10543" s="235"/>
      <c r="AI10543" s="38"/>
    </row>
    <row r="10544" ht="15.75" customHeight="1">
      <c r="A10544" s="35"/>
      <c r="C10544" s="442"/>
      <c r="P10544" s="235"/>
      <c r="AI10544" s="38"/>
    </row>
    <row r="10545" ht="15.75" customHeight="1">
      <c r="A10545" s="35"/>
      <c r="C10545" s="442"/>
      <c r="P10545" s="235"/>
      <c r="AI10545" s="38"/>
    </row>
    <row r="10546" ht="15.75" customHeight="1">
      <c r="A10546" s="35"/>
      <c r="C10546" s="442"/>
      <c r="P10546" s="235"/>
      <c r="AI10546" s="38"/>
    </row>
    <row r="10547" ht="15.75" customHeight="1">
      <c r="A10547" s="35"/>
      <c r="C10547" s="442"/>
      <c r="P10547" s="235"/>
      <c r="AI10547" s="38"/>
    </row>
    <row r="10548" ht="15.75" customHeight="1">
      <c r="A10548" s="35"/>
      <c r="C10548" s="442"/>
      <c r="P10548" s="235"/>
      <c r="AI10548" s="38"/>
    </row>
    <row r="10549" ht="15.75" customHeight="1">
      <c r="A10549" s="35"/>
      <c r="C10549" s="442"/>
      <c r="P10549" s="235"/>
      <c r="AI10549" s="38"/>
    </row>
    <row r="10550" ht="15.75" customHeight="1">
      <c r="A10550" s="35"/>
      <c r="C10550" s="442"/>
      <c r="P10550" s="235"/>
      <c r="AI10550" s="38"/>
    </row>
    <row r="10551" ht="15.75" customHeight="1">
      <c r="A10551" s="35"/>
      <c r="C10551" s="442"/>
      <c r="P10551" s="235"/>
      <c r="AI10551" s="38"/>
    </row>
    <row r="10552" ht="15.75" customHeight="1">
      <c r="A10552" s="35"/>
      <c r="C10552" s="442"/>
      <c r="P10552" s="235"/>
      <c r="AI10552" s="38"/>
    </row>
    <row r="10553" ht="15.75" customHeight="1">
      <c r="A10553" s="35"/>
      <c r="C10553" s="442"/>
      <c r="P10553" s="235"/>
      <c r="AI10553" s="38"/>
    </row>
    <row r="10554" ht="15.75" customHeight="1">
      <c r="A10554" s="35"/>
      <c r="C10554" s="442"/>
      <c r="P10554" s="235"/>
      <c r="AI10554" s="38"/>
    </row>
    <row r="10555" ht="15.75" customHeight="1">
      <c r="A10555" s="35"/>
      <c r="C10555" s="442"/>
      <c r="P10555" s="235"/>
      <c r="AI10555" s="38"/>
    </row>
    <row r="10556" ht="15.75" customHeight="1">
      <c r="A10556" s="35"/>
      <c r="C10556" s="442"/>
      <c r="P10556" s="235"/>
      <c r="AI10556" s="38"/>
    </row>
    <row r="10557" ht="15.75" customHeight="1">
      <c r="A10557" s="35"/>
      <c r="C10557" s="442"/>
      <c r="P10557" s="235"/>
      <c r="AI10557" s="38"/>
    </row>
    <row r="10558" ht="15.75" customHeight="1">
      <c r="A10558" s="35"/>
      <c r="C10558" s="442"/>
      <c r="P10558" s="235"/>
      <c r="AI10558" s="38"/>
    </row>
    <row r="10559" ht="15.75" customHeight="1">
      <c r="A10559" s="35"/>
      <c r="C10559" s="442"/>
      <c r="P10559" s="235"/>
      <c r="AI10559" s="38"/>
    </row>
    <row r="10560" ht="15.75" customHeight="1">
      <c r="A10560" s="35"/>
      <c r="C10560" s="442"/>
      <c r="P10560" s="235"/>
      <c r="AI10560" s="38"/>
    </row>
    <row r="10561" ht="15.75" customHeight="1">
      <c r="A10561" s="35"/>
      <c r="C10561" s="442"/>
      <c r="P10561" s="235"/>
      <c r="AI10561" s="38"/>
    </row>
    <row r="10562" ht="15.75" customHeight="1">
      <c r="A10562" s="35"/>
      <c r="C10562" s="442"/>
      <c r="P10562" s="235"/>
      <c r="AI10562" s="38"/>
    </row>
    <row r="10563" ht="15.75" customHeight="1">
      <c r="A10563" s="35"/>
      <c r="C10563" s="442"/>
      <c r="P10563" s="235"/>
      <c r="AI10563" s="38"/>
    </row>
    <row r="10564" ht="15.75" customHeight="1">
      <c r="A10564" s="35"/>
      <c r="C10564" s="442"/>
      <c r="P10564" s="235"/>
      <c r="AI10564" s="38"/>
    </row>
    <row r="10565" ht="15.75" customHeight="1">
      <c r="A10565" s="35"/>
      <c r="C10565" s="442"/>
      <c r="P10565" s="235"/>
      <c r="AI10565" s="38"/>
    </row>
    <row r="10566" ht="15.75" customHeight="1">
      <c r="A10566" s="35"/>
      <c r="C10566" s="442"/>
      <c r="P10566" s="235"/>
      <c r="AI10566" s="38"/>
    </row>
    <row r="10567" ht="15.75" customHeight="1">
      <c r="A10567" s="35"/>
      <c r="C10567" s="442"/>
      <c r="P10567" s="235"/>
      <c r="AI10567" s="38"/>
    </row>
    <row r="10568" ht="15.75" customHeight="1">
      <c r="A10568" s="35"/>
      <c r="C10568" s="442"/>
      <c r="P10568" s="235"/>
      <c r="AI10568" s="38"/>
    </row>
    <row r="10569" ht="15.75" customHeight="1">
      <c r="A10569" s="35"/>
      <c r="C10569" s="442"/>
      <c r="P10569" s="235"/>
      <c r="AI10569" s="38"/>
    </row>
    <row r="10570" ht="15.75" customHeight="1">
      <c r="A10570" s="35"/>
      <c r="C10570" s="442"/>
      <c r="P10570" s="235"/>
      <c r="AI10570" s="38"/>
    </row>
    <row r="10571" ht="15.75" customHeight="1">
      <c r="A10571" s="35"/>
      <c r="C10571" s="442"/>
      <c r="P10571" s="235"/>
      <c r="AI10571" s="38"/>
    </row>
    <row r="10572" ht="15.75" customHeight="1">
      <c r="A10572" s="35"/>
      <c r="C10572" s="442"/>
      <c r="P10572" s="235"/>
      <c r="AI10572" s="38"/>
    </row>
    <row r="10573" ht="15.75" customHeight="1">
      <c r="A10573" s="35"/>
      <c r="C10573" s="442"/>
      <c r="P10573" s="235"/>
      <c r="AI10573" s="38"/>
    </row>
    <row r="10574" ht="15.75" customHeight="1">
      <c r="A10574" s="35"/>
      <c r="C10574" s="442"/>
      <c r="P10574" s="235"/>
      <c r="AI10574" s="38"/>
    </row>
    <row r="10575" ht="15.75" customHeight="1">
      <c r="A10575" s="35"/>
      <c r="C10575" s="442"/>
      <c r="P10575" s="235"/>
      <c r="AI10575" s="38"/>
    </row>
    <row r="10576" ht="15.75" customHeight="1">
      <c r="A10576" s="35"/>
      <c r="C10576" s="442"/>
      <c r="P10576" s="235"/>
      <c r="AI10576" s="38"/>
    </row>
    <row r="10577" ht="15.75" customHeight="1">
      <c r="A10577" s="35"/>
      <c r="C10577" s="442"/>
      <c r="P10577" s="235"/>
      <c r="AI10577" s="38"/>
    </row>
    <row r="10578" ht="15.75" customHeight="1">
      <c r="A10578" s="35"/>
      <c r="C10578" s="442"/>
      <c r="P10578" s="235"/>
      <c r="AI10578" s="38"/>
    </row>
    <row r="10579" ht="15.75" customHeight="1">
      <c r="A10579" s="35"/>
      <c r="C10579" s="442"/>
      <c r="P10579" s="235"/>
      <c r="AI10579" s="38"/>
    </row>
    <row r="10580" ht="15.75" customHeight="1">
      <c r="A10580" s="35"/>
      <c r="C10580" s="442"/>
      <c r="P10580" s="235"/>
      <c r="AI10580" s="38"/>
    </row>
    <row r="10581" ht="15.75" customHeight="1">
      <c r="A10581" s="35"/>
      <c r="C10581" s="442"/>
      <c r="P10581" s="235"/>
      <c r="AI10581" s="38"/>
    </row>
    <row r="10582" ht="15.75" customHeight="1">
      <c r="A10582" s="35"/>
      <c r="C10582" s="442"/>
      <c r="P10582" s="235"/>
      <c r="AI10582" s="38"/>
    </row>
    <row r="10583" ht="15.75" customHeight="1">
      <c r="A10583" s="35"/>
      <c r="C10583" s="442"/>
      <c r="P10583" s="235"/>
      <c r="AI10583" s="38"/>
    </row>
    <row r="10584" ht="15.75" customHeight="1">
      <c r="A10584" s="35"/>
      <c r="C10584" s="442"/>
      <c r="P10584" s="235"/>
      <c r="AI10584" s="38"/>
    </row>
    <row r="10585" ht="15.75" customHeight="1">
      <c r="A10585" s="35"/>
      <c r="C10585" s="442"/>
      <c r="P10585" s="235"/>
      <c r="AI10585" s="38"/>
    </row>
    <row r="10586" ht="15.75" customHeight="1">
      <c r="A10586" s="35"/>
      <c r="C10586" s="442"/>
      <c r="P10586" s="235"/>
      <c r="AI10586" s="38"/>
    </row>
    <row r="10587" ht="15.75" customHeight="1">
      <c r="A10587" s="35"/>
      <c r="C10587" s="442"/>
      <c r="P10587" s="235"/>
      <c r="AI10587" s="38"/>
    </row>
    <row r="10588" ht="15.75" customHeight="1">
      <c r="A10588" s="35"/>
      <c r="C10588" s="442"/>
      <c r="P10588" s="235"/>
      <c r="AI10588" s="38"/>
    </row>
    <row r="10589" ht="15.75" customHeight="1">
      <c r="A10589" s="35"/>
      <c r="C10589" s="442"/>
      <c r="P10589" s="235"/>
      <c r="AI10589" s="38"/>
    </row>
    <row r="10590" ht="15.75" customHeight="1">
      <c r="A10590" s="35"/>
      <c r="C10590" s="442"/>
      <c r="P10590" s="235"/>
      <c r="AI10590" s="38"/>
    </row>
    <row r="10591" ht="15.75" customHeight="1">
      <c r="A10591" s="35"/>
      <c r="C10591" s="442"/>
      <c r="P10591" s="235"/>
      <c r="AI10591" s="38"/>
    </row>
    <row r="10592" ht="15.75" customHeight="1">
      <c r="A10592" s="35"/>
      <c r="C10592" s="442"/>
      <c r="P10592" s="235"/>
      <c r="AI10592" s="38"/>
    </row>
    <row r="10593" ht="15.75" customHeight="1">
      <c r="A10593" s="35"/>
      <c r="C10593" s="442"/>
      <c r="P10593" s="235"/>
      <c r="AI10593" s="38"/>
    </row>
    <row r="10594" ht="15.75" customHeight="1">
      <c r="A10594" s="35"/>
      <c r="C10594" s="442"/>
      <c r="P10594" s="235"/>
      <c r="AI10594" s="38"/>
    </row>
    <row r="10595" ht="15.75" customHeight="1">
      <c r="A10595" s="35"/>
      <c r="C10595" s="442"/>
      <c r="P10595" s="235"/>
      <c r="AI10595" s="38"/>
    </row>
    <row r="10596" ht="15.75" customHeight="1">
      <c r="A10596" s="35"/>
      <c r="C10596" s="442"/>
      <c r="P10596" s="235"/>
      <c r="AI10596" s="38"/>
    </row>
    <row r="10597" ht="15.75" customHeight="1">
      <c r="A10597" s="35"/>
      <c r="C10597" s="442"/>
      <c r="P10597" s="235"/>
      <c r="AI10597" s="38"/>
    </row>
    <row r="10598" ht="15.75" customHeight="1">
      <c r="A10598" s="35"/>
      <c r="C10598" s="442"/>
      <c r="P10598" s="235"/>
      <c r="AI10598" s="38"/>
    </row>
    <row r="10599" ht="15.75" customHeight="1">
      <c r="A10599" s="35"/>
      <c r="C10599" s="442"/>
      <c r="P10599" s="235"/>
      <c r="AI10599" s="38"/>
    </row>
    <row r="10600" ht="15.75" customHeight="1">
      <c r="A10600" s="35"/>
      <c r="C10600" s="442"/>
      <c r="P10600" s="235"/>
      <c r="AI10600" s="38"/>
    </row>
    <row r="10601" ht="15.75" customHeight="1">
      <c r="A10601" s="35"/>
      <c r="C10601" s="442"/>
      <c r="P10601" s="235"/>
      <c r="AI10601" s="38"/>
    </row>
    <row r="10602" ht="15.75" customHeight="1">
      <c r="A10602" s="35"/>
      <c r="C10602" s="442"/>
      <c r="P10602" s="235"/>
      <c r="AI10602" s="38"/>
    </row>
    <row r="10603" ht="15.75" customHeight="1">
      <c r="A10603" s="35"/>
      <c r="C10603" s="442"/>
      <c r="P10603" s="235"/>
      <c r="AI10603" s="38"/>
    </row>
    <row r="10604" ht="15.75" customHeight="1">
      <c r="A10604" s="35"/>
      <c r="C10604" s="442"/>
      <c r="P10604" s="235"/>
      <c r="AI10604" s="38"/>
    </row>
    <row r="10605" ht="15.75" customHeight="1">
      <c r="A10605" s="35"/>
      <c r="C10605" s="442"/>
      <c r="P10605" s="235"/>
      <c r="AI10605" s="38"/>
    </row>
    <row r="10606" ht="15.75" customHeight="1">
      <c r="A10606" s="35"/>
      <c r="C10606" s="442"/>
      <c r="P10606" s="235"/>
      <c r="AI10606" s="38"/>
    </row>
    <row r="10607" ht="15.75" customHeight="1">
      <c r="A10607" s="35"/>
      <c r="C10607" s="442"/>
      <c r="P10607" s="235"/>
      <c r="AI10607" s="38"/>
    </row>
    <row r="10608" ht="15.75" customHeight="1">
      <c r="A10608" s="35"/>
      <c r="C10608" s="442"/>
      <c r="P10608" s="235"/>
      <c r="AI10608" s="38"/>
    </row>
    <row r="10609" ht="15.75" customHeight="1">
      <c r="A10609" s="35"/>
      <c r="C10609" s="442"/>
      <c r="P10609" s="235"/>
      <c r="AI10609" s="38"/>
    </row>
    <row r="10610" ht="15.75" customHeight="1">
      <c r="A10610" s="35"/>
      <c r="C10610" s="442"/>
      <c r="P10610" s="235"/>
      <c r="AI10610" s="38"/>
    </row>
    <row r="10611" ht="15.75" customHeight="1">
      <c r="A10611" s="35"/>
      <c r="C10611" s="442"/>
      <c r="P10611" s="235"/>
      <c r="AI10611" s="38"/>
    </row>
    <row r="10612" ht="15.75" customHeight="1">
      <c r="A10612" s="35"/>
      <c r="C10612" s="442"/>
      <c r="P10612" s="235"/>
      <c r="AI10612" s="38"/>
    </row>
    <row r="10613" ht="15.75" customHeight="1">
      <c r="A10613" s="35"/>
      <c r="C10613" s="442"/>
      <c r="P10613" s="235"/>
      <c r="AI10613" s="38"/>
    </row>
    <row r="10614" ht="15.75" customHeight="1">
      <c r="A10614" s="35"/>
      <c r="C10614" s="442"/>
      <c r="P10614" s="235"/>
      <c r="AI10614" s="38"/>
    </row>
    <row r="10615" ht="15.75" customHeight="1">
      <c r="A10615" s="35"/>
      <c r="C10615" s="442"/>
      <c r="P10615" s="235"/>
      <c r="AI10615" s="38"/>
    </row>
    <row r="10616" ht="15.75" customHeight="1">
      <c r="A10616" s="35"/>
      <c r="C10616" s="442"/>
      <c r="P10616" s="235"/>
      <c r="AI10616" s="38"/>
    </row>
    <row r="10617" ht="15.75" customHeight="1">
      <c r="A10617" s="35"/>
      <c r="C10617" s="442"/>
      <c r="P10617" s="235"/>
      <c r="AI10617" s="38"/>
    </row>
    <row r="10618" ht="15.75" customHeight="1">
      <c r="A10618" s="35"/>
      <c r="C10618" s="442"/>
      <c r="P10618" s="235"/>
      <c r="AI10618" s="38"/>
    </row>
    <row r="10619" ht="15.75" customHeight="1">
      <c r="A10619" s="35"/>
      <c r="C10619" s="442"/>
      <c r="P10619" s="235"/>
      <c r="AI10619" s="38"/>
    </row>
    <row r="10620" ht="15.75" customHeight="1">
      <c r="A10620" s="35"/>
      <c r="C10620" s="442"/>
      <c r="P10620" s="235"/>
      <c r="AI10620" s="38"/>
    </row>
    <row r="10621" ht="15.75" customHeight="1">
      <c r="A10621" s="35"/>
      <c r="C10621" s="442"/>
      <c r="P10621" s="235"/>
      <c r="AI10621" s="38"/>
    </row>
    <row r="10622" ht="15.75" customHeight="1">
      <c r="A10622" s="35"/>
      <c r="C10622" s="442"/>
      <c r="P10622" s="235"/>
      <c r="AI10622" s="38"/>
    </row>
    <row r="10623" ht="15.75" customHeight="1">
      <c r="A10623" s="35"/>
      <c r="C10623" s="442"/>
      <c r="P10623" s="235"/>
      <c r="AI10623" s="38"/>
    </row>
    <row r="10624" ht="15.75" customHeight="1">
      <c r="A10624" s="35"/>
      <c r="C10624" s="442"/>
      <c r="P10624" s="235"/>
      <c r="AI10624" s="38"/>
    </row>
    <row r="10625" ht="15.75" customHeight="1">
      <c r="A10625" s="35"/>
      <c r="C10625" s="442"/>
      <c r="P10625" s="235"/>
      <c r="AI10625" s="38"/>
    </row>
    <row r="10626" ht="15.75" customHeight="1">
      <c r="A10626" s="35"/>
      <c r="C10626" s="442"/>
      <c r="P10626" s="235"/>
      <c r="AI10626" s="38"/>
    </row>
    <row r="10627" ht="15.75" customHeight="1">
      <c r="A10627" s="35"/>
      <c r="C10627" s="442"/>
      <c r="P10627" s="235"/>
      <c r="AI10627" s="38"/>
    </row>
    <row r="10628" ht="15.75" customHeight="1">
      <c r="A10628" s="35"/>
      <c r="C10628" s="442"/>
      <c r="P10628" s="235"/>
      <c r="AI10628" s="38"/>
    </row>
    <row r="10629" ht="15.75" customHeight="1">
      <c r="A10629" s="35"/>
      <c r="C10629" s="442"/>
      <c r="P10629" s="235"/>
      <c r="AI10629" s="38"/>
    </row>
    <row r="10630" ht="15.75" customHeight="1">
      <c r="A10630" s="35"/>
      <c r="C10630" s="442"/>
      <c r="P10630" s="235"/>
      <c r="AI10630" s="38"/>
    </row>
    <row r="10631" ht="15.75" customHeight="1">
      <c r="A10631" s="35"/>
      <c r="C10631" s="442"/>
      <c r="P10631" s="235"/>
      <c r="AI10631" s="38"/>
    </row>
    <row r="10632" ht="15.75" customHeight="1">
      <c r="A10632" s="35"/>
      <c r="C10632" s="442"/>
      <c r="P10632" s="235"/>
      <c r="AI10632" s="38"/>
    </row>
    <row r="10633" ht="15.75" customHeight="1">
      <c r="A10633" s="35"/>
      <c r="C10633" s="442"/>
      <c r="P10633" s="235"/>
      <c r="AI10633" s="38"/>
    </row>
    <row r="10634" ht="15.75" customHeight="1">
      <c r="A10634" s="35"/>
      <c r="C10634" s="442"/>
      <c r="P10634" s="235"/>
      <c r="AI10634" s="38"/>
    </row>
    <row r="10635" ht="15.75" customHeight="1">
      <c r="A10635" s="35"/>
      <c r="C10635" s="442"/>
      <c r="P10635" s="235"/>
      <c r="AI10635" s="38"/>
    </row>
    <row r="10636" ht="15.75" customHeight="1">
      <c r="A10636" s="35"/>
      <c r="C10636" s="442"/>
      <c r="P10636" s="235"/>
      <c r="AI10636" s="38"/>
    </row>
    <row r="10637" ht="15.75" customHeight="1">
      <c r="A10637" s="35"/>
      <c r="C10637" s="442"/>
      <c r="P10637" s="235"/>
      <c r="AI10637" s="38"/>
    </row>
    <row r="10638" ht="15.75" customHeight="1">
      <c r="A10638" s="35"/>
      <c r="C10638" s="442"/>
      <c r="P10638" s="235"/>
      <c r="AI10638" s="38"/>
    </row>
    <row r="10639" ht="15.75" customHeight="1">
      <c r="A10639" s="35"/>
      <c r="C10639" s="442"/>
      <c r="P10639" s="235"/>
      <c r="AI10639" s="38"/>
    </row>
    <row r="10640" ht="15.75" customHeight="1">
      <c r="A10640" s="35"/>
      <c r="C10640" s="442"/>
      <c r="P10640" s="235"/>
      <c r="AI10640" s="38"/>
    </row>
    <row r="10641" ht="15.75" customHeight="1">
      <c r="A10641" s="35"/>
      <c r="C10641" s="442"/>
      <c r="P10641" s="235"/>
      <c r="AI10641" s="38"/>
    </row>
    <row r="10642" ht="15.75" customHeight="1">
      <c r="A10642" s="35"/>
      <c r="C10642" s="442"/>
      <c r="P10642" s="235"/>
      <c r="AI10642" s="38"/>
    </row>
    <row r="10643" ht="15.75" customHeight="1">
      <c r="A10643" s="35"/>
      <c r="C10643" s="442"/>
      <c r="P10643" s="235"/>
      <c r="AI10643" s="38"/>
    </row>
    <row r="10644" ht="15.75" customHeight="1">
      <c r="A10644" s="35"/>
      <c r="C10644" s="442"/>
      <c r="P10644" s="235"/>
      <c r="AI10644" s="38"/>
    </row>
    <row r="10645" ht="15.75" customHeight="1">
      <c r="A10645" s="35"/>
      <c r="C10645" s="442"/>
      <c r="P10645" s="235"/>
      <c r="AI10645" s="38"/>
    </row>
    <row r="10646" ht="15.75" customHeight="1">
      <c r="A10646" s="35"/>
      <c r="C10646" s="442"/>
      <c r="P10646" s="235"/>
      <c r="AI10646" s="38"/>
    </row>
    <row r="10647" ht="15.75" customHeight="1">
      <c r="A10647" s="35"/>
      <c r="C10647" s="442"/>
      <c r="P10647" s="235"/>
      <c r="AI10647" s="38"/>
    </row>
    <row r="10648" ht="15.75" customHeight="1">
      <c r="A10648" s="35"/>
      <c r="C10648" s="442"/>
      <c r="P10648" s="235"/>
      <c r="AI10648" s="38"/>
    </row>
    <row r="10649" ht="15.75" customHeight="1">
      <c r="A10649" s="35"/>
      <c r="C10649" s="442"/>
      <c r="P10649" s="235"/>
      <c r="AI10649" s="38"/>
    </row>
    <row r="10650" ht="15.75" customHeight="1">
      <c r="A10650" s="35"/>
      <c r="C10650" s="442"/>
      <c r="P10650" s="235"/>
      <c r="AI10650" s="38"/>
    </row>
    <row r="10651" ht="15.75" customHeight="1">
      <c r="A10651" s="35"/>
      <c r="C10651" s="442"/>
      <c r="P10651" s="235"/>
      <c r="AI10651" s="38"/>
    </row>
    <row r="10652" ht="15.75" customHeight="1">
      <c r="A10652" s="35"/>
      <c r="C10652" s="442"/>
      <c r="P10652" s="235"/>
      <c r="AI10652" s="38"/>
    </row>
    <row r="10653" ht="15.75" customHeight="1">
      <c r="A10653" s="35"/>
      <c r="C10653" s="442"/>
      <c r="P10653" s="235"/>
      <c r="AI10653" s="38"/>
    </row>
    <row r="10654" ht="15.75" customHeight="1">
      <c r="A10654" s="35"/>
      <c r="C10654" s="442"/>
      <c r="P10654" s="235"/>
      <c r="AI10654" s="38"/>
    </row>
    <row r="10655" ht="15.75" customHeight="1">
      <c r="A10655" s="35"/>
      <c r="C10655" s="442"/>
      <c r="P10655" s="235"/>
      <c r="AI10655" s="38"/>
    </row>
    <row r="10656" ht="15.75" customHeight="1">
      <c r="A10656" s="35"/>
      <c r="C10656" s="442"/>
      <c r="P10656" s="235"/>
      <c r="AI10656" s="38"/>
    </row>
    <row r="10657" ht="15.75" customHeight="1">
      <c r="A10657" s="35"/>
      <c r="C10657" s="442"/>
      <c r="P10657" s="235"/>
      <c r="AI10657" s="38"/>
    </row>
    <row r="10658" ht="15.75" customHeight="1">
      <c r="A10658" s="35"/>
      <c r="C10658" s="442"/>
      <c r="P10658" s="235"/>
      <c r="AI10658" s="38"/>
    </row>
    <row r="10659" ht="15.75" customHeight="1">
      <c r="A10659" s="35"/>
      <c r="C10659" s="442"/>
      <c r="P10659" s="235"/>
      <c r="AI10659" s="38"/>
    </row>
    <row r="10660" ht="15.75" customHeight="1">
      <c r="A10660" s="35"/>
      <c r="C10660" s="442"/>
      <c r="P10660" s="235"/>
      <c r="AI10660" s="38"/>
    </row>
    <row r="10661" ht="15.75" customHeight="1">
      <c r="A10661" s="35"/>
      <c r="C10661" s="442"/>
      <c r="P10661" s="235"/>
      <c r="AI10661" s="38"/>
    </row>
    <row r="10662" ht="15.75" customHeight="1">
      <c r="A10662" s="35"/>
      <c r="C10662" s="442"/>
      <c r="P10662" s="235"/>
      <c r="AI10662" s="38"/>
    </row>
    <row r="10663" ht="15.75" customHeight="1">
      <c r="A10663" s="35"/>
      <c r="C10663" s="442"/>
      <c r="P10663" s="235"/>
      <c r="AI10663" s="38"/>
    </row>
    <row r="10664" ht="15.75" customHeight="1">
      <c r="A10664" s="35"/>
      <c r="C10664" s="442"/>
      <c r="P10664" s="235"/>
      <c r="AI10664" s="38"/>
    </row>
    <row r="10665" ht="15.75" customHeight="1">
      <c r="A10665" s="35"/>
      <c r="C10665" s="442"/>
      <c r="P10665" s="235"/>
      <c r="AI10665" s="38"/>
    </row>
    <row r="10666" ht="15.75" customHeight="1">
      <c r="A10666" s="35"/>
      <c r="C10666" s="442"/>
      <c r="P10666" s="235"/>
      <c r="AI10666" s="38"/>
    </row>
    <row r="10667" ht="15.75" customHeight="1">
      <c r="A10667" s="35"/>
      <c r="C10667" s="442"/>
      <c r="P10667" s="235"/>
      <c r="AI10667" s="38"/>
    </row>
    <row r="10668" ht="15.75" customHeight="1">
      <c r="A10668" s="35"/>
      <c r="C10668" s="442"/>
      <c r="P10668" s="235"/>
      <c r="AI10668" s="38"/>
    </row>
    <row r="10669" ht="15.75" customHeight="1">
      <c r="A10669" s="35"/>
      <c r="C10669" s="442"/>
      <c r="P10669" s="235"/>
      <c r="AI10669" s="38"/>
    </row>
    <row r="10670" ht="15.75" customHeight="1">
      <c r="A10670" s="35"/>
      <c r="C10670" s="442"/>
      <c r="P10670" s="235"/>
      <c r="AI10670" s="38"/>
    </row>
    <row r="10671" ht="15.75" customHeight="1">
      <c r="A10671" s="35"/>
      <c r="C10671" s="442"/>
      <c r="P10671" s="235"/>
      <c r="AI10671" s="38"/>
    </row>
    <row r="10672" ht="15.75" customHeight="1">
      <c r="A10672" s="35"/>
      <c r="C10672" s="442"/>
      <c r="P10672" s="235"/>
      <c r="AI10672" s="38"/>
    </row>
    <row r="10673" ht="15.75" customHeight="1">
      <c r="A10673" s="35"/>
      <c r="C10673" s="442"/>
      <c r="P10673" s="235"/>
      <c r="AI10673" s="38"/>
    </row>
    <row r="10674" ht="15.75" customHeight="1">
      <c r="A10674" s="35"/>
      <c r="C10674" s="442"/>
      <c r="P10674" s="235"/>
      <c r="AI10674" s="38"/>
    </row>
    <row r="10675" ht="15.75" customHeight="1">
      <c r="A10675" s="35"/>
      <c r="C10675" s="442"/>
      <c r="P10675" s="235"/>
      <c r="AI10675" s="38"/>
    </row>
    <row r="10676" ht="15.75" customHeight="1">
      <c r="A10676" s="35"/>
      <c r="C10676" s="442"/>
      <c r="P10676" s="235"/>
      <c r="AI10676" s="38"/>
    </row>
    <row r="10677" ht="15.75" customHeight="1">
      <c r="A10677" s="35"/>
      <c r="C10677" s="442"/>
      <c r="P10677" s="235"/>
      <c r="AI10677" s="38"/>
    </row>
    <row r="10678" ht="15.75" customHeight="1">
      <c r="A10678" s="35"/>
      <c r="C10678" s="442"/>
      <c r="P10678" s="235"/>
      <c r="AI10678" s="38"/>
    </row>
    <row r="10679" ht="15.75" customHeight="1">
      <c r="A10679" s="35"/>
      <c r="C10679" s="442"/>
      <c r="P10679" s="235"/>
      <c r="AI10679" s="38"/>
    </row>
    <row r="10680" ht="15.75" customHeight="1">
      <c r="A10680" s="35"/>
      <c r="C10680" s="442"/>
      <c r="P10680" s="235"/>
      <c r="AI10680" s="38"/>
    </row>
    <row r="10681" ht="15.75" customHeight="1">
      <c r="A10681" s="35"/>
      <c r="C10681" s="442"/>
      <c r="P10681" s="235"/>
      <c r="AI10681" s="38"/>
    </row>
    <row r="10682" ht="15.75" customHeight="1">
      <c r="A10682" s="35"/>
      <c r="C10682" s="442"/>
      <c r="P10682" s="235"/>
      <c r="AI10682" s="38"/>
    </row>
    <row r="10683" ht="15.75" customHeight="1">
      <c r="A10683" s="35"/>
      <c r="C10683" s="442"/>
      <c r="P10683" s="235"/>
      <c r="AI10683" s="38"/>
    </row>
    <row r="10684" ht="15.75" customHeight="1">
      <c r="A10684" s="35"/>
      <c r="C10684" s="442"/>
      <c r="P10684" s="235"/>
      <c r="AI10684" s="38"/>
    </row>
    <row r="10685" ht="15.75" customHeight="1">
      <c r="A10685" s="35"/>
      <c r="C10685" s="442"/>
      <c r="P10685" s="235"/>
      <c r="AI10685" s="38"/>
    </row>
    <row r="10686" ht="15.75" customHeight="1">
      <c r="A10686" s="35"/>
      <c r="C10686" s="442"/>
      <c r="P10686" s="235"/>
      <c r="AI10686" s="38"/>
    </row>
    <row r="10687" ht="15.75" customHeight="1">
      <c r="A10687" s="35"/>
      <c r="C10687" s="442"/>
      <c r="P10687" s="235"/>
      <c r="AI10687" s="38"/>
    </row>
    <row r="10688" ht="15.75" customHeight="1">
      <c r="A10688" s="35"/>
      <c r="C10688" s="442"/>
      <c r="P10688" s="235"/>
      <c r="AI10688" s="38"/>
    </row>
    <row r="10689" ht="15.75" customHeight="1">
      <c r="A10689" s="35"/>
      <c r="C10689" s="442"/>
      <c r="P10689" s="235"/>
      <c r="AI10689" s="38"/>
    </row>
    <row r="10690" ht="15.75" customHeight="1">
      <c r="A10690" s="35"/>
      <c r="C10690" s="442"/>
      <c r="P10690" s="235"/>
      <c r="AI10690" s="38"/>
    </row>
    <row r="10691" ht="15.75" customHeight="1">
      <c r="A10691" s="35"/>
      <c r="C10691" s="442"/>
      <c r="P10691" s="235"/>
      <c r="AI10691" s="38"/>
    </row>
    <row r="10692" ht="15.75" customHeight="1">
      <c r="A10692" s="35"/>
      <c r="C10692" s="442"/>
      <c r="P10692" s="235"/>
      <c r="AI10692" s="38"/>
    </row>
    <row r="10693" ht="15.75" customHeight="1">
      <c r="A10693" s="35"/>
      <c r="C10693" s="442"/>
      <c r="P10693" s="235"/>
      <c r="AI10693" s="38"/>
    </row>
    <row r="10694" ht="15.75" customHeight="1">
      <c r="A10694" s="35"/>
      <c r="C10694" s="442"/>
      <c r="P10694" s="235"/>
      <c r="AI10694" s="38"/>
    </row>
    <row r="10695" ht="15.75" customHeight="1">
      <c r="A10695" s="35"/>
      <c r="C10695" s="442"/>
      <c r="P10695" s="235"/>
      <c r="AI10695" s="38"/>
    </row>
    <row r="10696" ht="15.75" customHeight="1">
      <c r="A10696" s="35"/>
      <c r="C10696" s="442"/>
      <c r="P10696" s="235"/>
      <c r="AI10696" s="38"/>
    </row>
    <row r="10697" ht="15.75" customHeight="1">
      <c r="A10697" s="35"/>
      <c r="C10697" s="442"/>
      <c r="P10697" s="235"/>
      <c r="AI10697" s="38"/>
    </row>
    <row r="10698" ht="15.75" customHeight="1">
      <c r="A10698" s="35"/>
      <c r="C10698" s="442"/>
      <c r="P10698" s="235"/>
      <c r="AI10698" s="38"/>
    </row>
    <row r="10699" ht="15.75" customHeight="1">
      <c r="A10699" s="35"/>
      <c r="C10699" s="442"/>
      <c r="P10699" s="235"/>
      <c r="AI10699" s="38"/>
    </row>
    <row r="10700" ht="15.75" customHeight="1">
      <c r="A10700" s="35"/>
      <c r="C10700" s="442"/>
      <c r="P10700" s="235"/>
      <c r="AI10700" s="38"/>
    </row>
    <row r="10701" ht="15.75" customHeight="1">
      <c r="A10701" s="35"/>
      <c r="C10701" s="442"/>
      <c r="P10701" s="235"/>
      <c r="AI10701" s="38"/>
    </row>
    <row r="10702" ht="15.75" customHeight="1">
      <c r="A10702" s="35"/>
      <c r="C10702" s="442"/>
      <c r="P10702" s="235"/>
      <c r="AI10702" s="38"/>
    </row>
    <row r="10703" ht="15.75" customHeight="1">
      <c r="A10703" s="35"/>
      <c r="C10703" s="442"/>
      <c r="P10703" s="235"/>
      <c r="AI10703" s="38"/>
    </row>
    <row r="10704" ht="15.75" customHeight="1">
      <c r="A10704" s="35"/>
      <c r="C10704" s="442"/>
      <c r="P10704" s="235"/>
      <c r="AI10704" s="38"/>
    </row>
    <row r="10705" ht="15.75" customHeight="1">
      <c r="A10705" s="35"/>
      <c r="C10705" s="442"/>
      <c r="P10705" s="235"/>
      <c r="AI10705" s="38"/>
    </row>
    <row r="10706" ht="15.75" customHeight="1">
      <c r="A10706" s="35"/>
      <c r="C10706" s="442"/>
      <c r="P10706" s="235"/>
      <c r="AI10706" s="38"/>
    </row>
    <row r="10707" ht="15.75" customHeight="1">
      <c r="A10707" s="35"/>
      <c r="C10707" s="442"/>
      <c r="P10707" s="235"/>
      <c r="AI10707" s="38"/>
    </row>
    <row r="10708" ht="15.75" customHeight="1">
      <c r="A10708" s="35"/>
      <c r="C10708" s="442"/>
      <c r="P10708" s="235"/>
      <c r="AI10708" s="38"/>
    </row>
    <row r="10709" ht="15.75" customHeight="1">
      <c r="A10709" s="35"/>
      <c r="C10709" s="442"/>
      <c r="P10709" s="235"/>
      <c r="AI10709" s="38"/>
    </row>
    <row r="10710" ht="15.75" customHeight="1">
      <c r="A10710" s="35"/>
      <c r="C10710" s="442"/>
      <c r="P10710" s="235"/>
      <c r="AI10710" s="38"/>
    </row>
    <row r="10711" ht="15.75" customHeight="1">
      <c r="A10711" s="35"/>
      <c r="C10711" s="442"/>
      <c r="P10711" s="235"/>
      <c r="AI10711" s="38"/>
    </row>
    <row r="10712" ht="15.75" customHeight="1">
      <c r="A10712" s="35"/>
      <c r="C10712" s="442"/>
      <c r="P10712" s="235"/>
      <c r="AI10712" s="38"/>
    </row>
    <row r="10713" ht="15.75" customHeight="1">
      <c r="A10713" s="35"/>
      <c r="C10713" s="442"/>
      <c r="P10713" s="235"/>
      <c r="AI10713" s="38"/>
    </row>
    <row r="10714" ht="15.75" customHeight="1">
      <c r="A10714" s="35"/>
      <c r="C10714" s="442"/>
      <c r="P10714" s="235"/>
      <c r="AI10714" s="38"/>
    </row>
    <row r="10715" ht="15.75" customHeight="1">
      <c r="A10715" s="35"/>
      <c r="C10715" s="442"/>
      <c r="P10715" s="235"/>
      <c r="AI10715" s="38"/>
    </row>
    <row r="10716" ht="15.75" customHeight="1">
      <c r="A10716" s="35"/>
      <c r="C10716" s="442"/>
      <c r="P10716" s="235"/>
      <c r="AI10716" s="38"/>
    </row>
    <row r="10717" ht="15.75" customHeight="1">
      <c r="A10717" s="35"/>
      <c r="C10717" s="442"/>
      <c r="P10717" s="235"/>
      <c r="AI10717" s="38"/>
    </row>
    <row r="10718" ht="15.75" customHeight="1">
      <c r="A10718" s="35"/>
      <c r="C10718" s="442"/>
      <c r="P10718" s="235"/>
      <c r="AI10718" s="38"/>
    </row>
    <row r="10719" ht="15.75" customHeight="1">
      <c r="A10719" s="35"/>
      <c r="C10719" s="442"/>
      <c r="P10719" s="235"/>
      <c r="AI10719" s="38"/>
    </row>
    <row r="10720" ht="15.75" customHeight="1">
      <c r="A10720" s="35"/>
      <c r="C10720" s="442"/>
      <c r="P10720" s="235"/>
      <c r="AI10720" s="38"/>
    </row>
    <row r="10721" ht="15.75" customHeight="1">
      <c r="A10721" s="35"/>
      <c r="C10721" s="442"/>
      <c r="P10721" s="235"/>
      <c r="AI10721" s="38"/>
    </row>
    <row r="10722" ht="15.75" customHeight="1">
      <c r="A10722" s="35"/>
      <c r="C10722" s="442"/>
      <c r="P10722" s="235"/>
      <c r="AI10722" s="38"/>
    </row>
    <row r="10723" ht="15.75" customHeight="1">
      <c r="A10723" s="35"/>
      <c r="C10723" s="442"/>
      <c r="P10723" s="235"/>
      <c r="AI10723" s="38"/>
    </row>
    <row r="10724" ht="15.75" customHeight="1">
      <c r="A10724" s="35"/>
      <c r="C10724" s="442"/>
      <c r="P10724" s="235"/>
      <c r="AI10724" s="38"/>
    </row>
    <row r="10725" ht="15.75" customHeight="1">
      <c r="A10725" s="35"/>
      <c r="C10725" s="442"/>
      <c r="P10725" s="235"/>
      <c r="AI10725" s="38"/>
    </row>
    <row r="10726" ht="15.75" customHeight="1">
      <c r="A10726" s="35"/>
      <c r="C10726" s="442"/>
      <c r="P10726" s="235"/>
      <c r="AI10726" s="38"/>
    </row>
    <row r="10727" ht="15.75" customHeight="1">
      <c r="A10727" s="35"/>
      <c r="C10727" s="442"/>
      <c r="P10727" s="235"/>
      <c r="AI10727" s="38"/>
    </row>
    <row r="10728" ht="15.75" customHeight="1">
      <c r="A10728" s="35"/>
      <c r="C10728" s="442"/>
      <c r="P10728" s="235"/>
      <c r="AI10728" s="38"/>
    </row>
    <row r="10729" ht="15.75" customHeight="1">
      <c r="A10729" s="35"/>
      <c r="C10729" s="442"/>
      <c r="P10729" s="235"/>
      <c r="AI10729" s="38"/>
    </row>
    <row r="10730" ht="15.75" customHeight="1">
      <c r="A10730" s="35"/>
      <c r="C10730" s="442"/>
      <c r="P10730" s="235"/>
      <c r="AI10730" s="38"/>
    </row>
    <row r="10731" ht="15.75" customHeight="1">
      <c r="A10731" s="35"/>
      <c r="C10731" s="442"/>
      <c r="P10731" s="235"/>
      <c r="AI10731" s="38"/>
    </row>
    <row r="10732" ht="15.75" customHeight="1">
      <c r="A10732" s="35"/>
      <c r="C10732" s="442"/>
      <c r="P10732" s="235"/>
      <c r="AI10732" s="38"/>
    </row>
    <row r="10733" ht="15.75" customHeight="1">
      <c r="A10733" s="35"/>
      <c r="C10733" s="442"/>
      <c r="P10733" s="235"/>
      <c r="AI10733" s="38"/>
    </row>
    <row r="10734" ht="15.75" customHeight="1">
      <c r="A10734" s="35"/>
      <c r="C10734" s="442"/>
      <c r="P10734" s="235"/>
      <c r="AI10734" s="38"/>
    </row>
    <row r="10735" ht="15.75" customHeight="1">
      <c r="A10735" s="35"/>
      <c r="C10735" s="442"/>
      <c r="P10735" s="235"/>
      <c r="AI10735" s="38"/>
    </row>
    <row r="10736" ht="15.75" customHeight="1">
      <c r="A10736" s="35"/>
      <c r="C10736" s="442"/>
      <c r="P10736" s="235"/>
      <c r="AI10736" s="38"/>
    </row>
    <row r="10737" ht="15.75" customHeight="1">
      <c r="A10737" s="35"/>
      <c r="C10737" s="442"/>
      <c r="P10737" s="235"/>
      <c r="AI10737" s="38"/>
    </row>
    <row r="10738" ht="15.75" customHeight="1">
      <c r="A10738" s="35"/>
      <c r="C10738" s="442"/>
      <c r="P10738" s="235"/>
      <c r="AI10738" s="38"/>
    </row>
    <row r="10739" ht="15.75" customHeight="1">
      <c r="A10739" s="35"/>
      <c r="C10739" s="442"/>
      <c r="P10739" s="235"/>
      <c r="AI10739" s="38"/>
    </row>
    <row r="10740" ht="15.75" customHeight="1">
      <c r="A10740" s="35"/>
      <c r="C10740" s="442"/>
      <c r="P10740" s="235"/>
      <c r="AI10740" s="38"/>
    </row>
    <row r="10741" ht="15.75" customHeight="1">
      <c r="A10741" s="35"/>
      <c r="C10741" s="442"/>
      <c r="P10741" s="235"/>
      <c r="AI10741" s="38"/>
    </row>
    <row r="10742" ht="15.75" customHeight="1">
      <c r="A10742" s="35"/>
      <c r="C10742" s="442"/>
      <c r="P10742" s="235"/>
      <c r="AI10742" s="38"/>
    </row>
    <row r="10743" ht="15.75" customHeight="1">
      <c r="A10743" s="35"/>
      <c r="C10743" s="442"/>
      <c r="P10743" s="235"/>
      <c r="AI10743" s="38"/>
    </row>
    <row r="10744" ht="15.75" customHeight="1">
      <c r="A10744" s="35"/>
      <c r="C10744" s="442"/>
      <c r="P10744" s="235"/>
      <c r="AI10744" s="38"/>
    </row>
    <row r="10745" ht="15.75" customHeight="1">
      <c r="A10745" s="35"/>
      <c r="C10745" s="442"/>
      <c r="P10745" s="235"/>
      <c r="AI10745" s="38"/>
    </row>
    <row r="10746" ht="15.75" customHeight="1">
      <c r="A10746" s="35"/>
      <c r="C10746" s="442"/>
      <c r="P10746" s="235"/>
      <c r="AI10746" s="38"/>
    </row>
    <row r="10747" ht="15.75" customHeight="1">
      <c r="A10747" s="35"/>
      <c r="C10747" s="442"/>
      <c r="P10747" s="235"/>
      <c r="AI10747" s="38"/>
    </row>
    <row r="10748" ht="15.75" customHeight="1">
      <c r="A10748" s="35"/>
      <c r="C10748" s="442"/>
      <c r="P10748" s="235"/>
      <c r="AI10748" s="38"/>
    </row>
    <row r="10749" ht="15.75" customHeight="1">
      <c r="A10749" s="35"/>
      <c r="C10749" s="442"/>
      <c r="P10749" s="235"/>
      <c r="AI10749" s="38"/>
    </row>
    <row r="10750" ht="15.75" customHeight="1">
      <c r="A10750" s="35"/>
      <c r="C10750" s="442"/>
      <c r="P10750" s="235"/>
      <c r="AI10750" s="38"/>
    </row>
    <row r="10751" ht="15.75" customHeight="1">
      <c r="A10751" s="35"/>
      <c r="C10751" s="442"/>
      <c r="P10751" s="235"/>
      <c r="AI10751" s="38"/>
    </row>
    <row r="10752" ht="15.75" customHeight="1">
      <c r="A10752" s="35"/>
      <c r="C10752" s="442"/>
      <c r="P10752" s="235"/>
      <c r="AI10752" s="38"/>
    </row>
    <row r="10753" ht="15.75" customHeight="1">
      <c r="A10753" s="35"/>
      <c r="C10753" s="442"/>
      <c r="P10753" s="235"/>
      <c r="AI10753" s="38"/>
    </row>
    <row r="10754" ht="15.75" customHeight="1">
      <c r="A10754" s="35"/>
      <c r="C10754" s="442"/>
      <c r="P10754" s="235"/>
      <c r="AI10754" s="38"/>
    </row>
    <row r="10755" ht="15.75" customHeight="1">
      <c r="A10755" s="35"/>
      <c r="C10755" s="442"/>
      <c r="P10755" s="235"/>
      <c r="AI10755" s="38"/>
    </row>
    <row r="10756" ht="15.75" customHeight="1">
      <c r="A10756" s="35"/>
      <c r="C10756" s="442"/>
      <c r="P10756" s="235"/>
      <c r="AI10756" s="38"/>
    </row>
    <row r="10757" ht="15.75" customHeight="1">
      <c r="A10757" s="35"/>
      <c r="C10757" s="442"/>
      <c r="P10757" s="235"/>
      <c r="AI10757" s="38"/>
    </row>
    <row r="10758" ht="15.75" customHeight="1">
      <c r="A10758" s="35"/>
      <c r="C10758" s="442"/>
      <c r="P10758" s="235"/>
      <c r="AI10758" s="38"/>
    </row>
    <row r="10759" ht="15.75" customHeight="1">
      <c r="A10759" s="35"/>
      <c r="C10759" s="442"/>
      <c r="P10759" s="235"/>
      <c r="AI10759" s="38"/>
    </row>
    <row r="10760" ht="15.75" customHeight="1">
      <c r="A10760" s="35"/>
      <c r="C10760" s="442"/>
      <c r="P10760" s="235"/>
      <c r="AI10760" s="38"/>
    </row>
    <row r="10761" ht="15.75" customHeight="1">
      <c r="A10761" s="35"/>
      <c r="C10761" s="442"/>
      <c r="P10761" s="235"/>
      <c r="AI10761" s="38"/>
    </row>
    <row r="10762" ht="15.75" customHeight="1">
      <c r="A10762" s="35"/>
      <c r="C10762" s="442"/>
      <c r="P10762" s="235"/>
      <c r="AI10762" s="38"/>
    </row>
    <row r="10763" ht="15.75" customHeight="1">
      <c r="A10763" s="35"/>
      <c r="C10763" s="442"/>
      <c r="P10763" s="235"/>
      <c r="AI10763" s="38"/>
    </row>
    <row r="10764" ht="15.75" customHeight="1">
      <c r="A10764" s="35"/>
      <c r="C10764" s="442"/>
      <c r="P10764" s="235"/>
      <c r="AI10764" s="38"/>
    </row>
    <row r="10765" ht="15.75" customHeight="1">
      <c r="A10765" s="35"/>
      <c r="C10765" s="442"/>
      <c r="P10765" s="235"/>
      <c r="AI10765" s="38"/>
    </row>
    <row r="10766" ht="15.75" customHeight="1">
      <c r="A10766" s="35"/>
      <c r="C10766" s="442"/>
      <c r="P10766" s="235"/>
      <c r="AI10766" s="38"/>
    </row>
    <row r="10767" ht="15.75" customHeight="1">
      <c r="A10767" s="35"/>
      <c r="C10767" s="442"/>
      <c r="P10767" s="235"/>
      <c r="AI10767" s="38"/>
    </row>
    <row r="10768" ht="15.75" customHeight="1">
      <c r="A10768" s="35"/>
      <c r="C10768" s="442"/>
      <c r="P10768" s="235"/>
      <c r="AI10768" s="38"/>
    </row>
    <row r="10769" ht="15.75" customHeight="1">
      <c r="A10769" s="35"/>
      <c r="C10769" s="442"/>
      <c r="P10769" s="235"/>
      <c r="AI10769" s="38"/>
    </row>
    <row r="10770" ht="15.75" customHeight="1">
      <c r="A10770" s="35"/>
      <c r="C10770" s="442"/>
      <c r="P10770" s="235"/>
      <c r="AI10770" s="38"/>
    </row>
    <row r="10771" ht="15.75" customHeight="1">
      <c r="A10771" s="35"/>
      <c r="C10771" s="442"/>
      <c r="P10771" s="235"/>
      <c r="AI10771" s="38"/>
    </row>
    <row r="10772" ht="15.75" customHeight="1">
      <c r="A10772" s="35"/>
      <c r="C10772" s="442"/>
      <c r="P10772" s="235"/>
      <c r="AI10772" s="38"/>
    </row>
    <row r="10773" ht="15.75" customHeight="1">
      <c r="A10773" s="35"/>
      <c r="C10773" s="442"/>
      <c r="P10773" s="235"/>
      <c r="AI10773" s="38"/>
    </row>
    <row r="10774" ht="15.75" customHeight="1">
      <c r="A10774" s="35"/>
      <c r="C10774" s="442"/>
      <c r="P10774" s="235"/>
      <c r="AI10774" s="38"/>
    </row>
    <row r="10775" ht="15.75" customHeight="1">
      <c r="A10775" s="35"/>
      <c r="C10775" s="442"/>
      <c r="P10775" s="235"/>
      <c r="AI10775" s="38"/>
    </row>
    <row r="10776" ht="15.75" customHeight="1">
      <c r="A10776" s="35"/>
      <c r="C10776" s="442"/>
      <c r="P10776" s="235"/>
      <c r="AI10776" s="38"/>
    </row>
    <row r="10777" ht="15.75" customHeight="1">
      <c r="A10777" s="35"/>
      <c r="C10777" s="442"/>
      <c r="P10777" s="235"/>
      <c r="AI10777" s="38"/>
    </row>
    <row r="10778" ht="15.75" customHeight="1">
      <c r="A10778" s="35"/>
      <c r="C10778" s="442"/>
      <c r="P10778" s="235"/>
      <c r="AI10778" s="38"/>
    </row>
    <row r="10779" ht="15.75" customHeight="1">
      <c r="A10779" s="35"/>
      <c r="C10779" s="442"/>
      <c r="P10779" s="235"/>
      <c r="AI10779" s="38"/>
    </row>
    <row r="10780" ht="15.75" customHeight="1">
      <c r="A10780" s="35"/>
      <c r="C10780" s="442"/>
      <c r="P10780" s="235"/>
      <c r="AI10780" s="38"/>
    </row>
    <row r="10781" ht="15.75" customHeight="1">
      <c r="A10781" s="35"/>
      <c r="C10781" s="442"/>
      <c r="P10781" s="235"/>
      <c r="AI10781" s="38"/>
    </row>
    <row r="10782" ht="15.75" customHeight="1">
      <c r="A10782" s="35"/>
      <c r="C10782" s="442"/>
      <c r="P10782" s="235"/>
      <c r="AI10782" s="38"/>
    </row>
    <row r="10783" ht="15.75" customHeight="1">
      <c r="A10783" s="35"/>
      <c r="C10783" s="442"/>
      <c r="P10783" s="235"/>
      <c r="AI10783" s="38"/>
    </row>
    <row r="10784" ht="15.75" customHeight="1">
      <c r="A10784" s="35"/>
      <c r="C10784" s="442"/>
      <c r="P10784" s="235"/>
      <c r="AI10784" s="38"/>
    </row>
    <row r="10785" ht="15.75" customHeight="1">
      <c r="A10785" s="35"/>
      <c r="C10785" s="442"/>
      <c r="P10785" s="235"/>
      <c r="AI10785" s="38"/>
    </row>
    <row r="10786" ht="15.75" customHeight="1">
      <c r="A10786" s="35"/>
      <c r="C10786" s="442"/>
      <c r="P10786" s="235"/>
      <c r="AI10786" s="38"/>
    </row>
    <row r="10787" ht="15.75" customHeight="1">
      <c r="A10787" s="35"/>
      <c r="C10787" s="442"/>
      <c r="P10787" s="235"/>
      <c r="AI10787" s="38"/>
    </row>
    <row r="10788" ht="15.75" customHeight="1">
      <c r="A10788" s="35"/>
      <c r="C10788" s="442"/>
      <c r="P10788" s="235"/>
      <c r="AI10788" s="38"/>
    </row>
    <row r="10789" ht="15.75" customHeight="1">
      <c r="A10789" s="35"/>
      <c r="C10789" s="442"/>
      <c r="P10789" s="235"/>
      <c r="AI10789" s="38"/>
    </row>
    <row r="10790" ht="15.75" customHeight="1">
      <c r="A10790" s="35"/>
      <c r="C10790" s="442"/>
      <c r="P10790" s="235"/>
      <c r="AI10790" s="38"/>
    </row>
    <row r="10791" ht="15.75" customHeight="1">
      <c r="A10791" s="35"/>
      <c r="C10791" s="442"/>
      <c r="P10791" s="235"/>
      <c r="AI10791" s="38"/>
    </row>
    <row r="10792" ht="15.75" customHeight="1">
      <c r="A10792" s="35"/>
      <c r="C10792" s="442"/>
      <c r="P10792" s="235"/>
      <c r="AI10792" s="38"/>
    </row>
    <row r="10793" ht="15.75" customHeight="1">
      <c r="A10793" s="35"/>
      <c r="C10793" s="442"/>
      <c r="P10793" s="235"/>
      <c r="AI10793" s="38"/>
    </row>
    <row r="10794" ht="15.75" customHeight="1">
      <c r="A10794" s="35"/>
      <c r="C10794" s="442"/>
      <c r="P10794" s="235"/>
      <c r="AI10794" s="38"/>
    </row>
    <row r="10795" ht="15.75" customHeight="1">
      <c r="A10795" s="35"/>
      <c r="C10795" s="442"/>
      <c r="P10795" s="235"/>
      <c r="AI10795" s="38"/>
    </row>
    <row r="10796" ht="15.75" customHeight="1">
      <c r="A10796" s="35"/>
      <c r="C10796" s="442"/>
      <c r="P10796" s="235"/>
      <c r="AI10796" s="38"/>
    </row>
    <row r="10797" ht="15.75" customHeight="1">
      <c r="A10797" s="35"/>
      <c r="C10797" s="442"/>
      <c r="P10797" s="235"/>
      <c r="AI10797" s="38"/>
    </row>
    <row r="10798" ht="15.75" customHeight="1">
      <c r="A10798" s="35"/>
      <c r="C10798" s="442"/>
      <c r="P10798" s="235"/>
      <c r="AI10798" s="38"/>
    </row>
    <row r="10799" ht="15.75" customHeight="1">
      <c r="A10799" s="35"/>
      <c r="C10799" s="442"/>
      <c r="P10799" s="235"/>
      <c r="AI10799" s="38"/>
    </row>
    <row r="10800" ht="15.75" customHeight="1">
      <c r="A10800" s="35"/>
      <c r="C10800" s="442"/>
      <c r="P10800" s="235"/>
      <c r="AI10800" s="38"/>
    </row>
    <row r="10801" ht="15.75" customHeight="1">
      <c r="A10801" s="35"/>
      <c r="C10801" s="442"/>
      <c r="P10801" s="235"/>
      <c r="AI10801" s="38"/>
    </row>
    <row r="10802" ht="15.75" customHeight="1">
      <c r="A10802" s="35"/>
      <c r="C10802" s="442"/>
      <c r="P10802" s="235"/>
      <c r="AI10802" s="38"/>
    </row>
    <row r="10803" ht="15.75" customHeight="1">
      <c r="A10803" s="35"/>
      <c r="C10803" s="442"/>
      <c r="P10803" s="235"/>
      <c r="AI10803" s="38"/>
    </row>
    <row r="10804" ht="15.75" customHeight="1">
      <c r="A10804" s="35"/>
      <c r="C10804" s="442"/>
      <c r="P10804" s="235"/>
      <c r="AI10804" s="38"/>
    </row>
    <row r="10805" ht="15.75" customHeight="1">
      <c r="A10805" s="35"/>
      <c r="C10805" s="442"/>
      <c r="P10805" s="235"/>
      <c r="AI10805" s="38"/>
    </row>
    <row r="10806" ht="15.75" customHeight="1">
      <c r="A10806" s="35"/>
      <c r="C10806" s="442"/>
      <c r="P10806" s="235"/>
      <c r="AI10806" s="38"/>
    </row>
    <row r="10807" ht="15.75" customHeight="1">
      <c r="A10807" s="35"/>
      <c r="C10807" s="442"/>
      <c r="P10807" s="235"/>
      <c r="AI10807" s="38"/>
    </row>
    <row r="10808" ht="15.75" customHeight="1">
      <c r="A10808" s="35"/>
      <c r="C10808" s="442"/>
      <c r="P10808" s="235"/>
      <c r="AI10808" s="38"/>
    </row>
    <row r="10809" ht="15.75" customHeight="1">
      <c r="A10809" s="35"/>
      <c r="C10809" s="442"/>
      <c r="P10809" s="235"/>
      <c r="AI10809" s="38"/>
    </row>
    <row r="10810" ht="15.75" customHeight="1">
      <c r="A10810" s="35"/>
      <c r="C10810" s="442"/>
      <c r="P10810" s="235"/>
      <c r="AI10810" s="38"/>
    </row>
    <row r="10811" ht="15.75" customHeight="1">
      <c r="A10811" s="35"/>
      <c r="C10811" s="442"/>
      <c r="P10811" s="235"/>
      <c r="AI10811" s="38"/>
    </row>
    <row r="10812" ht="15.75" customHeight="1">
      <c r="A10812" s="35"/>
      <c r="C10812" s="442"/>
      <c r="P10812" s="235"/>
      <c r="AI10812" s="38"/>
    </row>
    <row r="10813" ht="15.75" customHeight="1">
      <c r="A10813" s="35"/>
      <c r="C10813" s="442"/>
      <c r="P10813" s="235"/>
      <c r="AI10813" s="38"/>
    </row>
    <row r="10814" ht="15.75" customHeight="1">
      <c r="A10814" s="35"/>
      <c r="C10814" s="442"/>
      <c r="P10814" s="235"/>
      <c r="AI10814" s="38"/>
    </row>
    <row r="10815" ht="15.75" customHeight="1">
      <c r="A10815" s="35"/>
      <c r="C10815" s="442"/>
      <c r="P10815" s="235"/>
      <c r="AI10815" s="38"/>
    </row>
    <row r="10816" ht="15.75" customHeight="1">
      <c r="A10816" s="35"/>
      <c r="C10816" s="442"/>
      <c r="P10816" s="235"/>
      <c r="AI10816" s="38"/>
    </row>
    <row r="10817" ht="15.75" customHeight="1">
      <c r="A10817" s="35"/>
      <c r="C10817" s="442"/>
      <c r="P10817" s="235"/>
      <c r="AI10817" s="38"/>
    </row>
    <row r="10818" ht="15.75" customHeight="1">
      <c r="A10818" s="35"/>
      <c r="C10818" s="442"/>
      <c r="P10818" s="235"/>
      <c r="AI10818" s="38"/>
    </row>
    <row r="10819" ht="15.75" customHeight="1">
      <c r="A10819" s="35"/>
      <c r="C10819" s="442"/>
      <c r="P10819" s="235"/>
      <c r="AI10819" s="38"/>
    </row>
    <row r="10820" ht="15.75" customHeight="1">
      <c r="A10820" s="35"/>
      <c r="C10820" s="442"/>
      <c r="P10820" s="235"/>
      <c r="AI10820" s="38"/>
    </row>
    <row r="10821" ht="15.75" customHeight="1">
      <c r="A10821" s="35"/>
      <c r="C10821" s="442"/>
      <c r="P10821" s="235"/>
      <c r="AI10821" s="38"/>
    </row>
    <row r="10822" ht="15.75" customHeight="1">
      <c r="A10822" s="35"/>
      <c r="C10822" s="442"/>
      <c r="P10822" s="235"/>
      <c r="AI10822" s="38"/>
    </row>
    <row r="10823" ht="15.75" customHeight="1">
      <c r="A10823" s="35"/>
      <c r="C10823" s="442"/>
      <c r="P10823" s="235"/>
      <c r="AI10823" s="38"/>
    </row>
    <row r="10824" ht="15.75" customHeight="1">
      <c r="A10824" s="35"/>
      <c r="C10824" s="442"/>
      <c r="P10824" s="235"/>
      <c r="AI10824" s="38"/>
    </row>
    <row r="10825" ht="15.75" customHeight="1">
      <c r="A10825" s="35"/>
      <c r="C10825" s="442"/>
      <c r="P10825" s="235"/>
      <c r="AI10825" s="38"/>
    </row>
    <row r="10826" ht="15.75" customHeight="1">
      <c r="A10826" s="35"/>
      <c r="C10826" s="442"/>
      <c r="P10826" s="235"/>
      <c r="AI10826" s="38"/>
    </row>
    <row r="10827" ht="15.75" customHeight="1">
      <c r="A10827" s="35"/>
      <c r="C10827" s="442"/>
      <c r="P10827" s="235"/>
      <c r="AI10827" s="38"/>
    </row>
    <row r="10828" ht="15.75" customHeight="1">
      <c r="A10828" s="35"/>
      <c r="C10828" s="442"/>
      <c r="P10828" s="235"/>
      <c r="AI10828" s="38"/>
    </row>
    <row r="10829" ht="15.75" customHeight="1">
      <c r="A10829" s="35"/>
      <c r="C10829" s="442"/>
      <c r="P10829" s="235"/>
      <c r="AI10829" s="38"/>
    </row>
    <row r="10830" ht="15.75" customHeight="1">
      <c r="A10830" s="35"/>
      <c r="C10830" s="442"/>
      <c r="P10830" s="235"/>
      <c r="AI10830" s="38"/>
    </row>
    <row r="10831" ht="15.75" customHeight="1">
      <c r="A10831" s="35"/>
      <c r="C10831" s="442"/>
      <c r="P10831" s="235"/>
      <c r="AI10831" s="38"/>
    </row>
    <row r="10832" ht="15.75" customHeight="1">
      <c r="A10832" s="35"/>
      <c r="C10832" s="442"/>
      <c r="P10832" s="235"/>
      <c r="AI10832" s="38"/>
    </row>
    <row r="10833" ht="15.75" customHeight="1">
      <c r="A10833" s="35"/>
      <c r="C10833" s="442"/>
      <c r="P10833" s="235"/>
      <c r="AI10833" s="38"/>
    </row>
    <row r="10834" ht="15.75" customHeight="1">
      <c r="A10834" s="35"/>
      <c r="C10834" s="442"/>
      <c r="P10834" s="235"/>
      <c r="AI10834" s="38"/>
    </row>
    <row r="10835" ht="15.75" customHeight="1">
      <c r="A10835" s="35"/>
      <c r="C10835" s="442"/>
      <c r="P10835" s="235"/>
      <c r="AI10835" s="38"/>
    </row>
    <row r="10836" ht="15.75" customHeight="1">
      <c r="A10836" s="35"/>
      <c r="C10836" s="442"/>
      <c r="P10836" s="235"/>
      <c r="AI10836" s="38"/>
    </row>
    <row r="10837" ht="15.75" customHeight="1">
      <c r="A10837" s="35"/>
      <c r="C10837" s="442"/>
      <c r="P10837" s="235"/>
      <c r="AI10837" s="38"/>
    </row>
    <row r="10838" ht="15.75" customHeight="1">
      <c r="A10838" s="35"/>
      <c r="C10838" s="442"/>
      <c r="P10838" s="235"/>
      <c r="AI10838" s="38"/>
    </row>
    <row r="10839" ht="15.75" customHeight="1">
      <c r="A10839" s="35"/>
      <c r="C10839" s="442"/>
      <c r="P10839" s="235"/>
      <c r="AI10839" s="38"/>
    </row>
    <row r="10840" ht="15.75" customHeight="1">
      <c r="A10840" s="35"/>
      <c r="C10840" s="442"/>
      <c r="P10840" s="235"/>
      <c r="AI10840" s="38"/>
    </row>
    <row r="10841" ht="15.75" customHeight="1">
      <c r="A10841" s="35"/>
      <c r="C10841" s="442"/>
      <c r="P10841" s="235"/>
      <c r="AI10841" s="38"/>
    </row>
    <row r="10842" ht="15.75" customHeight="1">
      <c r="A10842" s="35"/>
      <c r="C10842" s="442"/>
      <c r="P10842" s="235"/>
      <c r="AI10842" s="38"/>
    </row>
    <row r="10843" ht="15.75" customHeight="1">
      <c r="A10843" s="35"/>
      <c r="C10843" s="442"/>
      <c r="P10843" s="235"/>
      <c r="AI10843" s="38"/>
    </row>
    <row r="10844" ht="15.75" customHeight="1">
      <c r="A10844" s="35"/>
      <c r="C10844" s="442"/>
      <c r="P10844" s="235"/>
      <c r="AI10844" s="38"/>
    </row>
    <row r="10845" ht="15.75" customHeight="1">
      <c r="A10845" s="35"/>
      <c r="C10845" s="442"/>
      <c r="P10845" s="235"/>
      <c r="AI10845" s="38"/>
    </row>
    <row r="10846" ht="15.75" customHeight="1">
      <c r="A10846" s="35"/>
      <c r="C10846" s="442"/>
      <c r="P10846" s="235"/>
      <c r="AI10846" s="38"/>
    </row>
    <row r="10847" ht="15.75" customHeight="1">
      <c r="A10847" s="35"/>
      <c r="C10847" s="442"/>
      <c r="P10847" s="235"/>
      <c r="AI10847" s="38"/>
    </row>
    <row r="10848" ht="15.75" customHeight="1">
      <c r="A10848" s="35"/>
      <c r="C10848" s="442"/>
      <c r="P10848" s="235"/>
      <c r="AI10848" s="38"/>
    </row>
    <row r="10849" ht="15.75" customHeight="1">
      <c r="A10849" s="35"/>
      <c r="C10849" s="442"/>
      <c r="P10849" s="235"/>
      <c r="AI10849" s="38"/>
    </row>
    <row r="10850" ht="15.75" customHeight="1">
      <c r="A10850" s="35"/>
      <c r="C10850" s="442"/>
      <c r="P10850" s="235"/>
      <c r="AI10850" s="38"/>
    </row>
    <row r="10851" ht="15.75" customHeight="1">
      <c r="A10851" s="35"/>
      <c r="C10851" s="442"/>
      <c r="P10851" s="235"/>
      <c r="AI10851" s="38"/>
    </row>
    <row r="10852" ht="15.75" customHeight="1">
      <c r="A10852" s="35"/>
      <c r="C10852" s="442"/>
      <c r="P10852" s="235"/>
      <c r="AI10852" s="38"/>
    </row>
    <row r="10853" ht="15.75" customHeight="1">
      <c r="A10853" s="35"/>
      <c r="C10853" s="442"/>
      <c r="P10853" s="235"/>
      <c r="AI10853" s="38"/>
    </row>
    <row r="10854" ht="15.75" customHeight="1">
      <c r="A10854" s="35"/>
      <c r="C10854" s="442"/>
      <c r="P10854" s="235"/>
      <c r="AI10854" s="38"/>
    </row>
    <row r="10855" ht="15.75" customHeight="1">
      <c r="A10855" s="35"/>
      <c r="C10855" s="442"/>
      <c r="P10855" s="235"/>
      <c r="AI10855" s="38"/>
    </row>
    <row r="10856" ht="15.75" customHeight="1">
      <c r="A10856" s="35"/>
      <c r="C10856" s="442"/>
      <c r="P10856" s="235"/>
      <c r="AI10856" s="38"/>
    </row>
    <row r="10857" ht="15.75" customHeight="1">
      <c r="A10857" s="35"/>
      <c r="C10857" s="442"/>
      <c r="P10857" s="235"/>
      <c r="AI10857" s="38"/>
    </row>
    <row r="10858" ht="15.75" customHeight="1">
      <c r="A10858" s="35"/>
      <c r="C10858" s="442"/>
      <c r="P10858" s="235"/>
      <c r="AI10858" s="38"/>
    </row>
    <row r="10859" ht="15.75" customHeight="1">
      <c r="A10859" s="35"/>
      <c r="C10859" s="442"/>
      <c r="P10859" s="235"/>
      <c r="AI10859" s="38"/>
    </row>
    <row r="10860" ht="15.75" customHeight="1">
      <c r="A10860" s="35"/>
      <c r="C10860" s="442"/>
      <c r="P10860" s="235"/>
      <c r="AI10860" s="38"/>
    </row>
    <row r="10861" ht="15.75" customHeight="1">
      <c r="A10861" s="35"/>
      <c r="C10861" s="442"/>
      <c r="P10861" s="235"/>
      <c r="AI10861" s="38"/>
    </row>
    <row r="10862" ht="15.75" customHeight="1">
      <c r="A10862" s="35"/>
      <c r="C10862" s="442"/>
      <c r="P10862" s="235"/>
      <c r="AI10862" s="38"/>
    </row>
    <row r="10863" ht="15.75" customHeight="1">
      <c r="A10863" s="35"/>
      <c r="C10863" s="442"/>
      <c r="P10863" s="235"/>
      <c r="AI10863" s="38"/>
    </row>
    <row r="10864" ht="15.75" customHeight="1">
      <c r="A10864" s="35"/>
      <c r="C10864" s="442"/>
      <c r="P10864" s="235"/>
      <c r="AI10864" s="38"/>
    </row>
    <row r="10865" ht="15.75" customHeight="1">
      <c r="A10865" s="35"/>
      <c r="C10865" s="442"/>
      <c r="P10865" s="235"/>
      <c r="AI10865" s="38"/>
    </row>
    <row r="10866" ht="15.75" customHeight="1">
      <c r="A10866" s="35"/>
      <c r="C10866" s="442"/>
      <c r="P10866" s="235"/>
      <c r="AI10866" s="38"/>
    </row>
    <row r="10867" ht="15.75" customHeight="1">
      <c r="A10867" s="35"/>
      <c r="C10867" s="442"/>
      <c r="P10867" s="235"/>
      <c r="AI10867" s="38"/>
    </row>
    <row r="10868" ht="15.75" customHeight="1">
      <c r="A10868" s="35"/>
      <c r="C10868" s="442"/>
      <c r="P10868" s="235"/>
      <c r="AI10868" s="38"/>
    </row>
    <row r="10869" ht="15.75" customHeight="1">
      <c r="A10869" s="35"/>
      <c r="C10869" s="442"/>
      <c r="P10869" s="235"/>
      <c r="AI10869" s="38"/>
    </row>
    <row r="10870" ht="15.75" customHeight="1">
      <c r="A10870" s="35"/>
      <c r="C10870" s="442"/>
      <c r="P10870" s="235"/>
      <c r="AI10870" s="38"/>
    </row>
    <row r="10871" ht="15.75" customHeight="1">
      <c r="A10871" s="35"/>
      <c r="C10871" s="442"/>
      <c r="P10871" s="235"/>
      <c r="AI10871" s="38"/>
    </row>
    <row r="10872" ht="15.75" customHeight="1">
      <c r="A10872" s="35"/>
      <c r="C10872" s="442"/>
      <c r="P10872" s="235"/>
      <c r="AI10872" s="38"/>
    </row>
    <row r="10873" ht="15.75" customHeight="1">
      <c r="A10873" s="35"/>
      <c r="C10873" s="442"/>
      <c r="P10873" s="235"/>
      <c r="AI10873" s="38"/>
    </row>
    <row r="10874" ht="15.75" customHeight="1">
      <c r="A10874" s="35"/>
      <c r="C10874" s="442"/>
      <c r="P10874" s="235"/>
      <c r="AI10874" s="38"/>
    </row>
    <row r="10875" ht="15.75" customHeight="1">
      <c r="A10875" s="35"/>
      <c r="C10875" s="442"/>
      <c r="P10875" s="235"/>
      <c r="AI10875" s="38"/>
    </row>
    <row r="10876" ht="15.75" customHeight="1">
      <c r="A10876" s="35"/>
      <c r="C10876" s="442"/>
      <c r="P10876" s="235"/>
      <c r="AI10876" s="38"/>
    </row>
    <row r="10877" ht="15.75" customHeight="1">
      <c r="A10877" s="35"/>
      <c r="C10877" s="442"/>
      <c r="P10877" s="235"/>
      <c r="AI10877" s="38"/>
    </row>
    <row r="10878" ht="15.75" customHeight="1">
      <c r="A10878" s="35"/>
      <c r="C10878" s="442"/>
      <c r="P10878" s="235"/>
      <c r="AI10878" s="38"/>
    </row>
    <row r="10879" ht="15.75" customHeight="1">
      <c r="A10879" s="35"/>
      <c r="C10879" s="442"/>
      <c r="P10879" s="235"/>
      <c r="AI10879" s="38"/>
    </row>
    <row r="10880" ht="15.75" customHeight="1">
      <c r="A10880" s="35"/>
      <c r="C10880" s="442"/>
      <c r="P10880" s="235"/>
      <c r="AI10880" s="38"/>
    </row>
    <row r="10881" ht="15.75" customHeight="1">
      <c r="A10881" s="35"/>
      <c r="C10881" s="442"/>
      <c r="P10881" s="235"/>
      <c r="AI10881" s="38"/>
    </row>
    <row r="10882" ht="15.75" customHeight="1">
      <c r="A10882" s="35"/>
      <c r="C10882" s="442"/>
      <c r="P10882" s="235"/>
      <c r="AI10882" s="38"/>
    </row>
    <row r="10883" ht="15.75" customHeight="1">
      <c r="A10883" s="35"/>
      <c r="C10883" s="442"/>
      <c r="P10883" s="235"/>
      <c r="AI10883" s="38"/>
    </row>
    <row r="10884" ht="15.75" customHeight="1">
      <c r="A10884" s="35"/>
      <c r="C10884" s="442"/>
      <c r="P10884" s="235"/>
      <c r="AI10884" s="38"/>
    </row>
    <row r="10885" ht="15.75" customHeight="1">
      <c r="A10885" s="35"/>
      <c r="C10885" s="442"/>
      <c r="P10885" s="235"/>
      <c r="AI10885" s="38"/>
    </row>
    <row r="10886" ht="15.75" customHeight="1">
      <c r="A10886" s="35"/>
      <c r="C10886" s="442"/>
      <c r="P10886" s="235"/>
      <c r="AI10886" s="38"/>
    </row>
    <row r="10887" ht="15.75" customHeight="1">
      <c r="A10887" s="35"/>
      <c r="C10887" s="442"/>
      <c r="P10887" s="235"/>
      <c r="AI10887" s="38"/>
    </row>
    <row r="10888" ht="15.75" customHeight="1">
      <c r="A10888" s="35"/>
      <c r="C10888" s="442"/>
      <c r="P10888" s="235"/>
      <c r="AI10888" s="38"/>
    </row>
    <row r="10889" ht="15.75" customHeight="1">
      <c r="A10889" s="35"/>
      <c r="C10889" s="442"/>
      <c r="P10889" s="235"/>
      <c r="AI10889" s="38"/>
    </row>
    <row r="10890" ht="15.75" customHeight="1">
      <c r="A10890" s="35"/>
      <c r="C10890" s="442"/>
      <c r="P10890" s="235"/>
      <c r="AI10890" s="38"/>
    </row>
    <row r="10891" ht="15.75" customHeight="1">
      <c r="A10891" s="35"/>
      <c r="C10891" s="442"/>
      <c r="P10891" s="235"/>
      <c r="AI10891" s="38"/>
    </row>
    <row r="10892" ht="15.75" customHeight="1">
      <c r="A10892" s="35"/>
      <c r="C10892" s="442"/>
      <c r="P10892" s="235"/>
      <c r="AI10892" s="38"/>
    </row>
    <row r="10893" ht="15.75" customHeight="1">
      <c r="A10893" s="35"/>
      <c r="C10893" s="442"/>
      <c r="P10893" s="235"/>
      <c r="AI10893" s="38"/>
    </row>
    <row r="10894" ht="15.75" customHeight="1">
      <c r="A10894" s="35"/>
      <c r="C10894" s="442"/>
      <c r="P10894" s="235"/>
      <c r="AI10894" s="38"/>
    </row>
    <row r="10895" ht="15.75" customHeight="1">
      <c r="A10895" s="35"/>
      <c r="C10895" s="442"/>
      <c r="P10895" s="235"/>
      <c r="AI10895" s="38"/>
    </row>
    <row r="10896" ht="15.75" customHeight="1">
      <c r="A10896" s="35"/>
      <c r="C10896" s="442"/>
      <c r="P10896" s="235"/>
      <c r="AI10896" s="38"/>
    </row>
    <row r="10897" ht="15.75" customHeight="1">
      <c r="A10897" s="35"/>
      <c r="C10897" s="442"/>
      <c r="P10897" s="235"/>
      <c r="AI10897" s="38"/>
    </row>
    <row r="10898" ht="15.75" customHeight="1">
      <c r="A10898" s="35"/>
      <c r="C10898" s="442"/>
      <c r="P10898" s="235"/>
      <c r="AI10898" s="38"/>
    </row>
    <row r="10899" ht="15.75" customHeight="1">
      <c r="A10899" s="35"/>
      <c r="C10899" s="442"/>
      <c r="P10899" s="235"/>
      <c r="AI10899" s="38"/>
    </row>
    <row r="10900" ht="15.75" customHeight="1">
      <c r="A10900" s="35"/>
      <c r="C10900" s="442"/>
      <c r="P10900" s="235"/>
      <c r="AI10900" s="38"/>
    </row>
    <row r="10901" ht="15.75" customHeight="1">
      <c r="A10901" s="35"/>
      <c r="C10901" s="442"/>
      <c r="P10901" s="235"/>
      <c r="AI10901" s="38"/>
    </row>
    <row r="10902" ht="15.75" customHeight="1">
      <c r="A10902" s="35"/>
      <c r="C10902" s="442"/>
      <c r="P10902" s="235"/>
      <c r="AI10902" s="38"/>
    </row>
    <row r="10903" ht="15.75" customHeight="1">
      <c r="A10903" s="35"/>
      <c r="C10903" s="442"/>
      <c r="P10903" s="235"/>
      <c r="AI10903" s="38"/>
    </row>
    <row r="10904" ht="15.75" customHeight="1">
      <c r="A10904" s="35"/>
      <c r="C10904" s="442"/>
      <c r="P10904" s="235"/>
      <c r="AI10904" s="38"/>
    </row>
    <row r="10905" ht="15.75" customHeight="1">
      <c r="A10905" s="35"/>
      <c r="C10905" s="442"/>
      <c r="P10905" s="235"/>
      <c r="AI10905" s="38"/>
    </row>
    <row r="10906" ht="15.75" customHeight="1">
      <c r="A10906" s="35"/>
      <c r="C10906" s="442"/>
      <c r="P10906" s="235"/>
      <c r="AI10906" s="38"/>
    </row>
    <row r="10907" ht="15.75" customHeight="1">
      <c r="A10907" s="35"/>
      <c r="C10907" s="442"/>
      <c r="P10907" s="235"/>
      <c r="AI10907" s="38"/>
    </row>
    <row r="10908" ht="15.75" customHeight="1">
      <c r="A10908" s="35"/>
      <c r="C10908" s="442"/>
      <c r="P10908" s="235"/>
      <c r="AI10908" s="38"/>
    </row>
    <row r="10909" ht="15.75" customHeight="1">
      <c r="A10909" s="35"/>
      <c r="C10909" s="442"/>
      <c r="P10909" s="235"/>
      <c r="AI10909" s="38"/>
    </row>
    <row r="10910" ht="15.75" customHeight="1">
      <c r="A10910" s="35"/>
      <c r="C10910" s="442"/>
      <c r="P10910" s="235"/>
      <c r="AI10910" s="38"/>
    </row>
    <row r="10911" ht="15.75" customHeight="1">
      <c r="A10911" s="35"/>
      <c r="C10911" s="442"/>
      <c r="P10911" s="235"/>
      <c r="AI10911" s="38"/>
    </row>
    <row r="10912" ht="15.75" customHeight="1">
      <c r="A10912" s="35"/>
      <c r="C10912" s="442"/>
      <c r="P10912" s="235"/>
      <c r="AI10912" s="38"/>
    </row>
    <row r="10913" ht="15.75" customHeight="1">
      <c r="A10913" s="35"/>
      <c r="C10913" s="442"/>
      <c r="P10913" s="235"/>
      <c r="AI10913" s="38"/>
    </row>
    <row r="10914" ht="15.75" customHeight="1">
      <c r="A10914" s="35"/>
      <c r="C10914" s="442"/>
      <c r="P10914" s="235"/>
      <c r="AI10914" s="38"/>
    </row>
    <row r="10915" ht="15.75" customHeight="1">
      <c r="A10915" s="35"/>
      <c r="C10915" s="442"/>
      <c r="P10915" s="235"/>
      <c r="AI10915" s="38"/>
    </row>
    <row r="10916" ht="15.75" customHeight="1">
      <c r="A10916" s="35"/>
      <c r="C10916" s="442"/>
      <c r="P10916" s="235"/>
      <c r="AI10916" s="38"/>
    </row>
    <row r="10917" ht="15.75" customHeight="1">
      <c r="A10917" s="35"/>
      <c r="C10917" s="442"/>
      <c r="P10917" s="235"/>
      <c r="AI10917" s="38"/>
    </row>
    <row r="10918" ht="15.75" customHeight="1">
      <c r="A10918" s="35"/>
      <c r="C10918" s="442"/>
      <c r="P10918" s="235"/>
      <c r="AI10918" s="38"/>
    </row>
    <row r="10919" ht="15.75" customHeight="1">
      <c r="A10919" s="35"/>
      <c r="C10919" s="442"/>
      <c r="P10919" s="235"/>
      <c r="AI10919" s="38"/>
    </row>
    <row r="10920" ht="15.75" customHeight="1">
      <c r="A10920" s="35"/>
      <c r="C10920" s="442"/>
      <c r="P10920" s="235"/>
      <c r="AI10920" s="38"/>
    </row>
    <row r="10921" ht="15.75" customHeight="1">
      <c r="A10921" s="35"/>
      <c r="C10921" s="442"/>
      <c r="P10921" s="235"/>
      <c r="AI10921" s="38"/>
    </row>
    <row r="10922" ht="15.75" customHeight="1">
      <c r="A10922" s="35"/>
      <c r="C10922" s="442"/>
      <c r="P10922" s="235"/>
      <c r="AI10922" s="38"/>
    </row>
    <row r="10923" ht="15.75" customHeight="1">
      <c r="A10923" s="35"/>
      <c r="C10923" s="442"/>
      <c r="P10923" s="235"/>
      <c r="AI10923" s="38"/>
    </row>
    <row r="10924" ht="15.75" customHeight="1">
      <c r="A10924" s="35"/>
      <c r="C10924" s="442"/>
      <c r="P10924" s="235"/>
      <c r="AI10924" s="38"/>
    </row>
    <row r="10925" ht="15.75" customHeight="1">
      <c r="A10925" s="35"/>
      <c r="C10925" s="442"/>
      <c r="P10925" s="235"/>
      <c r="AI10925" s="38"/>
    </row>
    <row r="10926" ht="15.75" customHeight="1">
      <c r="A10926" s="35"/>
      <c r="C10926" s="442"/>
      <c r="P10926" s="235"/>
      <c r="AI10926" s="38"/>
    </row>
    <row r="10927" ht="15.75" customHeight="1">
      <c r="A10927" s="35"/>
      <c r="C10927" s="442"/>
      <c r="P10927" s="235"/>
      <c r="AI10927" s="38"/>
    </row>
    <row r="10928" ht="15.75" customHeight="1">
      <c r="A10928" s="35"/>
      <c r="C10928" s="442"/>
      <c r="P10928" s="235"/>
      <c r="AI10928" s="38"/>
    </row>
    <row r="10929" ht="15.75" customHeight="1">
      <c r="A10929" s="35"/>
      <c r="C10929" s="442"/>
      <c r="P10929" s="235"/>
      <c r="AI10929" s="38"/>
    </row>
    <row r="10930" ht="15.75" customHeight="1">
      <c r="A10930" s="35"/>
      <c r="C10930" s="442"/>
      <c r="P10930" s="235"/>
      <c r="AI10930" s="38"/>
    </row>
    <row r="10931" ht="15.75" customHeight="1">
      <c r="A10931" s="35"/>
      <c r="C10931" s="442"/>
      <c r="P10931" s="235"/>
      <c r="AI10931" s="38"/>
    </row>
    <row r="10932" ht="15.75" customHeight="1">
      <c r="A10932" s="35"/>
      <c r="C10932" s="442"/>
      <c r="P10932" s="235"/>
      <c r="AI10932" s="38"/>
    </row>
    <row r="10933" ht="15.75" customHeight="1">
      <c r="A10933" s="35"/>
      <c r="C10933" s="442"/>
      <c r="P10933" s="235"/>
      <c r="AI10933" s="38"/>
    </row>
    <row r="10934" ht="15.75" customHeight="1">
      <c r="A10934" s="35"/>
      <c r="C10934" s="442"/>
      <c r="P10934" s="235"/>
      <c r="AI10934" s="38"/>
    </row>
    <row r="10935" ht="15.75" customHeight="1">
      <c r="A10935" s="35"/>
      <c r="C10935" s="442"/>
      <c r="P10935" s="235"/>
      <c r="AI10935" s="38"/>
    </row>
    <row r="10936" ht="15.75" customHeight="1">
      <c r="A10936" s="35"/>
      <c r="C10936" s="442"/>
      <c r="P10936" s="235"/>
      <c r="AI10936" s="38"/>
    </row>
    <row r="10937" ht="15.75" customHeight="1">
      <c r="A10937" s="35"/>
      <c r="C10937" s="442"/>
      <c r="P10937" s="235"/>
      <c r="AI10937" s="38"/>
    </row>
    <row r="10938" ht="15.75" customHeight="1">
      <c r="A10938" s="35"/>
      <c r="C10938" s="442"/>
      <c r="P10938" s="235"/>
      <c r="AI10938" s="38"/>
    </row>
    <row r="10939" ht="15.75" customHeight="1">
      <c r="A10939" s="35"/>
      <c r="C10939" s="442"/>
      <c r="P10939" s="235"/>
      <c r="AI10939" s="38"/>
    </row>
    <row r="10940" ht="15.75" customHeight="1">
      <c r="A10940" s="35"/>
      <c r="C10940" s="442"/>
      <c r="P10940" s="235"/>
      <c r="AI10940" s="38"/>
    </row>
    <row r="10941" ht="15.75" customHeight="1">
      <c r="A10941" s="35"/>
      <c r="C10941" s="442"/>
      <c r="P10941" s="235"/>
      <c r="AI10941" s="38"/>
    </row>
    <row r="10942" ht="15.75" customHeight="1">
      <c r="A10942" s="35"/>
      <c r="C10942" s="442"/>
      <c r="P10942" s="235"/>
      <c r="AI10942" s="38"/>
    </row>
    <row r="10943" ht="15.75" customHeight="1">
      <c r="A10943" s="35"/>
      <c r="C10943" s="442"/>
      <c r="P10943" s="235"/>
      <c r="AI10943" s="38"/>
    </row>
    <row r="10944" ht="15.75" customHeight="1">
      <c r="A10944" s="35"/>
      <c r="C10944" s="442"/>
      <c r="P10944" s="235"/>
      <c r="AI10944" s="38"/>
    </row>
    <row r="10945" ht="15.75" customHeight="1">
      <c r="A10945" s="35"/>
      <c r="C10945" s="442"/>
      <c r="P10945" s="235"/>
      <c r="AI10945" s="38"/>
    </row>
    <row r="10946" ht="15.75" customHeight="1">
      <c r="A10946" s="35"/>
      <c r="C10946" s="442"/>
      <c r="P10946" s="235"/>
      <c r="AI10946" s="38"/>
    </row>
    <row r="10947" ht="15.75" customHeight="1">
      <c r="A10947" s="35"/>
      <c r="C10947" s="442"/>
      <c r="P10947" s="235"/>
      <c r="AI10947" s="38"/>
    </row>
    <row r="10948" ht="15.75" customHeight="1">
      <c r="A10948" s="35"/>
      <c r="C10948" s="442"/>
      <c r="P10948" s="235"/>
      <c r="AI10948" s="38"/>
    </row>
    <row r="10949" ht="15.75" customHeight="1">
      <c r="A10949" s="35"/>
      <c r="C10949" s="442"/>
      <c r="P10949" s="235"/>
      <c r="AI10949" s="38"/>
    </row>
    <row r="10950" ht="15.75" customHeight="1">
      <c r="A10950" s="35"/>
      <c r="C10950" s="442"/>
      <c r="P10950" s="235"/>
      <c r="AI10950" s="38"/>
    </row>
    <row r="10951" ht="15.75" customHeight="1">
      <c r="A10951" s="35"/>
      <c r="C10951" s="442"/>
      <c r="P10951" s="235"/>
      <c r="AI10951" s="38"/>
    </row>
    <row r="10952" ht="15.75" customHeight="1">
      <c r="A10952" s="35"/>
      <c r="C10952" s="442"/>
      <c r="P10952" s="235"/>
      <c r="AI10952" s="38"/>
    </row>
    <row r="10953" ht="15.75" customHeight="1">
      <c r="A10953" s="35"/>
      <c r="C10953" s="442"/>
      <c r="P10953" s="235"/>
      <c r="AI10953" s="38"/>
    </row>
    <row r="10954" ht="15.75" customHeight="1">
      <c r="A10954" s="35"/>
      <c r="C10954" s="442"/>
      <c r="P10954" s="235"/>
      <c r="AI10954" s="38"/>
    </row>
    <row r="10955" ht="15.75" customHeight="1">
      <c r="A10955" s="35"/>
      <c r="C10955" s="442"/>
      <c r="P10955" s="235"/>
      <c r="AI10955" s="38"/>
    </row>
    <row r="10956" ht="15.75" customHeight="1">
      <c r="A10956" s="35"/>
      <c r="C10956" s="442"/>
      <c r="P10956" s="235"/>
      <c r="AI10956" s="38"/>
    </row>
    <row r="10957" ht="15.75" customHeight="1">
      <c r="A10957" s="35"/>
      <c r="C10957" s="442"/>
      <c r="P10957" s="235"/>
      <c r="AI10957" s="38"/>
    </row>
    <row r="10958" ht="15.75" customHeight="1">
      <c r="A10958" s="35"/>
      <c r="C10958" s="442"/>
      <c r="P10958" s="235"/>
      <c r="AI10958" s="38"/>
    </row>
    <row r="10959" ht="15.75" customHeight="1">
      <c r="A10959" s="35"/>
      <c r="C10959" s="442"/>
      <c r="P10959" s="235"/>
      <c r="AI10959" s="38"/>
    </row>
    <row r="10960" ht="15.75" customHeight="1">
      <c r="A10960" s="35"/>
      <c r="C10960" s="442"/>
      <c r="P10960" s="235"/>
      <c r="AI10960" s="38"/>
    </row>
    <row r="10961" ht="15.75" customHeight="1">
      <c r="A10961" s="35"/>
      <c r="C10961" s="442"/>
      <c r="P10961" s="235"/>
      <c r="AI10961" s="38"/>
    </row>
    <row r="10962" ht="15.75" customHeight="1">
      <c r="A10962" s="35"/>
      <c r="C10962" s="442"/>
      <c r="P10962" s="235"/>
      <c r="AI10962" s="38"/>
    </row>
    <row r="10963" ht="15.75" customHeight="1">
      <c r="A10963" s="35"/>
      <c r="C10963" s="442"/>
      <c r="P10963" s="235"/>
      <c r="AI10963" s="38"/>
    </row>
    <row r="10964" ht="15.75" customHeight="1">
      <c r="A10964" s="35"/>
      <c r="C10964" s="442"/>
      <c r="P10964" s="235"/>
      <c r="AI10964" s="38"/>
    </row>
    <row r="10965" ht="15.75" customHeight="1">
      <c r="A10965" s="35"/>
      <c r="C10965" s="442"/>
      <c r="P10965" s="235"/>
      <c r="AI10965" s="38"/>
    </row>
    <row r="10966" ht="15.75" customHeight="1">
      <c r="A10966" s="35"/>
      <c r="C10966" s="442"/>
      <c r="P10966" s="235"/>
      <c r="AI10966" s="38"/>
    </row>
    <row r="10967" ht="15.75" customHeight="1">
      <c r="A10967" s="35"/>
      <c r="C10967" s="442"/>
      <c r="P10967" s="235"/>
      <c r="AI10967" s="38"/>
    </row>
    <row r="10968" ht="15.75" customHeight="1">
      <c r="A10968" s="35"/>
      <c r="C10968" s="442"/>
      <c r="P10968" s="235"/>
      <c r="AI10968" s="38"/>
    </row>
    <row r="10969" ht="15.75" customHeight="1">
      <c r="A10969" s="35"/>
      <c r="C10969" s="442"/>
      <c r="P10969" s="235"/>
      <c r="AI10969" s="38"/>
    </row>
    <row r="10970" ht="15.75" customHeight="1">
      <c r="A10970" s="35"/>
      <c r="C10970" s="442"/>
      <c r="P10970" s="235"/>
      <c r="AI10970" s="38"/>
    </row>
    <row r="10971" ht="15.75" customHeight="1">
      <c r="A10971" s="35"/>
      <c r="C10971" s="442"/>
      <c r="P10971" s="235"/>
      <c r="AI10971" s="38"/>
    </row>
    <row r="10972" ht="15.75" customHeight="1">
      <c r="A10972" s="35"/>
      <c r="C10972" s="442"/>
      <c r="P10972" s="235"/>
      <c r="AI10972" s="38"/>
    </row>
    <row r="10973" ht="15.75" customHeight="1">
      <c r="A10973" s="35"/>
      <c r="C10973" s="442"/>
      <c r="P10973" s="235"/>
      <c r="AI10973" s="38"/>
    </row>
    <row r="10974" ht="15.75" customHeight="1">
      <c r="A10974" s="35"/>
      <c r="C10974" s="442"/>
      <c r="P10974" s="235"/>
      <c r="AI10974" s="38"/>
    </row>
    <row r="10975" ht="15.75" customHeight="1">
      <c r="A10975" s="35"/>
      <c r="C10975" s="442"/>
      <c r="P10975" s="235"/>
      <c r="AI10975" s="38"/>
    </row>
    <row r="10976" ht="15.75" customHeight="1">
      <c r="A10976" s="35"/>
      <c r="C10976" s="442"/>
      <c r="P10976" s="235"/>
      <c r="AI10976" s="38"/>
    </row>
    <row r="10977" ht="15.75" customHeight="1">
      <c r="A10977" s="35"/>
      <c r="C10977" s="442"/>
      <c r="P10977" s="235"/>
      <c r="AI10977" s="38"/>
    </row>
    <row r="10978" ht="15.75" customHeight="1">
      <c r="A10978" s="35"/>
      <c r="C10978" s="442"/>
      <c r="P10978" s="235"/>
      <c r="AI10978" s="38"/>
    </row>
    <row r="10979" ht="15.75" customHeight="1">
      <c r="A10979" s="35"/>
      <c r="C10979" s="442"/>
      <c r="P10979" s="235"/>
      <c r="AI10979" s="38"/>
    </row>
    <row r="10980" ht="15.75" customHeight="1">
      <c r="A10980" s="35"/>
      <c r="C10980" s="442"/>
      <c r="P10980" s="235"/>
      <c r="AI10980" s="38"/>
    </row>
    <row r="10981" ht="15.75" customHeight="1">
      <c r="A10981" s="35"/>
      <c r="C10981" s="442"/>
      <c r="P10981" s="235"/>
      <c r="AI10981" s="38"/>
    </row>
    <row r="10982" ht="15.75" customHeight="1">
      <c r="A10982" s="35"/>
      <c r="C10982" s="442"/>
      <c r="P10982" s="235"/>
      <c r="AI10982" s="38"/>
    </row>
    <row r="10983" ht="15.75" customHeight="1">
      <c r="A10983" s="35"/>
      <c r="C10983" s="442"/>
      <c r="P10983" s="235"/>
      <c r="AI10983" s="38"/>
    </row>
    <row r="10984" ht="15.75" customHeight="1">
      <c r="A10984" s="35"/>
      <c r="C10984" s="442"/>
      <c r="P10984" s="235"/>
      <c r="AI10984" s="38"/>
    </row>
    <row r="10985" ht="15.75" customHeight="1">
      <c r="A10985" s="35"/>
      <c r="C10985" s="442"/>
      <c r="P10985" s="235"/>
      <c r="AI10985" s="38"/>
    </row>
    <row r="10986" ht="15.75" customHeight="1">
      <c r="A10986" s="35"/>
      <c r="C10986" s="442"/>
      <c r="P10986" s="235"/>
      <c r="AI10986" s="38"/>
    </row>
    <row r="10987" ht="15.75" customHeight="1">
      <c r="A10987" s="35"/>
      <c r="C10987" s="442"/>
      <c r="P10987" s="235"/>
      <c r="AI10987" s="38"/>
    </row>
    <row r="10988" ht="15.75" customHeight="1">
      <c r="A10988" s="35"/>
      <c r="C10988" s="442"/>
      <c r="P10988" s="235"/>
      <c r="AI10988" s="38"/>
    </row>
    <row r="10989" ht="15.75" customHeight="1">
      <c r="A10989" s="35"/>
      <c r="C10989" s="442"/>
      <c r="P10989" s="235"/>
      <c r="AI10989" s="38"/>
    </row>
    <row r="10990" ht="15.75" customHeight="1">
      <c r="A10990" s="35"/>
      <c r="C10990" s="442"/>
      <c r="P10990" s="235"/>
      <c r="AI10990" s="38"/>
    </row>
    <row r="10991" ht="15.75" customHeight="1">
      <c r="A10991" s="35"/>
      <c r="C10991" s="442"/>
      <c r="P10991" s="235"/>
      <c r="AI10991" s="38"/>
    </row>
    <row r="10992" ht="15.75" customHeight="1">
      <c r="A10992" s="35"/>
      <c r="C10992" s="442"/>
      <c r="P10992" s="235"/>
      <c r="AI10992" s="38"/>
    </row>
    <row r="10993" ht="15.75" customHeight="1">
      <c r="A10993" s="35"/>
      <c r="C10993" s="442"/>
      <c r="P10993" s="235"/>
      <c r="AI10993" s="38"/>
    </row>
    <row r="10994" ht="15.75" customHeight="1">
      <c r="A10994" s="35"/>
      <c r="C10994" s="442"/>
      <c r="P10994" s="235"/>
      <c r="AI10994" s="38"/>
    </row>
    <row r="10995" ht="15.75" customHeight="1">
      <c r="A10995" s="35"/>
      <c r="C10995" s="442"/>
      <c r="P10995" s="235"/>
      <c r="AI10995" s="38"/>
    </row>
    <row r="10996" ht="15.75" customHeight="1">
      <c r="A10996" s="35"/>
      <c r="C10996" s="442"/>
      <c r="P10996" s="235"/>
      <c r="AI10996" s="38"/>
    </row>
    <row r="10997" ht="15.75" customHeight="1">
      <c r="A10997" s="35"/>
      <c r="C10997" s="442"/>
      <c r="P10997" s="235"/>
      <c r="AI10997" s="38"/>
    </row>
    <row r="10998" ht="15.75" customHeight="1">
      <c r="A10998" s="35"/>
      <c r="C10998" s="442"/>
      <c r="P10998" s="235"/>
      <c r="AI10998" s="38"/>
    </row>
    <row r="10999" ht="15.75" customHeight="1">
      <c r="A10999" s="35"/>
      <c r="C10999" s="442"/>
      <c r="P10999" s="235"/>
      <c r="AI10999" s="38"/>
    </row>
    <row r="11000" ht="15.75" customHeight="1">
      <c r="A11000" s="35"/>
      <c r="C11000" s="442"/>
      <c r="P11000" s="235"/>
      <c r="AI11000" s="38"/>
    </row>
    <row r="11001" ht="15.75" customHeight="1">
      <c r="A11001" s="35"/>
      <c r="C11001" s="442"/>
      <c r="P11001" s="235"/>
      <c r="AI11001" s="38"/>
    </row>
    <row r="11002" ht="15.75" customHeight="1">
      <c r="A11002" s="35"/>
      <c r="C11002" s="442"/>
      <c r="P11002" s="235"/>
      <c r="AI11002" s="38"/>
    </row>
    <row r="11003" ht="15.75" customHeight="1">
      <c r="A11003" s="35"/>
      <c r="C11003" s="442"/>
      <c r="P11003" s="235"/>
      <c r="AI11003" s="38"/>
    </row>
    <row r="11004" ht="15.75" customHeight="1">
      <c r="A11004" s="35"/>
      <c r="C11004" s="442"/>
      <c r="P11004" s="235"/>
      <c r="AI11004" s="38"/>
    </row>
    <row r="11005" ht="15.75" customHeight="1">
      <c r="A11005" s="35"/>
      <c r="C11005" s="442"/>
      <c r="P11005" s="235"/>
      <c r="AI11005" s="38"/>
    </row>
    <row r="11006" ht="15.75" customHeight="1">
      <c r="A11006" s="35"/>
      <c r="C11006" s="442"/>
      <c r="P11006" s="235"/>
      <c r="AI11006" s="38"/>
    </row>
    <row r="11007" ht="15.75" customHeight="1">
      <c r="A11007" s="35"/>
      <c r="C11007" s="442"/>
      <c r="P11007" s="235"/>
      <c r="AI11007" s="38"/>
    </row>
    <row r="11008" ht="15.75" customHeight="1">
      <c r="A11008" s="35"/>
      <c r="C11008" s="442"/>
      <c r="P11008" s="235"/>
      <c r="AI11008" s="38"/>
    </row>
    <row r="11009" ht="15.75" customHeight="1">
      <c r="A11009" s="35"/>
      <c r="C11009" s="442"/>
      <c r="P11009" s="235"/>
      <c r="AI11009" s="38"/>
    </row>
    <row r="11010" ht="15.75" customHeight="1">
      <c r="A11010" s="35"/>
      <c r="C11010" s="442"/>
      <c r="P11010" s="235"/>
      <c r="AI11010" s="38"/>
    </row>
    <row r="11011" ht="15.75" customHeight="1">
      <c r="A11011" s="35"/>
      <c r="C11011" s="442"/>
      <c r="P11011" s="235"/>
      <c r="AI11011" s="38"/>
    </row>
    <row r="11012" ht="15.75" customHeight="1">
      <c r="A11012" s="35"/>
      <c r="C11012" s="442"/>
      <c r="P11012" s="235"/>
      <c r="AI11012" s="38"/>
    </row>
    <row r="11013" ht="15.75" customHeight="1">
      <c r="A11013" s="35"/>
      <c r="C11013" s="442"/>
      <c r="P11013" s="235"/>
      <c r="AI11013" s="38"/>
    </row>
    <row r="11014" ht="15.75" customHeight="1">
      <c r="A11014" s="35"/>
      <c r="C11014" s="442"/>
      <c r="P11014" s="235"/>
      <c r="AI11014" s="38"/>
    </row>
    <row r="11015" ht="15.75" customHeight="1">
      <c r="A11015" s="35"/>
      <c r="C11015" s="442"/>
      <c r="P11015" s="235"/>
      <c r="AI11015" s="38"/>
    </row>
    <row r="11016" ht="15.75" customHeight="1">
      <c r="A11016" s="35"/>
      <c r="C11016" s="442"/>
      <c r="P11016" s="235"/>
      <c r="AI11016" s="38"/>
    </row>
    <row r="11017" ht="15.75" customHeight="1">
      <c r="A11017" s="35"/>
      <c r="C11017" s="442"/>
      <c r="P11017" s="235"/>
      <c r="AI11017" s="38"/>
    </row>
    <row r="11018" ht="15.75" customHeight="1">
      <c r="A11018" s="35"/>
      <c r="C11018" s="442"/>
      <c r="P11018" s="235"/>
      <c r="AI11018" s="38"/>
    </row>
    <row r="11019" ht="15.75" customHeight="1">
      <c r="A11019" s="35"/>
      <c r="C11019" s="442"/>
      <c r="P11019" s="235"/>
      <c r="AI11019" s="38"/>
    </row>
    <row r="11020" ht="15.75" customHeight="1">
      <c r="A11020" s="35"/>
      <c r="C11020" s="442"/>
      <c r="P11020" s="235"/>
      <c r="AI11020" s="38"/>
    </row>
    <row r="11021" ht="15.75" customHeight="1">
      <c r="A11021" s="35"/>
      <c r="C11021" s="442"/>
      <c r="P11021" s="235"/>
      <c r="AI11021" s="38"/>
    </row>
    <row r="11022" ht="15.75" customHeight="1">
      <c r="A11022" s="35"/>
      <c r="C11022" s="442"/>
      <c r="P11022" s="235"/>
      <c r="AI11022" s="38"/>
    </row>
    <row r="11023" ht="15.75" customHeight="1">
      <c r="A11023" s="35"/>
      <c r="C11023" s="442"/>
      <c r="P11023" s="235"/>
      <c r="AI11023" s="38"/>
    </row>
    <row r="11024" ht="15.75" customHeight="1">
      <c r="A11024" s="35"/>
      <c r="C11024" s="442"/>
      <c r="P11024" s="235"/>
      <c r="AI11024" s="38"/>
    </row>
    <row r="11025" ht="15.75" customHeight="1">
      <c r="A11025" s="35"/>
      <c r="C11025" s="442"/>
      <c r="P11025" s="235"/>
      <c r="AI11025" s="38"/>
    </row>
    <row r="11026" ht="15.75" customHeight="1">
      <c r="A11026" s="35"/>
      <c r="C11026" s="442"/>
      <c r="P11026" s="235"/>
      <c r="AI11026" s="38"/>
    </row>
    <row r="11027" ht="15.75" customHeight="1">
      <c r="A11027" s="35"/>
      <c r="C11027" s="442"/>
      <c r="P11027" s="235"/>
      <c r="AI11027" s="38"/>
    </row>
    <row r="11028" ht="15.75" customHeight="1">
      <c r="A11028" s="35"/>
      <c r="C11028" s="442"/>
      <c r="P11028" s="235"/>
      <c r="AI11028" s="38"/>
    </row>
    <row r="11029" ht="15.75" customHeight="1">
      <c r="A11029" s="35"/>
      <c r="C11029" s="442"/>
      <c r="P11029" s="235"/>
      <c r="AI11029" s="38"/>
    </row>
    <row r="11030" ht="15.75" customHeight="1">
      <c r="A11030" s="35"/>
      <c r="C11030" s="442"/>
      <c r="P11030" s="235"/>
      <c r="AI11030" s="38"/>
    </row>
    <row r="11031" ht="15.75" customHeight="1">
      <c r="A11031" s="35"/>
      <c r="C11031" s="442"/>
      <c r="P11031" s="235"/>
      <c r="AI11031" s="38"/>
    </row>
    <row r="11032" ht="15.75" customHeight="1">
      <c r="A11032" s="35"/>
      <c r="C11032" s="442"/>
      <c r="P11032" s="235"/>
      <c r="AI11032" s="38"/>
    </row>
    <row r="11033" ht="15.75" customHeight="1">
      <c r="A11033" s="35"/>
      <c r="C11033" s="442"/>
      <c r="P11033" s="235"/>
      <c r="AI11033" s="38"/>
    </row>
    <row r="11034" ht="15.75" customHeight="1">
      <c r="A11034" s="35"/>
      <c r="C11034" s="442"/>
      <c r="P11034" s="235"/>
      <c r="AI11034" s="38"/>
    </row>
    <row r="11035" ht="15.75" customHeight="1">
      <c r="A11035" s="35"/>
      <c r="C11035" s="442"/>
      <c r="P11035" s="235"/>
      <c r="AI11035" s="38"/>
    </row>
    <row r="11036" ht="15.75" customHeight="1">
      <c r="A11036" s="35"/>
      <c r="C11036" s="442"/>
      <c r="P11036" s="235"/>
      <c r="AI11036" s="38"/>
    </row>
    <row r="11037" ht="15.75" customHeight="1">
      <c r="A11037" s="35"/>
      <c r="C11037" s="442"/>
      <c r="P11037" s="235"/>
      <c r="AI11037" s="38"/>
    </row>
    <row r="11038" ht="15.75" customHeight="1">
      <c r="A11038" s="35"/>
      <c r="C11038" s="442"/>
      <c r="P11038" s="235"/>
      <c r="AI11038" s="38"/>
    </row>
    <row r="11039" ht="15.75" customHeight="1">
      <c r="A11039" s="35"/>
      <c r="C11039" s="442"/>
      <c r="P11039" s="235"/>
      <c r="AI11039" s="38"/>
    </row>
    <row r="11040" ht="15.75" customHeight="1">
      <c r="A11040" s="35"/>
      <c r="C11040" s="442"/>
      <c r="P11040" s="235"/>
      <c r="AI11040" s="38"/>
    </row>
    <row r="11041" ht="15.75" customHeight="1">
      <c r="A11041" s="35"/>
      <c r="C11041" s="442"/>
      <c r="P11041" s="235"/>
      <c r="AI11041" s="38"/>
    </row>
    <row r="11042" ht="15.75" customHeight="1">
      <c r="A11042" s="35"/>
      <c r="C11042" s="442"/>
      <c r="P11042" s="235"/>
      <c r="AI11042" s="38"/>
    </row>
    <row r="11043" ht="15.75" customHeight="1">
      <c r="A11043" s="35"/>
      <c r="C11043" s="442"/>
      <c r="P11043" s="235"/>
      <c r="AI11043" s="38"/>
    </row>
    <row r="11044" ht="15.75" customHeight="1">
      <c r="A11044" s="35"/>
      <c r="C11044" s="442"/>
      <c r="P11044" s="235"/>
      <c r="AI11044" s="38"/>
    </row>
    <row r="11045" ht="15.75" customHeight="1">
      <c r="A11045" s="35"/>
      <c r="C11045" s="442"/>
      <c r="P11045" s="235"/>
      <c r="AI11045" s="38"/>
    </row>
    <row r="11046" ht="15.75" customHeight="1">
      <c r="A11046" s="35"/>
      <c r="C11046" s="442"/>
      <c r="P11046" s="235"/>
      <c r="AI11046" s="38"/>
    </row>
    <row r="11047" ht="15.75" customHeight="1">
      <c r="A11047" s="35"/>
      <c r="C11047" s="442"/>
      <c r="P11047" s="235"/>
      <c r="AI11047" s="38"/>
    </row>
    <row r="11048" ht="15.75" customHeight="1">
      <c r="A11048" s="35"/>
      <c r="C11048" s="442"/>
      <c r="P11048" s="235"/>
      <c r="AI11048" s="38"/>
    </row>
    <row r="11049" ht="15.75" customHeight="1">
      <c r="A11049" s="35"/>
      <c r="C11049" s="442"/>
      <c r="P11049" s="235"/>
      <c r="AI11049" s="38"/>
    </row>
    <row r="11050" ht="15.75" customHeight="1">
      <c r="A11050" s="35"/>
      <c r="C11050" s="442"/>
      <c r="P11050" s="235"/>
      <c r="AI11050" s="38"/>
    </row>
    <row r="11051" ht="15.75" customHeight="1">
      <c r="A11051" s="35"/>
      <c r="C11051" s="442"/>
      <c r="P11051" s="235"/>
      <c r="AI11051" s="38"/>
    </row>
    <row r="11052" ht="15.75" customHeight="1">
      <c r="A11052" s="35"/>
      <c r="C11052" s="442"/>
      <c r="P11052" s="235"/>
      <c r="AI11052" s="38"/>
    </row>
    <row r="11053" ht="15.75" customHeight="1">
      <c r="A11053" s="35"/>
      <c r="C11053" s="442"/>
      <c r="P11053" s="235"/>
      <c r="AI11053" s="38"/>
    </row>
    <row r="11054" ht="15.75" customHeight="1">
      <c r="A11054" s="35"/>
      <c r="C11054" s="442"/>
      <c r="P11054" s="235"/>
      <c r="AI11054" s="38"/>
    </row>
    <row r="11055" ht="15.75" customHeight="1">
      <c r="A11055" s="35"/>
      <c r="C11055" s="442"/>
      <c r="P11055" s="235"/>
      <c r="AI11055" s="38"/>
    </row>
    <row r="11056" ht="15.75" customHeight="1">
      <c r="A11056" s="35"/>
      <c r="C11056" s="442"/>
      <c r="P11056" s="235"/>
      <c r="AI11056" s="38"/>
    </row>
    <row r="11057" ht="15.75" customHeight="1">
      <c r="A11057" s="35"/>
      <c r="C11057" s="442"/>
      <c r="P11057" s="235"/>
      <c r="AI11057" s="38"/>
    </row>
    <row r="11058" ht="15.75" customHeight="1">
      <c r="A11058" s="35"/>
      <c r="C11058" s="442"/>
      <c r="P11058" s="235"/>
      <c r="AI11058" s="38"/>
    </row>
    <row r="11059" ht="15.75" customHeight="1">
      <c r="A11059" s="35"/>
      <c r="C11059" s="442"/>
      <c r="P11059" s="235"/>
      <c r="AI11059" s="38"/>
    </row>
    <row r="11060" ht="15.75" customHeight="1">
      <c r="A11060" s="35"/>
      <c r="C11060" s="442"/>
      <c r="P11060" s="235"/>
      <c r="AI11060" s="38"/>
    </row>
    <row r="11061" ht="15.75" customHeight="1">
      <c r="A11061" s="35"/>
      <c r="C11061" s="442"/>
      <c r="P11061" s="235"/>
      <c r="AI11061" s="38"/>
    </row>
    <row r="11062" ht="15.75" customHeight="1">
      <c r="A11062" s="35"/>
      <c r="C11062" s="442"/>
      <c r="P11062" s="235"/>
      <c r="AI11062" s="38"/>
    </row>
    <row r="11063" ht="15.75" customHeight="1">
      <c r="A11063" s="35"/>
      <c r="C11063" s="442"/>
      <c r="P11063" s="235"/>
      <c r="AI11063" s="38"/>
    </row>
    <row r="11064" ht="15.75" customHeight="1">
      <c r="A11064" s="35"/>
      <c r="C11064" s="442"/>
      <c r="P11064" s="235"/>
      <c r="AI11064" s="38"/>
    </row>
    <row r="11065" ht="15.75" customHeight="1">
      <c r="A11065" s="35"/>
      <c r="C11065" s="442"/>
      <c r="P11065" s="235"/>
      <c r="AI11065" s="38"/>
    </row>
    <row r="11066" ht="15.75" customHeight="1">
      <c r="A11066" s="35"/>
      <c r="C11066" s="442"/>
      <c r="P11066" s="235"/>
      <c r="AI11066" s="38"/>
    </row>
    <row r="11067" ht="15.75" customHeight="1">
      <c r="A11067" s="35"/>
      <c r="C11067" s="442"/>
      <c r="P11067" s="235"/>
      <c r="AI11067" s="38"/>
    </row>
    <row r="11068" ht="15.75" customHeight="1">
      <c r="A11068" s="35"/>
      <c r="C11068" s="442"/>
      <c r="P11068" s="235"/>
      <c r="AI11068" s="38"/>
    </row>
    <row r="11069" ht="15.75" customHeight="1">
      <c r="A11069" s="35"/>
      <c r="C11069" s="442"/>
      <c r="P11069" s="235"/>
      <c r="AI11069" s="38"/>
    </row>
    <row r="11070" ht="15.75" customHeight="1">
      <c r="A11070" s="35"/>
      <c r="C11070" s="442"/>
      <c r="P11070" s="235"/>
      <c r="AI11070" s="38"/>
    </row>
    <row r="11071" ht="15.75" customHeight="1">
      <c r="A11071" s="35"/>
      <c r="C11071" s="442"/>
      <c r="P11071" s="235"/>
      <c r="AI11071" s="38"/>
    </row>
    <row r="11072" ht="15.75" customHeight="1">
      <c r="A11072" s="35"/>
      <c r="C11072" s="442"/>
      <c r="P11072" s="235"/>
      <c r="AI11072" s="38"/>
    </row>
    <row r="11073" ht="15.75" customHeight="1">
      <c r="A11073" s="35"/>
      <c r="C11073" s="442"/>
      <c r="P11073" s="235"/>
      <c r="AI11073" s="38"/>
    </row>
    <row r="11074" ht="15.75" customHeight="1">
      <c r="A11074" s="35"/>
      <c r="C11074" s="442"/>
      <c r="P11074" s="235"/>
      <c r="AI11074" s="38"/>
    </row>
    <row r="11075" ht="15.75" customHeight="1">
      <c r="A11075" s="35"/>
      <c r="C11075" s="442"/>
      <c r="P11075" s="235"/>
      <c r="AI11075" s="38"/>
    </row>
    <row r="11076" ht="15.75" customHeight="1">
      <c r="A11076" s="35"/>
      <c r="C11076" s="442"/>
      <c r="P11076" s="235"/>
      <c r="AI11076" s="38"/>
    </row>
    <row r="11077" ht="15.75" customHeight="1">
      <c r="A11077" s="35"/>
      <c r="C11077" s="442"/>
      <c r="P11077" s="235"/>
      <c r="AI11077" s="38"/>
    </row>
    <row r="11078" ht="15.75" customHeight="1">
      <c r="A11078" s="35"/>
      <c r="C11078" s="442"/>
      <c r="P11078" s="235"/>
      <c r="AI11078" s="38"/>
    </row>
    <row r="11079" ht="15.75" customHeight="1">
      <c r="A11079" s="35"/>
      <c r="C11079" s="442"/>
      <c r="P11079" s="235"/>
      <c r="AI11079" s="38"/>
    </row>
    <row r="11080" ht="15.75" customHeight="1">
      <c r="A11080" s="35"/>
      <c r="C11080" s="442"/>
      <c r="P11080" s="235"/>
      <c r="AI11080" s="38"/>
    </row>
    <row r="11081" ht="15.75" customHeight="1">
      <c r="A11081" s="35"/>
      <c r="C11081" s="442"/>
      <c r="P11081" s="235"/>
      <c r="AI11081" s="38"/>
    </row>
    <row r="11082" ht="15.75" customHeight="1">
      <c r="A11082" s="35"/>
      <c r="C11082" s="442"/>
      <c r="P11082" s="235"/>
      <c r="AI11082" s="38"/>
    </row>
    <row r="11083" ht="15.75" customHeight="1">
      <c r="A11083" s="35"/>
      <c r="C11083" s="442"/>
      <c r="P11083" s="235"/>
      <c r="AI11083" s="38"/>
    </row>
    <row r="11084" ht="15.75" customHeight="1">
      <c r="A11084" s="35"/>
      <c r="C11084" s="442"/>
      <c r="P11084" s="235"/>
      <c r="AI11084" s="38"/>
    </row>
    <row r="11085" ht="15.75" customHeight="1">
      <c r="A11085" s="35"/>
      <c r="C11085" s="442"/>
      <c r="P11085" s="235"/>
      <c r="AI11085" s="38"/>
    </row>
    <row r="11086" ht="15.75" customHeight="1">
      <c r="A11086" s="35"/>
      <c r="C11086" s="442"/>
      <c r="P11086" s="235"/>
      <c r="AI11086" s="38"/>
    </row>
    <row r="11087" ht="15.75" customHeight="1">
      <c r="A11087" s="35"/>
      <c r="C11087" s="442"/>
      <c r="P11087" s="235"/>
      <c r="AI11087" s="38"/>
    </row>
    <row r="11088" ht="15.75" customHeight="1">
      <c r="A11088" s="35"/>
      <c r="C11088" s="442"/>
      <c r="P11088" s="235"/>
      <c r="AI11088" s="38"/>
    </row>
    <row r="11089" ht="15.75" customHeight="1">
      <c r="A11089" s="35"/>
      <c r="C11089" s="442"/>
      <c r="P11089" s="235"/>
      <c r="AI11089" s="38"/>
    </row>
    <row r="11090" ht="15.75" customHeight="1">
      <c r="A11090" s="35"/>
      <c r="C11090" s="442"/>
      <c r="P11090" s="235"/>
      <c r="AI11090" s="38"/>
    </row>
    <row r="11091" ht="15.75" customHeight="1">
      <c r="A11091" s="35"/>
      <c r="C11091" s="442"/>
      <c r="P11091" s="235"/>
      <c r="AI11091" s="38"/>
    </row>
    <row r="11092" ht="15.75" customHeight="1">
      <c r="A11092" s="35"/>
      <c r="C11092" s="442"/>
      <c r="P11092" s="235"/>
      <c r="AI11092" s="38"/>
    </row>
    <row r="11093" ht="15.75" customHeight="1">
      <c r="A11093" s="35"/>
      <c r="C11093" s="442"/>
      <c r="P11093" s="235"/>
      <c r="AI11093" s="38"/>
    </row>
    <row r="11094" ht="15.75" customHeight="1">
      <c r="A11094" s="35"/>
      <c r="C11094" s="442"/>
      <c r="P11094" s="235"/>
      <c r="AI11094" s="38"/>
    </row>
    <row r="11095" ht="15.75" customHeight="1">
      <c r="A11095" s="35"/>
      <c r="C11095" s="442"/>
      <c r="P11095" s="235"/>
      <c r="AI11095" s="38"/>
    </row>
    <row r="11096" ht="15.75" customHeight="1">
      <c r="A11096" s="35"/>
      <c r="C11096" s="442"/>
      <c r="P11096" s="235"/>
      <c r="AI11096" s="38"/>
    </row>
    <row r="11097" ht="15.75" customHeight="1">
      <c r="A11097" s="35"/>
      <c r="C11097" s="442"/>
      <c r="P11097" s="235"/>
      <c r="AI11097" s="38"/>
    </row>
    <row r="11098" ht="15.75" customHeight="1">
      <c r="A11098" s="35"/>
      <c r="C11098" s="442"/>
      <c r="P11098" s="235"/>
      <c r="AI11098" s="38"/>
    </row>
    <row r="11099" ht="15.75" customHeight="1">
      <c r="A11099" s="35"/>
      <c r="C11099" s="442"/>
      <c r="P11099" s="235"/>
      <c r="AI11099" s="38"/>
    </row>
    <row r="11100" ht="15.75" customHeight="1">
      <c r="A11100" s="35"/>
      <c r="C11100" s="442"/>
      <c r="P11100" s="235"/>
      <c r="AI11100" s="38"/>
    </row>
    <row r="11101" ht="15.75" customHeight="1">
      <c r="A11101" s="35"/>
      <c r="C11101" s="442"/>
      <c r="P11101" s="235"/>
      <c r="AI11101" s="38"/>
    </row>
    <row r="11102" ht="15.75" customHeight="1">
      <c r="A11102" s="35"/>
      <c r="C11102" s="442"/>
      <c r="P11102" s="235"/>
      <c r="AI11102" s="38"/>
    </row>
    <row r="11103" ht="15.75" customHeight="1">
      <c r="A11103" s="35"/>
      <c r="C11103" s="442"/>
      <c r="P11103" s="235"/>
      <c r="AI11103" s="38"/>
    </row>
    <row r="11104" ht="15.75" customHeight="1">
      <c r="A11104" s="35"/>
      <c r="C11104" s="442"/>
      <c r="P11104" s="235"/>
      <c r="AI11104" s="38"/>
    </row>
    <row r="11105" ht="15.75" customHeight="1">
      <c r="A11105" s="35"/>
      <c r="C11105" s="442"/>
      <c r="P11105" s="235"/>
      <c r="AI11105" s="38"/>
    </row>
    <row r="11106" ht="15.75" customHeight="1">
      <c r="A11106" s="35"/>
      <c r="C11106" s="442"/>
      <c r="P11106" s="235"/>
      <c r="AI11106" s="38"/>
    </row>
    <row r="11107" ht="15.75" customHeight="1">
      <c r="A11107" s="35"/>
      <c r="C11107" s="442"/>
      <c r="P11107" s="235"/>
      <c r="AI11107" s="38"/>
    </row>
    <row r="11108" ht="15.75" customHeight="1">
      <c r="A11108" s="35"/>
      <c r="C11108" s="442"/>
      <c r="P11108" s="235"/>
      <c r="AI11108" s="38"/>
    </row>
    <row r="11109" ht="15.75" customHeight="1">
      <c r="A11109" s="35"/>
      <c r="C11109" s="442"/>
      <c r="P11109" s="235"/>
      <c r="AI11109" s="38"/>
    </row>
    <row r="11110" ht="15.75" customHeight="1">
      <c r="A11110" s="35"/>
      <c r="C11110" s="442"/>
      <c r="P11110" s="235"/>
      <c r="AI11110" s="38"/>
    </row>
    <row r="11111" ht="15.75" customHeight="1">
      <c r="A11111" s="35"/>
      <c r="C11111" s="442"/>
      <c r="P11111" s="235"/>
      <c r="AI11111" s="38"/>
    </row>
    <row r="11112" ht="15.75" customHeight="1">
      <c r="A11112" s="35"/>
      <c r="C11112" s="442"/>
      <c r="P11112" s="235"/>
      <c r="AI11112" s="38"/>
    </row>
    <row r="11113" ht="15.75" customHeight="1">
      <c r="A11113" s="35"/>
      <c r="C11113" s="442"/>
      <c r="P11113" s="235"/>
      <c r="AI11113" s="38"/>
    </row>
    <row r="11114" ht="15.75" customHeight="1">
      <c r="A11114" s="35"/>
      <c r="C11114" s="442"/>
      <c r="P11114" s="235"/>
      <c r="AI11114" s="38"/>
    </row>
    <row r="11115" ht="15.75" customHeight="1">
      <c r="A11115" s="35"/>
      <c r="C11115" s="442"/>
      <c r="P11115" s="235"/>
      <c r="AI11115" s="38"/>
    </row>
    <row r="11116" ht="15.75" customHeight="1">
      <c r="A11116" s="35"/>
      <c r="C11116" s="442"/>
      <c r="P11116" s="235"/>
      <c r="AI11116" s="38"/>
    </row>
    <row r="11117" ht="15.75" customHeight="1">
      <c r="A11117" s="35"/>
      <c r="C11117" s="442"/>
      <c r="P11117" s="235"/>
      <c r="AI11117" s="38"/>
    </row>
    <row r="11118" ht="15.75" customHeight="1">
      <c r="A11118" s="35"/>
      <c r="C11118" s="442"/>
      <c r="P11118" s="235"/>
      <c r="AI11118" s="38"/>
    </row>
    <row r="11119" ht="15.75" customHeight="1">
      <c r="A11119" s="35"/>
      <c r="C11119" s="442"/>
      <c r="P11119" s="235"/>
      <c r="AI11119" s="38"/>
    </row>
    <row r="11120" ht="15.75" customHeight="1">
      <c r="A11120" s="35"/>
      <c r="C11120" s="442"/>
      <c r="P11120" s="235"/>
      <c r="AI11120" s="38"/>
    </row>
    <row r="11121" ht="15.75" customHeight="1">
      <c r="A11121" s="35"/>
      <c r="C11121" s="442"/>
      <c r="P11121" s="235"/>
      <c r="AI11121" s="38"/>
    </row>
    <row r="11122" ht="15.75" customHeight="1">
      <c r="A11122" s="35"/>
      <c r="C11122" s="442"/>
      <c r="P11122" s="235"/>
      <c r="AI11122" s="38"/>
    </row>
    <row r="11123" ht="15.75" customHeight="1">
      <c r="A11123" s="35"/>
      <c r="C11123" s="442"/>
      <c r="P11123" s="235"/>
      <c r="AI11123" s="38"/>
    </row>
    <row r="11124" ht="15.75" customHeight="1">
      <c r="A11124" s="35"/>
      <c r="C11124" s="442"/>
      <c r="P11124" s="235"/>
      <c r="AI11124" s="38"/>
    </row>
    <row r="11125" ht="15.75" customHeight="1">
      <c r="A11125" s="35"/>
      <c r="C11125" s="442"/>
      <c r="P11125" s="235"/>
      <c r="AI11125" s="38"/>
    </row>
    <row r="11126" ht="15.75" customHeight="1">
      <c r="A11126" s="35"/>
      <c r="C11126" s="442"/>
      <c r="P11126" s="235"/>
      <c r="AI11126" s="38"/>
    </row>
    <row r="11127" ht="15.75" customHeight="1">
      <c r="A11127" s="35"/>
      <c r="C11127" s="442"/>
      <c r="P11127" s="235"/>
      <c r="AI11127" s="38"/>
    </row>
    <row r="11128" ht="15.75" customHeight="1">
      <c r="A11128" s="35"/>
      <c r="C11128" s="442"/>
      <c r="P11128" s="235"/>
      <c r="AI11128" s="38"/>
    </row>
    <row r="11129" ht="15.75" customHeight="1">
      <c r="A11129" s="35"/>
      <c r="C11129" s="442"/>
      <c r="P11129" s="235"/>
      <c r="AI11129" s="38"/>
    </row>
    <row r="11130" ht="15.75" customHeight="1">
      <c r="A11130" s="35"/>
      <c r="C11130" s="442"/>
      <c r="P11130" s="235"/>
      <c r="AI11130" s="38"/>
    </row>
    <row r="11131" ht="15.75" customHeight="1">
      <c r="A11131" s="35"/>
      <c r="C11131" s="442"/>
      <c r="P11131" s="235"/>
      <c r="AI11131" s="38"/>
    </row>
    <row r="11132" ht="15.75" customHeight="1">
      <c r="A11132" s="35"/>
      <c r="C11132" s="442"/>
      <c r="P11132" s="235"/>
      <c r="AI11132" s="38"/>
    </row>
    <row r="11133" ht="15.75" customHeight="1">
      <c r="A11133" s="35"/>
      <c r="C11133" s="442"/>
      <c r="P11133" s="235"/>
      <c r="AI11133" s="38"/>
    </row>
    <row r="11134" ht="15.75" customHeight="1">
      <c r="A11134" s="35"/>
      <c r="C11134" s="442"/>
      <c r="P11134" s="235"/>
      <c r="AI11134" s="38"/>
    </row>
    <row r="11135" ht="15.75" customHeight="1">
      <c r="A11135" s="35"/>
      <c r="C11135" s="442"/>
      <c r="P11135" s="235"/>
      <c r="AI11135" s="38"/>
    </row>
    <row r="11136" ht="15.75" customHeight="1">
      <c r="A11136" s="35"/>
      <c r="C11136" s="442"/>
      <c r="P11136" s="235"/>
      <c r="AI11136" s="38"/>
    </row>
    <row r="11137" ht="15.75" customHeight="1">
      <c r="A11137" s="35"/>
      <c r="C11137" s="442"/>
      <c r="P11137" s="235"/>
      <c r="AI11137" s="38"/>
    </row>
    <row r="11138" ht="15.75" customHeight="1">
      <c r="A11138" s="35"/>
      <c r="C11138" s="442"/>
      <c r="P11138" s="235"/>
      <c r="AI11138" s="38"/>
    </row>
    <row r="11139" ht="15.75" customHeight="1">
      <c r="A11139" s="35"/>
      <c r="C11139" s="442"/>
      <c r="P11139" s="235"/>
      <c r="AI11139" s="38"/>
    </row>
    <row r="11140" ht="15.75" customHeight="1">
      <c r="A11140" s="35"/>
      <c r="C11140" s="442"/>
      <c r="P11140" s="235"/>
      <c r="AI11140" s="38"/>
    </row>
    <row r="11141" ht="15.75" customHeight="1">
      <c r="A11141" s="35"/>
      <c r="C11141" s="442"/>
      <c r="P11141" s="235"/>
      <c r="AI11141" s="38"/>
    </row>
    <row r="11142" ht="15.75" customHeight="1">
      <c r="A11142" s="35"/>
      <c r="C11142" s="442"/>
      <c r="P11142" s="235"/>
      <c r="AI11142" s="38"/>
    </row>
    <row r="11143" ht="15.75" customHeight="1">
      <c r="A11143" s="35"/>
      <c r="C11143" s="442"/>
      <c r="P11143" s="235"/>
      <c r="AI11143" s="38"/>
    </row>
    <row r="11144" ht="15.75" customHeight="1">
      <c r="A11144" s="35"/>
      <c r="C11144" s="442"/>
      <c r="P11144" s="235"/>
      <c r="AI11144" s="38"/>
    </row>
    <row r="11145" ht="15.75" customHeight="1">
      <c r="A11145" s="35"/>
      <c r="C11145" s="442"/>
      <c r="P11145" s="235"/>
      <c r="AI11145" s="38"/>
    </row>
    <row r="11146" ht="15.75" customHeight="1">
      <c r="A11146" s="35"/>
      <c r="C11146" s="442"/>
      <c r="P11146" s="235"/>
      <c r="AI11146" s="38"/>
    </row>
    <row r="11147" ht="15.75" customHeight="1">
      <c r="A11147" s="35"/>
      <c r="C11147" s="442"/>
      <c r="P11147" s="235"/>
      <c r="AI11147" s="38"/>
    </row>
    <row r="11148" ht="15.75" customHeight="1">
      <c r="A11148" s="35"/>
      <c r="C11148" s="442"/>
      <c r="P11148" s="235"/>
      <c r="AI11148" s="38"/>
    </row>
    <row r="11149" ht="15.75" customHeight="1">
      <c r="A11149" s="35"/>
      <c r="C11149" s="442"/>
      <c r="P11149" s="235"/>
      <c r="AI11149" s="38"/>
    </row>
    <row r="11150" ht="15.75" customHeight="1">
      <c r="A11150" s="35"/>
      <c r="C11150" s="442"/>
      <c r="P11150" s="235"/>
      <c r="AI11150" s="38"/>
    </row>
    <row r="11151" ht="15.75" customHeight="1">
      <c r="A11151" s="35"/>
      <c r="C11151" s="442"/>
      <c r="P11151" s="235"/>
      <c r="AI11151" s="38"/>
    </row>
    <row r="11152" ht="15.75" customHeight="1">
      <c r="A11152" s="35"/>
      <c r="C11152" s="442"/>
      <c r="P11152" s="235"/>
      <c r="AI11152" s="38"/>
    </row>
    <row r="11153" ht="15.75" customHeight="1">
      <c r="A11153" s="35"/>
      <c r="C11153" s="442"/>
      <c r="P11153" s="235"/>
      <c r="AI11153" s="38"/>
    </row>
    <row r="11154" ht="15.75" customHeight="1">
      <c r="A11154" s="35"/>
      <c r="C11154" s="442"/>
      <c r="P11154" s="235"/>
      <c r="AI11154" s="38"/>
    </row>
    <row r="11155" ht="15.75" customHeight="1">
      <c r="A11155" s="35"/>
      <c r="C11155" s="442"/>
      <c r="P11155" s="235"/>
      <c r="AI11155" s="38"/>
    </row>
    <row r="11156" ht="15.75" customHeight="1">
      <c r="A11156" s="35"/>
      <c r="C11156" s="442"/>
      <c r="P11156" s="235"/>
      <c r="AI11156" s="38"/>
    </row>
    <row r="11157" ht="15.75" customHeight="1">
      <c r="A11157" s="35"/>
      <c r="C11157" s="442"/>
      <c r="P11157" s="235"/>
      <c r="AI11157" s="38"/>
    </row>
    <row r="11158" ht="15.75" customHeight="1">
      <c r="A11158" s="35"/>
      <c r="C11158" s="442"/>
      <c r="P11158" s="235"/>
      <c r="AI11158" s="38"/>
    </row>
    <row r="11159" ht="15.75" customHeight="1">
      <c r="A11159" s="35"/>
      <c r="C11159" s="442"/>
      <c r="P11159" s="235"/>
      <c r="AI11159" s="38"/>
    </row>
    <row r="11160" ht="15.75" customHeight="1">
      <c r="A11160" s="35"/>
      <c r="C11160" s="442"/>
      <c r="P11160" s="235"/>
      <c r="AI11160" s="38"/>
    </row>
    <row r="11161" ht="15.75" customHeight="1">
      <c r="A11161" s="35"/>
      <c r="C11161" s="442"/>
      <c r="P11161" s="235"/>
      <c r="AI11161" s="38"/>
    </row>
    <row r="11162" ht="15.75" customHeight="1">
      <c r="A11162" s="35"/>
      <c r="C11162" s="442"/>
      <c r="P11162" s="235"/>
      <c r="AI11162" s="38"/>
    </row>
    <row r="11163" ht="15.75" customHeight="1">
      <c r="A11163" s="35"/>
      <c r="C11163" s="442"/>
      <c r="P11163" s="235"/>
      <c r="AI11163" s="38"/>
    </row>
    <row r="11164" ht="15.75" customHeight="1">
      <c r="A11164" s="35"/>
      <c r="C11164" s="442"/>
      <c r="P11164" s="235"/>
      <c r="AI11164" s="38"/>
    </row>
    <row r="11165" ht="15.75" customHeight="1">
      <c r="A11165" s="35"/>
      <c r="C11165" s="442"/>
      <c r="P11165" s="235"/>
      <c r="AI11165" s="38"/>
    </row>
    <row r="11166" ht="15.75" customHeight="1">
      <c r="A11166" s="35"/>
      <c r="C11166" s="442"/>
      <c r="P11166" s="235"/>
      <c r="AI11166" s="38"/>
    </row>
    <row r="11167" ht="15.75" customHeight="1">
      <c r="A11167" s="35"/>
      <c r="C11167" s="442"/>
      <c r="P11167" s="235"/>
      <c r="AI11167" s="38"/>
    </row>
    <row r="11168" ht="15.75" customHeight="1">
      <c r="A11168" s="35"/>
      <c r="C11168" s="442"/>
      <c r="P11168" s="235"/>
      <c r="AI11168" s="38"/>
    </row>
    <row r="11169" ht="15.75" customHeight="1">
      <c r="A11169" s="35"/>
      <c r="C11169" s="442"/>
      <c r="P11169" s="235"/>
      <c r="AI11169" s="38"/>
    </row>
    <row r="11170" ht="15.75" customHeight="1">
      <c r="A11170" s="35"/>
      <c r="C11170" s="442"/>
      <c r="P11170" s="235"/>
      <c r="AI11170" s="38"/>
    </row>
    <row r="11171" ht="15.75" customHeight="1">
      <c r="A11171" s="35"/>
      <c r="C11171" s="442"/>
      <c r="P11171" s="235"/>
      <c r="AI11171" s="38"/>
    </row>
    <row r="11172" ht="15.75" customHeight="1">
      <c r="A11172" s="35"/>
      <c r="C11172" s="442"/>
      <c r="P11172" s="235"/>
      <c r="AI11172" s="38"/>
    </row>
    <row r="11173" ht="15.75" customHeight="1">
      <c r="A11173" s="35"/>
      <c r="C11173" s="442"/>
      <c r="P11173" s="235"/>
      <c r="AI11173" s="38"/>
    </row>
    <row r="11174" ht="15.75" customHeight="1">
      <c r="A11174" s="35"/>
      <c r="C11174" s="442"/>
      <c r="P11174" s="235"/>
      <c r="AI11174" s="38"/>
    </row>
    <row r="11175" ht="15.75" customHeight="1">
      <c r="A11175" s="35"/>
      <c r="C11175" s="442"/>
      <c r="P11175" s="235"/>
      <c r="AI11175" s="38"/>
    </row>
    <row r="11176" ht="15.75" customHeight="1">
      <c r="A11176" s="35"/>
      <c r="C11176" s="442"/>
      <c r="P11176" s="235"/>
      <c r="AI11176" s="38"/>
    </row>
    <row r="11177" ht="15.75" customHeight="1">
      <c r="A11177" s="35"/>
      <c r="C11177" s="442"/>
      <c r="P11177" s="235"/>
      <c r="AI11177" s="38"/>
    </row>
    <row r="11178" ht="15.75" customHeight="1">
      <c r="A11178" s="35"/>
      <c r="C11178" s="442"/>
      <c r="P11178" s="235"/>
      <c r="AI11178" s="38"/>
    </row>
    <row r="11179" ht="15.75" customHeight="1">
      <c r="A11179" s="35"/>
      <c r="C11179" s="442"/>
      <c r="P11179" s="235"/>
      <c r="AI11179" s="38"/>
    </row>
    <row r="11180" ht="15.75" customHeight="1">
      <c r="A11180" s="35"/>
      <c r="C11180" s="442"/>
      <c r="P11180" s="235"/>
      <c r="AI11180" s="38"/>
    </row>
    <row r="11181" ht="15.75" customHeight="1">
      <c r="A11181" s="35"/>
      <c r="C11181" s="442"/>
      <c r="P11181" s="235"/>
      <c r="AI11181" s="38"/>
    </row>
    <row r="11182" ht="15.75" customHeight="1">
      <c r="A11182" s="35"/>
      <c r="C11182" s="442"/>
      <c r="P11182" s="235"/>
      <c r="AI11182" s="38"/>
    </row>
    <row r="11183" ht="15.75" customHeight="1">
      <c r="A11183" s="35"/>
      <c r="C11183" s="442"/>
      <c r="P11183" s="235"/>
      <c r="AI11183" s="38"/>
    </row>
    <row r="11184" ht="15.75" customHeight="1">
      <c r="A11184" s="35"/>
      <c r="C11184" s="442"/>
      <c r="P11184" s="235"/>
      <c r="AI11184" s="38"/>
    </row>
    <row r="11185" ht="15.75" customHeight="1">
      <c r="A11185" s="35"/>
      <c r="C11185" s="442"/>
      <c r="P11185" s="235"/>
      <c r="AI11185" s="38"/>
    </row>
    <row r="11186" ht="15.75" customHeight="1">
      <c r="A11186" s="35"/>
      <c r="C11186" s="442"/>
      <c r="P11186" s="235"/>
      <c r="AI11186" s="38"/>
    </row>
    <row r="11187" ht="15.75" customHeight="1">
      <c r="A11187" s="35"/>
      <c r="C11187" s="442"/>
      <c r="P11187" s="235"/>
      <c r="AI11187" s="38"/>
    </row>
    <row r="11188" ht="15.75" customHeight="1">
      <c r="A11188" s="35"/>
      <c r="C11188" s="442"/>
      <c r="P11188" s="235"/>
      <c r="AI11188" s="38"/>
    </row>
    <row r="11189" ht="15.75" customHeight="1">
      <c r="A11189" s="35"/>
      <c r="C11189" s="442"/>
      <c r="P11189" s="235"/>
      <c r="AI11189" s="38"/>
    </row>
    <row r="11190" ht="15.75" customHeight="1">
      <c r="A11190" s="35"/>
      <c r="C11190" s="442"/>
      <c r="P11190" s="235"/>
      <c r="AI11190" s="38"/>
    </row>
    <row r="11191" ht="15.75" customHeight="1">
      <c r="A11191" s="35"/>
      <c r="C11191" s="442"/>
      <c r="P11191" s="235"/>
      <c r="AI11191" s="38"/>
    </row>
    <row r="11192" ht="15.75" customHeight="1">
      <c r="A11192" s="35"/>
      <c r="C11192" s="442"/>
      <c r="P11192" s="235"/>
      <c r="AI11192" s="38"/>
    </row>
    <row r="11193" ht="15.75" customHeight="1">
      <c r="A11193" s="35"/>
      <c r="C11193" s="442"/>
      <c r="P11193" s="235"/>
      <c r="AI11193" s="38"/>
    </row>
    <row r="11194" ht="15.75" customHeight="1">
      <c r="A11194" s="35"/>
      <c r="C11194" s="442"/>
      <c r="P11194" s="235"/>
      <c r="AI11194" s="38"/>
    </row>
    <row r="11195" ht="15.75" customHeight="1">
      <c r="A11195" s="35"/>
      <c r="C11195" s="442"/>
      <c r="P11195" s="235"/>
      <c r="AI11195" s="38"/>
    </row>
    <row r="11196" ht="15.75" customHeight="1">
      <c r="A11196" s="35"/>
      <c r="C11196" s="442"/>
      <c r="P11196" s="235"/>
      <c r="AI11196" s="38"/>
    </row>
    <row r="11197" ht="15.75" customHeight="1">
      <c r="A11197" s="35"/>
      <c r="C11197" s="442"/>
      <c r="P11197" s="235"/>
      <c r="AI11197" s="38"/>
    </row>
    <row r="11198" ht="15.75" customHeight="1">
      <c r="A11198" s="35"/>
      <c r="C11198" s="442"/>
      <c r="P11198" s="235"/>
      <c r="AI11198" s="38"/>
    </row>
    <row r="11199" ht="15.75" customHeight="1">
      <c r="A11199" s="35"/>
      <c r="C11199" s="442"/>
      <c r="P11199" s="235"/>
      <c r="AI11199" s="38"/>
    </row>
    <row r="11200" ht="15.75" customHeight="1">
      <c r="A11200" s="35"/>
      <c r="C11200" s="442"/>
      <c r="P11200" s="235"/>
      <c r="AI11200" s="38"/>
    </row>
    <row r="11201" ht="15.75" customHeight="1">
      <c r="A11201" s="35"/>
      <c r="C11201" s="442"/>
      <c r="P11201" s="235"/>
      <c r="AI11201" s="38"/>
    </row>
    <row r="11202" ht="15.75" customHeight="1">
      <c r="A11202" s="35"/>
      <c r="C11202" s="442"/>
      <c r="P11202" s="235"/>
      <c r="AI11202" s="38"/>
    </row>
    <row r="11203" ht="15.75" customHeight="1">
      <c r="A11203" s="35"/>
      <c r="C11203" s="442"/>
      <c r="P11203" s="235"/>
      <c r="AI11203" s="38"/>
    </row>
    <row r="11204" ht="15.75" customHeight="1">
      <c r="A11204" s="35"/>
      <c r="C11204" s="442"/>
      <c r="P11204" s="235"/>
      <c r="AI11204" s="38"/>
    </row>
    <row r="11205" ht="15.75" customHeight="1">
      <c r="A11205" s="35"/>
      <c r="C11205" s="442"/>
      <c r="P11205" s="235"/>
      <c r="AI11205" s="38"/>
    </row>
    <row r="11206" ht="15.75" customHeight="1">
      <c r="A11206" s="35"/>
      <c r="C11206" s="442"/>
      <c r="P11206" s="235"/>
      <c r="AI11206" s="38"/>
    </row>
    <row r="11207" ht="15.75" customHeight="1">
      <c r="A11207" s="35"/>
      <c r="C11207" s="442"/>
      <c r="P11207" s="235"/>
      <c r="AI11207" s="38"/>
    </row>
    <row r="11208" ht="15.75" customHeight="1">
      <c r="A11208" s="35"/>
      <c r="C11208" s="442"/>
      <c r="P11208" s="235"/>
      <c r="AI11208" s="38"/>
    </row>
    <row r="11209" ht="15.75" customHeight="1">
      <c r="A11209" s="35"/>
      <c r="C11209" s="442"/>
      <c r="P11209" s="235"/>
      <c r="AI11209" s="38"/>
    </row>
    <row r="11210" ht="15.75" customHeight="1">
      <c r="A11210" s="35"/>
      <c r="C11210" s="442"/>
      <c r="P11210" s="235"/>
      <c r="AI11210" s="38"/>
    </row>
    <row r="11211" ht="15.75" customHeight="1">
      <c r="A11211" s="35"/>
      <c r="C11211" s="442"/>
      <c r="P11211" s="235"/>
      <c r="AI11211" s="38"/>
    </row>
    <row r="11212" ht="15.75" customHeight="1">
      <c r="A11212" s="35"/>
      <c r="C11212" s="442"/>
      <c r="P11212" s="235"/>
      <c r="AI11212" s="38"/>
    </row>
    <row r="11213" ht="15.75" customHeight="1">
      <c r="A11213" s="35"/>
      <c r="C11213" s="442"/>
      <c r="P11213" s="235"/>
      <c r="AI11213" s="38"/>
    </row>
    <row r="11214" ht="15.75" customHeight="1">
      <c r="A11214" s="35"/>
      <c r="C11214" s="442"/>
      <c r="P11214" s="235"/>
      <c r="AI11214" s="38"/>
    </row>
    <row r="11215" ht="15.75" customHeight="1">
      <c r="A11215" s="35"/>
      <c r="C11215" s="442"/>
      <c r="P11215" s="235"/>
      <c r="AI11215" s="38"/>
    </row>
    <row r="11216" ht="15.75" customHeight="1">
      <c r="A11216" s="35"/>
      <c r="C11216" s="442"/>
      <c r="P11216" s="235"/>
      <c r="AI11216" s="38"/>
    </row>
    <row r="11217" ht="15.75" customHeight="1">
      <c r="A11217" s="35"/>
      <c r="C11217" s="442"/>
      <c r="P11217" s="235"/>
      <c r="AI11217" s="38"/>
    </row>
    <row r="11218" ht="15.75" customHeight="1">
      <c r="A11218" s="35"/>
      <c r="C11218" s="442"/>
      <c r="P11218" s="235"/>
      <c r="AI11218" s="38"/>
    </row>
    <row r="11219" ht="15.75" customHeight="1">
      <c r="A11219" s="35"/>
      <c r="C11219" s="442"/>
      <c r="P11219" s="235"/>
      <c r="AI11219" s="38"/>
    </row>
    <row r="11220" ht="15.75" customHeight="1">
      <c r="A11220" s="35"/>
      <c r="C11220" s="442"/>
      <c r="P11220" s="235"/>
      <c r="AI11220" s="38"/>
    </row>
    <row r="11221" ht="15.75" customHeight="1">
      <c r="A11221" s="35"/>
      <c r="C11221" s="442"/>
      <c r="P11221" s="235"/>
      <c r="AI11221" s="38"/>
    </row>
    <row r="11222" ht="15.75" customHeight="1">
      <c r="A11222" s="35"/>
      <c r="C11222" s="442"/>
      <c r="P11222" s="235"/>
      <c r="AI11222" s="38"/>
    </row>
    <row r="11223" ht="15.75" customHeight="1">
      <c r="A11223" s="35"/>
      <c r="C11223" s="442"/>
      <c r="P11223" s="235"/>
      <c r="AI11223" s="38"/>
    </row>
    <row r="11224" ht="15.75" customHeight="1">
      <c r="A11224" s="35"/>
      <c r="C11224" s="442"/>
      <c r="P11224" s="235"/>
      <c r="AI11224" s="38"/>
    </row>
    <row r="11225" ht="15.75" customHeight="1">
      <c r="A11225" s="35"/>
      <c r="C11225" s="442"/>
      <c r="P11225" s="235"/>
      <c r="AI11225" s="38"/>
    </row>
    <row r="11226" ht="15.75" customHeight="1">
      <c r="A11226" s="35"/>
      <c r="C11226" s="442"/>
      <c r="P11226" s="235"/>
      <c r="AI11226" s="38"/>
    </row>
    <row r="11227" ht="15.75" customHeight="1">
      <c r="A11227" s="35"/>
      <c r="C11227" s="442"/>
      <c r="P11227" s="235"/>
      <c r="AI11227" s="38"/>
    </row>
    <row r="11228" ht="15.75" customHeight="1">
      <c r="A11228" s="35"/>
      <c r="C11228" s="442"/>
      <c r="P11228" s="235"/>
      <c r="AI11228" s="38"/>
    </row>
    <row r="11229" ht="15.75" customHeight="1">
      <c r="A11229" s="35"/>
      <c r="C11229" s="442"/>
      <c r="P11229" s="235"/>
      <c r="AI11229" s="38"/>
    </row>
    <row r="11230" ht="15.75" customHeight="1">
      <c r="A11230" s="35"/>
      <c r="C11230" s="442"/>
      <c r="P11230" s="235"/>
      <c r="AI11230" s="38"/>
    </row>
    <row r="11231" ht="15.75" customHeight="1">
      <c r="A11231" s="35"/>
      <c r="C11231" s="442"/>
      <c r="P11231" s="235"/>
      <c r="AI11231" s="38"/>
    </row>
    <row r="11232" ht="15.75" customHeight="1">
      <c r="A11232" s="35"/>
      <c r="C11232" s="442"/>
      <c r="P11232" s="235"/>
      <c r="AI11232" s="38"/>
    </row>
    <row r="11233" ht="15.75" customHeight="1">
      <c r="A11233" s="35"/>
      <c r="C11233" s="442"/>
      <c r="P11233" s="235"/>
      <c r="AI11233" s="38"/>
    </row>
    <row r="11234" ht="15.75" customHeight="1">
      <c r="A11234" s="35"/>
      <c r="C11234" s="442"/>
      <c r="P11234" s="235"/>
      <c r="AI11234" s="38"/>
    </row>
    <row r="11235" ht="15.75" customHeight="1">
      <c r="A11235" s="35"/>
      <c r="C11235" s="442"/>
      <c r="P11235" s="235"/>
      <c r="AI11235" s="38"/>
    </row>
    <row r="11236" ht="15.75" customHeight="1">
      <c r="A11236" s="35"/>
      <c r="C11236" s="442"/>
      <c r="P11236" s="235"/>
      <c r="AI11236" s="38"/>
    </row>
    <row r="11237" ht="15.75" customHeight="1">
      <c r="A11237" s="35"/>
      <c r="C11237" s="442"/>
      <c r="P11237" s="235"/>
      <c r="AI11237" s="38"/>
    </row>
    <row r="11238" ht="15.75" customHeight="1">
      <c r="A11238" s="35"/>
      <c r="C11238" s="442"/>
      <c r="P11238" s="235"/>
      <c r="AI11238" s="38"/>
    </row>
    <row r="11239" ht="15.75" customHeight="1">
      <c r="A11239" s="35"/>
      <c r="C11239" s="442"/>
      <c r="P11239" s="235"/>
      <c r="AI11239" s="38"/>
    </row>
    <row r="11240" ht="15.75" customHeight="1">
      <c r="A11240" s="35"/>
      <c r="C11240" s="442"/>
      <c r="P11240" s="235"/>
      <c r="AI11240" s="38"/>
    </row>
    <row r="11241" ht="15.75" customHeight="1">
      <c r="A11241" s="35"/>
      <c r="C11241" s="442"/>
      <c r="P11241" s="235"/>
      <c r="AI11241" s="38"/>
    </row>
    <row r="11242" ht="15.75" customHeight="1">
      <c r="A11242" s="35"/>
      <c r="C11242" s="442"/>
      <c r="P11242" s="235"/>
      <c r="AI11242" s="38"/>
    </row>
    <row r="11243" ht="15.75" customHeight="1">
      <c r="A11243" s="35"/>
      <c r="C11243" s="442"/>
      <c r="P11243" s="235"/>
      <c r="AI11243" s="38"/>
    </row>
    <row r="11244" ht="15.75" customHeight="1">
      <c r="A11244" s="35"/>
      <c r="C11244" s="442"/>
      <c r="P11244" s="235"/>
      <c r="AI11244" s="38"/>
    </row>
    <row r="11245" ht="15.75" customHeight="1">
      <c r="A11245" s="35"/>
      <c r="C11245" s="442"/>
      <c r="P11245" s="235"/>
      <c r="AI11245" s="38"/>
    </row>
    <row r="11246" ht="15.75" customHeight="1">
      <c r="A11246" s="35"/>
      <c r="C11246" s="442"/>
      <c r="P11246" s="235"/>
      <c r="AI11246" s="38"/>
    </row>
    <row r="11247" ht="15.75" customHeight="1">
      <c r="A11247" s="35"/>
      <c r="C11247" s="442"/>
      <c r="P11247" s="235"/>
      <c r="AI11247" s="38"/>
    </row>
    <row r="11248" ht="15.75" customHeight="1">
      <c r="A11248" s="35"/>
      <c r="C11248" s="442"/>
      <c r="P11248" s="235"/>
      <c r="AI11248" s="38"/>
    </row>
    <row r="11249" ht="15.75" customHeight="1">
      <c r="A11249" s="35"/>
      <c r="C11249" s="442"/>
      <c r="P11249" s="235"/>
      <c r="AI11249" s="38"/>
    </row>
    <row r="11250" ht="15.75" customHeight="1">
      <c r="A11250" s="35"/>
      <c r="C11250" s="442"/>
      <c r="P11250" s="235"/>
      <c r="AI11250" s="38"/>
    </row>
    <row r="11251" ht="15.75" customHeight="1">
      <c r="A11251" s="35"/>
      <c r="C11251" s="442"/>
      <c r="P11251" s="235"/>
      <c r="AI11251" s="38"/>
    </row>
    <row r="11252" ht="15.75" customHeight="1">
      <c r="A11252" s="35"/>
      <c r="C11252" s="442"/>
      <c r="P11252" s="235"/>
      <c r="AI11252" s="38"/>
    </row>
    <row r="11253" ht="15.75" customHeight="1">
      <c r="A11253" s="35"/>
      <c r="C11253" s="442"/>
      <c r="P11253" s="235"/>
      <c r="AI11253" s="38"/>
    </row>
    <row r="11254" ht="15.75" customHeight="1">
      <c r="A11254" s="35"/>
      <c r="C11254" s="442"/>
      <c r="P11254" s="235"/>
      <c r="AI11254" s="38"/>
    </row>
    <row r="11255" ht="15.75" customHeight="1">
      <c r="A11255" s="35"/>
      <c r="C11255" s="442"/>
      <c r="P11255" s="235"/>
      <c r="AI11255" s="38"/>
    </row>
    <row r="11256" ht="15.75" customHeight="1">
      <c r="A11256" s="35"/>
      <c r="C11256" s="442"/>
      <c r="P11256" s="235"/>
      <c r="AI11256" s="38"/>
    </row>
    <row r="11257" ht="15.75" customHeight="1">
      <c r="A11257" s="35"/>
      <c r="C11257" s="442"/>
      <c r="P11257" s="235"/>
      <c r="AI11257" s="38"/>
    </row>
    <row r="11258" ht="15.75" customHeight="1">
      <c r="A11258" s="35"/>
      <c r="C11258" s="442"/>
      <c r="P11258" s="235"/>
      <c r="AI11258" s="38"/>
    </row>
    <row r="11259" ht="15.75" customHeight="1">
      <c r="A11259" s="35"/>
      <c r="C11259" s="442"/>
      <c r="P11259" s="235"/>
      <c r="AI11259" s="38"/>
    </row>
    <row r="11260" ht="15.75" customHeight="1">
      <c r="A11260" s="35"/>
      <c r="C11260" s="442"/>
      <c r="P11260" s="235"/>
      <c r="AI11260" s="38"/>
    </row>
    <row r="11261" ht="15.75" customHeight="1">
      <c r="A11261" s="35"/>
      <c r="C11261" s="442"/>
      <c r="P11261" s="235"/>
      <c r="AI11261" s="38"/>
    </row>
    <row r="11262" ht="15.75" customHeight="1">
      <c r="A11262" s="35"/>
      <c r="C11262" s="442"/>
      <c r="P11262" s="235"/>
      <c r="AI11262" s="38"/>
    </row>
    <row r="11263" ht="15.75" customHeight="1">
      <c r="A11263" s="35"/>
      <c r="C11263" s="442"/>
      <c r="P11263" s="235"/>
      <c r="AI11263" s="38"/>
    </row>
    <row r="11264" ht="15.75" customHeight="1">
      <c r="A11264" s="35"/>
      <c r="C11264" s="442"/>
      <c r="P11264" s="235"/>
      <c r="AI11264" s="38"/>
    </row>
    <row r="11265" ht="15.75" customHeight="1">
      <c r="A11265" s="35"/>
      <c r="C11265" s="442"/>
      <c r="P11265" s="235"/>
      <c r="AI11265" s="38"/>
    </row>
    <row r="11266" ht="15.75" customHeight="1">
      <c r="A11266" s="35"/>
      <c r="C11266" s="442"/>
      <c r="P11266" s="235"/>
      <c r="AI11266" s="38"/>
    </row>
    <row r="11267" ht="15.75" customHeight="1">
      <c r="A11267" s="35"/>
      <c r="C11267" s="442"/>
      <c r="P11267" s="235"/>
      <c r="AI11267" s="38"/>
    </row>
    <row r="11268" ht="15.75" customHeight="1">
      <c r="A11268" s="35"/>
      <c r="C11268" s="442"/>
      <c r="P11268" s="235"/>
      <c r="AI11268" s="38"/>
    </row>
    <row r="11269" ht="15.75" customHeight="1">
      <c r="A11269" s="35"/>
      <c r="C11269" s="442"/>
      <c r="P11269" s="235"/>
      <c r="AI11269" s="38"/>
    </row>
    <row r="11270" ht="15.75" customHeight="1">
      <c r="A11270" s="35"/>
      <c r="C11270" s="442"/>
      <c r="P11270" s="235"/>
      <c r="AI11270" s="38"/>
    </row>
    <row r="11271" ht="15.75" customHeight="1">
      <c r="A11271" s="35"/>
      <c r="C11271" s="442"/>
      <c r="P11271" s="235"/>
      <c r="AI11271" s="38"/>
    </row>
    <row r="11272" ht="15.75" customHeight="1">
      <c r="A11272" s="35"/>
      <c r="C11272" s="442"/>
      <c r="P11272" s="235"/>
      <c r="AI11272" s="38"/>
    </row>
    <row r="11273" ht="15.75" customHeight="1">
      <c r="A11273" s="35"/>
      <c r="C11273" s="442"/>
      <c r="P11273" s="235"/>
      <c r="AI11273" s="38"/>
    </row>
    <row r="11274" ht="15.75" customHeight="1">
      <c r="A11274" s="35"/>
      <c r="C11274" s="442"/>
      <c r="P11274" s="235"/>
      <c r="AI11274" s="38"/>
    </row>
    <row r="11275" ht="15.75" customHeight="1">
      <c r="A11275" s="35"/>
      <c r="C11275" s="442"/>
      <c r="P11275" s="235"/>
      <c r="AI11275" s="38"/>
    </row>
    <row r="11276" ht="15.75" customHeight="1">
      <c r="A11276" s="35"/>
      <c r="C11276" s="442"/>
      <c r="P11276" s="235"/>
      <c r="AI11276" s="38"/>
    </row>
    <row r="11277" ht="15.75" customHeight="1">
      <c r="A11277" s="35"/>
      <c r="C11277" s="442"/>
      <c r="P11277" s="235"/>
      <c r="AI11277" s="38"/>
    </row>
    <row r="11278" ht="15.75" customHeight="1">
      <c r="A11278" s="35"/>
      <c r="C11278" s="442"/>
      <c r="P11278" s="235"/>
      <c r="AI11278" s="38"/>
    </row>
    <row r="11279" ht="15.75" customHeight="1">
      <c r="A11279" s="35"/>
      <c r="C11279" s="442"/>
      <c r="P11279" s="235"/>
      <c r="AI11279" s="38"/>
    </row>
    <row r="11280" ht="15.75" customHeight="1">
      <c r="A11280" s="35"/>
      <c r="C11280" s="442"/>
      <c r="P11280" s="235"/>
      <c r="AI11280" s="38"/>
    </row>
    <row r="11281" ht="15.75" customHeight="1">
      <c r="A11281" s="35"/>
      <c r="C11281" s="442"/>
      <c r="P11281" s="235"/>
      <c r="AI11281" s="38"/>
    </row>
    <row r="11282" ht="15.75" customHeight="1">
      <c r="A11282" s="35"/>
      <c r="C11282" s="442"/>
      <c r="P11282" s="235"/>
      <c r="AI11282" s="38"/>
    </row>
    <row r="11283" ht="15.75" customHeight="1">
      <c r="A11283" s="35"/>
      <c r="C11283" s="442"/>
      <c r="P11283" s="235"/>
      <c r="AI11283" s="38"/>
    </row>
    <row r="11284" ht="15.75" customHeight="1">
      <c r="A11284" s="35"/>
      <c r="C11284" s="442"/>
      <c r="P11284" s="235"/>
      <c r="AI11284" s="38"/>
    </row>
    <row r="11285" ht="15.75" customHeight="1">
      <c r="A11285" s="35"/>
      <c r="C11285" s="442"/>
      <c r="P11285" s="235"/>
      <c r="AI11285" s="38"/>
    </row>
    <row r="11286" ht="15.75" customHeight="1">
      <c r="A11286" s="35"/>
      <c r="C11286" s="442"/>
      <c r="P11286" s="235"/>
      <c r="AI11286" s="38"/>
    </row>
    <row r="11287" ht="15.75" customHeight="1">
      <c r="A11287" s="35"/>
      <c r="C11287" s="442"/>
      <c r="P11287" s="235"/>
      <c r="AI11287" s="38"/>
    </row>
    <row r="11288" ht="15.75" customHeight="1">
      <c r="A11288" s="35"/>
      <c r="C11288" s="442"/>
      <c r="P11288" s="235"/>
      <c r="AI11288" s="38"/>
    </row>
    <row r="11289" ht="15.75" customHeight="1">
      <c r="A11289" s="35"/>
      <c r="C11289" s="442"/>
      <c r="P11289" s="235"/>
      <c r="AI11289" s="38"/>
    </row>
    <row r="11290" ht="15.75" customHeight="1">
      <c r="A11290" s="35"/>
      <c r="C11290" s="442"/>
      <c r="P11290" s="235"/>
      <c r="AI11290" s="38"/>
    </row>
    <row r="11291" ht="15.75" customHeight="1">
      <c r="A11291" s="35"/>
      <c r="C11291" s="442"/>
      <c r="P11291" s="235"/>
      <c r="AI11291" s="38"/>
    </row>
    <row r="11292" ht="15.75" customHeight="1">
      <c r="A11292" s="35"/>
      <c r="C11292" s="442"/>
      <c r="P11292" s="235"/>
      <c r="AI11292" s="38"/>
    </row>
    <row r="11293" ht="15.75" customHeight="1">
      <c r="A11293" s="35"/>
      <c r="C11293" s="442"/>
      <c r="P11293" s="235"/>
      <c r="AI11293" s="38"/>
    </row>
    <row r="11294" ht="15.75" customHeight="1">
      <c r="A11294" s="35"/>
      <c r="C11294" s="442"/>
      <c r="P11294" s="235"/>
      <c r="AI11294" s="38"/>
    </row>
    <row r="11295" ht="15.75" customHeight="1">
      <c r="A11295" s="35"/>
      <c r="C11295" s="442"/>
      <c r="P11295" s="235"/>
      <c r="AI11295" s="38"/>
    </row>
    <row r="11296" ht="15.75" customHeight="1">
      <c r="A11296" s="35"/>
      <c r="C11296" s="442"/>
      <c r="P11296" s="235"/>
      <c r="AI11296" s="38"/>
    </row>
    <row r="11297" ht="15.75" customHeight="1">
      <c r="A11297" s="35"/>
      <c r="C11297" s="442"/>
      <c r="P11297" s="235"/>
      <c r="AI11297" s="38"/>
    </row>
    <row r="11298" ht="15.75" customHeight="1">
      <c r="A11298" s="35"/>
      <c r="C11298" s="442"/>
      <c r="P11298" s="235"/>
      <c r="AI11298" s="38"/>
    </row>
    <row r="11299" ht="15.75" customHeight="1">
      <c r="A11299" s="35"/>
      <c r="C11299" s="442"/>
      <c r="P11299" s="235"/>
      <c r="AI11299" s="38"/>
    </row>
    <row r="11300" ht="15.75" customHeight="1">
      <c r="A11300" s="35"/>
      <c r="C11300" s="442"/>
      <c r="P11300" s="235"/>
      <c r="AI11300" s="38"/>
    </row>
    <row r="11301" ht="15.75" customHeight="1">
      <c r="A11301" s="35"/>
      <c r="C11301" s="442"/>
      <c r="P11301" s="235"/>
      <c r="AI11301" s="38"/>
    </row>
    <row r="11302" ht="15.75" customHeight="1">
      <c r="A11302" s="35"/>
      <c r="C11302" s="442"/>
      <c r="P11302" s="235"/>
      <c r="AI11302" s="38"/>
    </row>
    <row r="11303" ht="15.75" customHeight="1">
      <c r="A11303" s="35"/>
      <c r="C11303" s="442"/>
      <c r="P11303" s="235"/>
      <c r="AI11303" s="38"/>
    </row>
    <row r="11304" ht="15.75" customHeight="1">
      <c r="A11304" s="35"/>
      <c r="C11304" s="442"/>
      <c r="P11304" s="235"/>
      <c r="AI11304" s="38"/>
    </row>
    <row r="11305" ht="15.75" customHeight="1">
      <c r="A11305" s="35"/>
      <c r="C11305" s="442"/>
      <c r="P11305" s="235"/>
      <c r="AI11305" s="38"/>
    </row>
    <row r="11306" ht="15.75" customHeight="1">
      <c r="A11306" s="35"/>
      <c r="C11306" s="442"/>
      <c r="P11306" s="235"/>
      <c r="AI11306" s="38"/>
    </row>
    <row r="11307" ht="15.75" customHeight="1">
      <c r="A11307" s="35"/>
      <c r="C11307" s="442"/>
      <c r="P11307" s="235"/>
      <c r="AI11307" s="38"/>
    </row>
    <row r="11308" ht="15.75" customHeight="1">
      <c r="A11308" s="35"/>
      <c r="C11308" s="442"/>
      <c r="P11308" s="235"/>
      <c r="AI11308" s="38"/>
    </row>
    <row r="11309" ht="15.75" customHeight="1">
      <c r="A11309" s="35"/>
      <c r="C11309" s="442"/>
      <c r="P11309" s="235"/>
      <c r="AI11309" s="38"/>
    </row>
    <row r="11310" ht="15.75" customHeight="1">
      <c r="A11310" s="35"/>
      <c r="C11310" s="442"/>
      <c r="P11310" s="235"/>
      <c r="AI11310" s="38"/>
    </row>
    <row r="11311" ht="15.75" customHeight="1">
      <c r="A11311" s="35"/>
      <c r="C11311" s="442"/>
      <c r="P11311" s="235"/>
      <c r="AI11311" s="38"/>
    </row>
    <row r="11312" ht="15.75" customHeight="1">
      <c r="A11312" s="35"/>
      <c r="C11312" s="442"/>
      <c r="P11312" s="235"/>
      <c r="AI11312" s="38"/>
    </row>
    <row r="11313" ht="15.75" customHeight="1">
      <c r="A11313" s="35"/>
      <c r="C11313" s="442"/>
      <c r="P11313" s="235"/>
      <c r="AI11313" s="38"/>
    </row>
    <row r="11314" ht="15.75" customHeight="1">
      <c r="A11314" s="35"/>
      <c r="C11314" s="442"/>
      <c r="P11314" s="235"/>
      <c r="AI11314" s="38"/>
    </row>
    <row r="11315" ht="15.75" customHeight="1">
      <c r="A11315" s="35"/>
      <c r="C11315" s="442"/>
      <c r="P11315" s="235"/>
      <c r="AI11315" s="38"/>
    </row>
    <row r="11316" ht="15.75" customHeight="1">
      <c r="A11316" s="35"/>
      <c r="C11316" s="442"/>
      <c r="P11316" s="235"/>
      <c r="AI11316" s="38"/>
    </row>
    <row r="11317" ht="15.75" customHeight="1">
      <c r="A11317" s="35"/>
      <c r="C11317" s="442"/>
      <c r="P11317" s="235"/>
      <c r="AI11317" s="38"/>
    </row>
    <row r="11318" ht="15.75" customHeight="1">
      <c r="A11318" s="35"/>
      <c r="C11318" s="442"/>
      <c r="P11318" s="235"/>
      <c r="AI11318" s="38"/>
    </row>
    <row r="11319" ht="15.75" customHeight="1">
      <c r="A11319" s="35"/>
      <c r="C11319" s="442"/>
      <c r="P11319" s="235"/>
      <c r="AI11319" s="38"/>
    </row>
    <row r="11320" ht="15.75" customHeight="1">
      <c r="A11320" s="35"/>
      <c r="C11320" s="442"/>
      <c r="P11320" s="235"/>
      <c r="AI11320" s="38"/>
    </row>
    <row r="11321" ht="15.75" customHeight="1">
      <c r="A11321" s="35"/>
      <c r="C11321" s="442"/>
      <c r="P11321" s="235"/>
      <c r="AI11321" s="38"/>
    </row>
    <row r="11322" ht="15.75" customHeight="1">
      <c r="A11322" s="35"/>
      <c r="C11322" s="442"/>
      <c r="P11322" s="235"/>
      <c r="AI11322" s="38"/>
    </row>
    <row r="11323" ht="15.75" customHeight="1">
      <c r="A11323" s="35"/>
      <c r="C11323" s="442"/>
      <c r="P11323" s="235"/>
      <c r="AI11323" s="38"/>
    </row>
    <row r="11324" ht="15.75" customHeight="1">
      <c r="A11324" s="35"/>
      <c r="C11324" s="442"/>
      <c r="P11324" s="235"/>
      <c r="AI11324" s="38"/>
    </row>
    <row r="11325" ht="15.75" customHeight="1">
      <c r="A11325" s="35"/>
      <c r="C11325" s="442"/>
      <c r="P11325" s="235"/>
      <c r="AI11325" s="38"/>
    </row>
    <row r="11326" ht="15.75" customHeight="1">
      <c r="A11326" s="35"/>
      <c r="C11326" s="442"/>
      <c r="P11326" s="235"/>
      <c r="AI11326" s="38"/>
    </row>
    <row r="11327" ht="15.75" customHeight="1">
      <c r="A11327" s="35"/>
      <c r="C11327" s="442"/>
      <c r="P11327" s="235"/>
      <c r="AI11327" s="38"/>
    </row>
    <row r="11328" ht="15.75" customHeight="1">
      <c r="A11328" s="35"/>
      <c r="C11328" s="442"/>
      <c r="P11328" s="235"/>
      <c r="AI11328" s="38"/>
    </row>
    <row r="11329" ht="15.75" customHeight="1">
      <c r="A11329" s="35"/>
      <c r="C11329" s="442"/>
      <c r="P11329" s="235"/>
      <c r="AI11329" s="38"/>
    </row>
    <row r="11330" ht="15.75" customHeight="1">
      <c r="A11330" s="35"/>
      <c r="C11330" s="442"/>
      <c r="P11330" s="235"/>
      <c r="AI11330" s="38"/>
    </row>
    <row r="11331" ht="15.75" customHeight="1">
      <c r="A11331" s="35"/>
      <c r="C11331" s="442"/>
      <c r="P11331" s="235"/>
      <c r="AI11331" s="38"/>
    </row>
    <row r="11332" ht="15.75" customHeight="1">
      <c r="A11332" s="35"/>
      <c r="C11332" s="442"/>
      <c r="P11332" s="235"/>
      <c r="AI11332" s="38"/>
    </row>
    <row r="11333" ht="15.75" customHeight="1">
      <c r="A11333" s="35"/>
      <c r="C11333" s="442"/>
      <c r="P11333" s="235"/>
      <c r="AI11333" s="38"/>
    </row>
    <row r="11334" ht="15.75" customHeight="1">
      <c r="A11334" s="35"/>
      <c r="C11334" s="442"/>
      <c r="P11334" s="235"/>
      <c r="AI11334" s="38"/>
    </row>
    <row r="11335" ht="15.75" customHeight="1">
      <c r="A11335" s="35"/>
      <c r="C11335" s="442"/>
      <c r="P11335" s="235"/>
      <c r="AI11335" s="38"/>
    </row>
    <row r="11336" ht="15.75" customHeight="1">
      <c r="A11336" s="35"/>
      <c r="C11336" s="442"/>
      <c r="P11336" s="235"/>
      <c r="AI11336" s="38"/>
    </row>
    <row r="11337" ht="15.75" customHeight="1">
      <c r="A11337" s="35"/>
      <c r="C11337" s="442"/>
      <c r="P11337" s="235"/>
      <c r="AI11337" s="38"/>
    </row>
    <row r="11338" ht="15.75" customHeight="1">
      <c r="A11338" s="35"/>
      <c r="C11338" s="442"/>
      <c r="P11338" s="235"/>
      <c r="AI11338" s="38"/>
    </row>
    <row r="11339" ht="15.75" customHeight="1">
      <c r="A11339" s="35"/>
      <c r="C11339" s="442"/>
      <c r="P11339" s="235"/>
      <c r="AI11339" s="38"/>
    </row>
    <row r="11340" ht="15.75" customHeight="1">
      <c r="A11340" s="35"/>
      <c r="C11340" s="442"/>
      <c r="P11340" s="235"/>
      <c r="AI11340" s="38"/>
    </row>
    <row r="11341" ht="15.75" customHeight="1">
      <c r="A11341" s="35"/>
      <c r="C11341" s="442"/>
      <c r="P11341" s="235"/>
      <c r="AI11341" s="38"/>
    </row>
    <row r="11342" ht="15.75" customHeight="1">
      <c r="A11342" s="35"/>
      <c r="C11342" s="442"/>
      <c r="P11342" s="235"/>
      <c r="AI11342" s="38"/>
    </row>
    <row r="11343" ht="15.75" customHeight="1">
      <c r="A11343" s="35"/>
      <c r="C11343" s="442"/>
      <c r="P11343" s="235"/>
      <c r="AI11343" s="38"/>
    </row>
    <row r="11344" ht="15.75" customHeight="1">
      <c r="A11344" s="35"/>
      <c r="C11344" s="442"/>
      <c r="P11344" s="235"/>
      <c r="AI11344" s="38"/>
    </row>
    <row r="11345" ht="15.75" customHeight="1">
      <c r="A11345" s="35"/>
      <c r="C11345" s="442"/>
      <c r="P11345" s="235"/>
      <c r="AI11345" s="38"/>
    </row>
    <row r="11346" ht="15.75" customHeight="1">
      <c r="A11346" s="35"/>
      <c r="C11346" s="442"/>
      <c r="P11346" s="235"/>
      <c r="AI11346" s="38"/>
    </row>
    <row r="11347" ht="15.75" customHeight="1">
      <c r="A11347" s="35"/>
      <c r="C11347" s="442"/>
      <c r="P11347" s="235"/>
      <c r="AI11347" s="38"/>
    </row>
    <row r="11348" ht="15.75" customHeight="1">
      <c r="A11348" s="35"/>
      <c r="C11348" s="442"/>
      <c r="P11348" s="235"/>
      <c r="AI11348" s="38"/>
    </row>
    <row r="11349" ht="15.75" customHeight="1">
      <c r="A11349" s="35"/>
      <c r="C11349" s="442"/>
      <c r="P11349" s="235"/>
      <c r="AI11349" s="38"/>
    </row>
    <row r="11350" ht="15.75" customHeight="1">
      <c r="A11350" s="35"/>
      <c r="C11350" s="442"/>
      <c r="P11350" s="235"/>
      <c r="AI11350" s="38"/>
    </row>
    <row r="11351" ht="15.75" customHeight="1">
      <c r="A11351" s="35"/>
      <c r="C11351" s="442"/>
      <c r="P11351" s="235"/>
      <c r="AI11351" s="38"/>
    </row>
    <row r="11352" ht="15.75" customHeight="1">
      <c r="A11352" s="35"/>
      <c r="C11352" s="442"/>
      <c r="P11352" s="235"/>
      <c r="AI11352" s="38"/>
    </row>
    <row r="11353" ht="15.75" customHeight="1">
      <c r="A11353" s="35"/>
      <c r="C11353" s="442"/>
      <c r="P11353" s="235"/>
      <c r="AI11353" s="38"/>
    </row>
    <row r="11354" ht="15.75" customHeight="1">
      <c r="A11354" s="35"/>
      <c r="C11354" s="442"/>
      <c r="P11354" s="235"/>
      <c r="AI11354" s="38"/>
    </row>
    <row r="11355" ht="15.75" customHeight="1">
      <c r="A11355" s="35"/>
      <c r="C11355" s="442"/>
      <c r="P11355" s="235"/>
      <c r="AI11355" s="38"/>
    </row>
    <row r="11356" ht="15.75" customHeight="1">
      <c r="A11356" s="35"/>
      <c r="C11356" s="442"/>
      <c r="P11356" s="235"/>
      <c r="AI11356" s="38"/>
    </row>
    <row r="11357" ht="15.75" customHeight="1">
      <c r="A11357" s="35"/>
      <c r="C11357" s="442"/>
      <c r="P11357" s="235"/>
      <c r="AI11357" s="38"/>
    </row>
    <row r="11358" ht="15.75" customHeight="1">
      <c r="A11358" s="35"/>
      <c r="C11358" s="442"/>
      <c r="P11358" s="235"/>
      <c r="AI11358" s="38"/>
    </row>
    <row r="11359" ht="15.75" customHeight="1">
      <c r="A11359" s="35"/>
      <c r="C11359" s="442"/>
      <c r="P11359" s="235"/>
      <c r="AI11359" s="38"/>
    </row>
    <row r="11360" ht="15.75" customHeight="1">
      <c r="A11360" s="35"/>
      <c r="C11360" s="442"/>
      <c r="P11360" s="235"/>
      <c r="AI11360" s="38"/>
    </row>
    <row r="11361" ht="15.75" customHeight="1">
      <c r="A11361" s="35"/>
      <c r="C11361" s="442"/>
      <c r="P11361" s="235"/>
      <c r="AI11361" s="38"/>
    </row>
    <row r="11362" ht="15.75" customHeight="1">
      <c r="A11362" s="35"/>
      <c r="C11362" s="442"/>
      <c r="P11362" s="235"/>
      <c r="AI11362" s="38"/>
    </row>
    <row r="11363" ht="15.75" customHeight="1">
      <c r="A11363" s="35"/>
      <c r="C11363" s="442"/>
      <c r="P11363" s="235"/>
      <c r="AI11363" s="38"/>
    </row>
    <row r="11364" ht="15.75" customHeight="1">
      <c r="A11364" s="35"/>
      <c r="C11364" s="442"/>
      <c r="P11364" s="235"/>
      <c r="AI11364" s="38"/>
    </row>
    <row r="11365" ht="15.75" customHeight="1">
      <c r="A11365" s="35"/>
      <c r="C11365" s="442"/>
      <c r="P11365" s="235"/>
      <c r="AI11365" s="38"/>
    </row>
    <row r="11366" ht="15.75" customHeight="1">
      <c r="A11366" s="35"/>
      <c r="C11366" s="442"/>
      <c r="P11366" s="235"/>
      <c r="AI11366" s="38"/>
    </row>
    <row r="11367" ht="15.75" customHeight="1">
      <c r="A11367" s="35"/>
      <c r="C11367" s="442"/>
      <c r="P11367" s="235"/>
      <c r="AI11367" s="38"/>
    </row>
    <row r="11368" ht="15.75" customHeight="1">
      <c r="A11368" s="35"/>
      <c r="C11368" s="442"/>
      <c r="P11368" s="235"/>
      <c r="AI11368" s="38"/>
    </row>
    <row r="11369" ht="15.75" customHeight="1">
      <c r="A11369" s="35"/>
      <c r="C11369" s="442"/>
      <c r="P11369" s="235"/>
      <c r="AI11369" s="38"/>
    </row>
    <row r="11370" ht="15.75" customHeight="1">
      <c r="A11370" s="35"/>
      <c r="C11370" s="442"/>
      <c r="P11370" s="235"/>
      <c r="AI11370" s="38"/>
    </row>
    <row r="11371" ht="15.75" customHeight="1">
      <c r="A11371" s="35"/>
      <c r="C11371" s="442"/>
      <c r="P11371" s="235"/>
      <c r="AI11371" s="38"/>
    </row>
    <row r="11372" ht="15.75" customHeight="1">
      <c r="A11372" s="35"/>
      <c r="C11372" s="442"/>
      <c r="P11372" s="235"/>
      <c r="AI11372" s="38"/>
    </row>
    <row r="11373" ht="15.75" customHeight="1">
      <c r="A11373" s="35"/>
      <c r="C11373" s="442"/>
      <c r="P11373" s="235"/>
      <c r="AI11373" s="38"/>
    </row>
    <row r="11374" ht="15.75" customHeight="1">
      <c r="A11374" s="35"/>
      <c r="C11374" s="442"/>
      <c r="P11374" s="235"/>
      <c r="AI11374" s="38"/>
    </row>
    <row r="11375" ht="15.75" customHeight="1">
      <c r="A11375" s="35"/>
      <c r="C11375" s="442"/>
      <c r="P11375" s="235"/>
      <c r="AI11375" s="38"/>
    </row>
    <row r="11376" ht="15.75" customHeight="1">
      <c r="A11376" s="35"/>
      <c r="C11376" s="442"/>
      <c r="P11376" s="235"/>
      <c r="AI11376" s="38"/>
    </row>
    <row r="11377" ht="15.75" customHeight="1">
      <c r="A11377" s="35"/>
      <c r="C11377" s="442"/>
      <c r="P11377" s="235"/>
      <c r="AI11377" s="38"/>
    </row>
    <row r="11378" ht="15.75" customHeight="1">
      <c r="A11378" s="35"/>
      <c r="C11378" s="442"/>
      <c r="P11378" s="235"/>
      <c r="AI11378" s="38"/>
    </row>
    <row r="11379" ht="15.75" customHeight="1">
      <c r="A11379" s="35"/>
      <c r="C11379" s="442"/>
      <c r="P11379" s="235"/>
      <c r="AI11379" s="38"/>
    </row>
    <row r="11380" ht="15.75" customHeight="1">
      <c r="A11380" s="35"/>
      <c r="C11380" s="442"/>
      <c r="P11380" s="235"/>
      <c r="AI11380" s="38"/>
    </row>
    <row r="11381" ht="15.75" customHeight="1">
      <c r="A11381" s="35"/>
      <c r="C11381" s="442"/>
      <c r="P11381" s="235"/>
      <c r="AI11381" s="38"/>
    </row>
    <row r="11382" ht="15.75" customHeight="1">
      <c r="A11382" s="35"/>
      <c r="C11382" s="442"/>
      <c r="P11382" s="235"/>
      <c r="AI11382" s="38"/>
    </row>
    <row r="11383" ht="15.75" customHeight="1">
      <c r="A11383" s="35"/>
      <c r="C11383" s="442"/>
      <c r="P11383" s="235"/>
      <c r="AI11383" s="38"/>
    </row>
    <row r="11384" ht="15.75" customHeight="1">
      <c r="A11384" s="35"/>
      <c r="C11384" s="442"/>
      <c r="P11384" s="235"/>
      <c r="AI11384" s="38"/>
    </row>
    <row r="11385" ht="15.75" customHeight="1">
      <c r="A11385" s="35"/>
      <c r="C11385" s="442"/>
      <c r="P11385" s="235"/>
      <c r="AI11385" s="38"/>
    </row>
    <row r="11386" ht="15.75" customHeight="1">
      <c r="A11386" s="35"/>
      <c r="C11386" s="442"/>
      <c r="P11386" s="235"/>
      <c r="AI11386" s="38"/>
    </row>
    <row r="11387" ht="15.75" customHeight="1">
      <c r="A11387" s="35"/>
      <c r="C11387" s="442"/>
      <c r="P11387" s="235"/>
      <c r="AI11387" s="38"/>
    </row>
    <row r="11388" ht="15.75" customHeight="1">
      <c r="A11388" s="35"/>
      <c r="C11388" s="442"/>
      <c r="P11388" s="235"/>
      <c r="AI11388" s="38"/>
    </row>
    <row r="11389" ht="15.75" customHeight="1">
      <c r="A11389" s="35"/>
      <c r="C11389" s="442"/>
      <c r="P11389" s="235"/>
      <c r="AI11389" s="38"/>
    </row>
    <row r="11390" ht="15.75" customHeight="1">
      <c r="A11390" s="35"/>
      <c r="C11390" s="442"/>
      <c r="P11390" s="235"/>
      <c r="AI11390" s="38"/>
    </row>
    <row r="11391" ht="15.75" customHeight="1">
      <c r="A11391" s="35"/>
      <c r="C11391" s="442"/>
      <c r="P11391" s="235"/>
      <c r="AI11391" s="38"/>
    </row>
    <row r="11392" ht="15.75" customHeight="1">
      <c r="A11392" s="35"/>
      <c r="C11392" s="442"/>
      <c r="P11392" s="235"/>
      <c r="AI11392" s="38"/>
    </row>
    <row r="11393" ht="15.75" customHeight="1">
      <c r="A11393" s="35"/>
      <c r="C11393" s="442"/>
      <c r="P11393" s="235"/>
      <c r="AI11393" s="38"/>
    </row>
    <row r="11394" ht="15.75" customHeight="1">
      <c r="A11394" s="35"/>
      <c r="C11394" s="442"/>
      <c r="P11394" s="235"/>
      <c r="AI11394" s="38"/>
    </row>
    <row r="11395" ht="15.75" customHeight="1">
      <c r="A11395" s="35"/>
      <c r="C11395" s="442"/>
      <c r="P11395" s="235"/>
      <c r="AI11395" s="38"/>
    </row>
    <row r="11396" ht="15.75" customHeight="1">
      <c r="A11396" s="35"/>
      <c r="C11396" s="442"/>
      <c r="P11396" s="235"/>
      <c r="AI11396" s="38"/>
    </row>
    <row r="11397" ht="15.75" customHeight="1">
      <c r="A11397" s="35"/>
      <c r="C11397" s="442"/>
      <c r="P11397" s="235"/>
      <c r="AI11397" s="38"/>
    </row>
    <row r="11398" ht="15.75" customHeight="1">
      <c r="A11398" s="35"/>
      <c r="C11398" s="442"/>
      <c r="P11398" s="235"/>
      <c r="AI11398" s="38"/>
    </row>
    <row r="11399" ht="15.75" customHeight="1">
      <c r="A11399" s="35"/>
      <c r="C11399" s="442"/>
      <c r="P11399" s="235"/>
      <c r="AI11399" s="38"/>
    </row>
    <row r="11400" ht="15.75" customHeight="1">
      <c r="A11400" s="35"/>
      <c r="C11400" s="442"/>
      <c r="P11400" s="235"/>
      <c r="AI11400" s="38"/>
    </row>
    <row r="11401" ht="15.75" customHeight="1">
      <c r="A11401" s="35"/>
      <c r="C11401" s="442"/>
      <c r="P11401" s="235"/>
      <c r="AI11401" s="38"/>
    </row>
    <row r="11402" ht="15.75" customHeight="1">
      <c r="A11402" s="35"/>
      <c r="C11402" s="442"/>
      <c r="P11402" s="235"/>
      <c r="AI11402" s="38"/>
    </row>
    <row r="11403" ht="15.75" customHeight="1">
      <c r="A11403" s="35"/>
      <c r="C11403" s="442"/>
      <c r="P11403" s="235"/>
      <c r="AI11403" s="38"/>
    </row>
    <row r="11404" ht="15.75" customHeight="1">
      <c r="A11404" s="35"/>
      <c r="C11404" s="442"/>
      <c r="P11404" s="235"/>
      <c r="AI11404" s="38"/>
    </row>
    <row r="11405" ht="15.75" customHeight="1">
      <c r="A11405" s="35"/>
      <c r="C11405" s="442"/>
      <c r="P11405" s="235"/>
      <c r="AI11405" s="38"/>
    </row>
    <row r="11406" ht="15.75" customHeight="1">
      <c r="A11406" s="35"/>
      <c r="C11406" s="442"/>
      <c r="P11406" s="235"/>
      <c r="AI11406" s="38"/>
    </row>
    <row r="11407" ht="15.75" customHeight="1">
      <c r="A11407" s="35"/>
      <c r="C11407" s="442"/>
      <c r="P11407" s="235"/>
      <c r="AI11407" s="38"/>
    </row>
    <row r="11408" ht="15.75" customHeight="1">
      <c r="A11408" s="35"/>
      <c r="C11408" s="442"/>
      <c r="P11408" s="235"/>
      <c r="AI11408" s="38"/>
    </row>
    <row r="11409" ht="15.75" customHeight="1">
      <c r="A11409" s="35"/>
      <c r="C11409" s="442"/>
      <c r="P11409" s="235"/>
      <c r="AI11409" s="38"/>
    </row>
    <row r="11410" ht="15.75" customHeight="1">
      <c r="A11410" s="35"/>
      <c r="C11410" s="442"/>
      <c r="P11410" s="235"/>
      <c r="AI11410" s="38"/>
    </row>
    <row r="11411" ht="15.75" customHeight="1">
      <c r="A11411" s="35"/>
      <c r="C11411" s="442"/>
      <c r="P11411" s="235"/>
      <c r="AI11411" s="38"/>
    </row>
    <row r="11412" ht="15.75" customHeight="1">
      <c r="A11412" s="35"/>
      <c r="C11412" s="442"/>
      <c r="P11412" s="235"/>
      <c r="AI11412" s="38"/>
    </row>
    <row r="11413" ht="15.75" customHeight="1">
      <c r="A11413" s="35"/>
      <c r="C11413" s="442"/>
      <c r="P11413" s="235"/>
      <c r="AI11413" s="38"/>
    </row>
    <row r="11414" ht="15.75" customHeight="1">
      <c r="A11414" s="35"/>
      <c r="C11414" s="442"/>
      <c r="P11414" s="235"/>
      <c r="AI11414" s="38"/>
    </row>
    <row r="11415" ht="15.75" customHeight="1">
      <c r="A11415" s="35"/>
      <c r="C11415" s="442"/>
      <c r="P11415" s="235"/>
      <c r="AI11415" s="38"/>
    </row>
    <row r="11416" ht="15.75" customHeight="1">
      <c r="A11416" s="35"/>
      <c r="C11416" s="442"/>
      <c r="P11416" s="235"/>
      <c r="AI11416" s="38"/>
    </row>
    <row r="11417" ht="15.75" customHeight="1">
      <c r="A11417" s="35"/>
      <c r="C11417" s="442"/>
      <c r="P11417" s="235"/>
      <c r="AI11417" s="38"/>
    </row>
    <row r="11418" ht="15.75" customHeight="1">
      <c r="A11418" s="35"/>
      <c r="C11418" s="442"/>
      <c r="P11418" s="235"/>
      <c r="AI11418" s="38"/>
    </row>
    <row r="11419" ht="15.75" customHeight="1">
      <c r="A11419" s="35"/>
      <c r="C11419" s="442"/>
      <c r="P11419" s="235"/>
      <c r="AI11419" s="38"/>
    </row>
    <row r="11420" ht="15.75" customHeight="1">
      <c r="A11420" s="35"/>
      <c r="C11420" s="442"/>
      <c r="P11420" s="235"/>
      <c r="AI11420" s="38"/>
    </row>
    <row r="11421" ht="15.75" customHeight="1">
      <c r="A11421" s="35"/>
      <c r="C11421" s="442"/>
      <c r="P11421" s="235"/>
      <c r="AI11421" s="38"/>
    </row>
    <row r="11422" ht="15.75" customHeight="1">
      <c r="A11422" s="35"/>
      <c r="C11422" s="442"/>
      <c r="P11422" s="235"/>
      <c r="AI11422" s="38"/>
    </row>
    <row r="11423" ht="15.75" customHeight="1">
      <c r="A11423" s="35"/>
      <c r="C11423" s="442"/>
      <c r="P11423" s="235"/>
      <c r="AI11423" s="38"/>
    </row>
    <row r="11424" ht="15.75" customHeight="1">
      <c r="A11424" s="35"/>
      <c r="C11424" s="442"/>
      <c r="P11424" s="235"/>
      <c r="AI11424" s="38"/>
    </row>
    <row r="11425" ht="15.75" customHeight="1">
      <c r="A11425" s="35"/>
      <c r="C11425" s="442"/>
      <c r="P11425" s="235"/>
      <c r="AI11425" s="38"/>
    </row>
    <row r="11426" ht="15.75" customHeight="1">
      <c r="A11426" s="35"/>
      <c r="C11426" s="442"/>
      <c r="P11426" s="235"/>
      <c r="AI11426" s="38"/>
    </row>
    <row r="11427" ht="15.75" customHeight="1">
      <c r="A11427" s="35"/>
      <c r="C11427" s="442"/>
      <c r="P11427" s="235"/>
      <c r="AI11427" s="38"/>
    </row>
    <row r="11428" ht="15.75" customHeight="1">
      <c r="A11428" s="35"/>
      <c r="C11428" s="442"/>
      <c r="P11428" s="235"/>
      <c r="AI11428" s="38"/>
    </row>
    <row r="11429" ht="15.75" customHeight="1">
      <c r="A11429" s="35"/>
      <c r="C11429" s="442"/>
      <c r="P11429" s="235"/>
      <c r="AI11429" s="38"/>
    </row>
    <row r="11430" ht="15.75" customHeight="1">
      <c r="A11430" s="35"/>
      <c r="C11430" s="442"/>
      <c r="P11430" s="235"/>
      <c r="AI11430" s="38"/>
    </row>
    <row r="11431" ht="15.75" customHeight="1">
      <c r="A11431" s="35"/>
      <c r="C11431" s="442"/>
      <c r="P11431" s="235"/>
      <c r="AI11431" s="38"/>
    </row>
    <row r="11432" ht="15.75" customHeight="1">
      <c r="A11432" s="35"/>
      <c r="C11432" s="442"/>
      <c r="P11432" s="235"/>
      <c r="AI11432" s="38"/>
    </row>
    <row r="11433" ht="15.75" customHeight="1">
      <c r="A11433" s="35"/>
      <c r="C11433" s="442"/>
      <c r="P11433" s="235"/>
      <c r="AI11433" s="38"/>
    </row>
    <row r="11434" ht="15.75" customHeight="1">
      <c r="A11434" s="35"/>
      <c r="C11434" s="442"/>
      <c r="P11434" s="235"/>
      <c r="AI11434" s="38"/>
    </row>
    <row r="11435" ht="15.75" customHeight="1">
      <c r="A11435" s="35"/>
      <c r="C11435" s="442"/>
      <c r="P11435" s="235"/>
      <c r="AI11435" s="38"/>
    </row>
    <row r="11436" ht="15.75" customHeight="1">
      <c r="A11436" s="35"/>
      <c r="C11436" s="442"/>
      <c r="P11436" s="235"/>
      <c r="AI11436" s="38"/>
    </row>
    <row r="11437" ht="15.75" customHeight="1">
      <c r="A11437" s="35"/>
      <c r="C11437" s="442"/>
      <c r="P11437" s="235"/>
      <c r="AI11437" s="38"/>
    </row>
    <row r="11438" ht="15.75" customHeight="1">
      <c r="A11438" s="35"/>
      <c r="C11438" s="442"/>
      <c r="P11438" s="235"/>
      <c r="AI11438" s="38"/>
    </row>
    <row r="11439" ht="15.75" customHeight="1">
      <c r="A11439" s="35"/>
      <c r="C11439" s="442"/>
      <c r="P11439" s="235"/>
      <c r="AI11439" s="38"/>
    </row>
    <row r="11440" ht="15.75" customHeight="1">
      <c r="A11440" s="35"/>
      <c r="C11440" s="442"/>
      <c r="P11440" s="235"/>
      <c r="AI11440" s="38"/>
    </row>
    <row r="11441" ht="15.75" customHeight="1">
      <c r="A11441" s="35"/>
      <c r="C11441" s="442"/>
      <c r="P11441" s="235"/>
      <c r="AI11441" s="38"/>
    </row>
    <row r="11442" ht="15.75" customHeight="1">
      <c r="A11442" s="35"/>
      <c r="C11442" s="442"/>
      <c r="P11442" s="235"/>
      <c r="AI11442" s="38"/>
    </row>
    <row r="11443" ht="15.75" customHeight="1">
      <c r="A11443" s="35"/>
      <c r="C11443" s="442"/>
      <c r="P11443" s="235"/>
      <c r="AI11443" s="38"/>
    </row>
    <row r="11444" ht="15.75" customHeight="1">
      <c r="A11444" s="35"/>
      <c r="C11444" s="442"/>
      <c r="P11444" s="235"/>
      <c r="AI11444" s="38"/>
    </row>
    <row r="11445" ht="15.75" customHeight="1">
      <c r="A11445" s="35"/>
      <c r="C11445" s="442"/>
      <c r="P11445" s="235"/>
      <c r="AI11445" s="38"/>
    </row>
    <row r="11446" ht="15.75" customHeight="1">
      <c r="A11446" s="35"/>
      <c r="C11446" s="442"/>
      <c r="P11446" s="235"/>
      <c r="AI11446" s="38"/>
    </row>
    <row r="11447" ht="15.75" customHeight="1">
      <c r="A11447" s="35"/>
      <c r="C11447" s="442"/>
      <c r="P11447" s="235"/>
      <c r="AI11447" s="38"/>
    </row>
    <row r="11448" ht="15.75" customHeight="1">
      <c r="A11448" s="35"/>
      <c r="C11448" s="442"/>
      <c r="P11448" s="235"/>
      <c r="AI11448" s="38"/>
    </row>
    <row r="11449" ht="15.75" customHeight="1">
      <c r="A11449" s="35"/>
      <c r="C11449" s="442"/>
      <c r="P11449" s="235"/>
      <c r="AI11449" s="38"/>
    </row>
    <row r="11450" ht="15.75" customHeight="1">
      <c r="A11450" s="35"/>
      <c r="C11450" s="442"/>
      <c r="P11450" s="235"/>
      <c r="AI11450" s="38"/>
    </row>
    <row r="11451" ht="15.75" customHeight="1">
      <c r="A11451" s="35"/>
      <c r="C11451" s="442"/>
      <c r="P11451" s="235"/>
      <c r="AI11451" s="38"/>
    </row>
    <row r="11452" ht="15.75" customHeight="1">
      <c r="A11452" s="35"/>
      <c r="C11452" s="442"/>
      <c r="P11452" s="235"/>
      <c r="AI11452" s="38"/>
    </row>
    <row r="11453" ht="15.75" customHeight="1">
      <c r="A11453" s="35"/>
      <c r="C11453" s="442"/>
      <c r="P11453" s="235"/>
      <c r="AI11453" s="38"/>
    </row>
    <row r="11454" ht="15.75" customHeight="1">
      <c r="A11454" s="35"/>
      <c r="C11454" s="442"/>
      <c r="P11454" s="235"/>
      <c r="AI11454" s="38"/>
    </row>
    <row r="11455" ht="15.75" customHeight="1">
      <c r="A11455" s="35"/>
      <c r="C11455" s="442"/>
      <c r="P11455" s="235"/>
      <c r="AI11455" s="38"/>
    </row>
    <row r="11456" ht="15.75" customHeight="1">
      <c r="A11456" s="35"/>
      <c r="C11456" s="442"/>
      <c r="P11456" s="235"/>
      <c r="AI11456" s="38"/>
    </row>
    <row r="11457" ht="15.75" customHeight="1">
      <c r="A11457" s="35"/>
      <c r="C11457" s="442"/>
      <c r="P11457" s="235"/>
      <c r="AI11457" s="38"/>
    </row>
    <row r="11458" ht="15.75" customHeight="1">
      <c r="A11458" s="35"/>
      <c r="C11458" s="442"/>
      <c r="P11458" s="235"/>
      <c r="AI11458" s="38"/>
    </row>
    <row r="11459" ht="15.75" customHeight="1">
      <c r="A11459" s="35"/>
      <c r="C11459" s="442"/>
      <c r="P11459" s="235"/>
      <c r="AI11459" s="38"/>
    </row>
    <row r="11460" ht="15.75" customHeight="1">
      <c r="A11460" s="35"/>
      <c r="C11460" s="442"/>
      <c r="P11460" s="235"/>
      <c r="AI11460" s="38"/>
    </row>
    <row r="11461" ht="15.75" customHeight="1">
      <c r="A11461" s="35"/>
      <c r="C11461" s="442"/>
      <c r="P11461" s="235"/>
      <c r="AI11461" s="38"/>
    </row>
    <row r="11462" ht="15.75" customHeight="1">
      <c r="A11462" s="35"/>
      <c r="C11462" s="442"/>
      <c r="P11462" s="235"/>
      <c r="AI11462" s="38"/>
    </row>
    <row r="11463" ht="15.75" customHeight="1">
      <c r="A11463" s="35"/>
      <c r="C11463" s="442"/>
      <c r="P11463" s="235"/>
      <c r="AI11463" s="38"/>
    </row>
    <row r="11464" ht="15.75" customHeight="1">
      <c r="A11464" s="35"/>
      <c r="C11464" s="442"/>
      <c r="P11464" s="235"/>
      <c r="AI11464" s="38"/>
    </row>
    <row r="11465" ht="15.75" customHeight="1">
      <c r="A11465" s="35"/>
      <c r="C11465" s="442"/>
      <c r="P11465" s="235"/>
      <c r="AI11465" s="38"/>
    </row>
    <row r="11466" ht="15.75" customHeight="1">
      <c r="A11466" s="35"/>
      <c r="C11466" s="442"/>
      <c r="P11466" s="235"/>
      <c r="AI11466" s="38"/>
    </row>
    <row r="11467" ht="15.75" customHeight="1">
      <c r="A11467" s="35"/>
      <c r="C11467" s="442"/>
      <c r="P11467" s="235"/>
      <c r="AI11467" s="38"/>
    </row>
    <row r="11468" ht="15.75" customHeight="1">
      <c r="A11468" s="35"/>
      <c r="C11468" s="442"/>
      <c r="P11468" s="235"/>
      <c r="AI11468" s="38"/>
    </row>
    <row r="11469" ht="15.75" customHeight="1">
      <c r="A11469" s="35"/>
      <c r="C11469" s="442"/>
      <c r="P11469" s="235"/>
      <c r="AI11469" s="38"/>
    </row>
    <row r="11470" ht="15.75" customHeight="1">
      <c r="A11470" s="35"/>
      <c r="C11470" s="442"/>
      <c r="P11470" s="235"/>
      <c r="AI11470" s="38"/>
    </row>
    <row r="11471" ht="15.75" customHeight="1">
      <c r="A11471" s="35"/>
      <c r="C11471" s="442"/>
      <c r="P11471" s="235"/>
      <c r="AI11471" s="38"/>
    </row>
    <row r="11472" ht="15.75" customHeight="1">
      <c r="A11472" s="35"/>
      <c r="C11472" s="442"/>
      <c r="P11472" s="235"/>
      <c r="AI11472" s="38"/>
    </row>
    <row r="11473" ht="15.75" customHeight="1">
      <c r="A11473" s="35"/>
      <c r="C11473" s="442"/>
      <c r="P11473" s="235"/>
      <c r="AI11473" s="38"/>
    </row>
    <row r="11474" ht="15.75" customHeight="1">
      <c r="A11474" s="35"/>
      <c r="C11474" s="442"/>
      <c r="P11474" s="235"/>
      <c r="AI11474" s="38"/>
    </row>
    <row r="11475" ht="15.75" customHeight="1">
      <c r="A11475" s="35"/>
      <c r="C11475" s="442"/>
      <c r="P11475" s="235"/>
      <c r="AI11475" s="38"/>
    </row>
    <row r="11476" ht="15.75" customHeight="1">
      <c r="A11476" s="35"/>
      <c r="C11476" s="442"/>
      <c r="P11476" s="235"/>
      <c r="AI11476" s="38"/>
    </row>
    <row r="11477" ht="15.75" customHeight="1">
      <c r="A11477" s="35"/>
      <c r="C11477" s="442"/>
      <c r="P11477" s="235"/>
      <c r="AI11477" s="38"/>
    </row>
    <row r="11478" ht="15.75" customHeight="1">
      <c r="A11478" s="35"/>
      <c r="C11478" s="442"/>
      <c r="P11478" s="235"/>
      <c r="AI11478" s="38"/>
    </row>
    <row r="11479" ht="15.75" customHeight="1">
      <c r="A11479" s="35"/>
      <c r="C11479" s="442"/>
      <c r="P11479" s="235"/>
      <c r="AI11479" s="38"/>
    </row>
    <row r="11480" ht="15.75" customHeight="1">
      <c r="A11480" s="35"/>
      <c r="C11480" s="442"/>
      <c r="P11480" s="235"/>
      <c r="AI11480" s="38"/>
    </row>
    <row r="11481" ht="15.75" customHeight="1">
      <c r="A11481" s="35"/>
      <c r="C11481" s="442"/>
      <c r="P11481" s="235"/>
      <c r="AI11481" s="38"/>
    </row>
    <row r="11482" ht="15.75" customHeight="1">
      <c r="A11482" s="35"/>
      <c r="C11482" s="442"/>
      <c r="P11482" s="235"/>
      <c r="AI11482" s="38"/>
    </row>
    <row r="11483" ht="15.75" customHeight="1">
      <c r="A11483" s="35"/>
      <c r="C11483" s="442"/>
      <c r="P11483" s="235"/>
      <c r="AI11483" s="38"/>
    </row>
    <row r="11484" ht="15.75" customHeight="1">
      <c r="A11484" s="35"/>
      <c r="C11484" s="442"/>
      <c r="P11484" s="235"/>
      <c r="AI11484" s="38"/>
    </row>
    <row r="11485" ht="15.75" customHeight="1">
      <c r="A11485" s="35"/>
      <c r="C11485" s="442"/>
      <c r="P11485" s="235"/>
      <c r="AI11485" s="38"/>
    </row>
    <row r="11486" ht="15.75" customHeight="1">
      <c r="A11486" s="35"/>
      <c r="C11486" s="442"/>
      <c r="P11486" s="235"/>
      <c r="AI11486" s="38"/>
    </row>
    <row r="11487" ht="15.75" customHeight="1">
      <c r="A11487" s="35"/>
      <c r="C11487" s="442"/>
      <c r="P11487" s="235"/>
      <c r="AI11487" s="38"/>
    </row>
    <row r="11488" ht="15.75" customHeight="1">
      <c r="A11488" s="35"/>
      <c r="C11488" s="442"/>
      <c r="P11488" s="235"/>
      <c r="AI11488" s="38"/>
    </row>
    <row r="11489" ht="15.75" customHeight="1">
      <c r="A11489" s="35"/>
      <c r="C11489" s="442"/>
      <c r="P11489" s="235"/>
      <c r="AI11489" s="38"/>
    </row>
    <row r="11490" ht="15.75" customHeight="1">
      <c r="A11490" s="35"/>
      <c r="C11490" s="442"/>
      <c r="P11490" s="235"/>
      <c r="AI11490" s="38"/>
    </row>
    <row r="11491" ht="15.75" customHeight="1">
      <c r="A11491" s="35"/>
      <c r="C11491" s="442"/>
      <c r="P11491" s="235"/>
      <c r="AI11491" s="38"/>
    </row>
    <row r="11492" ht="15.75" customHeight="1">
      <c r="A11492" s="35"/>
      <c r="C11492" s="442"/>
      <c r="P11492" s="235"/>
      <c r="AI11492" s="38"/>
    </row>
    <row r="11493" ht="15.75" customHeight="1">
      <c r="A11493" s="35"/>
      <c r="C11493" s="442"/>
      <c r="P11493" s="235"/>
      <c r="AI11493" s="38"/>
    </row>
    <row r="11494" ht="15.75" customHeight="1">
      <c r="A11494" s="35"/>
      <c r="C11494" s="442"/>
      <c r="P11494" s="235"/>
      <c r="AI11494" s="38"/>
    </row>
    <row r="11495" ht="15.75" customHeight="1">
      <c r="A11495" s="35"/>
      <c r="C11495" s="442"/>
      <c r="P11495" s="235"/>
      <c r="AI11495" s="38"/>
    </row>
    <row r="11496" ht="15.75" customHeight="1">
      <c r="A11496" s="35"/>
      <c r="C11496" s="442"/>
      <c r="P11496" s="235"/>
      <c r="AI11496" s="38"/>
    </row>
    <row r="11497" ht="15.75" customHeight="1">
      <c r="A11497" s="35"/>
      <c r="C11497" s="442"/>
      <c r="P11497" s="235"/>
      <c r="AI11497" s="38"/>
    </row>
    <row r="11498" ht="15.75" customHeight="1">
      <c r="A11498" s="35"/>
      <c r="C11498" s="442"/>
      <c r="P11498" s="235"/>
      <c r="AI11498" s="38"/>
    </row>
    <row r="11499" ht="15.75" customHeight="1">
      <c r="A11499" s="35"/>
      <c r="C11499" s="442"/>
      <c r="P11499" s="235"/>
      <c r="AI11499" s="38"/>
    </row>
    <row r="11500" ht="15.75" customHeight="1">
      <c r="A11500" s="35"/>
      <c r="C11500" s="442"/>
      <c r="P11500" s="235"/>
      <c r="AI11500" s="38"/>
    </row>
    <row r="11501" ht="15.75" customHeight="1">
      <c r="A11501" s="35"/>
      <c r="C11501" s="442"/>
      <c r="P11501" s="235"/>
      <c r="AI11501" s="38"/>
    </row>
    <row r="11502" ht="15.75" customHeight="1">
      <c r="A11502" s="35"/>
      <c r="C11502" s="442"/>
      <c r="P11502" s="235"/>
      <c r="AI11502" s="38"/>
    </row>
    <row r="11503" ht="15.75" customHeight="1">
      <c r="A11503" s="35"/>
      <c r="C11503" s="442"/>
      <c r="P11503" s="235"/>
      <c r="AI11503" s="38"/>
    </row>
    <row r="11504" ht="15.75" customHeight="1">
      <c r="A11504" s="35"/>
      <c r="C11504" s="442"/>
      <c r="P11504" s="235"/>
      <c r="AI11504" s="38"/>
    </row>
    <row r="11505" ht="15.75" customHeight="1">
      <c r="A11505" s="35"/>
      <c r="C11505" s="442"/>
      <c r="P11505" s="235"/>
      <c r="AI11505" s="38"/>
    </row>
    <row r="11506" ht="15.75" customHeight="1">
      <c r="A11506" s="35"/>
      <c r="C11506" s="442"/>
      <c r="P11506" s="235"/>
      <c r="AI11506" s="38"/>
    </row>
    <row r="11507" ht="15.75" customHeight="1">
      <c r="A11507" s="35"/>
      <c r="C11507" s="442"/>
      <c r="P11507" s="235"/>
      <c r="AI11507" s="38"/>
    </row>
    <row r="11508" ht="15.75" customHeight="1">
      <c r="A11508" s="35"/>
      <c r="C11508" s="442"/>
      <c r="P11508" s="235"/>
      <c r="AI11508" s="38"/>
    </row>
    <row r="11509" ht="15.75" customHeight="1">
      <c r="A11509" s="35"/>
      <c r="C11509" s="442"/>
      <c r="P11509" s="235"/>
      <c r="AI11509" s="38"/>
    </row>
    <row r="11510" ht="15.75" customHeight="1">
      <c r="A11510" s="35"/>
      <c r="C11510" s="442"/>
      <c r="P11510" s="235"/>
      <c r="AI11510" s="38"/>
    </row>
    <row r="11511" ht="15.75" customHeight="1">
      <c r="A11511" s="35"/>
      <c r="C11511" s="442"/>
      <c r="P11511" s="235"/>
      <c r="AI11511" s="38"/>
    </row>
    <row r="11512" ht="15.75" customHeight="1">
      <c r="A11512" s="35"/>
      <c r="C11512" s="442"/>
      <c r="P11512" s="235"/>
      <c r="AI11512" s="38"/>
    </row>
    <row r="11513" ht="15.75" customHeight="1">
      <c r="A11513" s="35"/>
      <c r="C11513" s="442"/>
      <c r="P11513" s="235"/>
      <c r="AI11513" s="38"/>
    </row>
    <row r="11514" ht="15.75" customHeight="1">
      <c r="A11514" s="35"/>
      <c r="C11514" s="442"/>
      <c r="P11514" s="235"/>
      <c r="AI11514" s="38"/>
    </row>
    <row r="11515" ht="15.75" customHeight="1">
      <c r="A11515" s="35"/>
      <c r="C11515" s="442"/>
      <c r="P11515" s="235"/>
      <c r="AI11515" s="38"/>
    </row>
    <row r="11516" ht="15.75" customHeight="1">
      <c r="A11516" s="35"/>
      <c r="C11516" s="442"/>
      <c r="P11516" s="235"/>
      <c r="AI11516" s="38"/>
    </row>
    <row r="11517" ht="15.75" customHeight="1">
      <c r="A11517" s="35"/>
      <c r="C11517" s="442"/>
      <c r="P11517" s="235"/>
      <c r="AI11517" s="38"/>
    </row>
    <row r="11518" ht="15.75" customHeight="1">
      <c r="A11518" s="35"/>
      <c r="C11518" s="442"/>
      <c r="P11518" s="235"/>
      <c r="AI11518" s="38"/>
    </row>
    <row r="11519" ht="15.75" customHeight="1">
      <c r="A11519" s="35"/>
      <c r="C11519" s="442"/>
      <c r="P11519" s="235"/>
      <c r="AI11519" s="38"/>
    </row>
    <row r="11520" ht="15.75" customHeight="1">
      <c r="A11520" s="35"/>
      <c r="C11520" s="442"/>
      <c r="P11520" s="235"/>
      <c r="AI11520" s="38"/>
    </row>
    <row r="11521" ht="15.75" customHeight="1">
      <c r="A11521" s="35"/>
      <c r="C11521" s="442"/>
      <c r="P11521" s="235"/>
      <c r="AI11521" s="38"/>
    </row>
    <row r="11522" ht="15.75" customHeight="1">
      <c r="A11522" s="35"/>
      <c r="C11522" s="442"/>
      <c r="P11522" s="235"/>
      <c r="AI11522" s="38"/>
    </row>
    <row r="11523" ht="15.75" customHeight="1">
      <c r="A11523" s="35"/>
      <c r="C11523" s="442"/>
      <c r="P11523" s="235"/>
      <c r="AI11523" s="38"/>
    </row>
    <row r="11524" ht="15.75" customHeight="1">
      <c r="A11524" s="35"/>
      <c r="C11524" s="442"/>
      <c r="P11524" s="235"/>
      <c r="AI11524" s="38"/>
    </row>
    <row r="11525" ht="15.75" customHeight="1">
      <c r="A11525" s="35"/>
      <c r="C11525" s="442"/>
      <c r="P11525" s="235"/>
      <c r="AI11525" s="38"/>
    </row>
    <row r="11526" ht="15.75" customHeight="1">
      <c r="A11526" s="35"/>
      <c r="C11526" s="442"/>
      <c r="P11526" s="235"/>
      <c r="AI11526" s="38"/>
    </row>
    <row r="11527" ht="15.75" customHeight="1">
      <c r="A11527" s="35"/>
      <c r="C11527" s="442"/>
      <c r="P11527" s="235"/>
      <c r="AI11527" s="38"/>
    </row>
    <row r="11528" ht="15.75" customHeight="1">
      <c r="A11528" s="35"/>
      <c r="C11528" s="442"/>
      <c r="P11528" s="235"/>
      <c r="AI11528" s="38"/>
    </row>
    <row r="11529" ht="15.75" customHeight="1">
      <c r="A11529" s="35"/>
      <c r="C11529" s="442"/>
      <c r="P11529" s="235"/>
      <c r="AI11529" s="38"/>
    </row>
    <row r="11530" ht="15.75" customHeight="1">
      <c r="A11530" s="35"/>
      <c r="C11530" s="442"/>
      <c r="P11530" s="235"/>
      <c r="AI11530" s="38"/>
    </row>
    <row r="11531" ht="15.75" customHeight="1">
      <c r="A11531" s="35"/>
      <c r="C11531" s="442"/>
      <c r="P11531" s="235"/>
      <c r="AI11531" s="38"/>
    </row>
    <row r="11532" ht="15.75" customHeight="1">
      <c r="A11532" s="35"/>
      <c r="C11532" s="442"/>
      <c r="P11532" s="235"/>
      <c r="AI11532" s="38"/>
    </row>
    <row r="11533" ht="15.75" customHeight="1">
      <c r="A11533" s="35"/>
      <c r="C11533" s="442"/>
      <c r="P11533" s="235"/>
      <c r="AI11533" s="38"/>
    </row>
    <row r="11534" ht="15.75" customHeight="1">
      <c r="A11534" s="35"/>
      <c r="C11534" s="442"/>
      <c r="P11534" s="235"/>
      <c r="AI11534" s="38"/>
    </row>
    <row r="11535" ht="15.75" customHeight="1">
      <c r="A11535" s="35"/>
      <c r="C11535" s="442"/>
      <c r="P11535" s="235"/>
      <c r="AI11535" s="38"/>
    </row>
    <row r="11536" ht="15.75" customHeight="1">
      <c r="A11536" s="35"/>
      <c r="C11536" s="442"/>
      <c r="P11536" s="235"/>
      <c r="AI11536" s="38"/>
    </row>
    <row r="11537" ht="15.75" customHeight="1">
      <c r="A11537" s="35"/>
      <c r="C11537" s="442"/>
      <c r="P11537" s="235"/>
      <c r="AI11537" s="38"/>
    </row>
    <row r="11538" ht="15.75" customHeight="1">
      <c r="A11538" s="35"/>
      <c r="C11538" s="442"/>
      <c r="P11538" s="235"/>
      <c r="AI11538" s="38"/>
    </row>
    <row r="11539" ht="15.75" customHeight="1">
      <c r="A11539" s="35"/>
      <c r="C11539" s="442"/>
      <c r="P11539" s="235"/>
      <c r="AI11539" s="38"/>
    </row>
    <row r="11540" ht="15.75" customHeight="1">
      <c r="A11540" s="35"/>
      <c r="C11540" s="442"/>
      <c r="P11540" s="235"/>
      <c r="AI11540" s="38"/>
    </row>
    <row r="11541" ht="15.75" customHeight="1">
      <c r="A11541" s="35"/>
      <c r="C11541" s="442"/>
      <c r="P11541" s="235"/>
      <c r="AI11541" s="38"/>
    </row>
    <row r="11542" ht="15.75" customHeight="1">
      <c r="A11542" s="35"/>
      <c r="C11542" s="442"/>
      <c r="P11542" s="235"/>
      <c r="AI11542" s="38"/>
    </row>
    <row r="11543" ht="15.75" customHeight="1">
      <c r="A11543" s="35"/>
      <c r="C11543" s="442"/>
      <c r="P11543" s="235"/>
      <c r="AI11543" s="38"/>
    </row>
    <row r="11544" ht="15.75" customHeight="1">
      <c r="A11544" s="35"/>
      <c r="C11544" s="442"/>
      <c r="P11544" s="235"/>
      <c r="AI11544" s="38"/>
    </row>
    <row r="11545" ht="15.75" customHeight="1">
      <c r="A11545" s="35"/>
      <c r="C11545" s="442"/>
      <c r="P11545" s="235"/>
      <c r="AI11545" s="38"/>
    </row>
    <row r="11546" ht="15.75" customHeight="1">
      <c r="A11546" s="35"/>
      <c r="C11546" s="442"/>
      <c r="P11546" s="235"/>
      <c r="AI11546" s="38"/>
    </row>
    <row r="11547" ht="15.75" customHeight="1">
      <c r="A11547" s="35"/>
      <c r="C11547" s="442"/>
      <c r="P11547" s="235"/>
      <c r="AI11547" s="38"/>
    </row>
    <row r="11548" ht="15.75" customHeight="1">
      <c r="A11548" s="35"/>
      <c r="C11548" s="442"/>
      <c r="P11548" s="235"/>
      <c r="AI11548" s="38"/>
    </row>
    <row r="11549" ht="15.75" customHeight="1">
      <c r="A11549" s="35"/>
      <c r="C11549" s="442"/>
      <c r="P11549" s="235"/>
      <c r="AI11549" s="38"/>
    </row>
    <row r="11550" ht="15.75" customHeight="1">
      <c r="A11550" s="35"/>
      <c r="C11550" s="442"/>
      <c r="P11550" s="235"/>
      <c r="AI11550" s="38"/>
    </row>
    <row r="11551" ht="15.75" customHeight="1">
      <c r="A11551" s="35"/>
      <c r="C11551" s="442"/>
      <c r="P11551" s="235"/>
      <c r="AI11551" s="38"/>
    </row>
    <row r="11552" ht="15.75" customHeight="1">
      <c r="A11552" s="35"/>
      <c r="C11552" s="442"/>
      <c r="P11552" s="235"/>
      <c r="AI11552" s="38"/>
    </row>
    <row r="11553" ht="15.75" customHeight="1">
      <c r="A11553" s="35"/>
      <c r="C11553" s="442"/>
      <c r="P11553" s="235"/>
      <c r="AI11553" s="38"/>
    </row>
    <row r="11554" ht="15.75" customHeight="1">
      <c r="A11554" s="35"/>
      <c r="C11554" s="442"/>
      <c r="P11554" s="235"/>
      <c r="AI11554" s="38"/>
    </row>
    <row r="11555" ht="15.75" customHeight="1">
      <c r="A11555" s="35"/>
      <c r="C11555" s="442"/>
      <c r="P11555" s="235"/>
      <c r="AI11555" s="38"/>
    </row>
    <row r="11556" ht="15.75" customHeight="1">
      <c r="A11556" s="35"/>
      <c r="C11556" s="442"/>
      <c r="P11556" s="235"/>
      <c r="AI11556" s="38"/>
    </row>
    <row r="11557" ht="15.75" customHeight="1">
      <c r="A11557" s="35"/>
      <c r="C11557" s="442"/>
      <c r="P11557" s="235"/>
      <c r="AI11557" s="38"/>
    </row>
    <row r="11558" ht="15.75" customHeight="1">
      <c r="A11558" s="35"/>
      <c r="C11558" s="442"/>
      <c r="P11558" s="235"/>
      <c r="AI11558" s="38"/>
    </row>
    <row r="11559" ht="15.75" customHeight="1">
      <c r="A11559" s="35"/>
      <c r="C11559" s="442"/>
      <c r="P11559" s="235"/>
      <c r="AI11559" s="38"/>
    </row>
    <row r="11560" ht="15.75" customHeight="1">
      <c r="A11560" s="35"/>
      <c r="C11560" s="442"/>
      <c r="P11560" s="235"/>
      <c r="AI11560" s="38"/>
    </row>
    <row r="11561" ht="15.75" customHeight="1">
      <c r="A11561" s="35"/>
      <c r="C11561" s="442"/>
      <c r="P11561" s="235"/>
      <c r="AI11561" s="38"/>
    </row>
    <row r="11562" ht="15.75" customHeight="1">
      <c r="A11562" s="35"/>
      <c r="C11562" s="442"/>
      <c r="P11562" s="235"/>
      <c r="AI11562" s="38"/>
    </row>
    <row r="11563" ht="15.75" customHeight="1">
      <c r="A11563" s="35"/>
      <c r="C11563" s="442"/>
      <c r="P11563" s="235"/>
      <c r="AI11563" s="38"/>
    </row>
    <row r="11564" ht="15.75" customHeight="1">
      <c r="A11564" s="35"/>
      <c r="C11564" s="442"/>
      <c r="P11564" s="235"/>
      <c r="AI11564" s="38"/>
    </row>
    <row r="11565" ht="15.75" customHeight="1">
      <c r="A11565" s="35"/>
      <c r="C11565" s="442"/>
      <c r="P11565" s="235"/>
      <c r="AI11565" s="38"/>
    </row>
    <row r="11566" ht="15.75" customHeight="1">
      <c r="A11566" s="35"/>
      <c r="C11566" s="442"/>
      <c r="P11566" s="235"/>
      <c r="AI11566" s="38"/>
    </row>
    <row r="11567" ht="15.75" customHeight="1">
      <c r="A11567" s="35"/>
      <c r="C11567" s="442"/>
      <c r="P11567" s="235"/>
      <c r="AI11567" s="38"/>
    </row>
    <row r="11568" ht="15.75" customHeight="1">
      <c r="A11568" s="35"/>
      <c r="C11568" s="442"/>
      <c r="P11568" s="235"/>
      <c r="AI11568" s="38"/>
    </row>
    <row r="11569" ht="15.75" customHeight="1">
      <c r="A11569" s="35"/>
      <c r="C11569" s="442"/>
      <c r="P11569" s="235"/>
      <c r="AI11569" s="38"/>
    </row>
    <row r="11570" ht="15.75" customHeight="1">
      <c r="A11570" s="35"/>
      <c r="C11570" s="442"/>
      <c r="P11570" s="235"/>
      <c r="AI11570" s="38"/>
    </row>
    <row r="11571" ht="15.75" customHeight="1">
      <c r="A11571" s="35"/>
      <c r="C11571" s="442"/>
      <c r="P11571" s="235"/>
      <c r="AI11571" s="38"/>
    </row>
    <row r="11572" ht="15.75" customHeight="1">
      <c r="A11572" s="35"/>
      <c r="C11572" s="442"/>
      <c r="P11572" s="235"/>
      <c r="AI11572" s="38"/>
    </row>
    <row r="11573" ht="15.75" customHeight="1">
      <c r="A11573" s="35"/>
      <c r="C11573" s="442"/>
      <c r="P11573" s="235"/>
      <c r="AI11573" s="38"/>
    </row>
    <row r="11574" ht="15.75" customHeight="1">
      <c r="A11574" s="35"/>
      <c r="C11574" s="442"/>
      <c r="P11574" s="235"/>
      <c r="AI11574" s="38"/>
    </row>
    <row r="11575" ht="15.75" customHeight="1">
      <c r="A11575" s="35"/>
      <c r="C11575" s="442"/>
      <c r="P11575" s="235"/>
      <c r="AI11575" s="38"/>
    </row>
    <row r="11576" ht="15.75" customHeight="1">
      <c r="A11576" s="35"/>
      <c r="C11576" s="442"/>
      <c r="P11576" s="235"/>
      <c r="AI11576" s="38"/>
    </row>
    <row r="11577" ht="15.75" customHeight="1">
      <c r="A11577" s="35"/>
      <c r="C11577" s="442"/>
      <c r="P11577" s="235"/>
      <c r="AI11577" s="38"/>
    </row>
    <row r="11578" ht="15.75" customHeight="1">
      <c r="A11578" s="35"/>
      <c r="C11578" s="442"/>
      <c r="P11578" s="235"/>
      <c r="AI11578" s="38"/>
    </row>
    <row r="11579" ht="15.75" customHeight="1">
      <c r="A11579" s="35"/>
      <c r="C11579" s="442"/>
      <c r="P11579" s="235"/>
      <c r="AI11579" s="38"/>
    </row>
    <row r="11580" ht="15.75" customHeight="1">
      <c r="A11580" s="35"/>
      <c r="C11580" s="442"/>
      <c r="P11580" s="235"/>
      <c r="AI11580" s="38"/>
    </row>
    <row r="11581" ht="15.75" customHeight="1">
      <c r="A11581" s="35"/>
      <c r="C11581" s="442"/>
      <c r="P11581" s="235"/>
      <c r="AI11581" s="38"/>
    </row>
    <row r="11582" ht="15.75" customHeight="1">
      <c r="A11582" s="35"/>
      <c r="C11582" s="442"/>
      <c r="P11582" s="235"/>
      <c r="AI11582" s="38"/>
    </row>
    <row r="11583" ht="15.75" customHeight="1">
      <c r="A11583" s="35"/>
      <c r="C11583" s="442"/>
      <c r="P11583" s="235"/>
      <c r="AI11583" s="38"/>
    </row>
    <row r="11584" ht="15.75" customHeight="1">
      <c r="A11584" s="35"/>
      <c r="C11584" s="442"/>
      <c r="P11584" s="235"/>
      <c r="AI11584" s="38"/>
    </row>
    <row r="11585" ht="15.75" customHeight="1">
      <c r="A11585" s="35"/>
      <c r="C11585" s="442"/>
      <c r="P11585" s="235"/>
      <c r="AI11585" s="38"/>
    </row>
    <row r="11586" ht="15.75" customHeight="1">
      <c r="A11586" s="35"/>
      <c r="C11586" s="442"/>
      <c r="P11586" s="235"/>
      <c r="AI11586" s="38"/>
    </row>
    <row r="11587" ht="15.75" customHeight="1">
      <c r="A11587" s="35"/>
      <c r="C11587" s="442"/>
      <c r="P11587" s="235"/>
      <c r="AI11587" s="38"/>
    </row>
    <row r="11588" ht="15.75" customHeight="1">
      <c r="A11588" s="35"/>
      <c r="C11588" s="442"/>
      <c r="P11588" s="235"/>
      <c r="AI11588" s="38"/>
    </row>
    <row r="11589" ht="15.75" customHeight="1">
      <c r="A11589" s="35"/>
      <c r="C11589" s="442"/>
      <c r="P11589" s="235"/>
      <c r="AI11589" s="38"/>
    </row>
    <row r="11590" ht="15.75" customHeight="1">
      <c r="A11590" s="35"/>
      <c r="C11590" s="442"/>
      <c r="P11590" s="235"/>
      <c r="AI11590" s="38"/>
    </row>
    <row r="11591" ht="15.75" customHeight="1">
      <c r="A11591" s="35"/>
      <c r="C11591" s="442"/>
      <c r="P11591" s="235"/>
      <c r="AI11591" s="38"/>
    </row>
    <row r="11592" ht="15.75" customHeight="1">
      <c r="A11592" s="35"/>
      <c r="C11592" s="442"/>
      <c r="P11592" s="235"/>
      <c r="AI11592" s="38"/>
    </row>
    <row r="11593" ht="15.75" customHeight="1">
      <c r="A11593" s="35"/>
      <c r="C11593" s="442"/>
      <c r="P11593" s="235"/>
      <c r="AI11593" s="38"/>
    </row>
    <row r="11594" ht="15.75" customHeight="1">
      <c r="A11594" s="35"/>
      <c r="C11594" s="442"/>
      <c r="P11594" s="235"/>
      <c r="AI11594" s="38"/>
    </row>
    <row r="11595" ht="15.75" customHeight="1">
      <c r="A11595" s="35"/>
      <c r="C11595" s="442"/>
      <c r="P11595" s="235"/>
      <c r="AI11595" s="38"/>
    </row>
    <row r="11596" ht="15.75" customHeight="1">
      <c r="A11596" s="35"/>
      <c r="C11596" s="442"/>
      <c r="P11596" s="235"/>
      <c r="AI11596" s="38"/>
    </row>
    <row r="11597" ht="15.75" customHeight="1">
      <c r="A11597" s="35"/>
      <c r="C11597" s="442"/>
      <c r="P11597" s="235"/>
      <c r="AI11597" s="38"/>
    </row>
    <row r="11598" ht="15.75" customHeight="1">
      <c r="A11598" s="35"/>
      <c r="C11598" s="442"/>
      <c r="P11598" s="235"/>
      <c r="AI11598" s="38"/>
    </row>
    <row r="11599" ht="15.75" customHeight="1">
      <c r="A11599" s="35"/>
      <c r="C11599" s="442"/>
      <c r="P11599" s="235"/>
      <c r="AI11599" s="38"/>
    </row>
    <row r="11600" ht="15.75" customHeight="1">
      <c r="A11600" s="35"/>
      <c r="C11600" s="442"/>
      <c r="P11600" s="235"/>
      <c r="AI11600" s="38"/>
    </row>
    <row r="11601" ht="15.75" customHeight="1">
      <c r="A11601" s="35"/>
      <c r="C11601" s="442"/>
      <c r="P11601" s="235"/>
      <c r="AI11601" s="38"/>
    </row>
    <row r="11602" ht="15.75" customHeight="1">
      <c r="A11602" s="35"/>
      <c r="C11602" s="442"/>
      <c r="P11602" s="235"/>
      <c r="AI11602" s="38"/>
    </row>
    <row r="11603" ht="15.75" customHeight="1">
      <c r="A11603" s="35"/>
      <c r="C11603" s="442"/>
      <c r="P11603" s="235"/>
      <c r="AI11603" s="38"/>
    </row>
    <row r="11604" ht="15.75" customHeight="1">
      <c r="A11604" s="35"/>
      <c r="C11604" s="442"/>
      <c r="P11604" s="235"/>
      <c r="AI11604" s="38"/>
    </row>
    <row r="11605" ht="15.75" customHeight="1">
      <c r="A11605" s="35"/>
      <c r="C11605" s="442"/>
      <c r="P11605" s="235"/>
      <c r="AI11605" s="38"/>
    </row>
    <row r="11606" ht="15.75" customHeight="1">
      <c r="A11606" s="35"/>
      <c r="C11606" s="442"/>
      <c r="P11606" s="235"/>
      <c r="AI11606" s="38"/>
    </row>
    <row r="11607" ht="15.75" customHeight="1">
      <c r="A11607" s="35"/>
      <c r="C11607" s="442"/>
      <c r="P11607" s="235"/>
      <c r="AI11607" s="38"/>
    </row>
    <row r="11608" ht="15.75" customHeight="1">
      <c r="A11608" s="35"/>
      <c r="C11608" s="442"/>
      <c r="P11608" s="235"/>
      <c r="AI11608" s="38"/>
    </row>
    <row r="11609" ht="15.75" customHeight="1">
      <c r="A11609" s="35"/>
      <c r="C11609" s="442"/>
      <c r="P11609" s="235"/>
      <c r="AI11609" s="38"/>
    </row>
    <row r="11610" ht="15.75" customHeight="1">
      <c r="A11610" s="35"/>
      <c r="C11610" s="442"/>
      <c r="P11610" s="235"/>
      <c r="AI11610" s="38"/>
    </row>
    <row r="11611" ht="15.75" customHeight="1">
      <c r="A11611" s="35"/>
      <c r="C11611" s="442"/>
      <c r="P11611" s="235"/>
      <c r="AI11611" s="38"/>
    </row>
    <row r="11612" ht="15.75" customHeight="1">
      <c r="A11612" s="35"/>
      <c r="C11612" s="442"/>
      <c r="P11612" s="235"/>
      <c r="AI11612" s="38"/>
    </row>
    <row r="11613" ht="15.75" customHeight="1">
      <c r="A11613" s="35"/>
      <c r="C11613" s="442"/>
      <c r="P11613" s="235"/>
      <c r="AI11613" s="38"/>
    </row>
    <row r="11614" ht="15.75" customHeight="1">
      <c r="A11614" s="35"/>
      <c r="C11614" s="442"/>
      <c r="P11614" s="235"/>
      <c r="AI11614" s="38"/>
    </row>
    <row r="11615" ht="15.75" customHeight="1">
      <c r="A11615" s="35"/>
      <c r="C11615" s="442"/>
      <c r="P11615" s="235"/>
      <c r="AI11615" s="38"/>
    </row>
    <row r="11616" ht="15.75" customHeight="1">
      <c r="A11616" s="35"/>
      <c r="C11616" s="442"/>
      <c r="P11616" s="235"/>
      <c r="AI11616" s="38"/>
    </row>
    <row r="11617" ht="15.75" customHeight="1">
      <c r="A11617" s="35"/>
      <c r="C11617" s="442"/>
      <c r="P11617" s="235"/>
      <c r="AI11617" s="38"/>
    </row>
    <row r="11618" ht="15.75" customHeight="1">
      <c r="A11618" s="35"/>
      <c r="C11618" s="442"/>
      <c r="P11618" s="235"/>
      <c r="AI11618" s="38"/>
    </row>
    <row r="11619" ht="15.75" customHeight="1">
      <c r="A11619" s="35"/>
      <c r="C11619" s="442"/>
      <c r="P11619" s="235"/>
      <c r="AI11619" s="38"/>
    </row>
    <row r="11620" ht="15.75" customHeight="1">
      <c r="A11620" s="35"/>
      <c r="C11620" s="442"/>
      <c r="P11620" s="235"/>
      <c r="AI11620" s="38"/>
    </row>
    <row r="11621" ht="15.75" customHeight="1">
      <c r="A11621" s="35"/>
      <c r="C11621" s="442"/>
      <c r="P11621" s="235"/>
      <c r="AI11621" s="38"/>
    </row>
    <row r="11622" ht="15.75" customHeight="1">
      <c r="A11622" s="35"/>
      <c r="C11622" s="442"/>
      <c r="P11622" s="235"/>
      <c r="AI11622" s="38"/>
    </row>
    <row r="11623" ht="15.75" customHeight="1">
      <c r="A11623" s="35"/>
      <c r="C11623" s="442"/>
      <c r="P11623" s="235"/>
      <c r="AI11623" s="38"/>
    </row>
    <row r="11624" ht="15.75" customHeight="1">
      <c r="A11624" s="35"/>
      <c r="C11624" s="442"/>
      <c r="P11624" s="235"/>
      <c r="AI11624" s="38"/>
    </row>
    <row r="11625" ht="15.75" customHeight="1">
      <c r="A11625" s="35"/>
      <c r="C11625" s="442"/>
      <c r="P11625" s="235"/>
      <c r="AI11625" s="38"/>
    </row>
    <row r="11626" ht="15.75" customHeight="1">
      <c r="A11626" s="35"/>
      <c r="C11626" s="442"/>
      <c r="P11626" s="235"/>
      <c r="AI11626" s="38"/>
    </row>
    <row r="11627" ht="15.75" customHeight="1">
      <c r="A11627" s="35"/>
      <c r="C11627" s="442"/>
      <c r="P11627" s="235"/>
      <c r="AI11627" s="38"/>
    </row>
    <row r="11628" ht="15.75" customHeight="1">
      <c r="A11628" s="35"/>
      <c r="C11628" s="442"/>
      <c r="P11628" s="235"/>
      <c r="AI11628" s="38"/>
    </row>
    <row r="11629" ht="15.75" customHeight="1">
      <c r="A11629" s="35"/>
      <c r="C11629" s="442"/>
      <c r="P11629" s="235"/>
      <c r="AI11629" s="38"/>
    </row>
    <row r="11630" ht="15.75" customHeight="1">
      <c r="A11630" s="35"/>
      <c r="C11630" s="442"/>
      <c r="P11630" s="235"/>
      <c r="AI11630" s="38"/>
    </row>
    <row r="11631" ht="15.75" customHeight="1">
      <c r="A11631" s="35"/>
      <c r="C11631" s="442"/>
      <c r="P11631" s="235"/>
      <c r="AI11631" s="38"/>
    </row>
    <row r="11632" ht="15.75" customHeight="1">
      <c r="A11632" s="35"/>
      <c r="C11632" s="442"/>
      <c r="P11632" s="235"/>
      <c r="AI11632" s="38"/>
    </row>
    <row r="11633" ht="15.75" customHeight="1">
      <c r="A11633" s="35"/>
      <c r="C11633" s="442"/>
      <c r="P11633" s="235"/>
      <c r="AI11633" s="38"/>
    </row>
    <row r="11634" ht="15.75" customHeight="1">
      <c r="A11634" s="35"/>
      <c r="C11634" s="442"/>
      <c r="P11634" s="235"/>
      <c r="AI11634" s="38"/>
    </row>
    <row r="11635" ht="15.75" customHeight="1">
      <c r="A11635" s="35"/>
      <c r="C11635" s="442"/>
      <c r="P11635" s="235"/>
      <c r="AI11635" s="38"/>
    </row>
    <row r="11636" ht="15.75" customHeight="1">
      <c r="A11636" s="35"/>
      <c r="C11636" s="442"/>
      <c r="P11636" s="235"/>
      <c r="AI11636" s="38"/>
    </row>
    <row r="11637" ht="15.75" customHeight="1">
      <c r="A11637" s="35"/>
      <c r="C11637" s="442"/>
      <c r="P11637" s="235"/>
      <c r="AI11637" s="38"/>
    </row>
    <row r="11638" ht="15.75" customHeight="1">
      <c r="A11638" s="35"/>
      <c r="C11638" s="442"/>
      <c r="P11638" s="235"/>
      <c r="AI11638" s="38"/>
    </row>
    <row r="11639" ht="15.75" customHeight="1">
      <c r="A11639" s="35"/>
      <c r="C11639" s="442"/>
      <c r="P11639" s="235"/>
      <c r="AI11639" s="38"/>
    </row>
    <row r="11640" ht="15.75" customHeight="1">
      <c r="A11640" s="35"/>
      <c r="C11640" s="442"/>
      <c r="P11640" s="235"/>
      <c r="AI11640" s="38"/>
    </row>
    <row r="11641" ht="15.75" customHeight="1">
      <c r="A11641" s="35"/>
      <c r="C11641" s="442"/>
      <c r="P11641" s="235"/>
      <c r="AI11641" s="38"/>
    </row>
    <row r="11642" ht="15.75" customHeight="1">
      <c r="A11642" s="35"/>
      <c r="C11642" s="442"/>
      <c r="P11642" s="235"/>
      <c r="AI11642" s="38"/>
    </row>
    <row r="11643" ht="15.75" customHeight="1">
      <c r="A11643" s="35"/>
      <c r="C11643" s="442"/>
      <c r="P11643" s="235"/>
      <c r="AI11643" s="38"/>
    </row>
    <row r="11644" ht="15.75" customHeight="1">
      <c r="A11644" s="35"/>
      <c r="C11644" s="442"/>
      <c r="P11644" s="235"/>
      <c r="AI11644" s="38"/>
    </row>
    <row r="11645" ht="15.75" customHeight="1">
      <c r="A11645" s="35"/>
      <c r="C11645" s="442"/>
      <c r="P11645" s="235"/>
      <c r="AI11645" s="38"/>
    </row>
    <row r="11646" ht="15.75" customHeight="1">
      <c r="A11646" s="35"/>
      <c r="C11646" s="442"/>
      <c r="P11646" s="235"/>
      <c r="AI11646" s="38"/>
    </row>
    <row r="11647" ht="15.75" customHeight="1">
      <c r="A11647" s="35"/>
      <c r="C11647" s="442"/>
      <c r="P11647" s="235"/>
      <c r="AI11647" s="38"/>
    </row>
    <row r="11648" ht="15.75" customHeight="1">
      <c r="A11648" s="35"/>
      <c r="C11648" s="442"/>
      <c r="P11648" s="235"/>
      <c r="AI11648" s="38"/>
    </row>
    <row r="11649" ht="15.75" customHeight="1">
      <c r="A11649" s="35"/>
      <c r="C11649" s="442"/>
      <c r="P11649" s="235"/>
      <c r="AI11649" s="38"/>
    </row>
    <row r="11650" ht="15.75" customHeight="1">
      <c r="A11650" s="35"/>
      <c r="C11650" s="442"/>
      <c r="P11650" s="235"/>
      <c r="AI11650" s="38"/>
    </row>
    <row r="11651" ht="15.75" customHeight="1">
      <c r="A11651" s="35"/>
      <c r="C11651" s="442"/>
      <c r="P11651" s="235"/>
      <c r="AI11651" s="38"/>
    </row>
    <row r="11652" ht="15.75" customHeight="1">
      <c r="A11652" s="35"/>
      <c r="C11652" s="442"/>
      <c r="P11652" s="235"/>
      <c r="AI11652" s="38"/>
    </row>
    <row r="11653" ht="15.75" customHeight="1">
      <c r="A11653" s="35"/>
      <c r="C11653" s="442"/>
      <c r="P11653" s="235"/>
      <c r="AI11653" s="38"/>
    </row>
    <row r="11654" ht="15.75" customHeight="1">
      <c r="A11654" s="35"/>
      <c r="C11654" s="442"/>
      <c r="P11654" s="235"/>
      <c r="AI11654" s="38"/>
    </row>
    <row r="11655" ht="15.75" customHeight="1">
      <c r="A11655" s="35"/>
      <c r="C11655" s="442"/>
      <c r="P11655" s="235"/>
      <c r="AI11655" s="38"/>
    </row>
    <row r="11656" ht="15.75" customHeight="1">
      <c r="A11656" s="35"/>
      <c r="C11656" s="442"/>
      <c r="P11656" s="235"/>
      <c r="AI11656" s="38"/>
    </row>
    <row r="11657" ht="15.75" customHeight="1">
      <c r="A11657" s="35"/>
      <c r="C11657" s="442"/>
      <c r="P11657" s="235"/>
      <c r="AI11657" s="38"/>
    </row>
    <row r="11658" ht="15.75" customHeight="1">
      <c r="A11658" s="35"/>
      <c r="C11658" s="442"/>
      <c r="P11658" s="235"/>
      <c r="AI11658" s="38"/>
    </row>
    <row r="11659" ht="15.75" customHeight="1">
      <c r="A11659" s="35"/>
      <c r="C11659" s="442"/>
      <c r="P11659" s="235"/>
      <c r="AI11659" s="38"/>
    </row>
    <row r="11660" ht="15.75" customHeight="1">
      <c r="A11660" s="35"/>
      <c r="C11660" s="442"/>
      <c r="P11660" s="235"/>
      <c r="AI11660" s="38"/>
    </row>
    <row r="11661" ht="15.75" customHeight="1">
      <c r="A11661" s="35"/>
      <c r="C11661" s="442"/>
      <c r="P11661" s="235"/>
      <c r="AI11661" s="38"/>
    </row>
    <row r="11662" ht="15.75" customHeight="1">
      <c r="A11662" s="35"/>
      <c r="C11662" s="442"/>
      <c r="P11662" s="235"/>
      <c r="AI11662" s="38"/>
    </row>
    <row r="11663" ht="15.75" customHeight="1">
      <c r="A11663" s="35"/>
      <c r="C11663" s="442"/>
      <c r="P11663" s="235"/>
      <c r="AI11663" s="38"/>
    </row>
    <row r="11664" ht="15.75" customHeight="1">
      <c r="A11664" s="35"/>
      <c r="C11664" s="442"/>
      <c r="P11664" s="235"/>
      <c r="AI11664" s="38"/>
    </row>
    <row r="11665" ht="15.75" customHeight="1">
      <c r="A11665" s="35"/>
      <c r="C11665" s="442"/>
      <c r="P11665" s="235"/>
      <c r="AI11665" s="38"/>
    </row>
    <row r="11666" ht="15.75" customHeight="1">
      <c r="A11666" s="35"/>
      <c r="C11666" s="442"/>
      <c r="P11666" s="235"/>
      <c r="AI11666" s="38"/>
    </row>
    <row r="11667" ht="15.75" customHeight="1">
      <c r="A11667" s="35"/>
      <c r="C11667" s="442"/>
      <c r="P11667" s="235"/>
      <c r="AI11667" s="38"/>
    </row>
    <row r="11668" ht="15.75" customHeight="1">
      <c r="A11668" s="35"/>
      <c r="C11668" s="442"/>
      <c r="P11668" s="235"/>
      <c r="AI11668" s="38"/>
    </row>
    <row r="11669" ht="15.75" customHeight="1">
      <c r="A11669" s="35"/>
      <c r="C11669" s="442"/>
      <c r="P11669" s="235"/>
      <c r="AI11669" s="38"/>
    </row>
    <row r="11670" ht="15.75" customHeight="1">
      <c r="A11670" s="35"/>
      <c r="C11670" s="442"/>
      <c r="P11670" s="235"/>
      <c r="AI11670" s="38"/>
    </row>
    <row r="11671" ht="15.75" customHeight="1">
      <c r="A11671" s="35"/>
      <c r="C11671" s="442"/>
      <c r="P11671" s="235"/>
      <c r="AI11671" s="38"/>
    </row>
    <row r="11672" ht="15.75" customHeight="1">
      <c r="A11672" s="35"/>
      <c r="C11672" s="442"/>
      <c r="P11672" s="235"/>
      <c r="AI11672" s="38"/>
    </row>
    <row r="11673" ht="15.75" customHeight="1">
      <c r="A11673" s="35"/>
      <c r="C11673" s="442"/>
      <c r="P11673" s="235"/>
      <c r="AI11673" s="38"/>
    </row>
    <row r="11674" ht="15.75" customHeight="1">
      <c r="A11674" s="35"/>
      <c r="C11674" s="442"/>
      <c r="P11674" s="235"/>
      <c r="AI11674" s="38"/>
    </row>
    <row r="11675" ht="15.75" customHeight="1">
      <c r="A11675" s="35"/>
      <c r="C11675" s="442"/>
      <c r="P11675" s="235"/>
      <c r="AI11675" s="38"/>
    </row>
    <row r="11676" ht="15.75" customHeight="1">
      <c r="A11676" s="35"/>
      <c r="C11676" s="442"/>
      <c r="P11676" s="235"/>
      <c r="AI11676" s="38"/>
    </row>
    <row r="11677" ht="15.75" customHeight="1">
      <c r="A11677" s="35"/>
      <c r="C11677" s="442"/>
      <c r="P11677" s="235"/>
      <c r="AI11677" s="38"/>
    </row>
    <row r="11678" ht="15.75" customHeight="1">
      <c r="A11678" s="35"/>
      <c r="C11678" s="442"/>
      <c r="P11678" s="235"/>
      <c r="AI11678" s="38"/>
    </row>
    <row r="11679" ht="15.75" customHeight="1">
      <c r="A11679" s="35"/>
      <c r="C11679" s="442"/>
      <c r="P11679" s="235"/>
      <c r="AI11679" s="38"/>
    </row>
    <row r="11680" ht="15.75" customHeight="1">
      <c r="A11680" s="35"/>
      <c r="C11680" s="442"/>
      <c r="P11680" s="235"/>
      <c r="AI11680" s="38"/>
    </row>
    <row r="11681" ht="15.75" customHeight="1">
      <c r="A11681" s="35"/>
      <c r="C11681" s="442"/>
      <c r="P11681" s="235"/>
      <c r="AI11681" s="38"/>
    </row>
    <row r="11682" ht="15.75" customHeight="1">
      <c r="A11682" s="35"/>
      <c r="C11682" s="442"/>
      <c r="P11682" s="235"/>
      <c r="AI11682" s="38"/>
    </row>
    <row r="11683" ht="15.75" customHeight="1">
      <c r="A11683" s="35"/>
      <c r="C11683" s="442"/>
      <c r="P11683" s="235"/>
      <c r="AI11683" s="38"/>
    </row>
    <row r="11684" ht="15.75" customHeight="1">
      <c r="A11684" s="35"/>
      <c r="C11684" s="442"/>
      <c r="P11684" s="235"/>
      <c r="AI11684" s="38"/>
    </row>
    <row r="11685" ht="15.75" customHeight="1">
      <c r="A11685" s="35"/>
      <c r="C11685" s="442"/>
      <c r="P11685" s="235"/>
      <c r="AI11685" s="38"/>
    </row>
    <row r="11686" ht="15.75" customHeight="1">
      <c r="A11686" s="35"/>
      <c r="C11686" s="442"/>
      <c r="P11686" s="235"/>
      <c r="AI11686" s="38"/>
    </row>
    <row r="11687" ht="15.75" customHeight="1">
      <c r="A11687" s="35"/>
      <c r="C11687" s="442"/>
      <c r="P11687" s="235"/>
      <c r="AI11687" s="38"/>
    </row>
    <row r="11688" ht="15.75" customHeight="1">
      <c r="A11688" s="35"/>
      <c r="C11688" s="442"/>
      <c r="P11688" s="235"/>
      <c r="AI11688" s="38"/>
    </row>
    <row r="11689" ht="15.75" customHeight="1">
      <c r="A11689" s="35"/>
      <c r="C11689" s="442"/>
      <c r="P11689" s="235"/>
      <c r="AI11689" s="38"/>
    </row>
    <row r="11690" ht="15.75" customHeight="1">
      <c r="A11690" s="35"/>
      <c r="C11690" s="442"/>
      <c r="P11690" s="235"/>
      <c r="AI11690" s="38"/>
    </row>
    <row r="11691" ht="15.75" customHeight="1">
      <c r="A11691" s="35"/>
      <c r="C11691" s="442"/>
      <c r="P11691" s="235"/>
      <c r="AI11691" s="38"/>
    </row>
    <row r="11692" ht="15.75" customHeight="1">
      <c r="A11692" s="35"/>
      <c r="C11692" s="442"/>
      <c r="P11692" s="235"/>
      <c r="AI11692" s="38"/>
    </row>
    <row r="11693" ht="15.75" customHeight="1">
      <c r="A11693" s="35"/>
      <c r="C11693" s="442"/>
      <c r="P11693" s="235"/>
      <c r="AI11693" s="38"/>
    </row>
    <row r="11694" ht="15.75" customHeight="1">
      <c r="A11694" s="35"/>
      <c r="C11694" s="442"/>
      <c r="P11694" s="235"/>
      <c r="AI11694" s="38"/>
    </row>
    <row r="11695" ht="15.75" customHeight="1">
      <c r="A11695" s="35"/>
      <c r="C11695" s="442"/>
      <c r="P11695" s="235"/>
      <c r="AI11695" s="38"/>
    </row>
    <row r="11696" ht="15.75" customHeight="1">
      <c r="A11696" s="35"/>
      <c r="C11696" s="442"/>
      <c r="P11696" s="235"/>
      <c r="AI11696" s="38"/>
    </row>
    <row r="11697" ht="15.75" customHeight="1">
      <c r="A11697" s="35"/>
      <c r="C11697" s="442"/>
      <c r="P11697" s="235"/>
      <c r="AI11697" s="38"/>
    </row>
    <row r="11698" ht="15.75" customHeight="1">
      <c r="A11698" s="35"/>
      <c r="C11698" s="442"/>
      <c r="P11698" s="235"/>
      <c r="AI11698" s="38"/>
    </row>
    <row r="11699" ht="15.75" customHeight="1">
      <c r="A11699" s="35"/>
      <c r="C11699" s="442"/>
      <c r="P11699" s="235"/>
      <c r="AI11699" s="38"/>
    </row>
    <row r="11700" ht="15.75" customHeight="1">
      <c r="A11700" s="35"/>
      <c r="C11700" s="442"/>
      <c r="P11700" s="235"/>
      <c r="AI11700" s="38"/>
    </row>
    <row r="11701" ht="15.75" customHeight="1">
      <c r="A11701" s="35"/>
      <c r="C11701" s="442"/>
      <c r="P11701" s="235"/>
      <c r="AI11701" s="38"/>
    </row>
    <row r="11702" ht="15.75" customHeight="1">
      <c r="A11702" s="35"/>
      <c r="C11702" s="442"/>
      <c r="P11702" s="235"/>
      <c r="AI11702" s="38"/>
    </row>
    <row r="11703" ht="15.75" customHeight="1">
      <c r="A11703" s="35"/>
      <c r="C11703" s="442"/>
      <c r="P11703" s="235"/>
      <c r="AI11703" s="38"/>
    </row>
    <row r="11704" ht="15.75" customHeight="1">
      <c r="A11704" s="35"/>
      <c r="C11704" s="442"/>
      <c r="P11704" s="235"/>
      <c r="AI11704" s="38"/>
    </row>
    <row r="11705" ht="15.75" customHeight="1">
      <c r="A11705" s="35"/>
      <c r="C11705" s="442"/>
      <c r="P11705" s="235"/>
      <c r="AI11705" s="38"/>
    </row>
    <row r="11706" ht="15.75" customHeight="1">
      <c r="A11706" s="35"/>
      <c r="C11706" s="442"/>
      <c r="P11706" s="235"/>
      <c r="AI11706" s="38"/>
    </row>
    <row r="11707" ht="15.75" customHeight="1">
      <c r="A11707" s="35"/>
      <c r="C11707" s="442"/>
      <c r="P11707" s="235"/>
      <c r="AI11707" s="38"/>
    </row>
    <row r="11708" ht="15.75" customHeight="1">
      <c r="A11708" s="35"/>
      <c r="C11708" s="442"/>
      <c r="P11708" s="235"/>
      <c r="AI11708" s="38"/>
    </row>
    <row r="11709" ht="15.75" customHeight="1">
      <c r="A11709" s="35"/>
      <c r="C11709" s="442"/>
      <c r="P11709" s="235"/>
      <c r="AI11709" s="38"/>
    </row>
    <row r="11710" ht="15.75" customHeight="1">
      <c r="A11710" s="35"/>
      <c r="C11710" s="442"/>
      <c r="P11710" s="235"/>
      <c r="AI11710" s="38"/>
    </row>
    <row r="11711" ht="15.75" customHeight="1">
      <c r="A11711" s="35"/>
      <c r="C11711" s="442"/>
      <c r="P11711" s="235"/>
      <c r="AI11711" s="38"/>
    </row>
    <row r="11712" ht="15.75" customHeight="1">
      <c r="A11712" s="35"/>
      <c r="C11712" s="442"/>
      <c r="P11712" s="235"/>
      <c r="AI11712" s="38"/>
    </row>
    <row r="11713" ht="15.75" customHeight="1">
      <c r="A11713" s="35"/>
      <c r="C11713" s="442"/>
      <c r="P11713" s="235"/>
      <c r="AI11713" s="38"/>
    </row>
    <row r="11714" ht="15.75" customHeight="1">
      <c r="A11714" s="35"/>
      <c r="C11714" s="442"/>
      <c r="P11714" s="235"/>
      <c r="AI11714" s="38"/>
    </row>
    <row r="11715" ht="15.75" customHeight="1">
      <c r="A11715" s="35"/>
      <c r="C11715" s="442"/>
      <c r="P11715" s="235"/>
      <c r="AI11715" s="38"/>
    </row>
    <row r="11716" ht="15.75" customHeight="1">
      <c r="A11716" s="35"/>
      <c r="C11716" s="442"/>
      <c r="P11716" s="235"/>
      <c r="AI11716" s="38"/>
    </row>
    <row r="11717" ht="15.75" customHeight="1">
      <c r="A11717" s="35"/>
      <c r="C11717" s="442"/>
      <c r="P11717" s="235"/>
      <c r="AI11717" s="38"/>
    </row>
    <row r="11718" ht="15.75" customHeight="1">
      <c r="A11718" s="35"/>
      <c r="C11718" s="442"/>
      <c r="P11718" s="235"/>
      <c r="AI11718" s="38"/>
    </row>
    <row r="11719" ht="15.75" customHeight="1">
      <c r="A11719" s="35"/>
      <c r="C11719" s="442"/>
      <c r="P11719" s="235"/>
      <c r="AI11719" s="38"/>
    </row>
    <row r="11720" ht="15.75" customHeight="1">
      <c r="A11720" s="35"/>
      <c r="C11720" s="442"/>
      <c r="P11720" s="235"/>
      <c r="AI11720" s="38"/>
    </row>
    <row r="11721" ht="15.75" customHeight="1">
      <c r="A11721" s="35"/>
      <c r="C11721" s="442"/>
      <c r="P11721" s="235"/>
      <c r="AI11721" s="38"/>
    </row>
    <row r="11722" ht="15.75" customHeight="1">
      <c r="A11722" s="35"/>
      <c r="C11722" s="442"/>
      <c r="P11722" s="235"/>
      <c r="AI11722" s="38"/>
    </row>
    <row r="11723" ht="15.75" customHeight="1">
      <c r="A11723" s="35"/>
      <c r="C11723" s="442"/>
      <c r="P11723" s="235"/>
      <c r="AI11723" s="38"/>
    </row>
    <row r="11724" ht="15.75" customHeight="1">
      <c r="A11724" s="35"/>
      <c r="C11724" s="442"/>
      <c r="P11724" s="235"/>
      <c r="AI11724" s="38"/>
    </row>
    <row r="11725" ht="15.75" customHeight="1">
      <c r="A11725" s="35"/>
      <c r="C11725" s="442"/>
      <c r="P11725" s="235"/>
      <c r="AI11725" s="38"/>
    </row>
    <row r="11726" ht="15.75" customHeight="1">
      <c r="A11726" s="35"/>
      <c r="C11726" s="442"/>
      <c r="P11726" s="235"/>
      <c r="AI11726" s="38"/>
    </row>
    <row r="11727" ht="15.75" customHeight="1">
      <c r="A11727" s="35"/>
      <c r="C11727" s="442"/>
      <c r="P11727" s="235"/>
      <c r="AI11727" s="38"/>
    </row>
    <row r="11728" ht="15.75" customHeight="1">
      <c r="A11728" s="35"/>
      <c r="C11728" s="442"/>
      <c r="P11728" s="235"/>
      <c r="AI11728" s="38"/>
    </row>
    <row r="11729" ht="15.75" customHeight="1">
      <c r="A11729" s="35"/>
      <c r="C11729" s="442"/>
      <c r="P11729" s="235"/>
      <c r="AI11729" s="38"/>
    </row>
    <row r="11730" ht="15.75" customHeight="1">
      <c r="A11730" s="35"/>
      <c r="C11730" s="442"/>
      <c r="P11730" s="235"/>
      <c r="AI11730" s="38"/>
    </row>
    <row r="11731" ht="15.75" customHeight="1">
      <c r="A11731" s="35"/>
      <c r="C11731" s="442"/>
      <c r="P11731" s="235"/>
      <c r="AI11731" s="38"/>
    </row>
    <row r="11732" ht="15.75" customHeight="1">
      <c r="A11732" s="35"/>
      <c r="C11732" s="442"/>
      <c r="P11732" s="235"/>
      <c r="AI11732" s="38"/>
    </row>
    <row r="11733" ht="15.75" customHeight="1">
      <c r="A11733" s="35"/>
      <c r="C11733" s="442"/>
      <c r="P11733" s="235"/>
      <c r="AI11733" s="38"/>
    </row>
    <row r="11734" ht="15.75" customHeight="1">
      <c r="A11734" s="35"/>
      <c r="C11734" s="442"/>
      <c r="P11734" s="235"/>
      <c r="AI11734" s="38"/>
    </row>
    <row r="11735" ht="15.75" customHeight="1">
      <c r="A11735" s="35"/>
      <c r="C11735" s="442"/>
      <c r="P11735" s="235"/>
      <c r="AI11735" s="38"/>
    </row>
    <row r="11736" ht="15.75" customHeight="1">
      <c r="A11736" s="35"/>
      <c r="C11736" s="442"/>
      <c r="P11736" s="235"/>
      <c r="AI11736" s="38"/>
    </row>
    <row r="11737" ht="15.75" customHeight="1">
      <c r="A11737" s="35"/>
      <c r="C11737" s="442"/>
      <c r="P11737" s="235"/>
      <c r="AI11737" s="38"/>
    </row>
    <row r="11738" ht="15.75" customHeight="1">
      <c r="A11738" s="35"/>
      <c r="C11738" s="442"/>
      <c r="P11738" s="235"/>
      <c r="AI11738" s="38"/>
    </row>
    <row r="11739" ht="15.75" customHeight="1">
      <c r="A11739" s="35"/>
      <c r="C11739" s="442"/>
      <c r="P11739" s="235"/>
      <c r="AI11739" s="38"/>
    </row>
    <row r="11740" ht="15.75" customHeight="1">
      <c r="A11740" s="35"/>
      <c r="C11740" s="442"/>
      <c r="P11740" s="235"/>
      <c r="AI11740" s="38"/>
    </row>
    <row r="11741" ht="15.75" customHeight="1">
      <c r="A11741" s="35"/>
      <c r="C11741" s="442"/>
      <c r="P11741" s="235"/>
      <c r="AI11741" s="38"/>
    </row>
    <row r="11742" ht="15.75" customHeight="1">
      <c r="A11742" s="35"/>
      <c r="C11742" s="442"/>
      <c r="P11742" s="235"/>
      <c r="AI11742" s="38"/>
    </row>
    <row r="11743" ht="15.75" customHeight="1">
      <c r="A11743" s="35"/>
      <c r="C11743" s="442"/>
      <c r="P11743" s="235"/>
      <c r="AI11743" s="38"/>
    </row>
    <row r="11744" ht="15.75" customHeight="1">
      <c r="A11744" s="35"/>
      <c r="C11744" s="442"/>
      <c r="P11744" s="235"/>
      <c r="AI11744" s="38"/>
    </row>
    <row r="11745" ht="15.75" customHeight="1">
      <c r="A11745" s="35"/>
      <c r="C11745" s="442"/>
      <c r="P11745" s="235"/>
      <c r="AI11745" s="38"/>
    </row>
    <row r="11746" ht="15.75" customHeight="1">
      <c r="A11746" s="35"/>
      <c r="C11746" s="442"/>
      <c r="P11746" s="235"/>
      <c r="AI11746" s="38"/>
    </row>
    <row r="11747" ht="15.75" customHeight="1">
      <c r="A11747" s="35"/>
      <c r="C11747" s="442"/>
      <c r="P11747" s="235"/>
      <c r="AI11747" s="38"/>
    </row>
    <row r="11748" ht="15.75" customHeight="1">
      <c r="A11748" s="35"/>
      <c r="C11748" s="442"/>
      <c r="P11748" s="235"/>
      <c r="AI11748" s="38"/>
    </row>
    <row r="11749" ht="15.75" customHeight="1">
      <c r="A11749" s="35"/>
      <c r="C11749" s="442"/>
      <c r="P11749" s="235"/>
      <c r="AI11749" s="38"/>
    </row>
    <row r="11750" ht="15.75" customHeight="1">
      <c r="A11750" s="35"/>
      <c r="C11750" s="442"/>
      <c r="P11750" s="235"/>
      <c r="AI11750" s="38"/>
    </row>
    <row r="11751" ht="15.75" customHeight="1">
      <c r="A11751" s="35"/>
      <c r="C11751" s="442"/>
      <c r="P11751" s="235"/>
      <c r="AI11751" s="38"/>
    </row>
    <row r="11752" ht="15.75" customHeight="1">
      <c r="A11752" s="35"/>
      <c r="C11752" s="442"/>
      <c r="P11752" s="235"/>
      <c r="AI11752" s="38"/>
    </row>
    <row r="11753" ht="15.75" customHeight="1">
      <c r="A11753" s="35"/>
      <c r="C11753" s="442"/>
      <c r="P11753" s="235"/>
      <c r="AI11753" s="38"/>
    </row>
    <row r="11754" ht="15.75" customHeight="1">
      <c r="A11754" s="35"/>
      <c r="C11754" s="442"/>
      <c r="P11754" s="235"/>
      <c r="AI11754" s="38"/>
    </row>
    <row r="11755" ht="15.75" customHeight="1">
      <c r="A11755" s="35"/>
      <c r="C11755" s="442"/>
      <c r="P11755" s="235"/>
      <c r="AI11755" s="38"/>
    </row>
    <row r="11756" ht="15.75" customHeight="1">
      <c r="A11756" s="35"/>
      <c r="C11756" s="442"/>
      <c r="P11756" s="235"/>
      <c r="AI11756" s="38"/>
    </row>
    <row r="11757" ht="15.75" customHeight="1">
      <c r="A11757" s="35"/>
      <c r="C11757" s="442"/>
      <c r="P11757" s="235"/>
      <c r="AI11757" s="38"/>
    </row>
    <row r="11758" ht="15.75" customHeight="1">
      <c r="A11758" s="35"/>
      <c r="C11758" s="442"/>
      <c r="P11758" s="235"/>
      <c r="AI11758" s="38"/>
    </row>
    <row r="11759" ht="15.75" customHeight="1">
      <c r="A11759" s="35"/>
      <c r="C11759" s="442"/>
      <c r="P11759" s="235"/>
      <c r="AI11759" s="38"/>
    </row>
    <row r="11760" ht="15.75" customHeight="1">
      <c r="A11760" s="35"/>
      <c r="C11760" s="442"/>
      <c r="P11760" s="235"/>
      <c r="AI11760" s="38"/>
    </row>
    <row r="11761" ht="15.75" customHeight="1">
      <c r="A11761" s="35"/>
      <c r="C11761" s="442"/>
      <c r="P11761" s="235"/>
      <c r="AI11761" s="38"/>
    </row>
    <row r="11762" ht="15.75" customHeight="1">
      <c r="A11762" s="35"/>
      <c r="C11762" s="442"/>
      <c r="P11762" s="235"/>
      <c r="AI11762" s="38"/>
    </row>
    <row r="11763" ht="15.75" customHeight="1">
      <c r="A11763" s="35"/>
      <c r="C11763" s="442"/>
      <c r="P11763" s="235"/>
      <c r="AI11763" s="38"/>
    </row>
    <row r="11764" ht="15.75" customHeight="1">
      <c r="A11764" s="35"/>
      <c r="C11764" s="442"/>
      <c r="P11764" s="235"/>
      <c r="AI11764" s="38"/>
    </row>
    <row r="11765" ht="15.75" customHeight="1">
      <c r="A11765" s="35"/>
      <c r="C11765" s="442"/>
      <c r="P11765" s="235"/>
      <c r="AI11765" s="38"/>
    </row>
    <row r="11766" ht="15.75" customHeight="1">
      <c r="A11766" s="35"/>
      <c r="C11766" s="442"/>
      <c r="P11766" s="235"/>
      <c r="AI11766" s="38"/>
    </row>
    <row r="11767" ht="15.75" customHeight="1">
      <c r="A11767" s="35"/>
      <c r="C11767" s="442"/>
      <c r="P11767" s="235"/>
      <c r="AI11767" s="38"/>
    </row>
    <row r="11768" ht="15.75" customHeight="1">
      <c r="A11768" s="35"/>
      <c r="C11768" s="442"/>
      <c r="P11768" s="235"/>
      <c r="AI11768" s="38"/>
    </row>
    <row r="11769" ht="15.75" customHeight="1">
      <c r="A11769" s="35"/>
      <c r="C11769" s="442"/>
      <c r="P11769" s="235"/>
      <c r="AI11769" s="38"/>
    </row>
    <row r="11770" ht="15.75" customHeight="1">
      <c r="A11770" s="35"/>
      <c r="C11770" s="442"/>
      <c r="P11770" s="235"/>
      <c r="AI11770" s="38"/>
    </row>
    <row r="11771" ht="15.75" customHeight="1">
      <c r="A11771" s="35"/>
      <c r="C11771" s="442"/>
      <c r="P11771" s="235"/>
      <c r="AI11771" s="38"/>
    </row>
    <row r="11772" ht="15.75" customHeight="1">
      <c r="A11772" s="35"/>
      <c r="C11772" s="442"/>
      <c r="P11772" s="235"/>
      <c r="AI11772" s="38"/>
    </row>
    <row r="11773" ht="15.75" customHeight="1">
      <c r="A11773" s="35"/>
      <c r="C11773" s="442"/>
      <c r="P11773" s="235"/>
      <c r="AI11773" s="38"/>
    </row>
    <row r="11774" ht="15.75" customHeight="1">
      <c r="A11774" s="35"/>
      <c r="C11774" s="442"/>
      <c r="P11774" s="235"/>
      <c r="AI11774" s="38"/>
    </row>
    <row r="11775" ht="15.75" customHeight="1">
      <c r="A11775" s="35"/>
      <c r="C11775" s="442"/>
      <c r="P11775" s="235"/>
      <c r="AI11775" s="38"/>
    </row>
    <row r="11776" ht="15.75" customHeight="1">
      <c r="A11776" s="35"/>
      <c r="C11776" s="442"/>
      <c r="P11776" s="235"/>
      <c r="AI11776" s="38"/>
    </row>
    <row r="11777" ht="15.75" customHeight="1">
      <c r="A11777" s="35"/>
      <c r="C11777" s="442"/>
      <c r="P11777" s="235"/>
      <c r="AI11777" s="38"/>
    </row>
    <row r="11778" ht="15.75" customHeight="1">
      <c r="A11778" s="35"/>
      <c r="C11778" s="442"/>
      <c r="P11778" s="235"/>
      <c r="AI11778" s="38"/>
    </row>
    <row r="11779" ht="15.75" customHeight="1">
      <c r="A11779" s="35"/>
      <c r="C11779" s="442"/>
      <c r="P11779" s="235"/>
      <c r="AI11779" s="38"/>
    </row>
    <row r="11780" ht="15.75" customHeight="1">
      <c r="A11780" s="35"/>
      <c r="C11780" s="442"/>
      <c r="P11780" s="235"/>
      <c r="AI11780" s="38"/>
    </row>
    <row r="11781" ht="15.75" customHeight="1">
      <c r="A11781" s="35"/>
      <c r="C11781" s="442"/>
      <c r="P11781" s="235"/>
      <c r="AI11781" s="38"/>
    </row>
    <row r="11782" ht="15.75" customHeight="1">
      <c r="A11782" s="35"/>
      <c r="C11782" s="442"/>
      <c r="P11782" s="235"/>
      <c r="AI11782" s="38"/>
    </row>
    <row r="11783" ht="15.75" customHeight="1">
      <c r="A11783" s="35"/>
      <c r="C11783" s="442"/>
      <c r="P11783" s="235"/>
      <c r="AI11783" s="38"/>
    </row>
    <row r="11784" ht="15.75" customHeight="1">
      <c r="A11784" s="35"/>
      <c r="C11784" s="442"/>
      <c r="P11784" s="235"/>
      <c r="AI11784" s="38"/>
    </row>
    <row r="11785" ht="15.75" customHeight="1">
      <c r="A11785" s="35"/>
      <c r="C11785" s="442"/>
      <c r="P11785" s="235"/>
      <c r="AI11785" s="38"/>
    </row>
    <row r="11786" ht="15.75" customHeight="1">
      <c r="A11786" s="35"/>
      <c r="C11786" s="442"/>
      <c r="P11786" s="235"/>
      <c r="AI11786" s="38"/>
    </row>
    <row r="11787" ht="15.75" customHeight="1">
      <c r="A11787" s="35"/>
      <c r="C11787" s="442"/>
      <c r="P11787" s="235"/>
      <c r="AI11787" s="38"/>
    </row>
    <row r="11788" ht="15.75" customHeight="1">
      <c r="A11788" s="35"/>
      <c r="C11788" s="442"/>
      <c r="P11788" s="235"/>
      <c r="AI11788" s="38"/>
    </row>
    <row r="11789" ht="15.75" customHeight="1">
      <c r="A11789" s="35"/>
      <c r="C11789" s="442"/>
      <c r="P11789" s="235"/>
      <c r="AI11789" s="38"/>
    </row>
    <row r="11790" ht="15.75" customHeight="1">
      <c r="A11790" s="35"/>
      <c r="C11790" s="442"/>
      <c r="P11790" s="235"/>
      <c r="AI11790" s="38"/>
    </row>
    <row r="11791" ht="15.75" customHeight="1">
      <c r="A11791" s="35"/>
      <c r="C11791" s="442"/>
      <c r="P11791" s="235"/>
      <c r="AI11791" s="38"/>
    </row>
    <row r="11792" ht="15.75" customHeight="1">
      <c r="A11792" s="35"/>
      <c r="C11792" s="442"/>
      <c r="P11792" s="235"/>
      <c r="AI11792" s="38"/>
    </row>
    <row r="11793" ht="15.75" customHeight="1">
      <c r="A11793" s="35"/>
      <c r="C11793" s="442"/>
      <c r="P11793" s="235"/>
      <c r="AI11793" s="38"/>
    </row>
    <row r="11794" ht="15.75" customHeight="1">
      <c r="A11794" s="35"/>
      <c r="C11794" s="442"/>
      <c r="P11794" s="235"/>
      <c r="AI11794" s="38"/>
    </row>
    <row r="11795" ht="15.75" customHeight="1">
      <c r="A11795" s="35"/>
      <c r="C11795" s="442"/>
      <c r="P11795" s="235"/>
      <c r="AI11795" s="38"/>
    </row>
    <row r="11796" ht="15.75" customHeight="1">
      <c r="A11796" s="35"/>
      <c r="C11796" s="442"/>
      <c r="P11796" s="235"/>
      <c r="AI11796" s="38"/>
    </row>
    <row r="11797" ht="15.75" customHeight="1">
      <c r="A11797" s="35"/>
      <c r="C11797" s="442"/>
      <c r="P11797" s="235"/>
      <c r="AI11797" s="38"/>
    </row>
    <row r="11798" ht="15.75" customHeight="1">
      <c r="A11798" s="35"/>
      <c r="C11798" s="442"/>
      <c r="P11798" s="235"/>
      <c r="AI11798" s="38"/>
    </row>
    <row r="11799" ht="15.75" customHeight="1">
      <c r="A11799" s="35"/>
      <c r="C11799" s="442"/>
      <c r="P11799" s="235"/>
      <c r="AI11799" s="38"/>
    </row>
    <row r="11800" ht="15.75" customHeight="1">
      <c r="A11800" s="35"/>
      <c r="C11800" s="442"/>
      <c r="P11800" s="235"/>
      <c r="AI11800" s="38"/>
    </row>
    <row r="11801" ht="15.75" customHeight="1">
      <c r="A11801" s="35"/>
      <c r="C11801" s="442"/>
      <c r="P11801" s="235"/>
      <c r="AI11801" s="38"/>
    </row>
    <row r="11802" ht="15.75" customHeight="1">
      <c r="A11802" s="35"/>
      <c r="C11802" s="442"/>
      <c r="P11802" s="235"/>
      <c r="AI11802" s="38"/>
    </row>
    <row r="11803" ht="15.75" customHeight="1">
      <c r="A11803" s="35"/>
      <c r="C11803" s="442"/>
      <c r="P11803" s="235"/>
      <c r="AI11803" s="38"/>
    </row>
    <row r="11804" ht="15.75" customHeight="1">
      <c r="A11804" s="35"/>
      <c r="C11804" s="442"/>
      <c r="P11804" s="235"/>
      <c r="AI11804" s="38"/>
    </row>
    <row r="11805" ht="15.75" customHeight="1">
      <c r="A11805" s="35"/>
      <c r="C11805" s="442"/>
      <c r="P11805" s="235"/>
      <c r="AI11805" s="38"/>
    </row>
    <row r="11806" ht="15.75" customHeight="1">
      <c r="A11806" s="35"/>
      <c r="C11806" s="442"/>
      <c r="P11806" s="235"/>
      <c r="AI11806" s="38"/>
    </row>
    <row r="11807" ht="15.75" customHeight="1">
      <c r="A11807" s="35"/>
      <c r="C11807" s="442"/>
      <c r="P11807" s="235"/>
      <c r="AI11807" s="38"/>
    </row>
    <row r="11808" ht="15.75" customHeight="1">
      <c r="A11808" s="35"/>
      <c r="C11808" s="442"/>
      <c r="P11808" s="235"/>
      <c r="AI11808" s="38"/>
    </row>
    <row r="11809" ht="15.75" customHeight="1">
      <c r="A11809" s="35"/>
      <c r="C11809" s="442"/>
      <c r="P11809" s="235"/>
      <c r="AI11809" s="38"/>
    </row>
    <row r="11810" ht="15.75" customHeight="1">
      <c r="A11810" s="35"/>
      <c r="C11810" s="442"/>
      <c r="P11810" s="235"/>
      <c r="AI11810" s="38"/>
    </row>
    <row r="11811" ht="15.75" customHeight="1">
      <c r="A11811" s="35"/>
      <c r="C11811" s="442"/>
      <c r="P11811" s="235"/>
      <c r="AI11811" s="38"/>
    </row>
    <row r="11812" ht="15.75" customHeight="1">
      <c r="A11812" s="35"/>
      <c r="C11812" s="442"/>
      <c r="P11812" s="235"/>
      <c r="AI11812" s="38"/>
    </row>
    <row r="11813" ht="15.75" customHeight="1">
      <c r="A11813" s="35"/>
      <c r="C11813" s="442"/>
      <c r="P11813" s="235"/>
      <c r="AI11813" s="38"/>
    </row>
    <row r="11814" ht="15.75" customHeight="1">
      <c r="A11814" s="35"/>
      <c r="C11814" s="442"/>
      <c r="P11814" s="235"/>
      <c r="AI11814" s="38"/>
    </row>
    <row r="11815" ht="15.75" customHeight="1">
      <c r="A11815" s="35"/>
      <c r="C11815" s="442"/>
      <c r="P11815" s="235"/>
      <c r="AI11815" s="38"/>
    </row>
    <row r="11816" ht="15.75" customHeight="1">
      <c r="A11816" s="35"/>
      <c r="C11816" s="442"/>
      <c r="P11816" s="235"/>
      <c r="AI11816" s="38"/>
    </row>
    <row r="11817" ht="15.75" customHeight="1">
      <c r="A11817" s="35"/>
      <c r="C11817" s="442"/>
      <c r="P11817" s="235"/>
      <c r="AI11817" s="38"/>
    </row>
    <row r="11818" ht="15.75" customHeight="1">
      <c r="A11818" s="35"/>
      <c r="C11818" s="442"/>
      <c r="P11818" s="235"/>
      <c r="AI11818" s="38"/>
    </row>
    <row r="11819" ht="15.75" customHeight="1">
      <c r="A11819" s="35"/>
      <c r="C11819" s="442"/>
      <c r="P11819" s="235"/>
      <c r="AI11819" s="38"/>
    </row>
    <row r="11820" ht="15.75" customHeight="1">
      <c r="A11820" s="35"/>
      <c r="C11820" s="442"/>
      <c r="P11820" s="235"/>
      <c r="AI11820" s="38"/>
    </row>
    <row r="11821" ht="15.75" customHeight="1">
      <c r="A11821" s="35"/>
      <c r="C11821" s="442"/>
      <c r="P11821" s="235"/>
      <c r="AI11821" s="38"/>
    </row>
    <row r="11822" ht="15.75" customHeight="1">
      <c r="A11822" s="35"/>
      <c r="C11822" s="442"/>
      <c r="P11822" s="235"/>
      <c r="AI11822" s="38"/>
    </row>
    <row r="11823" ht="15.75" customHeight="1">
      <c r="A11823" s="35"/>
      <c r="C11823" s="442"/>
      <c r="P11823" s="235"/>
      <c r="AI11823" s="38"/>
    </row>
    <row r="11824" ht="15.75" customHeight="1">
      <c r="A11824" s="35"/>
      <c r="C11824" s="442"/>
      <c r="P11824" s="235"/>
      <c r="AI11824" s="38"/>
    </row>
    <row r="11825" ht="15.75" customHeight="1">
      <c r="A11825" s="35"/>
      <c r="C11825" s="442"/>
      <c r="P11825" s="235"/>
      <c r="AI11825" s="38"/>
    </row>
    <row r="11826" ht="15.75" customHeight="1">
      <c r="A11826" s="35"/>
      <c r="C11826" s="442"/>
      <c r="P11826" s="235"/>
      <c r="AI11826" s="38"/>
    </row>
    <row r="11827" ht="15.75" customHeight="1">
      <c r="A11827" s="35"/>
      <c r="C11827" s="442"/>
      <c r="P11827" s="235"/>
      <c r="AI11827" s="38"/>
    </row>
    <row r="11828" ht="15.75" customHeight="1">
      <c r="A11828" s="35"/>
      <c r="C11828" s="442"/>
      <c r="P11828" s="235"/>
      <c r="AI11828" s="38"/>
    </row>
    <row r="11829" ht="15.75" customHeight="1">
      <c r="A11829" s="35"/>
      <c r="C11829" s="442"/>
      <c r="P11829" s="235"/>
      <c r="AI11829" s="38"/>
    </row>
    <row r="11830" ht="15.75" customHeight="1">
      <c r="A11830" s="35"/>
      <c r="C11830" s="442"/>
      <c r="P11830" s="235"/>
      <c r="AI11830" s="38"/>
    </row>
    <row r="11831" ht="15.75" customHeight="1">
      <c r="A11831" s="35"/>
      <c r="C11831" s="442"/>
      <c r="P11831" s="235"/>
      <c r="AI11831" s="38"/>
    </row>
    <row r="11832" ht="15.75" customHeight="1">
      <c r="A11832" s="35"/>
      <c r="C11832" s="442"/>
      <c r="P11832" s="235"/>
      <c r="AI11832" s="38"/>
    </row>
    <row r="11833" ht="15.75" customHeight="1">
      <c r="A11833" s="35"/>
      <c r="C11833" s="442"/>
      <c r="P11833" s="235"/>
      <c r="AI11833" s="38"/>
    </row>
    <row r="11834" ht="15.75" customHeight="1">
      <c r="A11834" s="35"/>
      <c r="C11834" s="442"/>
      <c r="P11834" s="235"/>
      <c r="AI11834" s="38"/>
    </row>
    <row r="11835" ht="15.75" customHeight="1">
      <c r="A11835" s="35"/>
      <c r="C11835" s="442"/>
      <c r="P11835" s="235"/>
      <c r="AI11835" s="38"/>
    </row>
    <row r="11836" ht="15.75" customHeight="1">
      <c r="A11836" s="35"/>
      <c r="C11836" s="442"/>
      <c r="P11836" s="235"/>
      <c r="AI11836" s="38"/>
    </row>
    <row r="11837" ht="15.75" customHeight="1">
      <c r="A11837" s="35"/>
      <c r="C11837" s="442"/>
      <c r="P11837" s="235"/>
      <c r="AI11837" s="38"/>
    </row>
    <row r="11838" ht="15.75" customHeight="1">
      <c r="A11838" s="35"/>
      <c r="C11838" s="442"/>
      <c r="P11838" s="235"/>
      <c r="AI11838" s="38"/>
    </row>
    <row r="11839" ht="15.75" customHeight="1">
      <c r="A11839" s="35"/>
      <c r="C11839" s="442"/>
      <c r="P11839" s="235"/>
      <c r="AI11839" s="38"/>
    </row>
    <row r="11840" ht="15.75" customHeight="1">
      <c r="A11840" s="35"/>
      <c r="C11840" s="442"/>
      <c r="P11840" s="235"/>
      <c r="AI11840" s="38"/>
    </row>
    <row r="11841" ht="15.75" customHeight="1">
      <c r="A11841" s="35"/>
      <c r="C11841" s="442"/>
      <c r="P11841" s="235"/>
      <c r="AI11841" s="38"/>
    </row>
    <row r="11842" ht="15.75" customHeight="1">
      <c r="A11842" s="35"/>
      <c r="C11842" s="442"/>
      <c r="P11842" s="235"/>
      <c r="AI11842" s="38"/>
    </row>
    <row r="11843" ht="15.75" customHeight="1">
      <c r="A11843" s="35"/>
      <c r="C11843" s="442"/>
      <c r="P11843" s="235"/>
      <c r="AI11843" s="38"/>
    </row>
    <row r="11844" ht="15.75" customHeight="1">
      <c r="A11844" s="35"/>
      <c r="C11844" s="442"/>
      <c r="P11844" s="235"/>
      <c r="AI11844" s="38"/>
    </row>
    <row r="11845" ht="15.75" customHeight="1">
      <c r="A11845" s="35"/>
      <c r="C11845" s="442"/>
      <c r="P11845" s="235"/>
      <c r="AI11845" s="38"/>
    </row>
    <row r="11846" ht="15.75" customHeight="1">
      <c r="A11846" s="35"/>
      <c r="C11846" s="442"/>
      <c r="P11846" s="235"/>
      <c r="AI11846" s="38"/>
    </row>
    <row r="11847" ht="15.75" customHeight="1">
      <c r="A11847" s="35"/>
      <c r="C11847" s="442"/>
      <c r="P11847" s="235"/>
      <c r="AI11847" s="38"/>
    </row>
    <row r="11848" ht="15.75" customHeight="1">
      <c r="A11848" s="35"/>
      <c r="C11848" s="442"/>
      <c r="P11848" s="235"/>
      <c r="AI11848" s="38"/>
    </row>
    <row r="11849" ht="15.75" customHeight="1">
      <c r="A11849" s="35"/>
      <c r="C11849" s="442"/>
      <c r="P11849" s="235"/>
      <c r="AI11849" s="38"/>
    </row>
    <row r="11850" ht="15.75" customHeight="1">
      <c r="A11850" s="35"/>
      <c r="C11850" s="442"/>
      <c r="P11850" s="235"/>
      <c r="AI11850" s="38"/>
    </row>
    <row r="11851" ht="15.75" customHeight="1">
      <c r="A11851" s="35"/>
      <c r="C11851" s="442"/>
      <c r="P11851" s="235"/>
      <c r="AI11851" s="38"/>
    </row>
    <row r="11852" ht="15.75" customHeight="1">
      <c r="A11852" s="35"/>
      <c r="C11852" s="442"/>
      <c r="P11852" s="235"/>
      <c r="AI11852" s="38"/>
    </row>
    <row r="11853" ht="15.75" customHeight="1">
      <c r="A11853" s="35"/>
      <c r="C11853" s="442"/>
      <c r="P11853" s="235"/>
      <c r="AI11853" s="38"/>
    </row>
    <row r="11854" ht="15.75" customHeight="1">
      <c r="A11854" s="35"/>
      <c r="C11854" s="442"/>
      <c r="P11854" s="235"/>
      <c r="AI11854" s="38"/>
    </row>
    <row r="11855" ht="15.75" customHeight="1">
      <c r="A11855" s="35"/>
      <c r="C11855" s="442"/>
      <c r="P11855" s="235"/>
      <c r="AI11855" s="38"/>
    </row>
    <row r="11856" ht="15.75" customHeight="1">
      <c r="A11856" s="35"/>
      <c r="C11856" s="442"/>
      <c r="P11856" s="235"/>
      <c r="AI11856" s="38"/>
    </row>
    <row r="11857" ht="15.75" customHeight="1">
      <c r="A11857" s="35"/>
      <c r="C11857" s="442"/>
      <c r="P11857" s="235"/>
      <c r="AI11857" s="38"/>
    </row>
    <row r="11858" ht="15.75" customHeight="1">
      <c r="A11858" s="35"/>
      <c r="C11858" s="442"/>
      <c r="P11858" s="235"/>
      <c r="AI11858" s="38"/>
    </row>
    <row r="11859" ht="15.75" customHeight="1">
      <c r="A11859" s="35"/>
      <c r="C11859" s="442"/>
      <c r="P11859" s="235"/>
      <c r="AI11859" s="38"/>
    </row>
    <row r="11860" ht="15.75" customHeight="1">
      <c r="A11860" s="35"/>
      <c r="C11860" s="442"/>
      <c r="P11860" s="235"/>
      <c r="AI11860" s="38"/>
    </row>
    <row r="11861" ht="15.75" customHeight="1">
      <c r="A11861" s="35"/>
      <c r="C11861" s="442"/>
      <c r="P11861" s="235"/>
      <c r="AI11861" s="38"/>
    </row>
    <row r="11862" ht="15.75" customHeight="1">
      <c r="A11862" s="35"/>
      <c r="C11862" s="442"/>
      <c r="P11862" s="235"/>
      <c r="AI11862" s="38"/>
    </row>
    <row r="11863" ht="15.75" customHeight="1">
      <c r="A11863" s="35"/>
      <c r="C11863" s="442"/>
      <c r="P11863" s="235"/>
      <c r="AI11863" s="38"/>
    </row>
    <row r="11864" ht="15.75" customHeight="1">
      <c r="A11864" s="35"/>
      <c r="C11864" s="442"/>
      <c r="P11864" s="235"/>
      <c r="AI11864" s="38"/>
    </row>
    <row r="11865" ht="15.75" customHeight="1">
      <c r="A11865" s="35"/>
      <c r="C11865" s="442"/>
      <c r="P11865" s="235"/>
      <c r="AI11865" s="38"/>
    </row>
    <row r="11866" ht="15.75" customHeight="1">
      <c r="A11866" s="35"/>
      <c r="C11866" s="442"/>
      <c r="P11866" s="235"/>
      <c r="AI11866" s="38"/>
    </row>
    <row r="11867" ht="15.75" customHeight="1">
      <c r="A11867" s="35"/>
      <c r="C11867" s="442"/>
      <c r="P11867" s="235"/>
      <c r="AI11867" s="38"/>
    </row>
    <row r="11868" ht="15.75" customHeight="1">
      <c r="A11868" s="35"/>
      <c r="C11868" s="442"/>
      <c r="P11868" s="235"/>
      <c r="AI11868" s="38"/>
    </row>
    <row r="11869" ht="15.75" customHeight="1">
      <c r="A11869" s="35"/>
      <c r="C11869" s="442"/>
      <c r="P11869" s="235"/>
      <c r="AI11869" s="38"/>
    </row>
    <row r="11870" ht="15.75" customHeight="1">
      <c r="A11870" s="35"/>
      <c r="C11870" s="442"/>
      <c r="P11870" s="235"/>
      <c r="AI11870" s="38"/>
    </row>
    <row r="11871" ht="15.75" customHeight="1">
      <c r="A11871" s="35"/>
      <c r="C11871" s="442"/>
      <c r="P11871" s="235"/>
      <c r="AI11871" s="38"/>
    </row>
    <row r="11872" ht="15.75" customHeight="1">
      <c r="A11872" s="35"/>
      <c r="C11872" s="442"/>
      <c r="P11872" s="235"/>
      <c r="AI11872" s="38"/>
    </row>
    <row r="11873" ht="15.75" customHeight="1">
      <c r="A11873" s="35"/>
      <c r="C11873" s="442"/>
      <c r="P11873" s="235"/>
      <c r="AI11873" s="38"/>
    </row>
    <row r="11874" ht="15.75" customHeight="1">
      <c r="A11874" s="35"/>
      <c r="C11874" s="442"/>
      <c r="P11874" s="235"/>
      <c r="AI11874" s="38"/>
    </row>
    <row r="11875" ht="15.75" customHeight="1">
      <c r="A11875" s="35"/>
      <c r="C11875" s="442"/>
      <c r="P11875" s="235"/>
      <c r="AI11875" s="38"/>
    </row>
    <row r="11876" ht="15.75" customHeight="1">
      <c r="A11876" s="35"/>
      <c r="C11876" s="442"/>
      <c r="P11876" s="235"/>
      <c r="AI11876" s="38"/>
    </row>
    <row r="11877" ht="15.75" customHeight="1">
      <c r="A11877" s="35"/>
      <c r="C11877" s="442"/>
      <c r="P11877" s="235"/>
      <c r="AI11877" s="38"/>
    </row>
    <row r="11878" ht="15.75" customHeight="1">
      <c r="A11878" s="35"/>
      <c r="C11878" s="442"/>
      <c r="P11878" s="235"/>
      <c r="AI11878" s="38"/>
    </row>
    <row r="11879" ht="15.75" customHeight="1">
      <c r="A11879" s="35"/>
      <c r="C11879" s="442"/>
      <c r="P11879" s="235"/>
      <c r="AI11879" s="38"/>
    </row>
    <row r="11880" ht="15.75" customHeight="1">
      <c r="A11880" s="35"/>
      <c r="C11880" s="442"/>
      <c r="P11880" s="235"/>
      <c r="AI11880" s="38"/>
    </row>
    <row r="11881" ht="15.75" customHeight="1">
      <c r="A11881" s="35"/>
      <c r="C11881" s="442"/>
      <c r="P11881" s="235"/>
      <c r="AI11881" s="38"/>
    </row>
    <row r="11882" ht="15.75" customHeight="1">
      <c r="A11882" s="35"/>
      <c r="C11882" s="442"/>
      <c r="P11882" s="235"/>
      <c r="AI11882" s="38"/>
    </row>
    <row r="11883" ht="15.75" customHeight="1">
      <c r="A11883" s="35"/>
      <c r="C11883" s="442"/>
      <c r="P11883" s="235"/>
      <c r="AI11883" s="38"/>
    </row>
    <row r="11884" ht="15.75" customHeight="1">
      <c r="A11884" s="35"/>
      <c r="C11884" s="442"/>
      <c r="P11884" s="235"/>
      <c r="AI11884" s="38"/>
    </row>
    <row r="11885" ht="15.75" customHeight="1">
      <c r="A11885" s="35"/>
      <c r="C11885" s="442"/>
      <c r="P11885" s="235"/>
      <c r="AI11885" s="38"/>
    </row>
    <row r="11886" ht="15.75" customHeight="1">
      <c r="A11886" s="35"/>
      <c r="C11886" s="442"/>
      <c r="P11886" s="235"/>
      <c r="AI11886" s="38"/>
    </row>
    <row r="11887" ht="15.75" customHeight="1">
      <c r="A11887" s="35"/>
      <c r="C11887" s="442"/>
      <c r="P11887" s="235"/>
      <c r="AI11887" s="38"/>
    </row>
    <row r="11888" ht="15.75" customHeight="1">
      <c r="A11888" s="35"/>
      <c r="C11888" s="442"/>
      <c r="P11888" s="235"/>
      <c r="AI11888" s="38"/>
    </row>
    <row r="11889" ht="15.75" customHeight="1">
      <c r="A11889" s="35"/>
      <c r="C11889" s="442"/>
      <c r="P11889" s="235"/>
      <c r="AI11889" s="38"/>
    </row>
    <row r="11890" ht="15.75" customHeight="1">
      <c r="A11890" s="35"/>
      <c r="C11890" s="442"/>
      <c r="P11890" s="235"/>
      <c r="AI11890" s="38"/>
    </row>
    <row r="11891" ht="15.75" customHeight="1">
      <c r="A11891" s="35"/>
      <c r="C11891" s="442"/>
      <c r="P11891" s="235"/>
      <c r="AI11891" s="38"/>
    </row>
    <row r="11892" ht="15.75" customHeight="1">
      <c r="A11892" s="35"/>
      <c r="C11892" s="442"/>
      <c r="P11892" s="235"/>
      <c r="AI11892" s="38"/>
    </row>
    <row r="11893" ht="15.75" customHeight="1">
      <c r="A11893" s="35"/>
      <c r="C11893" s="442"/>
      <c r="P11893" s="235"/>
      <c r="AI11893" s="38"/>
    </row>
    <row r="11894" ht="15.75" customHeight="1">
      <c r="A11894" s="35"/>
      <c r="C11894" s="442"/>
      <c r="P11894" s="235"/>
      <c r="AI11894" s="38"/>
    </row>
    <row r="11895" ht="15.75" customHeight="1">
      <c r="A11895" s="35"/>
      <c r="C11895" s="442"/>
      <c r="P11895" s="235"/>
      <c r="AI11895" s="38"/>
    </row>
    <row r="11896" ht="15.75" customHeight="1">
      <c r="A11896" s="35"/>
      <c r="C11896" s="442"/>
      <c r="P11896" s="235"/>
      <c r="AI11896" s="38"/>
    </row>
    <row r="11897" ht="15.75" customHeight="1">
      <c r="A11897" s="35"/>
      <c r="C11897" s="442"/>
      <c r="P11897" s="235"/>
      <c r="AI11897" s="38"/>
    </row>
    <row r="11898" ht="15.75" customHeight="1">
      <c r="A11898" s="35"/>
      <c r="C11898" s="442"/>
      <c r="P11898" s="235"/>
      <c r="AI11898" s="38"/>
    </row>
    <row r="11899" ht="15.75" customHeight="1">
      <c r="A11899" s="35"/>
      <c r="C11899" s="442"/>
      <c r="P11899" s="235"/>
      <c r="AI11899" s="38"/>
    </row>
    <row r="11900" ht="15.75" customHeight="1">
      <c r="A11900" s="35"/>
      <c r="C11900" s="442"/>
      <c r="P11900" s="235"/>
      <c r="AI11900" s="38"/>
    </row>
    <row r="11901" ht="15.75" customHeight="1">
      <c r="A11901" s="35"/>
      <c r="C11901" s="442"/>
      <c r="P11901" s="235"/>
      <c r="AI11901" s="38"/>
    </row>
    <row r="11902" ht="15.75" customHeight="1">
      <c r="A11902" s="35"/>
      <c r="C11902" s="442"/>
      <c r="P11902" s="235"/>
      <c r="AI11902" s="38"/>
    </row>
    <row r="11903" ht="15.75" customHeight="1">
      <c r="A11903" s="35"/>
      <c r="C11903" s="442"/>
      <c r="P11903" s="235"/>
      <c r="AI11903" s="38"/>
    </row>
    <row r="11904" ht="15.75" customHeight="1">
      <c r="A11904" s="35"/>
      <c r="C11904" s="442"/>
      <c r="P11904" s="235"/>
      <c r="AI11904" s="38"/>
    </row>
    <row r="11905" ht="15.75" customHeight="1">
      <c r="A11905" s="35"/>
      <c r="C11905" s="442"/>
      <c r="P11905" s="235"/>
      <c r="AI11905" s="38"/>
    </row>
    <row r="11906" ht="15.75" customHeight="1">
      <c r="A11906" s="35"/>
      <c r="C11906" s="442"/>
      <c r="P11906" s="235"/>
      <c r="AI11906" s="38"/>
    </row>
    <row r="11907" ht="15.75" customHeight="1">
      <c r="A11907" s="35"/>
      <c r="C11907" s="442"/>
      <c r="P11907" s="235"/>
      <c r="AI11907" s="38"/>
    </row>
    <row r="11908" ht="15.75" customHeight="1">
      <c r="A11908" s="35"/>
      <c r="C11908" s="442"/>
      <c r="P11908" s="235"/>
      <c r="AI11908" s="38"/>
    </row>
    <row r="11909" ht="15.75" customHeight="1">
      <c r="A11909" s="35"/>
      <c r="C11909" s="442"/>
      <c r="P11909" s="235"/>
      <c r="AI11909" s="38"/>
    </row>
    <row r="11910" ht="15.75" customHeight="1">
      <c r="A11910" s="35"/>
      <c r="C11910" s="442"/>
      <c r="P11910" s="235"/>
      <c r="AI11910" s="38"/>
    </row>
    <row r="11911" ht="15.75" customHeight="1">
      <c r="A11911" s="35"/>
      <c r="C11911" s="442"/>
      <c r="P11911" s="235"/>
      <c r="AI11911" s="38"/>
    </row>
    <row r="11912" ht="15.75" customHeight="1">
      <c r="A11912" s="35"/>
      <c r="C11912" s="442"/>
      <c r="P11912" s="235"/>
      <c r="AI11912" s="38"/>
    </row>
    <row r="11913" ht="15.75" customHeight="1">
      <c r="A11913" s="35"/>
      <c r="C11913" s="442"/>
      <c r="P11913" s="235"/>
      <c r="AI11913" s="38"/>
    </row>
    <row r="11914" ht="15.75" customHeight="1">
      <c r="A11914" s="35"/>
      <c r="C11914" s="442"/>
      <c r="P11914" s="235"/>
      <c r="AI11914" s="38"/>
    </row>
    <row r="11915" ht="15.75" customHeight="1">
      <c r="A11915" s="35"/>
      <c r="C11915" s="442"/>
      <c r="P11915" s="235"/>
      <c r="AI11915" s="38"/>
    </row>
    <row r="11916" ht="15.75" customHeight="1">
      <c r="A11916" s="35"/>
      <c r="C11916" s="442"/>
      <c r="P11916" s="235"/>
      <c r="AI11916" s="38"/>
    </row>
    <row r="11917" ht="15.75" customHeight="1">
      <c r="A11917" s="35"/>
      <c r="C11917" s="442"/>
      <c r="P11917" s="235"/>
      <c r="AI11917" s="38"/>
    </row>
    <row r="11918" ht="15.75" customHeight="1">
      <c r="A11918" s="35"/>
      <c r="C11918" s="442"/>
      <c r="P11918" s="235"/>
      <c r="AI11918" s="38"/>
    </row>
    <row r="11919" ht="15.75" customHeight="1">
      <c r="A11919" s="35"/>
      <c r="C11919" s="442"/>
      <c r="P11919" s="235"/>
      <c r="AI11919" s="38"/>
    </row>
    <row r="11920" ht="15.75" customHeight="1">
      <c r="A11920" s="35"/>
      <c r="C11920" s="442"/>
      <c r="P11920" s="235"/>
      <c r="AI11920" s="38"/>
    </row>
    <row r="11921" ht="15.75" customHeight="1">
      <c r="A11921" s="35"/>
      <c r="C11921" s="442"/>
      <c r="P11921" s="235"/>
      <c r="AI11921" s="38"/>
    </row>
    <row r="11922" ht="15.75" customHeight="1">
      <c r="A11922" s="35"/>
      <c r="C11922" s="442"/>
      <c r="P11922" s="235"/>
      <c r="AI11922" s="38"/>
    </row>
    <row r="11923" ht="15.75" customHeight="1">
      <c r="A11923" s="35"/>
      <c r="C11923" s="442"/>
      <c r="P11923" s="235"/>
      <c r="AI11923" s="38"/>
    </row>
    <row r="11924" ht="15.75" customHeight="1">
      <c r="A11924" s="35"/>
      <c r="C11924" s="442"/>
      <c r="P11924" s="235"/>
      <c r="AI11924" s="38"/>
    </row>
    <row r="11925" ht="15.75" customHeight="1">
      <c r="A11925" s="35"/>
      <c r="C11925" s="442"/>
      <c r="P11925" s="235"/>
      <c r="AI11925" s="38"/>
    </row>
    <row r="11926" ht="15.75" customHeight="1">
      <c r="A11926" s="35"/>
      <c r="C11926" s="442"/>
      <c r="P11926" s="235"/>
      <c r="AI11926" s="38"/>
    </row>
    <row r="11927" ht="15.75" customHeight="1">
      <c r="A11927" s="35"/>
      <c r="C11927" s="442"/>
      <c r="P11927" s="235"/>
      <c r="AI11927" s="38"/>
    </row>
    <row r="11928" ht="15.75" customHeight="1">
      <c r="A11928" s="35"/>
      <c r="C11928" s="442"/>
      <c r="P11928" s="235"/>
      <c r="AI11928" s="38"/>
    </row>
    <row r="11929" ht="15.75" customHeight="1">
      <c r="A11929" s="35"/>
      <c r="C11929" s="442"/>
      <c r="P11929" s="235"/>
      <c r="AI11929" s="38"/>
    </row>
    <row r="11930" ht="15.75" customHeight="1">
      <c r="A11930" s="35"/>
      <c r="C11930" s="442"/>
      <c r="P11930" s="235"/>
      <c r="AI11930" s="38"/>
    </row>
    <row r="11931" ht="15.75" customHeight="1">
      <c r="A11931" s="35"/>
      <c r="C11931" s="442"/>
      <c r="P11931" s="235"/>
      <c r="AI11931" s="38"/>
    </row>
    <row r="11932" ht="15.75" customHeight="1">
      <c r="A11932" s="35"/>
      <c r="C11932" s="442"/>
      <c r="P11932" s="235"/>
      <c r="AI11932" s="38"/>
    </row>
    <row r="11933" ht="15.75" customHeight="1">
      <c r="A11933" s="35"/>
      <c r="C11933" s="442"/>
      <c r="P11933" s="235"/>
      <c r="AI11933" s="38"/>
    </row>
    <row r="11934" ht="15.75" customHeight="1">
      <c r="A11934" s="35"/>
      <c r="C11934" s="442"/>
      <c r="P11934" s="235"/>
      <c r="AI11934" s="38"/>
    </row>
    <row r="11935" ht="15.75" customHeight="1">
      <c r="A11935" s="35"/>
      <c r="C11935" s="442"/>
      <c r="P11935" s="235"/>
      <c r="AI11935" s="38"/>
    </row>
    <row r="11936" ht="15.75" customHeight="1">
      <c r="A11936" s="35"/>
      <c r="C11936" s="442"/>
      <c r="P11936" s="235"/>
      <c r="AI11936" s="38"/>
    </row>
    <row r="11937" ht="15.75" customHeight="1">
      <c r="A11937" s="35"/>
      <c r="C11937" s="442"/>
      <c r="P11937" s="235"/>
      <c r="AI11937" s="38"/>
    </row>
    <row r="11938" ht="15.75" customHeight="1">
      <c r="A11938" s="35"/>
      <c r="C11938" s="442"/>
      <c r="P11938" s="235"/>
      <c r="AI11938" s="38"/>
    </row>
    <row r="11939" ht="15.75" customHeight="1">
      <c r="A11939" s="35"/>
      <c r="C11939" s="442"/>
      <c r="P11939" s="235"/>
      <c r="AI11939" s="38"/>
    </row>
    <row r="11940" ht="15.75" customHeight="1">
      <c r="A11940" s="35"/>
      <c r="C11940" s="442"/>
      <c r="P11940" s="235"/>
      <c r="AI11940" s="38"/>
    </row>
    <row r="11941" ht="15.75" customHeight="1">
      <c r="A11941" s="35"/>
      <c r="C11941" s="442"/>
      <c r="P11941" s="235"/>
      <c r="AI11941" s="38"/>
    </row>
    <row r="11942" ht="15.75" customHeight="1">
      <c r="A11942" s="35"/>
      <c r="C11942" s="442"/>
      <c r="P11942" s="235"/>
      <c r="AI11942" s="38"/>
    </row>
    <row r="11943" ht="15.75" customHeight="1">
      <c r="A11943" s="35"/>
      <c r="C11943" s="442"/>
      <c r="P11943" s="235"/>
      <c r="AI11943" s="38"/>
    </row>
    <row r="11944" ht="15.75" customHeight="1">
      <c r="A11944" s="35"/>
      <c r="C11944" s="442"/>
      <c r="P11944" s="235"/>
      <c r="AI11944" s="38"/>
    </row>
    <row r="11945" ht="15.75" customHeight="1">
      <c r="A11945" s="35"/>
      <c r="C11945" s="442"/>
      <c r="P11945" s="235"/>
      <c r="AI11945" s="38"/>
    </row>
    <row r="11946" ht="15.75" customHeight="1">
      <c r="A11946" s="35"/>
      <c r="C11946" s="442"/>
      <c r="P11946" s="235"/>
      <c r="AI11946" s="38"/>
    </row>
    <row r="11947" ht="15.75" customHeight="1">
      <c r="A11947" s="35"/>
      <c r="C11947" s="442"/>
      <c r="P11947" s="235"/>
      <c r="AI11947" s="38"/>
    </row>
    <row r="11948" ht="15.75" customHeight="1">
      <c r="A11948" s="35"/>
      <c r="C11948" s="442"/>
      <c r="P11948" s="235"/>
      <c r="AI11948" s="38"/>
    </row>
    <row r="11949" ht="15.75" customHeight="1">
      <c r="A11949" s="35"/>
      <c r="C11949" s="442"/>
      <c r="P11949" s="235"/>
      <c r="AI11949" s="38"/>
    </row>
    <row r="11950" ht="15.75" customHeight="1">
      <c r="A11950" s="35"/>
      <c r="C11950" s="442"/>
      <c r="P11950" s="235"/>
      <c r="AI11950" s="38"/>
    </row>
    <row r="11951" ht="15.75" customHeight="1">
      <c r="A11951" s="35"/>
      <c r="C11951" s="442"/>
      <c r="P11951" s="235"/>
      <c r="AI11951" s="38"/>
    </row>
    <row r="11952" ht="15.75" customHeight="1">
      <c r="A11952" s="35"/>
      <c r="C11952" s="442"/>
      <c r="P11952" s="235"/>
      <c r="AI11952" s="38"/>
    </row>
    <row r="11953" ht="15.75" customHeight="1">
      <c r="A11953" s="35"/>
      <c r="C11953" s="442"/>
      <c r="P11953" s="235"/>
      <c r="AI11953" s="38"/>
    </row>
    <row r="11954" ht="15.75" customHeight="1">
      <c r="A11954" s="35"/>
      <c r="C11954" s="442"/>
      <c r="P11954" s="235"/>
      <c r="AI11954" s="38"/>
    </row>
    <row r="11955" ht="15.75" customHeight="1">
      <c r="A11955" s="35"/>
      <c r="C11955" s="442"/>
      <c r="P11955" s="235"/>
      <c r="AI11955" s="38"/>
    </row>
    <row r="11956" ht="15.75" customHeight="1">
      <c r="A11956" s="35"/>
      <c r="C11956" s="442"/>
      <c r="P11956" s="235"/>
      <c r="AI11956" s="38"/>
    </row>
    <row r="11957" ht="15.75" customHeight="1">
      <c r="A11957" s="35"/>
      <c r="C11957" s="442"/>
      <c r="P11957" s="235"/>
      <c r="AI11957" s="38"/>
    </row>
    <row r="11958" ht="15.75" customHeight="1">
      <c r="A11958" s="35"/>
      <c r="C11958" s="442"/>
      <c r="P11958" s="235"/>
      <c r="AI11958" s="38"/>
    </row>
    <row r="11959" ht="15.75" customHeight="1">
      <c r="A11959" s="35"/>
      <c r="C11959" s="442"/>
      <c r="P11959" s="235"/>
      <c r="AI11959" s="38"/>
    </row>
    <row r="11960" ht="15.75" customHeight="1">
      <c r="A11960" s="35"/>
      <c r="C11960" s="442"/>
      <c r="P11960" s="235"/>
      <c r="AI11960" s="38"/>
    </row>
    <row r="11961" ht="15.75" customHeight="1">
      <c r="A11961" s="35"/>
      <c r="C11961" s="442"/>
      <c r="P11961" s="235"/>
      <c r="AI11961" s="38"/>
    </row>
    <row r="11962" ht="15.75" customHeight="1">
      <c r="A11962" s="35"/>
      <c r="C11962" s="442"/>
      <c r="P11962" s="235"/>
      <c r="AI11962" s="38"/>
    </row>
    <row r="11963" ht="15.75" customHeight="1">
      <c r="A11963" s="35"/>
      <c r="C11963" s="442"/>
      <c r="P11963" s="235"/>
      <c r="AI11963" s="38"/>
    </row>
    <row r="11964" ht="15.75" customHeight="1">
      <c r="A11964" s="35"/>
      <c r="C11964" s="442"/>
      <c r="P11964" s="235"/>
      <c r="AI11964" s="38"/>
    </row>
    <row r="11965" ht="15.75" customHeight="1">
      <c r="A11965" s="35"/>
      <c r="C11965" s="442"/>
      <c r="P11965" s="235"/>
      <c r="AI11965" s="38"/>
    </row>
    <row r="11966" ht="15.75" customHeight="1">
      <c r="A11966" s="35"/>
      <c r="C11966" s="442"/>
      <c r="P11966" s="235"/>
      <c r="AI11966" s="38"/>
    </row>
    <row r="11967" ht="15.75" customHeight="1">
      <c r="A11967" s="35"/>
      <c r="C11967" s="442"/>
      <c r="P11967" s="235"/>
      <c r="AI11967" s="38"/>
    </row>
    <row r="11968" ht="15.75" customHeight="1">
      <c r="A11968" s="35"/>
      <c r="C11968" s="442"/>
      <c r="P11968" s="235"/>
      <c r="AI11968" s="38"/>
    </row>
    <row r="11969" ht="15.75" customHeight="1">
      <c r="A11969" s="35"/>
      <c r="C11969" s="442"/>
      <c r="P11969" s="235"/>
      <c r="AI11969" s="38"/>
    </row>
    <row r="11970" ht="15.75" customHeight="1">
      <c r="A11970" s="35"/>
      <c r="C11970" s="442"/>
      <c r="P11970" s="235"/>
      <c r="AI11970" s="38"/>
    </row>
    <row r="11971" ht="15.75" customHeight="1">
      <c r="A11971" s="35"/>
      <c r="C11971" s="442"/>
      <c r="P11971" s="235"/>
      <c r="AI11971" s="38"/>
    </row>
    <row r="11972" ht="15.75" customHeight="1">
      <c r="A11972" s="35"/>
      <c r="C11972" s="442"/>
      <c r="P11972" s="235"/>
      <c r="AI11972" s="38"/>
    </row>
    <row r="11973" ht="15.75" customHeight="1">
      <c r="A11973" s="35"/>
      <c r="C11973" s="442"/>
      <c r="P11973" s="235"/>
      <c r="AI11973" s="38"/>
    </row>
    <row r="11974" ht="15.75" customHeight="1">
      <c r="A11974" s="35"/>
      <c r="C11974" s="442"/>
      <c r="P11974" s="235"/>
      <c r="AI11974" s="38"/>
    </row>
    <row r="11975" ht="15.75" customHeight="1">
      <c r="A11975" s="35"/>
      <c r="C11975" s="442"/>
      <c r="P11975" s="235"/>
      <c r="AI11975" s="38"/>
    </row>
    <row r="11976" ht="15.75" customHeight="1">
      <c r="A11976" s="35"/>
      <c r="C11976" s="442"/>
      <c r="P11976" s="235"/>
      <c r="AI11976" s="38"/>
    </row>
    <row r="11977" ht="15.75" customHeight="1">
      <c r="A11977" s="35"/>
      <c r="C11977" s="442"/>
      <c r="P11977" s="235"/>
      <c r="AI11977" s="38"/>
    </row>
    <row r="11978" ht="15.75" customHeight="1">
      <c r="A11978" s="35"/>
      <c r="C11978" s="442"/>
      <c r="P11978" s="235"/>
      <c r="AI11978" s="38"/>
    </row>
    <row r="11979" ht="15.75" customHeight="1">
      <c r="A11979" s="35"/>
      <c r="C11979" s="442"/>
      <c r="P11979" s="235"/>
      <c r="AI11979" s="38"/>
    </row>
    <row r="11980" ht="15.75" customHeight="1">
      <c r="A11980" s="35"/>
      <c r="C11980" s="442"/>
      <c r="P11980" s="235"/>
      <c r="AI11980" s="38"/>
    </row>
    <row r="11981" ht="15.75" customHeight="1">
      <c r="A11981" s="35"/>
      <c r="C11981" s="442"/>
      <c r="P11981" s="235"/>
      <c r="AI11981" s="38"/>
    </row>
    <row r="11982" ht="15.75" customHeight="1">
      <c r="A11982" s="35"/>
      <c r="C11982" s="442"/>
      <c r="P11982" s="235"/>
      <c r="AI11982" s="38"/>
    </row>
    <row r="11983" ht="15.75" customHeight="1">
      <c r="A11983" s="35"/>
      <c r="C11983" s="442"/>
      <c r="P11983" s="235"/>
      <c r="AI11983" s="38"/>
    </row>
    <row r="11984" ht="15.75" customHeight="1">
      <c r="A11984" s="35"/>
      <c r="C11984" s="442"/>
      <c r="P11984" s="235"/>
      <c r="AI11984" s="38"/>
    </row>
    <row r="11985" ht="15.75" customHeight="1">
      <c r="A11985" s="35"/>
      <c r="C11985" s="442"/>
      <c r="P11985" s="235"/>
      <c r="AI11985" s="38"/>
    </row>
    <row r="11986" ht="15.75" customHeight="1">
      <c r="A11986" s="35"/>
      <c r="C11986" s="442"/>
      <c r="P11986" s="235"/>
      <c r="AI11986" s="38"/>
    </row>
    <row r="11987" ht="15.75" customHeight="1">
      <c r="A11987" s="35"/>
      <c r="C11987" s="442"/>
      <c r="P11987" s="235"/>
      <c r="AI11987" s="38"/>
    </row>
    <row r="11988" ht="15.75" customHeight="1">
      <c r="A11988" s="35"/>
      <c r="C11988" s="442"/>
      <c r="P11988" s="235"/>
      <c r="AI11988" s="38"/>
    </row>
    <row r="11989" ht="15.75" customHeight="1">
      <c r="A11989" s="35"/>
      <c r="C11989" s="442"/>
      <c r="P11989" s="235"/>
      <c r="AI11989" s="38"/>
    </row>
    <row r="11990" ht="15.75" customHeight="1">
      <c r="A11990" s="35"/>
      <c r="C11990" s="442"/>
      <c r="P11990" s="235"/>
      <c r="AI11990" s="38"/>
    </row>
    <row r="11991" ht="15.75" customHeight="1">
      <c r="A11991" s="35"/>
      <c r="C11991" s="442"/>
      <c r="P11991" s="235"/>
      <c r="AI11991" s="38"/>
    </row>
    <row r="11992" ht="15.75" customHeight="1">
      <c r="A11992" s="35"/>
      <c r="C11992" s="442"/>
      <c r="P11992" s="235"/>
      <c r="AI11992" s="38"/>
    </row>
    <row r="11993" ht="15.75" customHeight="1">
      <c r="A11993" s="35"/>
      <c r="C11993" s="442"/>
      <c r="P11993" s="235"/>
      <c r="AI11993" s="38"/>
    </row>
    <row r="11994" ht="15.75" customHeight="1">
      <c r="A11994" s="35"/>
      <c r="C11994" s="442"/>
      <c r="P11994" s="235"/>
      <c r="AI11994" s="38"/>
    </row>
    <row r="11995" ht="15.75" customHeight="1">
      <c r="A11995" s="35"/>
      <c r="C11995" s="442"/>
      <c r="P11995" s="235"/>
      <c r="AI11995" s="38"/>
    </row>
    <row r="11996" ht="15.75" customHeight="1">
      <c r="A11996" s="35"/>
      <c r="C11996" s="442"/>
      <c r="P11996" s="235"/>
      <c r="AI11996" s="38"/>
    </row>
    <row r="11997" ht="15.75" customHeight="1">
      <c r="A11997" s="35"/>
      <c r="C11997" s="442"/>
      <c r="P11997" s="235"/>
      <c r="AI11997" s="38"/>
    </row>
    <row r="11998" ht="15.75" customHeight="1">
      <c r="A11998" s="35"/>
      <c r="C11998" s="442"/>
      <c r="P11998" s="235"/>
      <c r="AI11998" s="38"/>
    </row>
    <row r="11999" ht="15.75" customHeight="1">
      <c r="A11999" s="35"/>
      <c r="C11999" s="442"/>
      <c r="P11999" s="235"/>
      <c r="AI11999" s="38"/>
    </row>
    <row r="12000" ht="15.75" customHeight="1">
      <c r="A12000" s="35"/>
      <c r="C12000" s="442"/>
      <c r="P12000" s="235"/>
      <c r="AI12000" s="38"/>
    </row>
    <row r="12001" ht="15.75" customHeight="1">
      <c r="A12001" s="35"/>
      <c r="C12001" s="442"/>
      <c r="P12001" s="235"/>
      <c r="AI12001" s="38"/>
    </row>
    <row r="12002" ht="15.75" customHeight="1">
      <c r="A12002" s="35"/>
      <c r="C12002" s="442"/>
      <c r="P12002" s="235"/>
      <c r="AI12002" s="38"/>
    </row>
    <row r="12003" ht="15.75" customHeight="1">
      <c r="A12003" s="35"/>
      <c r="C12003" s="442"/>
      <c r="P12003" s="235"/>
      <c r="AI12003" s="38"/>
    </row>
    <row r="12004" ht="15.75" customHeight="1">
      <c r="A12004" s="35"/>
      <c r="C12004" s="442"/>
      <c r="P12004" s="235"/>
      <c r="AI12004" s="38"/>
    </row>
    <row r="12005" ht="15.75" customHeight="1">
      <c r="A12005" s="35"/>
      <c r="C12005" s="442"/>
      <c r="P12005" s="235"/>
      <c r="AI12005" s="38"/>
    </row>
    <row r="12006" ht="15.75" customHeight="1">
      <c r="A12006" s="35"/>
      <c r="C12006" s="442"/>
      <c r="P12006" s="235"/>
      <c r="AI12006" s="38"/>
    </row>
    <row r="12007" ht="15.75" customHeight="1">
      <c r="A12007" s="35"/>
      <c r="C12007" s="442"/>
      <c r="P12007" s="235"/>
      <c r="AI12007" s="38"/>
    </row>
    <row r="12008" ht="15.75" customHeight="1">
      <c r="A12008" s="35"/>
      <c r="C12008" s="442"/>
      <c r="P12008" s="235"/>
      <c r="AI12008" s="38"/>
    </row>
    <row r="12009" ht="15.75" customHeight="1">
      <c r="A12009" s="35"/>
      <c r="C12009" s="442"/>
      <c r="P12009" s="235"/>
      <c r="AI12009" s="38"/>
    </row>
    <row r="12010" ht="15.75" customHeight="1">
      <c r="A12010" s="35"/>
      <c r="C12010" s="442"/>
      <c r="P12010" s="235"/>
      <c r="AI12010" s="38"/>
    </row>
    <row r="12011" ht="15.75" customHeight="1">
      <c r="A12011" s="35"/>
      <c r="C12011" s="442"/>
      <c r="P12011" s="235"/>
      <c r="AI12011" s="38"/>
    </row>
    <row r="12012" ht="15.75" customHeight="1">
      <c r="A12012" s="35"/>
      <c r="C12012" s="442"/>
      <c r="P12012" s="235"/>
      <c r="AI12012" s="38"/>
    </row>
    <row r="12013" ht="15.75" customHeight="1">
      <c r="A12013" s="35"/>
      <c r="C12013" s="442"/>
      <c r="P12013" s="235"/>
      <c r="AI12013" s="38"/>
    </row>
    <row r="12014" ht="15.75" customHeight="1">
      <c r="A12014" s="35"/>
      <c r="C12014" s="442"/>
      <c r="P12014" s="235"/>
      <c r="AI12014" s="38"/>
    </row>
    <row r="12015" ht="15.75" customHeight="1">
      <c r="A12015" s="35"/>
      <c r="C12015" s="442"/>
      <c r="P12015" s="235"/>
      <c r="AI12015" s="38"/>
    </row>
    <row r="12016" ht="15.75" customHeight="1">
      <c r="A12016" s="35"/>
      <c r="C12016" s="442"/>
      <c r="P12016" s="235"/>
      <c r="AI12016" s="38"/>
    </row>
    <row r="12017" ht="15.75" customHeight="1">
      <c r="A12017" s="35"/>
      <c r="C12017" s="442"/>
      <c r="P12017" s="235"/>
      <c r="AI12017" s="38"/>
    </row>
    <row r="12018" ht="15.75" customHeight="1">
      <c r="A12018" s="35"/>
      <c r="C12018" s="442"/>
      <c r="P12018" s="235"/>
      <c r="AI12018" s="38"/>
    </row>
    <row r="12019" ht="15.75" customHeight="1">
      <c r="A12019" s="35"/>
      <c r="C12019" s="442"/>
      <c r="P12019" s="235"/>
      <c r="AI12019" s="38"/>
    </row>
    <row r="12020" ht="15.75" customHeight="1">
      <c r="A12020" s="35"/>
      <c r="C12020" s="442"/>
      <c r="P12020" s="235"/>
      <c r="AI12020" s="38"/>
    </row>
    <row r="12021" ht="15.75" customHeight="1">
      <c r="A12021" s="35"/>
      <c r="C12021" s="442"/>
      <c r="P12021" s="235"/>
      <c r="AI12021" s="38"/>
    </row>
    <row r="12022" ht="15.75" customHeight="1">
      <c r="A12022" s="35"/>
      <c r="C12022" s="442"/>
      <c r="P12022" s="235"/>
      <c r="AI12022" s="38"/>
    </row>
    <row r="12023" ht="15.75" customHeight="1">
      <c r="A12023" s="35"/>
      <c r="C12023" s="442"/>
      <c r="P12023" s="235"/>
      <c r="AI12023" s="38"/>
    </row>
    <row r="12024" ht="15.75" customHeight="1">
      <c r="A12024" s="35"/>
      <c r="C12024" s="442"/>
      <c r="P12024" s="235"/>
      <c r="AI12024" s="38"/>
    </row>
    <row r="12025" ht="15.75" customHeight="1">
      <c r="A12025" s="35"/>
      <c r="C12025" s="442"/>
      <c r="P12025" s="235"/>
      <c r="AI12025" s="38"/>
    </row>
    <row r="12026" ht="15.75" customHeight="1">
      <c r="A12026" s="35"/>
      <c r="C12026" s="442"/>
      <c r="P12026" s="235"/>
      <c r="AI12026" s="38"/>
    </row>
    <row r="12027" ht="15.75" customHeight="1">
      <c r="A12027" s="35"/>
      <c r="C12027" s="442"/>
      <c r="P12027" s="235"/>
      <c r="AI12027" s="38"/>
    </row>
    <row r="12028" ht="15.75" customHeight="1">
      <c r="A12028" s="35"/>
      <c r="C12028" s="442"/>
      <c r="P12028" s="235"/>
      <c r="AI12028" s="38"/>
    </row>
    <row r="12029" ht="15.75" customHeight="1">
      <c r="A12029" s="35"/>
      <c r="C12029" s="442"/>
      <c r="P12029" s="235"/>
      <c r="AI12029" s="38"/>
    </row>
    <row r="12030" ht="15.75" customHeight="1">
      <c r="A12030" s="35"/>
      <c r="C12030" s="442"/>
      <c r="P12030" s="235"/>
      <c r="AI12030" s="38"/>
    </row>
    <row r="12031" ht="15.75" customHeight="1">
      <c r="A12031" s="35"/>
      <c r="C12031" s="442"/>
      <c r="P12031" s="235"/>
      <c r="AI12031" s="38"/>
    </row>
    <row r="12032" ht="15.75" customHeight="1">
      <c r="A12032" s="35"/>
      <c r="C12032" s="442"/>
      <c r="P12032" s="235"/>
      <c r="AI12032" s="38"/>
    </row>
    <row r="12033" ht="15.75" customHeight="1">
      <c r="A12033" s="35"/>
      <c r="C12033" s="442"/>
      <c r="P12033" s="235"/>
      <c r="AI12033" s="38"/>
    </row>
    <row r="12034" ht="15.75" customHeight="1">
      <c r="A12034" s="35"/>
      <c r="C12034" s="442"/>
      <c r="P12034" s="235"/>
      <c r="AI12034" s="38"/>
    </row>
    <row r="12035" ht="15.75" customHeight="1">
      <c r="A12035" s="35"/>
      <c r="C12035" s="442"/>
      <c r="P12035" s="235"/>
      <c r="AI12035" s="38"/>
    </row>
    <row r="12036" ht="15.75" customHeight="1">
      <c r="A12036" s="35"/>
      <c r="C12036" s="442"/>
      <c r="P12036" s="235"/>
      <c r="AI12036" s="38"/>
    </row>
    <row r="12037" ht="15.75" customHeight="1">
      <c r="A12037" s="35"/>
      <c r="C12037" s="442"/>
      <c r="P12037" s="235"/>
      <c r="AI12037" s="38"/>
    </row>
    <row r="12038" ht="15.75" customHeight="1">
      <c r="A12038" s="35"/>
      <c r="C12038" s="442"/>
      <c r="P12038" s="235"/>
      <c r="AI12038" s="38"/>
    </row>
    <row r="12039" ht="15.75" customHeight="1">
      <c r="A12039" s="35"/>
      <c r="C12039" s="442"/>
      <c r="P12039" s="235"/>
      <c r="AI12039" s="38"/>
    </row>
    <row r="12040" ht="15.75" customHeight="1">
      <c r="A12040" s="35"/>
      <c r="C12040" s="442"/>
      <c r="P12040" s="235"/>
      <c r="AI12040" s="38"/>
    </row>
    <row r="12041" ht="15.75" customHeight="1">
      <c r="A12041" s="35"/>
      <c r="C12041" s="442"/>
      <c r="P12041" s="235"/>
      <c r="AI12041" s="38"/>
    </row>
    <row r="12042" ht="15.75" customHeight="1">
      <c r="A12042" s="35"/>
      <c r="C12042" s="442"/>
      <c r="P12042" s="235"/>
      <c r="AI12042" s="38"/>
    </row>
    <row r="12043" ht="15.75" customHeight="1">
      <c r="A12043" s="35"/>
      <c r="C12043" s="442"/>
      <c r="P12043" s="235"/>
      <c r="AI12043" s="38"/>
    </row>
    <row r="12044" ht="15.75" customHeight="1">
      <c r="A12044" s="35"/>
      <c r="C12044" s="442"/>
      <c r="P12044" s="235"/>
      <c r="AI12044" s="38"/>
    </row>
    <row r="12045" ht="15.75" customHeight="1">
      <c r="A12045" s="35"/>
      <c r="C12045" s="442"/>
      <c r="P12045" s="235"/>
      <c r="AI12045" s="38"/>
    </row>
    <row r="12046" ht="15.75" customHeight="1">
      <c r="A12046" s="35"/>
      <c r="C12046" s="442"/>
      <c r="P12046" s="235"/>
      <c r="AI12046" s="38"/>
    </row>
    <row r="12047" ht="15.75" customHeight="1">
      <c r="A12047" s="35"/>
      <c r="C12047" s="442"/>
      <c r="P12047" s="235"/>
      <c r="AI12047" s="38"/>
    </row>
    <row r="12048" ht="15.75" customHeight="1">
      <c r="A12048" s="35"/>
      <c r="C12048" s="442"/>
      <c r="P12048" s="235"/>
      <c r="AI12048" s="38"/>
    </row>
    <row r="12049" ht="15.75" customHeight="1">
      <c r="A12049" s="35"/>
      <c r="C12049" s="442"/>
      <c r="P12049" s="235"/>
      <c r="AI12049" s="38"/>
    </row>
    <row r="12050" ht="15.75" customHeight="1">
      <c r="A12050" s="35"/>
      <c r="C12050" s="442"/>
      <c r="P12050" s="235"/>
      <c r="AI12050" s="38"/>
    </row>
    <row r="12051" ht="15.75" customHeight="1">
      <c r="A12051" s="35"/>
      <c r="C12051" s="442"/>
      <c r="P12051" s="235"/>
      <c r="AI12051" s="38"/>
    </row>
    <row r="12052" ht="15.75" customHeight="1">
      <c r="A12052" s="35"/>
      <c r="C12052" s="442"/>
      <c r="P12052" s="235"/>
      <c r="AI12052" s="38"/>
    </row>
    <row r="12053" ht="15.75" customHeight="1">
      <c r="A12053" s="35"/>
      <c r="C12053" s="442"/>
      <c r="P12053" s="235"/>
      <c r="AI12053" s="38"/>
    </row>
    <row r="12054" ht="15.75" customHeight="1">
      <c r="A12054" s="35"/>
      <c r="C12054" s="442"/>
      <c r="P12054" s="235"/>
      <c r="AI12054" s="38"/>
    </row>
    <row r="12055" ht="15.75" customHeight="1">
      <c r="A12055" s="35"/>
      <c r="C12055" s="442"/>
      <c r="P12055" s="235"/>
      <c r="AI12055" s="38"/>
    </row>
    <row r="12056" ht="15.75" customHeight="1">
      <c r="A12056" s="35"/>
      <c r="C12056" s="442"/>
      <c r="P12056" s="235"/>
      <c r="AI12056" s="38"/>
    </row>
    <row r="12057" ht="15.75" customHeight="1">
      <c r="A12057" s="35"/>
      <c r="C12057" s="442"/>
      <c r="P12057" s="235"/>
      <c r="AI12057" s="38"/>
    </row>
    <row r="12058" ht="15.75" customHeight="1">
      <c r="A12058" s="35"/>
      <c r="C12058" s="442"/>
      <c r="P12058" s="235"/>
      <c r="AI12058" s="38"/>
    </row>
    <row r="12059" ht="15.75" customHeight="1">
      <c r="A12059" s="35"/>
      <c r="C12059" s="442"/>
      <c r="P12059" s="235"/>
      <c r="AI12059" s="38"/>
    </row>
    <row r="12060" ht="15.75" customHeight="1">
      <c r="A12060" s="35"/>
      <c r="C12060" s="442"/>
      <c r="P12060" s="235"/>
      <c r="AI12060" s="38"/>
    </row>
    <row r="12061" ht="15.75" customHeight="1">
      <c r="A12061" s="35"/>
      <c r="C12061" s="442"/>
      <c r="P12061" s="235"/>
      <c r="AI12061" s="38"/>
    </row>
    <row r="12062" ht="15.75" customHeight="1">
      <c r="A12062" s="35"/>
      <c r="C12062" s="442"/>
      <c r="P12062" s="235"/>
      <c r="AI12062" s="38"/>
    </row>
    <row r="12063" ht="15.75" customHeight="1">
      <c r="A12063" s="35"/>
      <c r="C12063" s="442"/>
      <c r="P12063" s="235"/>
      <c r="AI12063" s="38"/>
    </row>
    <row r="12064" ht="15.75" customHeight="1">
      <c r="A12064" s="35"/>
      <c r="C12064" s="442"/>
      <c r="P12064" s="235"/>
      <c r="AI12064" s="38"/>
    </row>
    <row r="12065" ht="15.75" customHeight="1">
      <c r="A12065" s="35"/>
      <c r="C12065" s="442"/>
      <c r="P12065" s="235"/>
      <c r="AI12065" s="38"/>
    </row>
    <row r="12066" ht="15.75" customHeight="1">
      <c r="A12066" s="35"/>
      <c r="C12066" s="442"/>
      <c r="P12066" s="235"/>
      <c r="AI12066" s="38"/>
    </row>
    <row r="12067" ht="15.75" customHeight="1">
      <c r="A12067" s="35"/>
      <c r="C12067" s="442"/>
      <c r="P12067" s="235"/>
      <c r="AI12067" s="38"/>
    </row>
    <row r="12068" ht="15.75" customHeight="1">
      <c r="A12068" s="35"/>
      <c r="C12068" s="442"/>
      <c r="P12068" s="235"/>
      <c r="AI12068" s="38"/>
    </row>
    <row r="12069" ht="15.75" customHeight="1">
      <c r="A12069" s="35"/>
      <c r="C12069" s="442"/>
      <c r="P12069" s="235"/>
      <c r="AI12069" s="38"/>
    </row>
    <row r="12070" ht="15.75" customHeight="1">
      <c r="A12070" s="35"/>
      <c r="C12070" s="442"/>
      <c r="P12070" s="235"/>
      <c r="AI12070" s="38"/>
    </row>
    <row r="12071" ht="15.75" customHeight="1">
      <c r="A12071" s="35"/>
      <c r="C12071" s="442"/>
      <c r="P12071" s="235"/>
      <c r="AI12071" s="38"/>
    </row>
    <row r="12072" ht="15.75" customHeight="1">
      <c r="A12072" s="35"/>
      <c r="C12072" s="442"/>
      <c r="P12072" s="235"/>
      <c r="AI12072" s="38"/>
    </row>
    <row r="12073" ht="15.75" customHeight="1">
      <c r="A12073" s="35"/>
      <c r="C12073" s="442"/>
      <c r="P12073" s="235"/>
      <c r="AI12073" s="38"/>
    </row>
    <row r="12074" ht="15.75" customHeight="1">
      <c r="A12074" s="35"/>
      <c r="C12074" s="442"/>
      <c r="P12074" s="235"/>
      <c r="AI12074" s="38"/>
    </row>
    <row r="12075" ht="15.75" customHeight="1">
      <c r="A12075" s="35"/>
      <c r="C12075" s="442"/>
      <c r="P12075" s="235"/>
      <c r="AI12075" s="38"/>
    </row>
    <row r="12076" ht="15.75" customHeight="1">
      <c r="A12076" s="35"/>
      <c r="C12076" s="442"/>
      <c r="P12076" s="235"/>
      <c r="AI12076" s="38"/>
    </row>
    <row r="12077" ht="15.75" customHeight="1">
      <c r="A12077" s="35"/>
      <c r="C12077" s="442"/>
      <c r="P12077" s="235"/>
      <c r="AI12077" s="38"/>
    </row>
    <row r="12078" ht="15.75" customHeight="1">
      <c r="A12078" s="35"/>
      <c r="C12078" s="442"/>
      <c r="P12078" s="235"/>
      <c r="AI12078" s="38"/>
    </row>
    <row r="12079" ht="15.75" customHeight="1">
      <c r="A12079" s="35"/>
      <c r="C12079" s="442"/>
      <c r="P12079" s="235"/>
      <c r="AI12079" s="38"/>
    </row>
    <row r="12080" ht="15.75" customHeight="1">
      <c r="A12080" s="35"/>
      <c r="C12080" s="442"/>
      <c r="P12080" s="235"/>
      <c r="AI12080" s="38"/>
    </row>
    <row r="12081" ht="15.75" customHeight="1">
      <c r="A12081" s="35"/>
      <c r="C12081" s="442"/>
      <c r="P12081" s="235"/>
      <c r="AI12081" s="38"/>
    </row>
    <row r="12082" ht="15.75" customHeight="1">
      <c r="A12082" s="35"/>
      <c r="C12082" s="442"/>
      <c r="P12082" s="235"/>
      <c r="AI12082" s="38"/>
    </row>
    <row r="12083" ht="15.75" customHeight="1">
      <c r="A12083" s="35"/>
      <c r="C12083" s="442"/>
      <c r="P12083" s="235"/>
      <c r="AI12083" s="38"/>
    </row>
    <row r="12084" ht="15.75" customHeight="1">
      <c r="A12084" s="35"/>
      <c r="C12084" s="442"/>
      <c r="P12084" s="235"/>
      <c r="AI12084" s="38"/>
    </row>
    <row r="12085" ht="15.75" customHeight="1">
      <c r="A12085" s="35"/>
      <c r="C12085" s="442"/>
      <c r="P12085" s="235"/>
      <c r="AI12085" s="38"/>
    </row>
    <row r="12086" ht="15.75" customHeight="1">
      <c r="A12086" s="35"/>
      <c r="C12086" s="442"/>
      <c r="P12086" s="235"/>
      <c r="AI12086" s="38"/>
    </row>
    <row r="12087" ht="15.75" customHeight="1">
      <c r="A12087" s="35"/>
      <c r="C12087" s="442"/>
      <c r="P12087" s="235"/>
      <c r="AI12087" s="38"/>
    </row>
    <row r="12088" ht="15.75" customHeight="1">
      <c r="A12088" s="35"/>
      <c r="C12088" s="442"/>
      <c r="P12088" s="235"/>
      <c r="AI12088" s="38"/>
    </row>
    <row r="12089" ht="15.75" customHeight="1">
      <c r="A12089" s="35"/>
      <c r="C12089" s="442"/>
      <c r="P12089" s="235"/>
      <c r="AI12089" s="38"/>
    </row>
    <row r="12090" ht="15.75" customHeight="1">
      <c r="A12090" s="35"/>
      <c r="C12090" s="442"/>
      <c r="P12090" s="235"/>
      <c r="AI12090" s="38"/>
    </row>
    <row r="12091" ht="15.75" customHeight="1">
      <c r="A12091" s="35"/>
      <c r="C12091" s="442"/>
      <c r="P12091" s="235"/>
      <c r="AI12091" s="38"/>
    </row>
    <row r="12092" ht="15.75" customHeight="1">
      <c r="A12092" s="35"/>
      <c r="C12092" s="442"/>
      <c r="P12092" s="235"/>
      <c r="AI12092" s="38"/>
    </row>
    <row r="12093" ht="15.75" customHeight="1">
      <c r="A12093" s="35"/>
      <c r="C12093" s="442"/>
      <c r="P12093" s="235"/>
      <c r="AI12093" s="38"/>
    </row>
    <row r="12094" ht="15.75" customHeight="1">
      <c r="A12094" s="35"/>
      <c r="C12094" s="442"/>
      <c r="P12094" s="235"/>
      <c r="AI12094" s="38"/>
    </row>
    <row r="12095" ht="15.75" customHeight="1">
      <c r="A12095" s="35"/>
      <c r="C12095" s="442"/>
      <c r="P12095" s="235"/>
      <c r="AI12095" s="38"/>
    </row>
    <row r="12096" ht="15.75" customHeight="1">
      <c r="A12096" s="35"/>
      <c r="C12096" s="442"/>
      <c r="P12096" s="235"/>
      <c r="AI12096" s="38"/>
    </row>
    <row r="12097" ht="15.75" customHeight="1">
      <c r="A12097" s="35"/>
      <c r="C12097" s="442"/>
      <c r="P12097" s="235"/>
      <c r="AI12097" s="38"/>
    </row>
    <row r="12098" ht="15.75" customHeight="1">
      <c r="A12098" s="35"/>
      <c r="C12098" s="442"/>
      <c r="P12098" s="235"/>
      <c r="AI12098" s="38"/>
    </row>
    <row r="12099" ht="15.75" customHeight="1">
      <c r="A12099" s="35"/>
      <c r="C12099" s="442"/>
      <c r="P12099" s="235"/>
      <c r="AI12099" s="38"/>
    </row>
    <row r="12100" ht="15.75" customHeight="1">
      <c r="A12100" s="35"/>
      <c r="C12100" s="442"/>
      <c r="P12100" s="235"/>
      <c r="AI12100" s="38"/>
    </row>
    <row r="12101" ht="15.75" customHeight="1">
      <c r="A12101" s="35"/>
      <c r="C12101" s="442"/>
      <c r="P12101" s="235"/>
      <c r="AI12101" s="38"/>
    </row>
    <row r="12102" ht="15.75" customHeight="1">
      <c r="A12102" s="35"/>
      <c r="C12102" s="442"/>
      <c r="P12102" s="235"/>
      <c r="AI12102" s="38"/>
    </row>
    <row r="12103" ht="15.75" customHeight="1">
      <c r="A12103" s="35"/>
      <c r="C12103" s="442"/>
      <c r="P12103" s="235"/>
      <c r="AI12103" s="38"/>
    </row>
    <row r="12104" ht="15.75" customHeight="1">
      <c r="A12104" s="35"/>
      <c r="C12104" s="442"/>
      <c r="P12104" s="235"/>
      <c r="AI12104" s="38"/>
    </row>
    <row r="12105" ht="15.75" customHeight="1">
      <c r="A12105" s="35"/>
      <c r="C12105" s="442"/>
      <c r="P12105" s="235"/>
      <c r="AI12105" s="38"/>
    </row>
    <row r="12106" ht="15.75" customHeight="1">
      <c r="A12106" s="35"/>
      <c r="C12106" s="442"/>
      <c r="P12106" s="235"/>
      <c r="AI12106" s="38"/>
    </row>
    <row r="12107" ht="15.75" customHeight="1">
      <c r="A12107" s="35"/>
      <c r="C12107" s="442"/>
      <c r="P12107" s="235"/>
      <c r="AI12107" s="38"/>
    </row>
    <row r="12108" ht="15.75" customHeight="1">
      <c r="A12108" s="35"/>
      <c r="C12108" s="442"/>
      <c r="P12108" s="235"/>
      <c r="AI12108" s="38"/>
    </row>
    <row r="12109" ht="15.75" customHeight="1">
      <c r="A12109" s="35"/>
      <c r="C12109" s="442"/>
      <c r="P12109" s="235"/>
      <c r="AI12109" s="38"/>
    </row>
    <row r="12110" ht="15.75" customHeight="1">
      <c r="A12110" s="35"/>
      <c r="C12110" s="442"/>
      <c r="P12110" s="235"/>
      <c r="AI12110" s="38"/>
    </row>
    <row r="12111" ht="15.75" customHeight="1">
      <c r="A12111" s="35"/>
      <c r="C12111" s="442"/>
      <c r="P12111" s="235"/>
      <c r="AI12111" s="38"/>
    </row>
    <row r="12112" ht="15.75" customHeight="1">
      <c r="A12112" s="35"/>
      <c r="C12112" s="442"/>
      <c r="P12112" s="235"/>
      <c r="AI12112" s="38"/>
    </row>
    <row r="12113" ht="15.75" customHeight="1">
      <c r="A12113" s="35"/>
      <c r="C12113" s="442"/>
      <c r="P12113" s="235"/>
      <c r="AI12113" s="38"/>
    </row>
    <row r="12114" ht="15.75" customHeight="1">
      <c r="A12114" s="35"/>
      <c r="C12114" s="442"/>
      <c r="P12114" s="235"/>
      <c r="AI12114" s="38"/>
    </row>
    <row r="12115" ht="15.75" customHeight="1">
      <c r="A12115" s="35"/>
      <c r="C12115" s="442"/>
      <c r="P12115" s="235"/>
      <c r="AI12115" s="38"/>
    </row>
    <row r="12116" ht="15.75" customHeight="1">
      <c r="A12116" s="35"/>
      <c r="C12116" s="442"/>
      <c r="P12116" s="235"/>
      <c r="AI12116" s="38"/>
    </row>
    <row r="12117" ht="15.75" customHeight="1">
      <c r="A12117" s="35"/>
      <c r="C12117" s="442"/>
      <c r="P12117" s="235"/>
      <c r="AI12117" s="38"/>
    </row>
    <row r="12118" ht="15.75" customHeight="1">
      <c r="A12118" s="35"/>
      <c r="C12118" s="442"/>
      <c r="P12118" s="235"/>
      <c r="AI12118" s="38"/>
    </row>
    <row r="12119" ht="15.75" customHeight="1">
      <c r="A12119" s="35"/>
      <c r="C12119" s="442"/>
      <c r="P12119" s="235"/>
      <c r="AI12119" s="38"/>
    </row>
    <row r="12120" ht="15.75" customHeight="1">
      <c r="A12120" s="35"/>
      <c r="C12120" s="442"/>
      <c r="P12120" s="235"/>
      <c r="AI12120" s="38"/>
    </row>
    <row r="12121" ht="15.75" customHeight="1">
      <c r="A12121" s="35"/>
      <c r="C12121" s="442"/>
      <c r="P12121" s="235"/>
      <c r="AI12121" s="38"/>
    </row>
    <row r="12122" ht="15.75" customHeight="1">
      <c r="A12122" s="35"/>
      <c r="C12122" s="442"/>
      <c r="P12122" s="235"/>
      <c r="AI12122" s="38"/>
    </row>
    <row r="12123" ht="15.75" customHeight="1">
      <c r="A12123" s="35"/>
      <c r="C12123" s="442"/>
      <c r="P12123" s="235"/>
      <c r="AI12123" s="38"/>
    </row>
    <row r="12124" ht="15.75" customHeight="1">
      <c r="A12124" s="35"/>
      <c r="C12124" s="442"/>
      <c r="P12124" s="235"/>
      <c r="AI12124" s="38"/>
    </row>
    <row r="12125" ht="15.75" customHeight="1">
      <c r="A12125" s="35"/>
      <c r="C12125" s="442"/>
      <c r="P12125" s="235"/>
      <c r="AI12125" s="38"/>
    </row>
    <row r="12126" ht="15.75" customHeight="1">
      <c r="A12126" s="35"/>
      <c r="C12126" s="442"/>
      <c r="P12126" s="235"/>
      <c r="AI12126" s="38"/>
    </row>
    <row r="12127" ht="15.75" customHeight="1">
      <c r="A12127" s="35"/>
      <c r="C12127" s="442"/>
      <c r="P12127" s="235"/>
      <c r="AI12127" s="38"/>
    </row>
    <row r="12128" ht="15.75" customHeight="1">
      <c r="A12128" s="35"/>
      <c r="C12128" s="442"/>
      <c r="P12128" s="235"/>
      <c r="AI12128" s="38"/>
    </row>
    <row r="12129" ht="15.75" customHeight="1">
      <c r="A12129" s="35"/>
      <c r="C12129" s="442"/>
      <c r="P12129" s="235"/>
      <c r="AI12129" s="38"/>
    </row>
    <row r="12130" ht="15.75" customHeight="1">
      <c r="A12130" s="35"/>
      <c r="C12130" s="442"/>
      <c r="P12130" s="235"/>
      <c r="AI12130" s="38"/>
    </row>
    <row r="12131" ht="15.75" customHeight="1">
      <c r="A12131" s="35"/>
      <c r="C12131" s="442"/>
      <c r="P12131" s="235"/>
      <c r="AI12131" s="38"/>
    </row>
    <row r="12132" ht="15.75" customHeight="1">
      <c r="A12132" s="35"/>
      <c r="C12132" s="442"/>
      <c r="P12132" s="235"/>
      <c r="AI12132" s="38"/>
    </row>
    <row r="12133" ht="15.75" customHeight="1">
      <c r="A12133" s="35"/>
      <c r="C12133" s="442"/>
      <c r="P12133" s="235"/>
      <c r="AI12133" s="38"/>
    </row>
    <row r="12134" ht="15.75" customHeight="1">
      <c r="A12134" s="35"/>
      <c r="C12134" s="442"/>
      <c r="P12134" s="235"/>
      <c r="AI12134" s="38"/>
    </row>
    <row r="12135" ht="15.75" customHeight="1">
      <c r="A12135" s="35"/>
      <c r="C12135" s="442"/>
      <c r="P12135" s="235"/>
      <c r="AI12135" s="38"/>
    </row>
    <row r="12136" ht="15.75" customHeight="1">
      <c r="A12136" s="35"/>
      <c r="C12136" s="442"/>
      <c r="P12136" s="235"/>
      <c r="AI12136" s="38"/>
    </row>
    <row r="12137" ht="15.75" customHeight="1">
      <c r="A12137" s="35"/>
      <c r="C12137" s="442"/>
      <c r="P12137" s="235"/>
      <c r="AI12137" s="38"/>
    </row>
    <row r="12138" ht="15.75" customHeight="1">
      <c r="A12138" s="35"/>
      <c r="C12138" s="442"/>
      <c r="P12138" s="235"/>
      <c r="AI12138" s="38"/>
    </row>
    <row r="12139" ht="15.75" customHeight="1">
      <c r="A12139" s="35"/>
      <c r="C12139" s="442"/>
      <c r="P12139" s="235"/>
      <c r="AI12139" s="38"/>
    </row>
    <row r="12140" ht="15.75" customHeight="1">
      <c r="A12140" s="35"/>
      <c r="C12140" s="442"/>
      <c r="P12140" s="235"/>
      <c r="AI12140" s="38"/>
    </row>
    <row r="12141" ht="15.75" customHeight="1">
      <c r="A12141" s="35"/>
      <c r="C12141" s="442"/>
      <c r="P12141" s="235"/>
      <c r="AI12141" s="38"/>
    </row>
    <row r="12142" ht="15.75" customHeight="1">
      <c r="A12142" s="35"/>
      <c r="C12142" s="442"/>
      <c r="P12142" s="235"/>
      <c r="AI12142" s="38"/>
    </row>
    <row r="12143" ht="15.75" customHeight="1">
      <c r="A12143" s="35"/>
      <c r="C12143" s="442"/>
      <c r="P12143" s="235"/>
      <c r="AI12143" s="38"/>
    </row>
    <row r="12144" ht="15.75" customHeight="1">
      <c r="A12144" s="35"/>
      <c r="C12144" s="442"/>
      <c r="P12144" s="235"/>
      <c r="AI12144" s="38"/>
    </row>
    <row r="12145" ht="15.75" customHeight="1">
      <c r="A12145" s="35"/>
      <c r="C12145" s="442"/>
      <c r="P12145" s="235"/>
      <c r="AI12145" s="38"/>
    </row>
    <row r="12146" ht="15.75" customHeight="1">
      <c r="A12146" s="35"/>
      <c r="C12146" s="442"/>
      <c r="P12146" s="235"/>
      <c r="AI12146" s="38"/>
    </row>
    <row r="12147" ht="15.75" customHeight="1">
      <c r="A12147" s="35"/>
      <c r="C12147" s="442"/>
      <c r="P12147" s="235"/>
      <c r="AI12147" s="38"/>
    </row>
    <row r="12148" ht="15.75" customHeight="1">
      <c r="A12148" s="35"/>
      <c r="C12148" s="442"/>
      <c r="P12148" s="235"/>
      <c r="AI12148" s="38"/>
    </row>
    <row r="12149" ht="15.75" customHeight="1">
      <c r="A12149" s="35"/>
      <c r="C12149" s="442"/>
      <c r="P12149" s="235"/>
      <c r="AI12149" s="38"/>
    </row>
    <row r="12150" ht="15.75" customHeight="1">
      <c r="A12150" s="35"/>
      <c r="C12150" s="442"/>
      <c r="P12150" s="235"/>
      <c r="AI12150" s="38"/>
    </row>
    <row r="12151" ht="15.75" customHeight="1">
      <c r="A12151" s="35"/>
      <c r="C12151" s="442"/>
      <c r="P12151" s="235"/>
      <c r="AI12151" s="38"/>
    </row>
    <row r="12152" ht="15.75" customHeight="1">
      <c r="A12152" s="35"/>
      <c r="C12152" s="442"/>
      <c r="P12152" s="235"/>
      <c r="AI12152" s="38"/>
    </row>
    <row r="12153" ht="15.75" customHeight="1">
      <c r="A12153" s="35"/>
      <c r="C12153" s="442"/>
      <c r="P12153" s="235"/>
      <c r="AI12153" s="38"/>
    </row>
    <row r="12154" ht="15.75" customHeight="1">
      <c r="A12154" s="35"/>
      <c r="C12154" s="442"/>
      <c r="P12154" s="235"/>
      <c r="AI12154" s="38"/>
    </row>
    <row r="12155" ht="15.75" customHeight="1">
      <c r="A12155" s="35"/>
      <c r="C12155" s="442"/>
      <c r="P12155" s="235"/>
      <c r="AI12155" s="38"/>
    </row>
    <row r="12156" ht="15.75" customHeight="1">
      <c r="A12156" s="35"/>
      <c r="C12156" s="442"/>
      <c r="P12156" s="235"/>
      <c r="AI12156" s="38"/>
    </row>
    <row r="12157" ht="15.75" customHeight="1">
      <c r="A12157" s="35"/>
      <c r="C12157" s="442"/>
      <c r="P12157" s="235"/>
      <c r="AI12157" s="38"/>
    </row>
    <row r="12158" ht="15.75" customHeight="1">
      <c r="A12158" s="35"/>
      <c r="C12158" s="442"/>
      <c r="P12158" s="235"/>
      <c r="AI12158" s="38"/>
    </row>
    <row r="12159" ht="15.75" customHeight="1">
      <c r="A12159" s="35"/>
      <c r="C12159" s="442"/>
      <c r="P12159" s="235"/>
      <c r="AI12159" s="38"/>
    </row>
    <row r="12160" ht="15.75" customHeight="1">
      <c r="A12160" s="35"/>
      <c r="C12160" s="442"/>
      <c r="P12160" s="235"/>
      <c r="AI12160" s="38"/>
    </row>
    <row r="12161" ht="15.75" customHeight="1">
      <c r="A12161" s="35"/>
      <c r="C12161" s="442"/>
      <c r="P12161" s="235"/>
      <c r="AI12161" s="38"/>
    </row>
    <row r="12162" ht="15.75" customHeight="1">
      <c r="A12162" s="35"/>
      <c r="C12162" s="442"/>
      <c r="P12162" s="235"/>
      <c r="AI12162" s="38"/>
    </row>
    <row r="12163" ht="15.75" customHeight="1">
      <c r="A12163" s="35"/>
      <c r="C12163" s="442"/>
      <c r="P12163" s="235"/>
      <c r="AI12163" s="38"/>
    </row>
    <row r="12164" ht="15.75" customHeight="1">
      <c r="A12164" s="35"/>
      <c r="C12164" s="442"/>
      <c r="P12164" s="235"/>
      <c r="AI12164" s="38"/>
    </row>
    <row r="12165" ht="15.75" customHeight="1">
      <c r="A12165" s="35"/>
      <c r="C12165" s="442"/>
      <c r="P12165" s="235"/>
      <c r="AI12165" s="38"/>
    </row>
    <row r="12166" ht="15.75" customHeight="1">
      <c r="A12166" s="35"/>
      <c r="C12166" s="442"/>
      <c r="P12166" s="235"/>
      <c r="AI12166" s="38"/>
    </row>
    <row r="12167" ht="15.75" customHeight="1">
      <c r="A12167" s="35"/>
      <c r="C12167" s="442"/>
      <c r="P12167" s="235"/>
      <c r="AI12167" s="38"/>
    </row>
    <row r="12168" ht="15.75" customHeight="1">
      <c r="A12168" s="35"/>
      <c r="C12168" s="442"/>
      <c r="P12168" s="235"/>
      <c r="AI12168" s="38"/>
    </row>
    <row r="12169" ht="15.75" customHeight="1">
      <c r="A12169" s="35"/>
      <c r="C12169" s="442"/>
      <c r="P12169" s="235"/>
      <c r="AI12169" s="38"/>
    </row>
    <row r="12170" ht="15.75" customHeight="1">
      <c r="A12170" s="35"/>
      <c r="C12170" s="442"/>
      <c r="P12170" s="235"/>
      <c r="AI12170" s="38"/>
    </row>
    <row r="12171" ht="15.75" customHeight="1">
      <c r="A12171" s="35"/>
      <c r="C12171" s="442"/>
      <c r="P12171" s="235"/>
      <c r="AI12171" s="38"/>
    </row>
    <row r="12172" ht="15.75" customHeight="1">
      <c r="A12172" s="35"/>
      <c r="C12172" s="442"/>
      <c r="P12172" s="235"/>
      <c r="AI12172" s="38"/>
    </row>
    <row r="12173" ht="15.75" customHeight="1">
      <c r="A12173" s="35"/>
      <c r="C12173" s="442"/>
      <c r="P12173" s="235"/>
      <c r="AI12173" s="38"/>
    </row>
    <row r="12174" ht="15.75" customHeight="1">
      <c r="A12174" s="35"/>
      <c r="C12174" s="442"/>
      <c r="P12174" s="235"/>
      <c r="AI12174" s="38"/>
    </row>
    <row r="12175" ht="15.75" customHeight="1">
      <c r="A12175" s="35"/>
      <c r="C12175" s="442"/>
      <c r="P12175" s="235"/>
      <c r="AI12175" s="38"/>
    </row>
    <row r="12176" ht="15.75" customHeight="1">
      <c r="A12176" s="35"/>
      <c r="C12176" s="442"/>
      <c r="P12176" s="235"/>
      <c r="AI12176" s="38"/>
    </row>
    <row r="12177" ht="15.75" customHeight="1">
      <c r="A12177" s="35"/>
      <c r="C12177" s="442"/>
      <c r="P12177" s="235"/>
      <c r="AI12177" s="38"/>
    </row>
    <row r="12178" ht="15.75" customHeight="1">
      <c r="A12178" s="35"/>
      <c r="C12178" s="442"/>
      <c r="P12178" s="235"/>
      <c r="AI12178" s="38"/>
    </row>
    <row r="12179" ht="15.75" customHeight="1">
      <c r="A12179" s="35"/>
      <c r="C12179" s="442"/>
      <c r="P12179" s="235"/>
      <c r="AI12179" s="38"/>
    </row>
    <row r="12180" ht="15.75" customHeight="1">
      <c r="A12180" s="35"/>
      <c r="C12180" s="442"/>
      <c r="P12180" s="235"/>
      <c r="AI12180" s="38"/>
    </row>
    <row r="12181" ht="15.75" customHeight="1">
      <c r="A12181" s="35"/>
      <c r="C12181" s="442"/>
      <c r="P12181" s="235"/>
      <c r="AI12181" s="38"/>
    </row>
    <row r="12182" ht="15.75" customHeight="1">
      <c r="A12182" s="35"/>
      <c r="C12182" s="442"/>
      <c r="P12182" s="235"/>
      <c r="AI12182" s="38"/>
    </row>
    <row r="12183" ht="15.75" customHeight="1">
      <c r="A12183" s="35"/>
      <c r="C12183" s="442"/>
      <c r="P12183" s="235"/>
      <c r="AI12183" s="38"/>
    </row>
    <row r="12184" ht="15.75" customHeight="1">
      <c r="A12184" s="35"/>
      <c r="C12184" s="442"/>
      <c r="P12184" s="235"/>
      <c r="AI12184" s="38"/>
    </row>
    <row r="12185" ht="15.75" customHeight="1">
      <c r="A12185" s="35"/>
      <c r="C12185" s="442"/>
      <c r="P12185" s="235"/>
      <c r="AI12185" s="38"/>
    </row>
    <row r="12186" ht="15.75" customHeight="1">
      <c r="A12186" s="35"/>
      <c r="C12186" s="442"/>
      <c r="P12186" s="235"/>
      <c r="AI12186" s="38"/>
    </row>
    <row r="12187" ht="15.75" customHeight="1">
      <c r="A12187" s="35"/>
      <c r="C12187" s="442"/>
      <c r="P12187" s="235"/>
      <c r="AI12187" s="38"/>
    </row>
    <row r="12188" ht="15.75" customHeight="1">
      <c r="A12188" s="35"/>
      <c r="C12188" s="442"/>
      <c r="P12188" s="235"/>
      <c r="AI12188" s="38"/>
    </row>
    <row r="12189" ht="15.75" customHeight="1">
      <c r="A12189" s="35"/>
      <c r="C12189" s="442"/>
      <c r="P12189" s="235"/>
      <c r="AI12189" s="38"/>
    </row>
    <row r="12190" ht="15.75" customHeight="1">
      <c r="A12190" s="35"/>
      <c r="C12190" s="442"/>
      <c r="P12190" s="235"/>
      <c r="AI12190" s="38"/>
    </row>
    <row r="12191" ht="15.75" customHeight="1">
      <c r="A12191" s="35"/>
      <c r="C12191" s="442"/>
      <c r="P12191" s="235"/>
      <c r="AI12191" s="38"/>
    </row>
    <row r="12192" ht="15.75" customHeight="1">
      <c r="A12192" s="35"/>
      <c r="C12192" s="442"/>
      <c r="P12192" s="235"/>
      <c r="AI12192" s="38"/>
    </row>
    <row r="12193" ht="15.75" customHeight="1">
      <c r="A12193" s="35"/>
      <c r="C12193" s="442"/>
      <c r="P12193" s="235"/>
      <c r="AI12193" s="38"/>
    </row>
    <row r="12194" ht="15.75" customHeight="1">
      <c r="A12194" s="35"/>
      <c r="C12194" s="442"/>
      <c r="P12194" s="235"/>
      <c r="AI12194" s="38"/>
    </row>
    <row r="12195" ht="15.75" customHeight="1">
      <c r="A12195" s="35"/>
      <c r="C12195" s="442"/>
      <c r="P12195" s="235"/>
      <c r="AI12195" s="38"/>
    </row>
    <row r="12196" ht="15.75" customHeight="1">
      <c r="A12196" s="35"/>
      <c r="C12196" s="442"/>
      <c r="P12196" s="235"/>
      <c r="AI12196" s="38"/>
    </row>
    <row r="12197" ht="15.75" customHeight="1">
      <c r="A12197" s="35"/>
      <c r="C12197" s="442"/>
      <c r="P12197" s="235"/>
      <c r="AI12197" s="38"/>
    </row>
    <row r="12198" ht="15.75" customHeight="1">
      <c r="A12198" s="35"/>
      <c r="C12198" s="442"/>
      <c r="P12198" s="235"/>
      <c r="AI12198" s="38"/>
    </row>
    <row r="12199" ht="15.75" customHeight="1">
      <c r="A12199" s="35"/>
      <c r="C12199" s="442"/>
      <c r="P12199" s="235"/>
      <c r="AI12199" s="38"/>
    </row>
    <row r="12200" ht="15.75" customHeight="1">
      <c r="A12200" s="35"/>
      <c r="C12200" s="442"/>
      <c r="P12200" s="235"/>
      <c r="AI12200" s="38"/>
    </row>
    <row r="12201" ht="15.75" customHeight="1">
      <c r="A12201" s="35"/>
      <c r="C12201" s="442"/>
      <c r="P12201" s="235"/>
      <c r="AI12201" s="38"/>
    </row>
    <row r="12202" ht="15.75" customHeight="1">
      <c r="A12202" s="35"/>
      <c r="C12202" s="442"/>
      <c r="P12202" s="235"/>
      <c r="AI12202" s="38"/>
    </row>
    <row r="12203" ht="15.75" customHeight="1">
      <c r="A12203" s="35"/>
      <c r="C12203" s="442"/>
      <c r="P12203" s="235"/>
      <c r="AI12203" s="38"/>
    </row>
    <row r="12204" ht="15.75" customHeight="1">
      <c r="A12204" s="35"/>
      <c r="C12204" s="442"/>
      <c r="P12204" s="235"/>
      <c r="AI12204" s="38"/>
    </row>
    <row r="12205" ht="15.75" customHeight="1">
      <c r="A12205" s="35"/>
      <c r="C12205" s="442"/>
      <c r="P12205" s="235"/>
      <c r="AI12205" s="38"/>
    </row>
    <row r="12206" ht="15.75" customHeight="1">
      <c r="A12206" s="35"/>
      <c r="C12206" s="442"/>
      <c r="P12206" s="235"/>
      <c r="AI12206" s="38"/>
    </row>
    <row r="12207" ht="15.75" customHeight="1">
      <c r="A12207" s="35"/>
      <c r="C12207" s="442"/>
      <c r="P12207" s="235"/>
      <c r="AI12207" s="38"/>
    </row>
    <row r="12208" ht="15.75" customHeight="1">
      <c r="A12208" s="35"/>
      <c r="C12208" s="442"/>
      <c r="P12208" s="235"/>
      <c r="AI12208" s="38"/>
    </row>
    <row r="12209" ht="15.75" customHeight="1">
      <c r="A12209" s="35"/>
      <c r="C12209" s="442"/>
      <c r="P12209" s="235"/>
      <c r="AI12209" s="38"/>
    </row>
    <row r="12210" ht="15.75" customHeight="1">
      <c r="A12210" s="35"/>
      <c r="C12210" s="442"/>
      <c r="P12210" s="235"/>
      <c r="AI12210" s="38"/>
    </row>
    <row r="12211" ht="15.75" customHeight="1">
      <c r="A12211" s="35"/>
      <c r="C12211" s="442"/>
      <c r="P12211" s="235"/>
      <c r="AI12211" s="38"/>
    </row>
    <row r="12212" ht="15.75" customHeight="1">
      <c r="A12212" s="35"/>
      <c r="C12212" s="442"/>
      <c r="P12212" s="235"/>
      <c r="AI12212" s="38"/>
    </row>
    <row r="12213" ht="15.75" customHeight="1">
      <c r="A12213" s="35"/>
      <c r="C12213" s="442"/>
      <c r="P12213" s="235"/>
      <c r="AI12213" s="38"/>
    </row>
    <row r="12214" ht="15.75" customHeight="1">
      <c r="A12214" s="35"/>
      <c r="C12214" s="442"/>
      <c r="P12214" s="235"/>
      <c r="AI12214" s="38"/>
    </row>
    <row r="12215" ht="15.75" customHeight="1">
      <c r="A12215" s="35"/>
      <c r="C12215" s="442"/>
      <c r="P12215" s="235"/>
      <c r="AI12215" s="38"/>
    </row>
    <row r="12216" ht="15.75" customHeight="1">
      <c r="A12216" s="35"/>
      <c r="C12216" s="442"/>
      <c r="P12216" s="235"/>
      <c r="AI12216" s="38"/>
    </row>
    <row r="12217" ht="15.75" customHeight="1">
      <c r="A12217" s="35"/>
      <c r="C12217" s="442"/>
      <c r="P12217" s="235"/>
      <c r="AI12217" s="38"/>
    </row>
    <row r="12218" ht="15.75" customHeight="1">
      <c r="A12218" s="35"/>
      <c r="C12218" s="442"/>
      <c r="P12218" s="235"/>
      <c r="AI12218" s="38"/>
    </row>
    <row r="12219" ht="15.75" customHeight="1">
      <c r="A12219" s="35"/>
      <c r="C12219" s="442"/>
      <c r="P12219" s="235"/>
      <c r="AI12219" s="38"/>
    </row>
    <row r="12220" ht="15.75" customHeight="1">
      <c r="A12220" s="35"/>
      <c r="C12220" s="442"/>
      <c r="P12220" s="235"/>
      <c r="AI12220" s="38"/>
    </row>
    <row r="12221" ht="15.75" customHeight="1">
      <c r="A12221" s="35"/>
      <c r="C12221" s="442"/>
      <c r="P12221" s="235"/>
      <c r="AI12221" s="38"/>
    </row>
    <row r="12222" ht="15.75" customHeight="1">
      <c r="A12222" s="35"/>
      <c r="C12222" s="442"/>
      <c r="P12222" s="235"/>
      <c r="AI12222" s="38"/>
    </row>
    <row r="12223" ht="15.75" customHeight="1">
      <c r="A12223" s="35"/>
      <c r="C12223" s="442"/>
      <c r="P12223" s="235"/>
      <c r="AI12223" s="38"/>
    </row>
    <row r="12224" ht="15.75" customHeight="1">
      <c r="A12224" s="35"/>
      <c r="C12224" s="442"/>
      <c r="P12224" s="235"/>
      <c r="AI12224" s="38"/>
    </row>
    <row r="12225" ht="15.75" customHeight="1">
      <c r="A12225" s="35"/>
      <c r="C12225" s="442"/>
      <c r="P12225" s="235"/>
      <c r="AI12225" s="38"/>
    </row>
    <row r="12226" ht="15.75" customHeight="1">
      <c r="A12226" s="35"/>
      <c r="C12226" s="442"/>
      <c r="P12226" s="235"/>
      <c r="AI12226" s="38"/>
    </row>
    <row r="12227" ht="15.75" customHeight="1">
      <c r="A12227" s="35"/>
      <c r="C12227" s="442"/>
      <c r="P12227" s="235"/>
      <c r="AI12227" s="38"/>
    </row>
    <row r="12228" ht="15.75" customHeight="1">
      <c r="A12228" s="35"/>
      <c r="C12228" s="442"/>
      <c r="P12228" s="235"/>
      <c r="AI12228" s="38"/>
    </row>
    <row r="12229" ht="15.75" customHeight="1">
      <c r="A12229" s="35"/>
      <c r="C12229" s="442"/>
      <c r="P12229" s="235"/>
      <c r="AI12229" s="38"/>
    </row>
    <row r="12230" ht="15.75" customHeight="1">
      <c r="A12230" s="35"/>
      <c r="C12230" s="442"/>
      <c r="P12230" s="235"/>
      <c r="AI12230" s="38"/>
    </row>
    <row r="12231" ht="15.75" customHeight="1">
      <c r="A12231" s="35"/>
      <c r="C12231" s="442"/>
      <c r="P12231" s="235"/>
      <c r="AI12231" s="38"/>
    </row>
    <row r="12232" ht="15.75" customHeight="1">
      <c r="A12232" s="35"/>
      <c r="C12232" s="442"/>
      <c r="P12232" s="235"/>
      <c r="AI12232" s="38"/>
    </row>
    <row r="12233" ht="15.75" customHeight="1">
      <c r="A12233" s="35"/>
      <c r="C12233" s="442"/>
      <c r="P12233" s="235"/>
      <c r="AI12233" s="38"/>
    </row>
    <row r="12234" ht="15.75" customHeight="1">
      <c r="A12234" s="35"/>
      <c r="C12234" s="442"/>
      <c r="P12234" s="235"/>
      <c r="AI12234" s="38"/>
    </row>
    <row r="12235" ht="15.75" customHeight="1">
      <c r="A12235" s="35"/>
      <c r="C12235" s="442"/>
      <c r="P12235" s="235"/>
      <c r="AI12235" s="38"/>
    </row>
    <row r="12236" ht="15.75" customHeight="1">
      <c r="A12236" s="35"/>
      <c r="C12236" s="442"/>
      <c r="P12236" s="235"/>
      <c r="AI12236" s="38"/>
    </row>
    <row r="12237" ht="15.75" customHeight="1">
      <c r="A12237" s="35"/>
      <c r="C12237" s="442"/>
      <c r="P12237" s="235"/>
      <c r="AI12237" s="38"/>
    </row>
    <row r="12238" ht="15.75" customHeight="1">
      <c r="A12238" s="35"/>
      <c r="C12238" s="442"/>
      <c r="P12238" s="235"/>
      <c r="AI12238" s="38"/>
    </row>
    <row r="12239" ht="15.75" customHeight="1">
      <c r="A12239" s="35"/>
      <c r="C12239" s="442"/>
      <c r="P12239" s="235"/>
      <c r="AI12239" s="38"/>
    </row>
    <row r="12240" ht="15.75" customHeight="1">
      <c r="A12240" s="35"/>
      <c r="C12240" s="442"/>
      <c r="P12240" s="235"/>
      <c r="AI12240" s="38"/>
    </row>
    <row r="12241" ht="15.75" customHeight="1">
      <c r="A12241" s="35"/>
      <c r="C12241" s="442"/>
      <c r="P12241" s="235"/>
      <c r="AI12241" s="38"/>
    </row>
    <row r="12242" ht="15.75" customHeight="1">
      <c r="A12242" s="35"/>
      <c r="C12242" s="442"/>
      <c r="P12242" s="235"/>
      <c r="AI12242" s="38"/>
    </row>
    <row r="12243" ht="15.75" customHeight="1">
      <c r="A12243" s="35"/>
      <c r="C12243" s="442"/>
      <c r="P12243" s="235"/>
      <c r="AI12243" s="38"/>
    </row>
    <row r="12244" ht="15.75" customHeight="1">
      <c r="A12244" s="35"/>
      <c r="C12244" s="442"/>
      <c r="P12244" s="235"/>
      <c r="AI12244" s="38"/>
    </row>
    <row r="12245" ht="15.75" customHeight="1">
      <c r="A12245" s="35"/>
      <c r="C12245" s="442"/>
      <c r="P12245" s="235"/>
      <c r="AI12245" s="38"/>
    </row>
    <row r="12246" ht="15.75" customHeight="1">
      <c r="A12246" s="35"/>
      <c r="C12246" s="442"/>
      <c r="P12246" s="235"/>
      <c r="AI12246" s="38"/>
    </row>
    <row r="12247" ht="15.75" customHeight="1">
      <c r="A12247" s="35"/>
      <c r="C12247" s="442"/>
      <c r="P12247" s="235"/>
      <c r="AI12247" s="38"/>
    </row>
    <row r="12248" ht="15.75" customHeight="1">
      <c r="A12248" s="35"/>
      <c r="C12248" s="442"/>
      <c r="P12248" s="235"/>
      <c r="AI12248" s="38"/>
    </row>
    <row r="12249" ht="15.75" customHeight="1">
      <c r="A12249" s="35"/>
      <c r="C12249" s="442"/>
      <c r="P12249" s="235"/>
      <c r="AI12249" s="38"/>
    </row>
    <row r="12250" ht="15.75" customHeight="1">
      <c r="A12250" s="35"/>
      <c r="C12250" s="442"/>
      <c r="P12250" s="235"/>
      <c r="AI12250" s="38"/>
    </row>
    <row r="12251" ht="15.75" customHeight="1">
      <c r="A12251" s="35"/>
      <c r="C12251" s="442"/>
      <c r="P12251" s="235"/>
      <c r="AI12251" s="38"/>
    </row>
    <row r="12252" ht="15.75" customHeight="1">
      <c r="A12252" s="35"/>
      <c r="C12252" s="442"/>
      <c r="P12252" s="235"/>
      <c r="AI12252" s="38"/>
    </row>
    <row r="12253" ht="15.75" customHeight="1">
      <c r="A12253" s="35"/>
      <c r="C12253" s="442"/>
      <c r="P12253" s="235"/>
      <c r="AI12253" s="38"/>
    </row>
    <row r="12254" ht="15.75" customHeight="1">
      <c r="A12254" s="35"/>
      <c r="C12254" s="442"/>
      <c r="P12254" s="235"/>
      <c r="AI12254" s="38"/>
    </row>
    <row r="12255" ht="15.75" customHeight="1">
      <c r="A12255" s="35"/>
      <c r="C12255" s="442"/>
      <c r="P12255" s="235"/>
      <c r="AI12255" s="38"/>
    </row>
    <row r="12256" ht="15.75" customHeight="1">
      <c r="A12256" s="35"/>
      <c r="C12256" s="442"/>
      <c r="P12256" s="235"/>
      <c r="AI12256" s="38"/>
    </row>
    <row r="12257" ht="15.75" customHeight="1">
      <c r="A12257" s="35"/>
      <c r="C12257" s="442"/>
      <c r="P12257" s="235"/>
      <c r="AI12257" s="38"/>
    </row>
    <row r="12258" ht="15.75" customHeight="1">
      <c r="A12258" s="35"/>
      <c r="C12258" s="442"/>
      <c r="P12258" s="235"/>
      <c r="AI12258" s="38"/>
    </row>
    <row r="12259" ht="15.75" customHeight="1">
      <c r="A12259" s="35"/>
      <c r="C12259" s="442"/>
      <c r="P12259" s="235"/>
      <c r="AI12259" s="38"/>
    </row>
    <row r="12260" ht="15.75" customHeight="1">
      <c r="A12260" s="35"/>
      <c r="C12260" s="442"/>
      <c r="P12260" s="235"/>
      <c r="AI12260" s="38"/>
    </row>
    <row r="12261" ht="15.75" customHeight="1">
      <c r="A12261" s="35"/>
      <c r="C12261" s="442"/>
      <c r="P12261" s="235"/>
      <c r="AI12261" s="38"/>
    </row>
    <row r="12262" ht="15.75" customHeight="1">
      <c r="A12262" s="35"/>
      <c r="C12262" s="442"/>
      <c r="P12262" s="235"/>
      <c r="AI12262" s="38"/>
    </row>
    <row r="12263" ht="15.75" customHeight="1">
      <c r="A12263" s="35"/>
      <c r="C12263" s="442"/>
      <c r="P12263" s="235"/>
      <c r="AI12263" s="38"/>
    </row>
    <row r="12264" ht="15.75" customHeight="1">
      <c r="A12264" s="35"/>
      <c r="C12264" s="442"/>
      <c r="P12264" s="235"/>
      <c r="AI12264" s="38"/>
    </row>
    <row r="12265" ht="15.75" customHeight="1">
      <c r="A12265" s="35"/>
      <c r="C12265" s="442"/>
      <c r="P12265" s="235"/>
      <c r="AI12265" s="38"/>
    </row>
    <row r="12266" ht="15.75" customHeight="1">
      <c r="A12266" s="35"/>
      <c r="C12266" s="442"/>
      <c r="P12266" s="235"/>
      <c r="AI12266" s="38"/>
    </row>
    <row r="12267" ht="15.75" customHeight="1">
      <c r="A12267" s="35"/>
      <c r="C12267" s="442"/>
      <c r="P12267" s="235"/>
      <c r="AI12267" s="38"/>
    </row>
    <row r="12268" ht="15.75" customHeight="1">
      <c r="A12268" s="35"/>
      <c r="C12268" s="442"/>
      <c r="P12268" s="235"/>
      <c r="AI12268" s="38"/>
    </row>
    <row r="12269" ht="15.75" customHeight="1">
      <c r="A12269" s="35"/>
      <c r="C12269" s="442"/>
      <c r="P12269" s="235"/>
      <c r="AI12269" s="38"/>
    </row>
    <row r="12270" ht="15.75" customHeight="1">
      <c r="A12270" s="35"/>
      <c r="C12270" s="442"/>
      <c r="P12270" s="235"/>
      <c r="AI12270" s="38"/>
    </row>
    <row r="12271" ht="15.75" customHeight="1">
      <c r="A12271" s="35"/>
      <c r="C12271" s="442"/>
      <c r="P12271" s="235"/>
      <c r="AI12271" s="38"/>
    </row>
    <row r="12272" ht="15.75" customHeight="1">
      <c r="A12272" s="35"/>
      <c r="C12272" s="442"/>
      <c r="P12272" s="235"/>
      <c r="AI12272" s="38"/>
    </row>
    <row r="12273" ht="15.75" customHeight="1">
      <c r="A12273" s="35"/>
      <c r="C12273" s="442"/>
      <c r="P12273" s="235"/>
      <c r="AI12273" s="38"/>
    </row>
    <row r="12274" ht="15.75" customHeight="1">
      <c r="A12274" s="35"/>
      <c r="C12274" s="442"/>
      <c r="P12274" s="235"/>
      <c r="AI12274" s="38"/>
    </row>
    <row r="12275" ht="15.75" customHeight="1">
      <c r="A12275" s="35"/>
      <c r="C12275" s="442"/>
      <c r="P12275" s="235"/>
      <c r="AI12275" s="38"/>
    </row>
    <row r="12276" ht="15.75" customHeight="1">
      <c r="A12276" s="35"/>
      <c r="C12276" s="442"/>
      <c r="P12276" s="235"/>
      <c r="AI12276" s="38"/>
    </row>
    <row r="12277" ht="15.75" customHeight="1">
      <c r="A12277" s="35"/>
      <c r="C12277" s="442"/>
      <c r="P12277" s="235"/>
      <c r="AI12277" s="38"/>
    </row>
    <row r="12278" ht="15.75" customHeight="1">
      <c r="A12278" s="35"/>
      <c r="C12278" s="442"/>
      <c r="P12278" s="235"/>
      <c r="AI12278" s="38"/>
    </row>
    <row r="12279" ht="15.75" customHeight="1">
      <c r="A12279" s="35"/>
      <c r="C12279" s="442"/>
      <c r="P12279" s="235"/>
      <c r="AI12279" s="38"/>
    </row>
    <row r="12280" ht="15.75" customHeight="1">
      <c r="A12280" s="35"/>
      <c r="C12280" s="442"/>
      <c r="P12280" s="235"/>
      <c r="AI12280" s="38"/>
    </row>
    <row r="12281" ht="15.75" customHeight="1">
      <c r="A12281" s="35"/>
      <c r="C12281" s="442"/>
      <c r="P12281" s="235"/>
      <c r="AI12281" s="38"/>
    </row>
    <row r="12282" ht="15.75" customHeight="1">
      <c r="A12282" s="35"/>
      <c r="C12282" s="442"/>
      <c r="P12282" s="235"/>
      <c r="AI12282" s="38"/>
    </row>
    <row r="12283" ht="15.75" customHeight="1">
      <c r="A12283" s="35"/>
      <c r="C12283" s="442"/>
      <c r="P12283" s="235"/>
      <c r="AI12283" s="38"/>
    </row>
    <row r="12284" ht="15.75" customHeight="1">
      <c r="A12284" s="35"/>
      <c r="C12284" s="442"/>
      <c r="P12284" s="235"/>
      <c r="AI12284" s="38"/>
    </row>
    <row r="12285" ht="15.75" customHeight="1">
      <c r="A12285" s="35"/>
      <c r="C12285" s="442"/>
      <c r="P12285" s="235"/>
      <c r="AI12285" s="38"/>
    </row>
    <row r="12286" ht="15.75" customHeight="1">
      <c r="A12286" s="35"/>
      <c r="C12286" s="442"/>
      <c r="P12286" s="235"/>
      <c r="AI12286" s="38"/>
    </row>
    <row r="12287" ht="15.75" customHeight="1">
      <c r="A12287" s="35"/>
      <c r="C12287" s="442"/>
      <c r="P12287" s="235"/>
      <c r="AI12287" s="38"/>
    </row>
    <row r="12288" ht="15.75" customHeight="1">
      <c r="A12288" s="35"/>
      <c r="C12288" s="442"/>
      <c r="P12288" s="235"/>
      <c r="AI12288" s="38"/>
    </row>
    <row r="12289" ht="15.75" customHeight="1">
      <c r="A12289" s="35"/>
      <c r="C12289" s="442"/>
      <c r="P12289" s="235"/>
      <c r="AI12289" s="38"/>
    </row>
    <row r="12290" ht="15.75" customHeight="1">
      <c r="A12290" s="35"/>
      <c r="C12290" s="442"/>
      <c r="P12290" s="235"/>
      <c r="AI12290" s="38"/>
    </row>
    <row r="12291" ht="15.75" customHeight="1">
      <c r="A12291" s="35"/>
      <c r="C12291" s="442"/>
      <c r="P12291" s="235"/>
      <c r="AI12291" s="38"/>
    </row>
    <row r="12292" ht="15.75" customHeight="1">
      <c r="A12292" s="35"/>
      <c r="C12292" s="442"/>
      <c r="P12292" s="235"/>
      <c r="AI12292" s="38"/>
    </row>
    <row r="12293" ht="15.75" customHeight="1">
      <c r="A12293" s="35"/>
      <c r="C12293" s="442"/>
      <c r="P12293" s="235"/>
      <c r="AI12293" s="38"/>
    </row>
    <row r="12294" ht="15.75" customHeight="1">
      <c r="A12294" s="35"/>
      <c r="C12294" s="442"/>
      <c r="P12294" s="235"/>
      <c r="AI12294" s="38"/>
    </row>
    <row r="12295" ht="15.75" customHeight="1">
      <c r="A12295" s="35"/>
      <c r="C12295" s="442"/>
      <c r="P12295" s="235"/>
      <c r="AI12295" s="38"/>
    </row>
    <row r="12296" ht="15.75" customHeight="1">
      <c r="A12296" s="35"/>
      <c r="C12296" s="442"/>
      <c r="P12296" s="235"/>
      <c r="AI12296" s="38"/>
    </row>
    <row r="12297" ht="15.75" customHeight="1">
      <c r="A12297" s="35"/>
      <c r="C12297" s="442"/>
      <c r="P12297" s="235"/>
      <c r="AI12297" s="38"/>
    </row>
    <row r="12298" ht="15.75" customHeight="1">
      <c r="A12298" s="35"/>
      <c r="C12298" s="442"/>
      <c r="P12298" s="235"/>
      <c r="AI12298" s="38"/>
    </row>
    <row r="12299" ht="15.75" customHeight="1">
      <c r="A12299" s="35"/>
      <c r="C12299" s="442"/>
      <c r="P12299" s="235"/>
      <c r="AI12299" s="38"/>
    </row>
    <row r="12300" ht="15.75" customHeight="1">
      <c r="A12300" s="35"/>
      <c r="C12300" s="442"/>
      <c r="P12300" s="235"/>
      <c r="AI12300" s="38"/>
    </row>
    <row r="12301" ht="15.75" customHeight="1">
      <c r="A12301" s="35"/>
      <c r="C12301" s="442"/>
      <c r="P12301" s="235"/>
      <c r="AI12301" s="38"/>
    </row>
    <row r="12302" ht="15.75" customHeight="1">
      <c r="A12302" s="35"/>
      <c r="C12302" s="442"/>
      <c r="P12302" s="235"/>
      <c r="AI12302" s="38"/>
    </row>
    <row r="12303" ht="15.75" customHeight="1">
      <c r="A12303" s="35"/>
      <c r="C12303" s="442"/>
      <c r="P12303" s="235"/>
      <c r="AI12303" s="38"/>
    </row>
    <row r="12304" ht="15.75" customHeight="1">
      <c r="A12304" s="35"/>
      <c r="C12304" s="442"/>
      <c r="P12304" s="235"/>
      <c r="AI12304" s="38"/>
    </row>
    <row r="12305" ht="15.75" customHeight="1">
      <c r="A12305" s="35"/>
      <c r="C12305" s="442"/>
      <c r="P12305" s="235"/>
      <c r="AI12305" s="38"/>
    </row>
    <row r="12306" ht="15.75" customHeight="1">
      <c r="A12306" s="35"/>
      <c r="C12306" s="442"/>
      <c r="P12306" s="235"/>
      <c r="AI12306" s="38"/>
    </row>
    <row r="12307" ht="15.75" customHeight="1">
      <c r="A12307" s="35"/>
      <c r="C12307" s="442"/>
      <c r="P12307" s="235"/>
      <c r="AI12307" s="38"/>
    </row>
    <row r="12308" ht="15.75" customHeight="1">
      <c r="A12308" s="35"/>
      <c r="C12308" s="442"/>
      <c r="P12308" s="235"/>
      <c r="AI12308" s="38"/>
    </row>
    <row r="12309" ht="15.75" customHeight="1">
      <c r="A12309" s="35"/>
      <c r="C12309" s="442"/>
      <c r="P12309" s="235"/>
      <c r="AI12309" s="38"/>
    </row>
    <row r="12310" ht="15.75" customHeight="1">
      <c r="A12310" s="35"/>
      <c r="C12310" s="442"/>
      <c r="P12310" s="235"/>
      <c r="AI12310" s="38"/>
    </row>
    <row r="12311" ht="15.75" customHeight="1">
      <c r="A12311" s="35"/>
      <c r="C12311" s="442"/>
      <c r="P12311" s="235"/>
      <c r="AI12311" s="38"/>
    </row>
    <row r="12312" ht="15.75" customHeight="1">
      <c r="A12312" s="35"/>
      <c r="C12312" s="442"/>
      <c r="P12312" s="235"/>
      <c r="AI12312" s="38"/>
    </row>
    <row r="12313" ht="15.75" customHeight="1">
      <c r="A12313" s="35"/>
      <c r="C12313" s="442"/>
      <c r="P12313" s="235"/>
      <c r="AI12313" s="38"/>
    </row>
    <row r="12314" ht="15.75" customHeight="1">
      <c r="A12314" s="35"/>
      <c r="C12314" s="442"/>
      <c r="P12314" s="235"/>
      <c r="AI12314" s="38"/>
    </row>
    <row r="12315" ht="15.75" customHeight="1">
      <c r="A12315" s="35"/>
      <c r="C12315" s="442"/>
      <c r="P12315" s="235"/>
      <c r="AI12315" s="38"/>
    </row>
    <row r="12316" ht="15.75" customHeight="1">
      <c r="A12316" s="35"/>
      <c r="C12316" s="442"/>
      <c r="P12316" s="235"/>
      <c r="AI12316" s="38"/>
    </row>
    <row r="12317" ht="15.75" customHeight="1">
      <c r="A12317" s="35"/>
      <c r="C12317" s="442"/>
      <c r="P12317" s="235"/>
      <c r="AI12317" s="38"/>
    </row>
    <row r="12318" ht="15.75" customHeight="1">
      <c r="A12318" s="35"/>
      <c r="C12318" s="442"/>
      <c r="P12318" s="235"/>
      <c r="AI12318" s="38"/>
    </row>
    <row r="12319" ht="15.75" customHeight="1">
      <c r="A12319" s="35"/>
      <c r="C12319" s="442"/>
      <c r="P12319" s="235"/>
      <c r="AI12319" s="38"/>
    </row>
    <row r="12320" ht="15.75" customHeight="1">
      <c r="A12320" s="35"/>
      <c r="C12320" s="442"/>
      <c r="P12320" s="235"/>
      <c r="AI12320" s="38"/>
    </row>
    <row r="12321" ht="15.75" customHeight="1">
      <c r="A12321" s="35"/>
      <c r="C12321" s="442"/>
      <c r="P12321" s="235"/>
      <c r="AI12321" s="38"/>
    </row>
    <row r="12322" ht="15.75" customHeight="1">
      <c r="A12322" s="35"/>
      <c r="C12322" s="442"/>
      <c r="P12322" s="235"/>
      <c r="AI12322" s="38"/>
    </row>
    <row r="12323" ht="15.75" customHeight="1">
      <c r="A12323" s="35"/>
      <c r="C12323" s="442"/>
      <c r="P12323" s="235"/>
      <c r="AI12323" s="38"/>
    </row>
    <row r="12324" ht="15.75" customHeight="1">
      <c r="A12324" s="35"/>
      <c r="C12324" s="442"/>
      <c r="P12324" s="235"/>
      <c r="AI12324" s="38"/>
    </row>
    <row r="12325" ht="15.75" customHeight="1">
      <c r="A12325" s="35"/>
      <c r="C12325" s="442"/>
      <c r="P12325" s="235"/>
      <c r="AI12325" s="38"/>
    </row>
    <row r="12326" ht="15.75" customHeight="1">
      <c r="A12326" s="35"/>
      <c r="C12326" s="442"/>
      <c r="P12326" s="235"/>
      <c r="AI12326" s="38"/>
    </row>
    <row r="12327" ht="15.75" customHeight="1">
      <c r="A12327" s="35"/>
      <c r="C12327" s="442"/>
      <c r="P12327" s="235"/>
      <c r="AI12327" s="38"/>
    </row>
    <row r="12328" ht="15.75" customHeight="1">
      <c r="A12328" s="35"/>
      <c r="C12328" s="442"/>
      <c r="P12328" s="235"/>
      <c r="AI12328" s="38"/>
    </row>
    <row r="12329" ht="15.75" customHeight="1">
      <c r="A12329" s="35"/>
      <c r="C12329" s="442"/>
      <c r="P12329" s="235"/>
      <c r="AI12329" s="38"/>
    </row>
    <row r="12330" ht="15.75" customHeight="1">
      <c r="A12330" s="35"/>
      <c r="C12330" s="442"/>
      <c r="P12330" s="235"/>
      <c r="AI12330" s="38"/>
    </row>
    <row r="12331" ht="15.75" customHeight="1">
      <c r="A12331" s="35"/>
      <c r="C12331" s="442"/>
      <c r="P12331" s="235"/>
      <c r="AI12331" s="38"/>
    </row>
    <row r="12332" ht="15.75" customHeight="1">
      <c r="A12332" s="35"/>
      <c r="C12332" s="442"/>
      <c r="P12332" s="235"/>
      <c r="AI12332" s="38"/>
    </row>
    <row r="12333" ht="15.75" customHeight="1">
      <c r="A12333" s="35"/>
      <c r="C12333" s="442"/>
      <c r="P12333" s="235"/>
      <c r="AI12333" s="38"/>
    </row>
    <row r="12334" ht="15.75" customHeight="1">
      <c r="A12334" s="35"/>
      <c r="C12334" s="442"/>
      <c r="P12334" s="235"/>
      <c r="AI12334" s="38"/>
    </row>
    <row r="12335" ht="15.75" customHeight="1">
      <c r="A12335" s="35"/>
      <c r="C12335" s="442"/>
      <c r="P12335" s="235"/>
      <c r="AI12335" s="38"/>
    </row>
    <row r="12336" ht="15.75" customHeight="1">
      <c r="A12336" s="35"/>
      <c r="C12336" s="442"/>
      <c r="P12336" s="235"/>
      <c r="AI12336" s="38"/>
    </row>
    <row r="12337" ht="15.75" customHeight="1">
      <c r="A12337" s="35"/>
      <c r="C12337" s="442"/>
      <c r="P12337" s="235"/>
      <c r="AI12337" s="38"/>
    </row>
    <row r="12338" ht="15.75" customHeight="1">
      <c r="A12338" s="35"/>
      <c r="C12338" s="442"/>
      <c r="P12338" s="235"/>
      <c r="AI12338" s="38"/>
    </row>
    <row r="12339" ht="15.75" customHeight="1">
      <c r="A12339" s="35"/>
      <c r="C12339" s="442"/>
      <c r="P12339" s="235"/>
      <c r="AI12339" s="38"/>
    </row>
    <row r="12340" ht="15.75" customHeight="1">
      <c r="A12340" s="35"/>
      <c r="C12340" s="442"/>
      <c r="P12340" s="235"/>
      <c r="AI12340" s="38"/>
    </row>
    <row r="12341" ht="15.75" customHeight="1">
      <c r="A12341" s="35"/>
      <c r="C12341" s="442"/>
      <c r="P12341" s="235"/>
      <c r="AI12341" s="38"/>
    </row>
    <row r="12342" ht="15.75" customHeight="1">
      <c r="A12342" s="35"/>
      <c r="C12342" s="442"/>
      <c r="P12342" s="235"/>
      <c r="AI12342" s="38"/>
    </row>
    <row r="12343" ht="15.75" customHeight="1">
      <c r="A12343" s="35"/>
      <c r="C12343" s="442"/>
      <c r="P12343" s="235"/>
      <c r="AI12343" s="38"/>
    </row>
    <row r="12344" ht="15.75" customHeight="1">
      <c r="A12344" s="35"/>
      <c r="C12344" s="442"/>
      <c r="P12344" s="235"/>
      <c r="AI12344" s="38"/>
    </row>
    <row r="12345" ht="15.75" customHeight="1">
      <c r="A12345" s="35"/>
      <c r="C12345" s="442"/>
      <c r="P12345" s="235"/>
      <c r="AI12345" s="38"/>
    </row>
    <row r="12346" ht="15.75" customHeight="1">
      <c r="A12346" s="35"/>
      <c r="C12346" s="442"/>
      <c r="P12346" s="235"/>
      <c r="AI12346" s="38"/>
    </row>
    <row r="12347" ht="15.75" customHeight="1">
      <c r="A12347" s="35"/>
      <c r="C12347" s="442"/>
      <c r="P12347" s="235"/>
      <c r="AI12347" s="38"/>
    </row>
    <row r="12348" ht="15.75" customHeight="1">
      <c r="A12348" s="35"/>
      <c r="C12348" s="442"/>
      <c r="P12348" s="235"/>
      <c r="AI12348" s="38"/>
    </row>
    <row r="12349" ht="15.75" customHeight="1">
      <c r="A12349" s="35"/>
      <c r="C12349" s="442"/>
      <c r="P12349" s="235"/>
      <c r="AI12349" s="38"/>
    </row>
    <row r="12350" ht="15.75" customHeight="1">
      <c r="A12350" s="35"/>
      <c r="C12350" s="442"/>
      <c r="P12350" s="235"/>
      <c r="AI12350" s="38"/>
    </row>
    <row r="12351" ht="15.75" customHeight="1">
      <c r="A12351" s="35"/>
      <c r="C12351" s="442"/>
      <c r="P12351" s="235"/>
      <c r="AI12351" s="38"/>
    </row>
    <row r="12352" ht="15.75" customHeight="1">
      <c r="A12352" s="35"/>
      <c r="C12352" s="442"/>
      <c r="P12352" s="235"/>
      <c r="AI12352" s="38"/>
    </row>
    <row r="12353" ht="15.75" customHeight="1">
      <c r="A12353" s="35"/>
      <c r="C12353" s="442"/>
      <c r="P12353" s="235"/>
      <c r="AI12353" s="38"/>
    </row>
    <row r="12354" ht="15.75" customHeight="1">
      <c r="A12354" s="35"/>
      <c r="C12354" s="442"/>
      <c r="P12354" s="235"/>
      <c r="AI12354" s="38"/>
    </row>
    <row r="12355" ht="15.75" customHeight="1">
      <c r="A12355" s="35"/>
      <c r="C12355" s="442"/>
      <c r="P12355" s="235"/>
      <c r="AI12355" s="38"/>
    </row>
    <row r="12356" ht="15.75" customHeight="1">
      <c r="A12356" s="35"/>
      <c r="C12356" s="442"/>
      <c r="P12356" s="235"/>
      <c r="AI12356" s="38"/>
    </row>
    <row r="12357" ht="15.75" customHeight="1">
      <c r="A12357" s="35"/>
      <c r="C12357" s="442"/>
      <c r="P12357" s="235"/>
      <c r="AI12357" s="38"/>
    </row>
    <row r="12358" ht="15.75" customHeight="1">
      <c r="A12358" s="35"/>
      <c r="C12358" s="442"/>
      <c r="P12358" s="235"/>
      <c r="AI12358" s="38"/>
    </row>
    <row r="12359" ht="15.75" customHeight="1">
      <c r="A12359" s="35"/>
      <c r="C12359" s="442"/>
      <c r="P12359" s="235"/>
      <c r="AI12359" s="38"/>
    </row>
    <row r="12360" ht="15.75" customHeight="1">
      <c r="A12360" s="35"/>
      <c r="C12360" s="442"/>
      <c r="P12360" s="235"/>
      <c r="AI12360" s="38"/>
    </row>
    <row r="12361" ht="15.75" customHeight="1">
      <c r="A12361" s="35"/>
      <c r="C12361" s="442"/>
      <c r="P12361" s="235"/>
      <c r="AI12361" s="38"/>
    </row>
    <row r="12362" ht="15.75" customHeight="1">
      <c r="A12362" s="35"/>
      <c r="C12362" s="442"/>
      <c r="P12362" s="235"/>
      <c r="AI12362" s="38"/>
    </row>
    <row r="12363" ht="15.75" customHeight="1">
      <c r="A12363" s="35"/>
      <c r="C12363" s="442"/>
      <c r="P12363" s="235"/>
      <c r="AI12363" s="38"/>
    </row>
    <row r="12364" ht="15.75" customHeight="1">
      <c r="A12364" s="35"/>
      <c r="C12364" s="442"/>
      <c r="P12364" s="235"/>
      <c r="AI12364" s="38"/>
    </row>
    <row r="12365" ht="15.75" customHeight="1">
      <c r="A12365" s="35"/>
      <c r="C12365" s="442"/>
      <c r="P12365" s="235"/>
      <c r="AI12365" s="38"/>
    </row>
    <row r="12366" ht="15.75" customHeight="1">
      <c r="A12366" s="35"/>
      <c r="C12366" s="442"/>
      <c r="P12366" s="235"/>
      <c r="AI12366" s="38"/>
    </row>
    <row r="12367" ht="15.75" customHeight="1">
      <c r="A12367" s="35"/>
      <c r="C12367" s="442"/>
      <c r="P12367" s="235"/>
      <c r="AI12367" s="38"/>
    </row>
    <row r="12368" ht="15.75" customHeight="1">
      <c r="A12368" s="35"/>
      <c r="C12368" s="442"/>
      <c r="P12368" s="235"/>
      <c r="AI12368" s="38"/>
    </row>
    <row r="12369" ht="15.75" customHeight="1">
      <c r="A12369" s="35"/>
      <c r="C12369" s="442"/>
      <c r="P12369" s="235"/>
      <c r="AI12369" s="38"/>
    </row>
    <row r="12370" ht="15.75" customHeight="1">
      <c r="A12370" s="35"/>
      <c r="C12370" s="442"/>
      <c r="P12370" s="235"/>
      <c r="AI12370" s="38"/>
    </row>
    <row r="12371" ht="15.75" customHeight="1">
      <c r="A12371" s="35"/>
      <c r="C12371" s="442"/>
      <c r="P12371" s="235"/>
      <c r="AI12371" s="38"/>
    </row>
    <row r="12372" ht="15.75" customHeight="1">
      <c r="A12372" s="35"/>
      <c r="C12372" s="442"/>
      <c r="P12372" s="235"/>
      <c r="AI12372" s="38"/>
    </row>
    <row r="12373" ht="15.75" customHeight="1">
      <c r="A12373" s="35"/>
      <c r="C12373" s="442"/>
      <c r="P12373" s="235"/>
      <c r="AI12373" s="38"/>
    </row>
    <row r="12374" ht="15.75" customHeight="1">
      <c r="A12374" s="35"/>
      <c r="C12374" s="442"/>
      <c r="P12374" s="235"/>
      <c r="AI12374" s="38"/>
    </row>
    <row r="12375" ht="15.75" customHeight="1">
      <c r="A12375" s="35"/>
      <c r="C12375" s="442"/>
      <c r="P12375" s="235"/>
      <c r="AI12375" s="38"/>
    </row>
    <row r="12376" ht="15.75" customHeight="1">
      <c r="A12376" s="35"/>
      <c r="C12376" s="442"/>
      <c r="P12376" s="235"/>
      <c r="AI12376" s="38"/>
    </row>
    <row r="12377" ht="15.75" customHeight="1">
      <c r="A12377" s="35"/>
      <c r="C12377" s="442"/>
      <c r="P12377" s="235"/>
      <c r="AI12377" s="38"/>
    </row>
    <row r="12378" ht="15.75" customHeight="1">
      <c r="A12378" s="35"/>
      <c r="C12378" s="442"/>
      <c r="P12378" s="235"/>
      <c r="AI12378" s="38"/>
    </row>
    <row r="12379" ht="15.75" customHeight="1">
      <c r="A12379" s="35"/>
      <c r="C12379" s="442"/>
      <c r="P12379" s="235"/>
      <c r="AI12379" s="38"/>
    </row>
    <row r="12380" ht="15.75" customHeight="1">
      <c r="A12380" s="35"/>
      <c r="C12380" s="442"/>
      <c r="P12380" s="235"/>
      <c r="AI12380" s="38"/>
    </row>
    <row r="12381" ht="15.75" customHeight="1">
      <c r="A12381" s="35"/>
      <c r="C12381" s="442"/>
      <c r="P12381" s="235"/>
      <c r="AI12381" s="38"/>
    </row>
    <row r="12382" ht="15.75" customHeight="1">
      <c r="A12382" s="35"/>
      <c r="C12382" s="442"/>
      <c r="P12382" s="235"/>
      <c r="AI12382" s="38"/>
    </row>
    <row r="12383" ht="15.75" customHeight="1">
      <c r="A12383" s="35"/>
      <c r="C12383" s="442"/>
      <c r="P12383" s="235"/>
      <c r="AI12383" s="38"/>
    </row>
    <row r="12384" ht="15.75" customHeight="1">
      <c r="A12384" s="35"/>
      <c r="C12384" s="442"/>
      <c r="P12384" s="235"/>
      <c r="AI12384" s="38"/>
    </row>
    <row r="12385" ht="15.75" customHeight="1">
      <c r="A12385" s="35"/>
      <c r="C12385" s="442"/>
      <c r="P12385" s="235"/>
      <c r="AI12385" s="38"/>
    </row>
    <row r="12386" ht="15.75" customHeight="1">
      <c r="A12386" s="35"/>
      <c r="C12386" s="442"/>
      <c r="P12386" s="235"/>
      <c r="AI12386" s="38"/>
    </row>
    <row r="12387" ht="15.75" customHeight="1">
      <c r="A12387" s="35"/>
      <c r="C12387" s="442"/>
      <c r="P12387" s="235"/>
      <c r="AI12387" s="38"/>
    </row>
    <row r="12388" ht="15.75" customHeight="1">
      <c r="A12388" s="35"/>
      <c r="C12388" s="442"/>
      <c r="P12388" s="235"/>
      <c r="AI12388" s="38"/>
    </row>
    <row r="12389" ht="15.75" customHeight="1">
      <c r="A12389" s="35"/>
      <c r="C12389" s="442"/>
      <c r="P12389" s="235"/>
      <c r="AI12389" s="38"/>
    </row>
    <row r="12390" ht="15.75" customHeight="1">
      <c r="A12390" s="35"/>
      <c r="C12390" s="442"/>
      <c r="P12390" s="235"/>
      <c r="AI12390" s="38"/>
    </row>
    <row r="12391" ht="15.75" customHeight="1">
      <c r="A12391" s="35"/>
      <c r="C12391" s="442"/>
      <c r="P12391" s="235"/>
      <c r="AI12391" s="38"/>
    </row>
    <row r="12392" ht="15.75" customHeight="1">
      <c r="A12392" s="35"/>
      <c r="C12392" s="442"/>
      <c r="P12392" s="235"/>
      <c r="AI12392" s="38"/>
    </row>
    <row r="12393" ht="15.75" customHeight="1">
      <c r="A12393" s="35"/>
      <c r="C12393" s="442"/>
      <c r="P12393" s="235"/>
      <c r="AI12393" s="38"/>
    </row>
    <row r="12394" ht="15.75" customHeight="1">
      <c r="A12394" s="35"/>
      <c r="C12394" s="442"/>
      <c r="P12394" s="235"/>
      <c r="AI12394" s="38"/>
    </row>
    <row r="12395" ht="15.75" customHeight="1">
      <c r="A12395" s="35"/>
      <c r="C12395" s="442"/>
      <c r="P12395" s="235"/>
      <c r="AI12395" s="38"/>
    </row>
    <row r="12396" ht="15.75" customHeight="1">
      <c r="A12396" s="35"/>
      <c r="C12396" s="442"/>
      <c r="P12396" s="235"/>
      <c r="AI12396" s="38"/>
    </row>
    <row r="12397" ht="15.75" customHeight="1">
      <c r="A12397" s="35"/>
      <c r="C12397" s="442"/>
      <c r="P12397" s="235"/>
      <c r="AI12397" s="38"/>
    </row>
    <row r="12398" ht="15.75" customHeight="1">
      <c r="A12398" s="35"/>
      <c r="C12398" s="442"/>
      <c r="P12398" s="235"/>
      <c r="AI12398" s="38"/>
    </row>
    <row r="12399" ht="15.75" customHeight="1">
      <c r="A12399" s="35"/>
      <c r="C12399" s="442"/>
      <c r="P12399" s="235"/>
      <c r="AI12399" s="38"/>
    </row>
    <row r="12400" ht="15.75" customHeight="1">
      <c r="A12400" s="35"/>
      <c r="C12400" s="442"/>
      <c r="P12400" s="235"/>
      <c r="AI12400" s="38"/>
    </row>
    <row r="12401" ht="15.75" customHeight="1">
      <c r="A12401" s="35"/>
      <c r="C12401" s="442"/>
      <c r="P12401" s="235"/>
      <c r="AI12401" s="38"/>
    </row>
    <row r="12402" ht="15.75" customHeight="1">
      <c r="A12402" s="35"/>
      <c r="C12402" s="442"/>
      <c r="P12402" s="235"/>
      <c r="AI12402" s="38"/>
    </row>
    <row r="12403" ht="15.75" customHeight="1">
      <c r="A12403" s="35"/>
      <c r="C12403" s="442"/>
      <c r="P12403" s="235"/>
      <c r="AI12403" s="38"/>
    </row>
    <row r="12404" ht="15.75" customHeight="1">
      <c r="A12404" s="35"/>
      <c r="C12404" s="442"/>
      <c r="P12404" s="235"/>
      <c r="AI12404" s="38"/>
    </row>
    <row r="12405" ht="15.75" customHeight="1">
      <c r="A12405" s="35"/>
      <c r="C12405" s="442"/>
      <c r="P12405" s="235"/>
      <c r="AI12405" s="38"/>
    </row>
    <row r="12406" ht="15.75" customHeight="1">
      <c r="A12406" s="35"/>
      <c r="C12406" s="442"/>
      <c r="P12406" s="235"/>
      <c r="AI12406" s="38"/>
    </row>
    <row r="12407" ht="15.75" customHeight="1">
      <c r="A12407" s="35"/>
      <c r="C12407" s="442"/>
      <c r="P12407" s="235"/>
      <c r="AI12407" s="38"/>
    </row>
    <row r="12408" ht="15.75" customHeight="1">
      <c r="A12408" s="35"/>
      <c r="C12408" s="442"/>
      <c r="P12408" s="235"/>
      <c r="AI12408" s="38"/>
    </row>
    <row r="12409" ht="15.75" customHeight="1">
      <c r="A12409" s="35"/>
      <c r="C12409" s="442"/>
      <c r="P12409" s="235"/>
      <c r="AI12409" s="38"/>
    </row>
    <row r="12410" ht="15.75" customHeight="1">
      <c r="A12410" s="35"/>
      <c r="C12410" s="442"/>
      <c r="P12410" s="235"/>
      <c r="AI12410" s="38"/>
    </row>
    <row r="12411" ht="15.75" customHeight="1">
      <c r="A12411" s="35"/>
      <c r="C12411" s="442"/>
      <c r="P12411" s="235"/>
      <c r="AI12411" s="38"/>
    </row>
    <row r="12412" ht="15.75" customHeight="1">
      <c r="A12412" s="35"/>
      <c r="C12412" s="442"/>
      <c r="P12412" s="235"/>
      <c r="AI12412" s="38"/>
    </row>
    <row r="12413" ht="15.75" customHeight="1">
      <c r="A12413" s="35"/>
      <c r="C12413" s="442"/>
      <c r="P12413" s="235"/>
      <c r="AI12413" s="38"/>
    </row>
    <row r="12414" ht="15.75" customHeight="1">
      <c r="A12414" s="35"/>
      <c r="C12414" s="442"/>
      <c r="P12414" s="235"/>
      <c r="AI12414" s="38"/>
    </row>
    <row r="12415" ht="15.75" customHeight="1">
      <c r="A12415" s="35"/>
      <c r="C12415" s="442"/>
      <c r="P12415" s="235"/>
      <c r="AI12415" s="38"/>
    </row>
    <row r="12416" ht="15.75" customHeight="1">
      <c r="A12416" s="35"/>
      <c r="C12416" s="442"/>
      <c r="P12416" s="235"/>
      <c r="AI12416" s="38"/>
    </row>
    <row r="12417" ht="15.75" customHeight="1">
      <c r="A12417" s="35"/>
      <c r="C12417" s="442"/>
      <c r="P12417" s="235"/>
      <c r="AI12417" s="38"/>
    </row>
    <row r="12418" ht="15.75" customHeight="1">
      <c r="A12418" s="35"/>
      <c r="C12418" s="442"/>
      <c r="P12418" s="235"/>
      <c r="AI12418" s="38"/>
    </row>
    <row r="12419" ht="15.75" customHeight="1">
      <c r="A12419" s="35"/>
      <c r="C12419" s="442"/>
      <c r="P12419" s="235"/>
      <c r="AI12419" s="38"/>
    </row>
    <row r="12420" ht="15.75" customHeight="1">
      <c r="A12420" s="35"/>
      <c r="C12420" s="442"/>
      <c r="P12420" s="235"/>
      <c r="AI12420" s="38"/>
    </row>
    <row r="12421" ht="15.75" customHeight="1">
      <c r="A12421" s="35"/>
      <c r="C12421" s="442"/>
      <c r="P12421" s="235"/>
      <c r="AI12421" s="38"/>
    </row>
    <row r="12422" ht="15.75" customHeight="1">
      <c r="A12422" s="35"/>
      <c r="C12422" s="442"/>
      <c r="P12422" s="235"/>
      <c r="AI12422" s="38"/>
    </row>
    <row r="12423" ht="15.75" customHeight="1">
      <c r="A12423" s="35"/>
      <c r="C12423" s="442"/>
      <c r="P12423" s="235"/>
      <c r="AI12423" s="38"/>
    </row>
    <row r="12424" ht="15.75" customHeight="1">
      <c r="A12424" s="35"/>
      <c r="C12424" s="442"/>
      <c r="P12424" s="235"/>
      <c r="AI12424" s="38"/>
    </row>
    <row r="12425" ht="15.75" customHeight="1">
      <c r="A12425" s="35"/>
      <c r="C12425" s="442"/>
      <c r="P12425" s="235"/>
      <c r="AI12425" s="38"/>
    </row>
    <row r="12426" ht="15.75" customHeight="1">
      <c r="A12426" s="35"/>
      <c r="C12426" s="442"/>
      <c r="P12426" s="235"/>
      <c r="AI12426" s="38"/>
    </row>
    <row r="12427" ht="15.75" customHeight="1">
      <c r="A12427" s="35"/>
      <c r="C12427" s="442"/>
      <c r="P12427" s="235"/>
      <c r="AI12427" s="38"/>
    </row>
    <row r="12428" ht="15.75" customHeight="1">
      <c r="A12428" s="35"/>
      <c r="C12428" s="442"/>
      <c r="P12428" s="235"/>
      <c r="AI12428" s="38"/>
    </row>
    <row r="12429" ht="15.75" customHeight="1">
      <c r="A12429" s="35"/>
      <c r="C12429" s="442"/>
      <c r="P12429" s="235"/>
      <c r="AI12429" s="38"/>
    </row>
    <row r="12430" ht="15.75" customHeight="1">
      <c r="A12430" s="35"/>
      <c r="C12430" s="442"/>
      <c r="P12430" s="235"/>
      <c r="AI12430" s="38"/>
    </row>
    <row r="12431" ht="15.75" customHeight="1">
      <c r="A12431" s="35"/>
      <c r="C12431" s="442"/>
      <c r="P12431" s="235"/>
      <c r="AI12431" s="38"/>
    </row>
    <row r="12432" ht="15.75" customHeight="1">
      <c r="A12432" s="35"/>
      <c r="C12432" s="442"/>
      <c r="P12432" s="235"/>
      <c r="AI12432" s="38"/>
    </row>
    <row r="12433" ht="15.75" customHeight="1">
      <c r="A12433" s="35"/>
      <c r="C12433" s="442"/>
      <c r="P12433" s="235"/>
      <c r="AI12433" s="38"/>
    </row>
    <row r="12434" ht="15.75" customHeight="1">
      <c r="A12434" s="35"/>
      <c r="C12434" s="442"/>
      <c r="P12434" s="235"/>
      <c r="AI12434" s="38"/>
    </row>
    <row r="12435" ht="15.75" customHeight="1">
      <c r="A12435" s="35"/>
      <c r="C12435" s="442"/>
      <c r="P12435" s="235"/>
      <c r="AI12435" s="38"/>
    </row>
    <row r="12436" ht="15.75" customHeight="1">
      <c r="A12436" s="35"/>
      <c r="C12436" s="442"/>
      <c r="P12436" s="235"/>
      <c r="AI12436" s="38"/>
    </row>
    <row r="12437" ht="15.75" customHeight="1">
      <c r="A12437" s="35"/>
      <c r="C12437" s="442"/>
      <c r="P12437" s="235"/>
      <c r="AI12437" s="38"/>
    </row>
    <row r="12438" ht="15.75" customHeight="1">
      <c r="A12438" s="35"/>
      <c r="C12438" s="442"/>
      <c r="P12438" s="235"/>
      <c r="AI12438" s="38"/>
    </row>
    <row r="12439" ht="15.75" customHeight="1">
      <c r="A12439" s="35"/>
      <c r="C12439" s="442"/>
      <c r="P12439" s="235"/>
      <c r="AI12439" s="38"/>
    </row>
    <row r="12440" ht="15.75" customHeight="1">
      <c r="A12440" s="35"/>
      <c r="C12440" s="442"/>
      <c r="P12440" s="235"/>
      <c r="AI12440" s="38"/>
    </row>
    <row r="12441" ht="15.75" customHeight="1">
      <c r="A12441" s="35"/>
      <c r="C12441" s="442"/>
      <c r="P12441" s="235"/>
      <c r="AI12441" s="38"/>
    </row>
    <row r="12442" ht="15.75" customHeight="1">
      <c r="A12442" s="35"/>
      <c r="C12442" s="442"/>
      <c r="P12442" s="235"/>
      <c r="AI12442" s="38"/>
    </row>
    <row r="12443" ht="15.75" customHeight="1">
      <c r="A12443" s="35"/>
      <c r="C12443" s="442"/>
      <c r="P12443" s="235"/>
      <c r="AI12443" s="38"/>
    </row>
    <row r="12444" ht="15.75" customHeight="1">
      <c r="A12444" s="35"/>
      <c r="C12444" s="442"/>
      <c r="P12444" s="235"/>
      <c r="AI12444" s="38"/>
    </row>
    <row r="12445" ht="15.75" customHeight="1">
      <c r="A12445" s="35"/>
      <c r="C12445" s="442"/>
      <c r="P12445" s="235"/>
      <c r="AI12445" s="38"/>
    </row>
    <row r="12446" ht="15.75" customHeight="1">
      <c r="A12446" s="35"/>
      <c r="C12446" s="442"/>
      <c r="P12446" s="235"/>
      <c r="AI12446" s="38"/>
    </row>
    <row r="12447" ht="15.75" customHeight="1">
      <c r="A12447" s="35"/>
      <c r="C12447" s="442"/>
      <c r="P12447" s="235"/>
      <c r="AI12447" s="38"/>
    </row>
    <row r="12448" ht="15.75" customHeight="1">
      <c r="A12448" s="35"/>
      <c r="C12448" s="442"/>
      <c r="P12448" s="235"/>
      <c r="AI12448" s="38"/>
    </row>
    <row r="12449" ht="15.75" customHeight="1">
      <c r="A12449" s="35"/>
      <c r="C12449" s="442"/>
      <c r="P12449" s="235"/>
      <c r="AI12449" s="38"/>
    </row>
    <row r="12450" ht="15.75" customHeight="1">
      <c r="A12450" s="35"/>
      <c r="C12450" s="442"/>
      <c r="P12450" s="235"/>
      <c r="AI12450" s="38"/>
    </row>
    <row r="12451" ht="15.75" customHeight="1">
      <c r="A12451" s="35"/>
      <c r="C12451" s="442"/>
      <c r="P12451" s="235"/>
      <c r="AI12451" s="38"/>
    </row>
    <row r="12452" ht="15.75" customHeight="1">
      <c r="A12452" s="35"/>
      <c r="C12452" s="442"/>
      <c r="P12452" s="235"/>
      <c r="AI12452" s="38"/>
    </row>
    <row r="12453" ht="15.75" customHeight="1">
      <c r="A12453" s="35"/>
      <c r="C12453" s="442"/>
      <c r="P12453" s="235"/>
      <c r="AI12453" s="38"/>
    </row>
    <row r="12454" ht="15.75" customHeight="1">
      <c r="A12454" s="35"/>
      <c r="C12454" s="442"/>
      <c r="P12454" s="235"/>
      <c r="AI12454" s="38"/>
    </row>
    <row r="12455" ht="15.75" customHeight="1">
      <c r="A12455" s="35"/>
      <c r="C12455" s="442"/>
      <c r="P12455" s="235"/>
      <c r="AI12455" s="38"/>
    </row>
    <row r="12456" ht="15.75" customHeight="1">
      <c r="A12456" s="35"/>
      <c r="C12456" s="442"/>
      <c r="P12456" s="235"/>
      <c r="AI12456" s="38"/>
    </row>
    <row r="12457" ht="15.75" customHeight="1">
      <c r="A12457" s="35"/>
      <c r="C12457" s="442"/>
      <c r="P12457" s="235"/>
      <c r="AI12457" s="38"/>
    </row>
    <row r="12458" ht="15.75" customHeight="1">
      <c r="A12458" s="35"/>
      <c r="C12458" s="442"/>
      <c r="P12458" s="235"/>
      <c r="AI12458" s="38"/>
    </row>
    <row r="12459" ht="15.75" customHeight="1">
      <c r="A12459" s="35"/>
      <c r="C12459" s="442"/>
      <c r="P12459" s="235"/>
      <c r="AI12459" s="38"/>
    </row>
    <row r="12460" ht="15.75" customHeight="1">
      <c r="A12460" s="35"/>
      <c r="C12460" s="442"/>
      <c r="P12460" s="235"/>
      <c r="AI12460" s="38"/>
    </row>
    <row r="12461" ht="15.75" customHeight="1">
      <c r="A12461" s="35"/>
      <c r="C12461" s="442"/>
      <c r="P12461" s="235"/>
      <c r="AI12461" s="38"/>
    </row>
    <row r="12462" ht="15.75" customHeight="1">
      <c r="A12462" s="35"/>
      <c r="C12462" s="442"/>
      <c r="P12462" s="235"/>
      <c r="AI12462" s="38"/>
    </row>
    <row r="12463" ht="15.75" customHeight="1">
      <c r="A12463" s="35"/>
      <c r="C12463" s="442"/>
      <c r="P12463" s="235"/>
      <c r="AI12463" s="38"/>
    </row>
    <row r="12464" ht="15.75" customHeight="1">
      <c r="A12464" s="35"/>
      <c r="C12464" s="442"/>
      <c r="P12464" s="235"/>
      <c r="AI12464" s="38"/>
    </row>
    <row r="12465" ht="15.75" customHeight="1">
      <c r="A12465" s="35"/>
      <c r="C12465" s="442"/>
      <c r="P12465" s="235"/>
      <c r="AI12465" s="38"/>
    </row>
    <row r="12466" ht="15.75" customHeight="1">
      <c r="A12466" s="35"/>
      <c r="C12466" s="442"/>
      <c r="P12466" s="235"/>
      <c r="AI12466" s="38"/>
    </row>
    <row r="12467" ht="15.75" customHeight="1">
      <c r="A12467" s="35"/>
      <c r="C12467" s="442"/>
      <c r="P12467" s="235"/>
      <c r="AI12467" s="38"/>
    </row>
    <row r="12468" ht="15.75" customHeight="1">
      <c r="A12468" s="35"/>
      <c r="C12468" s="442"/>
      <c r="P12468" s="235"/>
      <c r="AI12468" s="38"/>
    </row>
    <row r="12469" ht="15.75" customHeight="1">
      <c r="A12469" s="35"/>
      <c r="C12469" s="442"/>
      <c r="P12469" s="235"/>
      <c r="AI12469" s="38"/>
    </row>
    <row r="12470" ht="15.75" customHeight="1">
      <c r="A12470" s="35"/>
      <c r="C12470" s="442"/>
      <c r="P12470" s="235"/>
      <c r="AI12470" s="38"/>
    </row>
    <row r="12471" ht="15.75" customHeight="1">
      <c r="A12471" s="35"/>
      <c r="C12471" s="442"/>
      <c r="P12471" s="235"/>
      <c r="AI12471" s="38"/>
    </row>
    <row r="12472" ht="15.75" customHeight="1">
      <c r="A12472" s="35"/>
      <c r="C12472" s="442"/>
      <c r="P12472" s="235"/>
      <c r="AI12472" s="38"/>
    </row>
    <row r="12473" ht="15.75" customHeight="1">
      <c r="A12473" s="35"/>
      <c r="C12473" s="442"/>
      <c r="P12473" s="235"/>
      <c r="AI12473" s="38"/>
    </row>
    <row r="12474" ht="15.75" customHeight="1">
      <c r="A12474" s="35"/>
      <c r="C12474" s="442"/>
      <c r="P12474" s="235"/>
      <c r="AI12474" s="38"/>
    </row>
    <row r="12475" ht="15.75" customHeight="1">
      <c r="A12475" s="35"/>
      <c r="C12475" s="442"/>
      <c r="P12475" s="235"/>
      <c r="AI12475" s="38"/>
    </row>
    <row r="12476" ht="15.75" customHeight="1">
      <c r="A12476" s="35"/>
      <c r="C12476" s="442"/>
      <c r="P12476" s="235"/>
      <c r="AI12476" s="38"/>
    </row>
    <row r="12477" ht="15.75" customHeight="1">
      <c r="A12477" s="35"/>
      <c r="C12477" s="442"/>
      <c r="P12477" s="235"/>
      <c r="AI12477" s="38"/>
    </row>
    <row r="12478" ht="15.75" customHeight="1">
      <c r="A12478" s="35"/>
      <c r="C12478" s="442"/>
      <c r="P12478" s="235"/>
      <c r="AI12478" s="38"/>
    </row>
    <row r="12479" ht="15.75" customHeight="1">
      <c r="A12479" s="35"/>
      <c r="C12479" s="442"/>
      <c r="P12479" s="235"/>
      <c r="AI12479" s="38"/>
    </row>
    <row r="12480" ht="15.75" customHeight="1">
      <c r="A12480" s="35"/>
      <c r="C12480" s="442"/>
      <c r="P12480" s="235"/>
      <c r="AI12480" s="38"/>
    </row>
    <row r="12481" ht="15.75" customHeight="1">
      <c r="A12481" s="35"/>
      <c r="C12481" s="442"/>
      <c r="P12481" s="235"/>
      <c r="AI12481" s="38"/>
    </row>
    <row r="12482" ht="15.75" customHeight="1">
      <c r="A12482" s="35"/>
      <c r="C12482" s="442"/>
      <c r="P12482" s="235"/>
      <c r="AI12482" s="38"/>
    </row>
    <row r="12483" ht="15.75" customHeight="1">
      <c r="A12483" s="35"/>
      <c r="C12483" s="442"/>
      <c r="P12483" s="235"/>
      <c r="AI12483" s="38"/>
    </row>
    <row r="12484" ht="15.75" customHeight="1">
      <c r="A12484" s="35"/>
      <c r="C12484" s="442"/>
      <c r="P12484" s="235"/>
      <c r="AI12484" s="38"/>
    </row>
    <row r="12485" ht="15.75" customHeight="1">
      <c r="A12485" s="35"/>
      <c r="C12485" s="442"/>
      <c r="P12485" s="235"/>
      <c r="AI12485" s="38"/>
    </row>
    <row r="12486" ht="15.75" customHeight="1">
      <c r="A12486" s="35"/>
      <c r="C12486" s="442"/>
      <c r="P12486" s="235"/>
      <c r="AI12486" s="38"/>
    </row>
    <row r="12487" ht="15.75" customHeight="1">
      <c r="A12487" s="35"/>
      <c r="C12487" s="442"/>
      <c r="P12487" s="235"/>
      <c r="AI12487" s="38"/>
    </row>
    <row r="12488" ht="15.75" customHeight="1">
      <c r="A12488" s="35"/>
      <c r="C12488" s="442"/>
      <c r="P12488" s="235"/>
      <c r="AI12488" s="38"/>
    </row>
    <row r="12489" ht="15.75" customHeight="1">
      <c r="A12489" s="35"/>
      <c r="C12489" s="442"/>
      <c r="P12489" s="235"/>
      <c r="AI12489" s="38"/>
    </row>
    <row r="12490" ht="15.75" customHeight="1">
      <c r="A12490" s="35"/>
      <c r="C12490" s="442"/>
      <c r="P12490" s="235"/>
      <c r="AI12490" s="38"/>
    </row>
    <row r="12491" ht="15.75" customHeight="1">
      <c r="A12491" s="35"/>
      <c r="C12491" s="442"/>
      <c r="P12491" s="235"/>
      <c r="AI12491" s="38"/>
    </row>
    <row r="12492" ht="15.75" customHeight="1">
      <c r="A12492" s="35"/>
      <c r="C12492" s="442"/>
      <c r="P12492" s="235"/>
      <c r="AI12492" s="38"/>
    </row>
    <row r="12493" ht="15.75" customHeight="1">
      <c r="A12493" s="35"/>
      <c r="C12493" s="442"/>
      <c r="P12493" s="235"/>
      <c r="AI12493" s="38"/>
    </row>
    <row r="12494" ht="15.75" customHeight="1">
      <c r="A12494" s="35"/>
      <c r="C12494" s="442"/>
      <c r="P12494" s="235"/>
      <c r="AI12494" s="38"/>
    </row>
    <row r="12495" ht="15.75" customHeight="1">
      <c r="A12495" s="35"/>
      <c r="C12495" s="442"/>
      <c r="P12495" s="235"/>
      <c r="AI12495" s="38"/>
    </row>
    <row r="12496" ht="15.75" customHeight="1">
      <c r="A12496" s="35"/>
      <c r="C12496" s="442"/>
      <c r="P12496" s="235"/>
      <c r="AI12496" s="38"/>
    </row>
    <row r="12497" ht="15.75" customHeight="1">
      <c r="A12497" s="35"/>
      <c r="C12497" s="442"/>
      <c r="P12497" s="235"/>
      <c r="AI12497" s="38"/>
    </row>
    <row r="12498" ht="15.75" customHeight="1">
      <c r="A12498" s="35"/>
      <c r="C12498" s="442"/>
      <c r="P12498" s="235"/>
      <c r="AI12498" s="38"/>
    </row>
    <row r="12499" ht="15.75" customHeight="1">
      <c r="A12499" s="35"/>
      <c r="C12499" s="442"/>
      <c r="P12499" s="235"/>
      <c r="AI12499" s="38"/>
    </row>
    <row r="12500" ht="15.75" customHeight="1">
      <c r="A12500" s="35"/>
      <c r="C12500" s="442"/>
      <c r="P12500" s="235"/>
      <c r="AI12500" s="38"/>
    </row>
    <row r="12501" ht="15.75" customHeight="1">
      <c r="A12501" s="35"/>
      <c r="C12501" s="442"/>
      <c r="P12501" s="235"/>
      <c r="AI12501" s="38"/>
    </row>
    <row r="12502" ht="15.75" customHeight="1">
      <c r="A12502" s="35"/>
      <c r="C12502" s="442"/>
      <c r="P12502" s="235"/>
      <c r="AI12502" s="38"/>
    </row>
    <row r="12503" ht="15.75" customHeight="1">
      <c r="A12503" s="35"/>
      <c r="C12503" s="442"/>
      <c r="P12503" s="235"/>
      <c r="AI12503" s="38"/>
    </row>
    <row r="12504" ht="15.75" customHeight="1">
      <c r="A12504" s="35"/>
      <c r="C12504" s="442"/>
      <c r="P12504" s="235"/>
      <c r="AI12504" s="38"/>
    </row>
    <row r="12505" ht="15.75" customHeight="1">
      <c r="A12505" s="35"/>
      <c r="C12505" s="442"/>
      <c r="P12505" s="235"/>
      <c r="AI12505" s="38"/>
    </row>
    <row r="12506" ht="15.75" customHeight="1">
      <c r="A12506" s="35"/>
      <c r="C12506" s="442"/>
      <c r="P12506" s="235"/>
      <c r="AI12506" s="38"/>
    </row>
    <row r="12507" ht="15.75" customHeight="1">
      <c r="A12507" s="35"/>
      <c r="C12507" s="442"/>
      <c r="P12507" s="235"/>
      <c r="AI12507" s="38"/>
    </row>
    <row r="12508" ht="15.75" customHeight="1">
      <c r="A12508" s="35"/>
      <c r="C12508" s="442"/>
      <c r="P12508" s="235"/>
      <c r="AI12508" s="38"/>
    </row>
    <row r="12509" ht="15.75" customHeight="1">
      <c r="A12509" s="35"/>
      <c r="C12509" s="442"/>
      <c r="P12509" s="235"/>
      <c r="AI12509" s="38"/>
    </row>
    <row r="12510" ht="15.75" customHeight="1">
      <c r="A12510" s="35"/>
      <c r="C12510" s="442"/>
      <c r="P12510" s="235"/>
      <c r="AI12510" s="38"/>
    </row>
    <row r="12511" ht="15.75" customHeight="1">
      <c r="A12511" s="35"/>
      <c r="C12511" s="442"/>
      <c r="P12511" s="235"/>
      <c r="AI12511" s="38"/>
    </row>
    <row r="12512" ht="15.75" customHeight="1">
      <c r="A12512" s="35"/>
      <c r="C12512" s="442"/>
      <c r="P12512" s="235"/>
      <c r="AI12512" s="38"/>
    </row>
    <row r="12513" ht="15.75" customHeight="1">
      <c r="A12513" s="35"/>
      <c r="C12513" s="442"/>
      <c r="P12513" s="235"/>
      <c r="AI12513" s="38"/>
    </row>
    <row r="12514" ht="15.75" customHeight="1">
      <c r="A12514" s="35"/>
      <c r="C12514" s="442"/>
      <c r="P12514" s="235"/>
      <c r="AI12514" s="38"/>
    </row>
    <row r="12515" ht="15.75" customHeight="1">
      <c r="A12515" s="35"/>
      <c r="C12515" s="442"/>
      <c r="P12515" s="235"/>
      <c r="AI12515" s="38"/>
    </row>
    <row r="12516" ht="15.75" customHeight="1">
      <c r="A12516" s="35"/>
      <c r="C12516" s="442"/>
      <c r="P12516" s="235"/>
      <c r="AI12516" s="38"/>
    </row>
    <row r="12517" ht="15.75" customHeight="1">
      <c r="A12517" s="35"/>
      <c r="C12517" s="442"/>
      <c r="P12517" s="235"/>
      <c r="AI12517" s="38"/>
    </row>
    <row r="12518" ht="15.75" customHeight="1">
      <c r="A12518" s="35"/>
      <c r="C12518" s="442"/>
      <c r="P12518" s="235"/>
      <c r="AI12518" s="38"/>
    </row>
    <row r="12519" ht="15.75" customHeight="1">
      <c r="A12519" s="35"/>
      <c r="C12519" s="442"/>
      <c r="P12519" s="235"/>
      <c r="AI12519" s="38"/>
    </row>
    <row r="12520" ht="15.75" customHeight="1">
      <c r="A12520" s="35"/>
      <c r="C12520" s="442"/>
      <c r="P12520" s="235"/>
      <c r="AI12520" s="38"/>
    </row>
    <row r="12521" ht="15.75" customHeight="1">
      <c r="A12521" s="35"/>
      <c r="C12521" s="442"/>
      <c r="P12521" s="235"/>
      <c r="AI12521" s="38"/>
    </row>
    <row r="12522" ht="15.75" customHeight="1">
      <c r="A12522" s="35"/>
      <c r="C12522" s="442"/>
      <c r="P12522" s="235"/>
      <c r="AI12522" s="38"/>
    </row>
    <row r="12523" ht="15.75" customHeight="1">
      <c r="A12523" s="35"/>
      <c r="C12523" s="442"/>
      <c r="P12523" s="235"/>
      <c r="AI12523" s="38"/>
    </row>
    <row r="12524" ht="15.75" customHeight="1">
      <c r="A12524" s="35"/>
      <c r="C12524" s="442"/>
      <c r="P12524" s="235"/>
      <c r="AI12524" s="38"/>
    </row>
    <row r="12525" ht="15.75" customHeight="1">
      <c r="A12525" s="35"/>
      <c r="C12525" s="442"/>
      <c r="P12525" s="235"/>
      <c r="AI12525" s="38"/>
    </row>
    <row r="12526" ht="15.75" customHeight="1">
      <c r="A12526" s="35"/>
      <c r="C12526" s="442"/>
      <c r="P12526" s="235"/>
      <c r="AI12526" s="38"/>
    </row>
    <row r="12527" ht="15.75" customHeight="1">
      <c r="A12527" s="35"/>
      <c r="C12527" s="442"/>
      <c r="P12527" s="235"/>
      <c r="AI12527" s="38"/>
    </row>
    <row r="12528" ht="15.75" customHeight="1">
      <c r="A12528" s="35"/>
      <c r="C12528" s="442"/>
      <c r="P12528" s="235"/>
      <c r="AI12528" s="38"/>
    </row>
    <row r="12529" ht="15.75" customHeight="1">
      <c r="A12529" s="35"/>
      <c r="C12529" s="442"/>
      <c r="P12529" s="235"/>
      <c r="AI12529" s="38"/>
    </row>
    <row r="12530" ht="15.75" customHeight="1">
      <c r="A12530" s="35"/>
      <c r="C12530" s="442"/>
      <c r="P12530" s="235"/>
      <c r="AI12530" s="38"/>
    </row>
    <row r="12531" ht="15.75" customHeight="1">
      <c r="A12531" s="35"/>
      <c r="C12531" s="442"/>
      <c r="P12531" s="235"/>
      <c r="AI12531" s="38"/>
    </row>
    <row r="12532" ht="15.75" customHeight="1">
      <c r="A12532" s="35"/>
      <c r="C12532" s="442"/>
      <c r="P12532" s="235"/>
      <c r="AI12532" s="38"/>
    </row>
    <row r="12533" ht="15.75" customHeight="1">
      <c r="A12533" s="35"/>
      <c r="C12533" s="442"/>
      <c r="P12533" s="235"/>
      <c r="AI12533" s="38"/>
    </row>
    <row r="12534" ht="15.75" customHeight="1">
      <c r="A12534" s="35"/>
      <c r="C12534" s="442"/>
      <c r="P12534" s="235"/>
      <c r="AI12534" s="38"/>
    </row>
    <row r="12535" ht="15.75" customHeight="1">
      <c r="A12535" s="35"/>
      <c r="C12535" s="442"/>
      <c r="P12535" s="235"/>
      <c r="AI12535" s="38"/>
    </row>
    <row r="12536" ht="15.75" customHeight="1">
      <c r="A12536" s="35"/>
      <c r="C12536" s="442"/>
      <c r="P12536" s="235"/>
      <c r="AI12536" s="38"/>
    </row>
    <row r="12537" ht="15.75" customHeight="1">
      <c r="A12537" s="35"/>
      <c r="C12537" s="442"/>
      <c r="P12537" s="235"/>
      <c r="AI12537" s="38"/>
    </row>
    <row r="12538" ht="15.75" customHeight="1">
      <c r="A12538" s="35"/>
      <c r="C12538" s="442"/>
      <c r="P12538" s="235"/>
      <c r="AI12538" s="38"/>
    </row>
    <row r="12539" ht="15.75" customHeight="1">
      <c r="A12539" s="35"/>
      <c r="C12539" s="442"/>
      <c r="P12539" s="235"/>
      <c r="AI12539" s="38"/>
    </row>
    <row r="12540" ht="15.75" customHeight="1">
      <c r="A12540" s="35"/>
      <c r="C12540" s="442"/>
      <c r="P12540" s="235"/>
      <c r="AI12540" s="38"/>
    </row>
    <row r="12541" ht="15.75" customHeight="1">
      <c r="A12541" s="35"/>
      <c r="C12541" s="442"/>
      <c r="P12541" s="235"/>
      <c r="AI12541" s="38"/>
    </row>
    <row r="12542" ht="15.75" customHeight="1">
      <c r="A12542" s="35"/>
      <c r="C12542" s="442"/>
      <c r="P12542" s="235"/>
      <c r="AI12542" s="38"/>
    </row>
    <row r="12543" ht="15.75" customHeight="1">
      <c r="A12543" s="35"/>
      <c r="C12543" s="442"/>
      <c r="P12543" s="235"/>
      <c r="AI12543" s="38"/>
    </row>
    <row r="12544" ht="15.75" customHeight="1">
      <c r="A12544" s="35"/>
      <c r="C12544" s="442"/>
      <c r="P12544" s="235"/>
      <c r="AI12544" s="38"/>
    </row>
    <row r="12545" ht="15.75" customHeight="1">
      <c r="A12545" s="35"/>
      <c r="C12545" s="442"/>
      <c r="P12545" s="235"/>
      <c r="AI12545" s="38"/>
    </row>
    <row r="12546" ht="15.75" customHeight="1">
      <c r="A12546" s="35"/>
      <c r="C12546" s="442"/>
      <c r="P12546" s="235"/>
      <c r="AI12546" s="38"/>
    </row>
    <row r="12547" ht="15.75" customHeight="1">
      <c r="A12547" s="35"/>
      <c r="C12547" s="442"/>
      <c r="P12547" s="235"/>
      <c r="AI12547" s="38"/>
    </row>
    <row r="12548" ht="15.75" customHeight="1">
      <c r="A12548" s="35"/>
      <c r="C12548" s="442"/>
      <c r="P12548" s="235"/>
      <c r="AI12548" s="38"/>
    </row>
    <row r="12549" ht="15.75" customHeight="1">
      <c r="A12549" s="35"/>
      <c r="C12549" s="442"/>
      <c r="P12549" s="235"/>
      <c r="AI12549" s="38"/>
    </row>
    <row r="12550" ht="15.75" customHeight="1">
      <c r="A12550" s="35"/>
      <c r="C12550" s="442"/>
      <c r="P12550" s="235"/>
      <c r="AI12550" s="38"/>
    </row>
    <row r="12551" ht="15.75" customHeight="1">
      <c r="A12551" s="35"/>
      <c r="C12551" s="442"/>
      <c r="P12551" s="235"/>
      <c r="AI12551" s="38"/>
    </row>
    <row r="12552" ht="15.75" customHeight="1">
      <c r="A12552" s="35"/>
      <c r="C12552" s="442"/>
      <c r="P12552" s="235"/>
      <c r="AI12552" s="38"/>
    </row>
    <row r="12553" ht="15.75" customHeight="1">
      <c r="A12553" s="35"/>
      <c r="C12553" s="442"/>
      <c r="P12553" s="235"/>
      <c r="AI12553" s="38"/>
    </row>
    <row r="12554" ht="15.75" customHeight="1">
      <c r="A12554" s="35"/>
      <c r="C12554" s="442"/>
      <c r="P12554" s="235"/>
      <c r="AI12554" s="38"/>
    </row>
    <row r="12555" ht="15.75" customHeight="1">
      <c r="A12555" s="35"/>
      <c r="C12555" s="442"/>
      <c r="P12555" s="235"/>
      <c r="AI12555" s="38"/>
    </row>
    <row r="12556" ht="15.75" customHeight="1">
      <c r="A12556" s="35"/>
      <c r="C12556" s="442"/>
      <c r="P12556" s="235"/>
      <c r="AI12556" s="38"/>
    </row>
    <row r="12557" ht="15.75" customHeight="1">
      <c r="A12557" s="35"/>
      <c r="C12557" s="442"/>
      <c r="P12557" s="235"/>
      <c r="AI12557" s="38"/>
    </row>
    <row r="12558" ht="15.75" customHeight="1">
      <c r="A12558" s="35"/>
      <c r="C12558" s="442"/>
      <c r="P12558" s="235"/>
      <c r="AI12558" s="38"/>
    </row>
    <row r="12559" ht="15.75" customHeight="1">
      <c r="A12559" s="35"/>
      <c r="C12559" s="442"/>
      <c r="P12559" s="235"/>
      <c r="AI12559" s="38"/>
    </row>
    <row r="12560" ht="15.75" customHeight="1">
      <c r="A12560" s="35"/>
      <c r="C12560" s="442"/>
      <c r="P12560" s="235"/>
      <c r="AI12560" s="38"/>
    </row>
    <row r="12561" ht="15.75" customHeight="1">
      <c r="A12561" s="35"/>
      <c r="C12561" s="442"/>
      <c r="P12561" s="235"/>
      <c r="AI12561" s="38"/>
    </row>
    <row r="12562" ht="15.75" customHeight="1">
      <c r="A12562" s="35"/>
      <c r="C12562" s="442"/>
      <c r="P12562" s="235"/>
      <c r="AI12562" s="38"/>
    </row>
    <row r="12563" ht="15.75" customHeight="1">
      <c r="A12563" s="35"/>
      <c r="C12563" s="442"/>
      <c r="P12563" s="235"/>
      <c r="AI12563" s="38"/>
    </row>
    <row r="12564" ht="15.75" customHeight="1">
      <c r="A12564" s="35"/>
      <c r="C12564" s="442"/>
      <c r="P12564" s="235"/>
      <c r="AI12564" s="38"/>
    </row>
    <row r="12565" ht="15.75" customHeight="1">
      <c r="A12565" s="35"/>
      <c r="C12565" s="442"/>
      <c r="P12565" s="235"/>
      <c r="AI12565" s="38"/>
    </row>
    <row r="12566" ht="15.75" customHeight="1">
      <c r="A12566" s="35"/>
      <c r="C12566" s="442"/>
      <c r="P12566" s="235"/>
      <c r="AI12566" s="38"/>
    </row>
    <row r="12567" ht="15.75" customHeight="1">
      <c r="A12567" s="35"/>
      <c r="C12567" s="442"/>
      <c r="P12567" s="235"/>
      <c r="AI12567" s="38"/>
    </row>
    <row r="12568" ht="15.75" customHeight="1">
      <c r="A12568" s="35"/>
      <c r="C12568" s="442"/>
      <c r="P12568" s="235"/>
      <c r="AI12568" s="38"/>
    </row>
    <row r="12569" ht="15.75" customHeight="1">
      <c r="A12569" s="35"/>
      <c r="C12569" s="442"/>
      <c r="P12569" s="235"/>
      <c r="AI12569" s="38"/>
    </row>
    <row r="12570" ht="15.75" customHeight="1">
      <c r="A12570" s="35"/>
      <c r="C12570" s="442"/>
      <c r="P12570" s="235"/>
      <c r="AI12570" s="38"/>
    </row>
    <row r="12571" ht="15.75" customHeight="1">
      <c r="A12571" s="35"/>
      <c r="C12571" s="442"/>
      <c r="P12571" s="235"/>
      <c r="AI12571" s="38"/>
    </row>
    <row r="12572" ht="15.75" customHeight="1">
      <c r="A12572" s="35"/>
      <c r="C12572" s="442"/>
      <c r="P12572" s="235"/>
      <c r="AI12572" s="38"/>
    </row>
    <row r="12573" ht="15.75" customHeight="1">
      <c r="A12573" s="35"/>
      <c r="C12573" s="442"/>
      <c r="P12573" s="235"/>
      <c r="AI12573" s="38"/>
    </row>
    <row r="12574" ht="15.75" customHeight="1">
      <c r="A12574" s="35"/>
      <c r="C12574" s="442"/>
      <c r="P12574" s="235"/>
      <c r="AI12574" s="38"/>
    </row>
    <row r="12575" ht="15.75" customHeight="1">
      <c r="A12575" s="35"/>
      <c r="C12575" s="442"/>
      <c r="P12575" s="235"/>
      <c r="AI12575" s="38"/>
    </row>
    <row r="12576" ht="15.75" customHeight="1">
      <c r="A12576" s="35"/>
      <c r="C12576" s="442"/>
      <c r="P12576" s="235"/>
      <c r="AI12576" s="38"/>
    </row>
    <row r="12577" ht="15.75" customHeight="1">
      <c r="A12577" s="35"/>
      <c r="C12577" s="442"/>
      <c r="P12577" s="235"/>
      <c r="AI12577" s="38"/>
    </row>
    <row r="12578" ht="15.75" customHeight="1">
      <c r="A12578" s="35"/>
      <c r="C12578" s="442"/>
      <c r="P12578" s="235"/>
      <c r="AI12578" s="38"/>
    </row>
    <row r="12579" ht="15.75" customHeight="1">
      <c r="A12579" s="35"/>
      <c r="C12579" s="442"/>
      <c r="P12579" s="235"/>
      <c r="AI12579" s="38"/>
    </row>
    <row r="12580" ht="15.75" customHeight="1">
      <c r="A12580" s="35"/>
      <c r="C12580" s="442"/>
      <c r="P12580" s="235"/>
      <c r="AI12580" s="38"/>
    </row>
    <row r="12581" ht="15.75" customHeight="1">
      <c r="A12581" s="35"/>
      <c r="C12581" s="442"/>
      <c r="P12581" s="235"/>
      <c r="AI12581" s="38"/>
    </row>
    <row r="12582" ht="15.75" customHeight="1">
      <c r="A12582" s="35"/>
      <c r="C12582" s="442"/>
      <c r="P12582" s="235"/>
      <c r="AI12582" s="38"/>
    </row>
    <row r="12583" ht="15.75" customHeight="1">
      <c r="A12583" s="35"/>
      <c r="C12583" s="442"/>
      <c r="P12583" s="235"/>
      <c r="AI12583" s="38"/>
    </row>
    <row r="12584" ht="15.75" customHeight="1">
      <c r="A12584" s="35"/>
      <c r="C12584" s="442"/>
      <c r="P12584" s="235"/>
      <c r="AI12584" s="38"/>
    </row>
    <row r="12585" ht="15.75" customHeight="1">
      <c r="A12585" s="35"/>
      <c r="C12585" s="442"/>
      <c r="P12585" s="235"/>
      <c r="AI12585" s="38"/>
    </row>
    <row r="12586" ht="15.75" customHeight="1">
      <c r="A12586" s="35"/>
      <c r="C12586" s="442"/>
      <c r="P12586" s="235"/>
      <c r="AI12586" s="38"/>
    </row>
    <row r="12587" ht="15.75" customHeight="1">
      <c r="A12587" s="35"/>
      <c r="C12587" s="442"/>
      <c r="P12587" s="235"/>
      <c r="AI12587" s="38"/>
    </row>
    <row r="12588" ht="15.75" customHeight="1">
      <c r="A12588" s="35"/>
      <c r="C12588" s="442"/>
      <c r="P12588" s="235"/>
      <c r="AI12588" s="38"/>
    </row>
    <row r="12589" ht="15.75" customHeight="1">
      <c r="A12589" s="35"/>
      <c r="C12589" s="442"/>
      <c r="P12589" s="235"/>
      <c r="AI12589" s="38"/>
    </row>
    <row r="12590" ht="15.75" customHeight="1">
      <c r="A12590" s="35"/>
      <c r="C12590" s="442"/>
      <c r="P12590" s="235"/>
      <c r="AI12590" s="38"/>
    </row>
    <row r="12591" ht="15.75" customHeight="1">
      <c r="A12591" s="35"/>
      <c r="C12591" s="442"/>
      <c r="P12591" s="235"/>
      <c r="AI12591" s="38"/>
    </row>
    <row r="12592" ht="15.75" customHeight="1">
      <c r="A12592" s="35"/>
      <c r="C12592" s="442"/>
      <c r="P12592" s="235"/>
      <c r="AI12592" s="38"/>
    </row>
    <row r="12593" ht="15.75" customHeight="1">
      <c r="A12593" s="35"/>
      <c r="C12593" s="442"/>
      <c r="P12593" s="235"/>
      <c r="AI12593" s="38"/>
    </row>
    <row r="12594" ht="15.75" customHeight="1">
      <c r="A12594" s="35"/>
      <c r="C12594" s="442"/>
      <c r="P12594" s="235"/>
      <c r="AI12594" s="38"/>
    </row>
    <row r="12595" ht="15.75" customHeight="1">
      <c r="A12595" s="35"/>
      <c r="C12595" s="442"/>
      <c r="P12595" s="235"/>
      <c r="AI12595" s="38"/>
    </row>
    <row r="12596" ht="15.75" customHeight="1">
      <c r="A12596" s="35"/>
      <c r="C12596" s="442"/>
      <c r="P12596" s="235"/>
      <c r="AI12596" s="38"/>
    </row>
    <row r="12597" ht="15.75" customHeight="1">
      <c r="A12597" s="35"/>
      <c r="C12597" s="442"/>
      <c r="P12597" s="235"/>
      <c r="AI12597" s="38"/>
    </row>
    <row r="12598" ht="15.75" customHeight="1">
      <c r="A12598" s="35"/>
      <c r="C12598" s="442"/>
      <c r="P12598" s="235"/>
      <c r="AI12598" s="38"/>
    </row>
    <row r="12599" ht="15.75" customHeight="1">
      <c r="A12599" s="35"/>
      <c r="C12599" s="442"/>
      <c r="P12599" s="235"/>
      <c r="AI12599" s="38"/>
    </row>
    <row r="12600" ht="15.75" customHeight="1">
      <c r="A12600" s="35"/>
      <c r="C12600" s="442"/>
      <c r="P12600" s="235"/>
      <c r="AI12600" s="38"/>
    </row>
    <row r="12601" ht="15.75" customHeight="1">
      <c r="A12601" s="35"/>
      <c r="C12601" s="442"/>
      <c r="P12601" s="235"/>
      <c r="AI12601" s="38"/>
    </row>
    <row r="12602" ht="15.75" customHeight="1">
      <c r="A12602" s="35"/>
      <c r="C12602" s="442"/>
      <c r="P12602" s="235"/>
      <c r="AI12602" s="38"/>
    </row>
    <row r="12603" ht="15.75" customHeight="1">
      <c r="A12603" s="35"/>
      <c r="C12603" s="442"/>
      <c r="P12603" s="235"/>
      <c r="AI12603" s="38"/>
    </row>
    <row r="12604" ht="15.75" customHeight="1">
      <c r="A12604" s="35"/>
      <c r="C12604" s="442"/>
      <c r="P12604" s="235"/>
      <c r="AI12604" s="38"/>
    </row>
    <row r="12605" ht="15.75" customHeight="1">
      <c r="A12605" s="35"/>
      <c r="C12605" s="442"/>
      <c r="P12605" s="235"/>
      <c r="AI12605" s="38"/>
    </row>
    <row r="12606" ht="15.75" customHeight="1">
      <c r="A12606" s="35"/>
      <c r="C12606" s="442"/>
      <c r="P12606" s="235"/>
      <c r="AI12606" s="38"/>
    </row>
    <row r="12607" ht="15.75" customHeight="1">
      <c r="A12607" s="35"/>
      <c r="C12607" s="442"/>
      <c r="P12607" s="235"/>
      <c r="AI12607" s="38"/>
    </row>
    <row r="12608" ht="15.75" customHeight="1">
      <c r="A12608" s="35"/>
      <c r="C12608" s="442"/>
      <c r="P12608" s="235"/>
      <c r="AI12608" s="38"/>
    </row>
    <row r="12609" ht="15.75" customHeight="1">
      <c r="A12609" s="35"/>
      <c r="C12609" s="442"/>
      <c r="P12609" s="235"/>
      <c r="AI12609" s="38"/>
    </row>
    <row r="12610" ht="15.75" customHeight="1">
      <c r="A12610" s="35"/>
      <c r="C12610" s="442"/>
      <c r="P12610" s="235"/>
      <c r="AI12610" s="38"/>
    </row>
    <row r="12611" ht="15.75" customHeight="1">
      <c r="A12611" s="35"/>
      <c r="C12611" s="442"/>
      <c r="P12611" s="235"/>
      <c r="AI12611" s="38"/>
    </row>
    <row r="12612" ht="15.75" customHeight="1">
      <c r="A12612" s="35"/>
      <c r="C12612" s="442"/>
      <c r="P12612" s="235"/>
      <c r="AI12612" s="38"/>
    </row>
    <row r="12613" ht="15.75" customHeight="1">
      <c r="A12613" s="35"/>
      <c r="C12613" s="442"/>
      <c r="P12613" s="235"/>
      <c r="AI12613" s="38"/>
    </row>
    <row r="12614" ht="15.75" customHeight="1">
      <c r="A12614" s="35"/>
      <c r="C12614" s="442"/>
      <c r="P12614" s="235"/>
      <c r="AI12614" s="38"/>
    </row>
    <row r="12615" ht="15.75" customHeight="1">
      <c r="A12615" s="35"/>
      <c r="C12615" s="442"/>
      <c r="P12615" s="235"/>
      <c r="AI12615" s="38"/>
    </row>
    <row r="12616" ht="15.75" customHeight="1">
      <c r="A12616" s="35"/>
      <c r="C12616" s="442"/>
      <c r="P12616" s="235"/>
      <c r="AI12616" s="38"/>
    </row>
    <row r="12617" ht="15.75" customHeight="1">
      <c r="A12617" s="35"/>
      <c r="C12617" s="442"/>
      <c r="P12617" s="235"/>
      <c r="AI12617" s="38"/>
    </row>
    <row r="12618" ht="15.75" customHeight="1">
      <c r="A12618" s="35"/>
      <c r="C12618" s="442"/>
      <c r="P12618" s="235"/>
      <c r="AI12618" s="38"/>
    </row>
    <row r="12619" ht="15.75" customHeight="1">
      <c r="A12619" s="35"/>
      <c r="C12619" s="442"/>
      <c r="P12619" s="235"/>
      <c r="AI12619" s="38"/>
    </row>
    <row r="12620" ht="15.75" customHeight="1">
      <c r="A12620" s="35"/>
      <c r="C12620" s="442"/>
      <c r="P12620" s="235"/>
      <c r="AI12620" s="38"/>
    </row>
    <row r="12621" ht="15.75" customHeight="1">
      <c r="A12621" s="35"/>
      <c r="C12621" s="442"/>
      <c r="P12621" s="235"/>
      <c r="AI12621" s="38"/>
    </row>
    <row r="12622" ht="15.75" customHeight="1">
      <c r="A12622" s="35"/>
      <c r="C12622" s="442"/>
      <c r="P12622" s="235"/>
      <c r="AI12622" s="38"/>
    </row>
    <row r="12623" ht="15.75" customHeight="1">
      <c r="A12623" s="35"/>
      <c r="C12623" s="442"/>
      <c r="P12623" s="235"/>
      <c r="AI12623" s="38"/>
    </row>
    <row r="12624" ht="15.75" customHeight="1">
      <c r="A12624" s="35"/>
      <c r="C12624" s="442"/>
      <c r="P12624" s="235"/>
      <c r="AI12624" s="38"/>
    </row>
    <row r="12625" ht="15.75" customHeight="1">
      <c r="A12625" s="35"/>
      <c r="C12625" s="442"/>
      <c r="P12625" s="235"/>
      <c r="AI12625" s="38"/>
    </row>
    <row r="12626" ht="15.75" customHeight="1">
      <c r="A12626" s="35"/>
      <c r="C12626" s="442"/>
      <c r="P12626" s="235"/>
      <c r="AI12626" s="38"/>
    </row>
    <row r="12627" ht="15.75" customHeight="1">
      <c r="A12627" s="35"/>
      <c r="C12627" s="442"/>
      <c r="P12627" s="235"/>
      <c r="AI12627" s="38"/>
    </row>
    <row r="12628" ht="15.75" customHeight="1">
      <c r="A12628" s="35"/>
      <c r="C12628" s="442"/>
      <c r="P12628" s="235"/>
      <c r="AI12628" s="38"/>
    </row>
    <row r="12629" ht="15.75" customHeight="1">
      <c r="A12629" s="35"/>
      <c r="C12629" s="442"/>
      <c r="P12629" s="235"/>
      <c r="AI12629" s="38"/>
    </row>
    <row r="12630" ht="15.75" customHeight="1">
      <c r="A12630" s="35"/>
      <c r="C12630" s="442"/>
      <c r="P12630" s="235"/>
      <c r="AI12630" s="38"/>
    </row>
    <row r="12631" ht="15.75" customHeight="1">
      <c r="A12631" s="35"/>
      <c r="C12631" s="442"/>
      <c r="P12631" s="235"/>
      <c r="AI12631" s="38"/>
    </row>
    <row r="12632" ht="15.75" customHeight="1">
      <c r="A12632" s="35"/>
      <c r="C12632" s="442"/>
      <c r="P12632" s="235"/>
      <c r="AI12632" s="38"/>
    </row>
    <row r="12633" ht="15.75" customHeight="1">
      <c r="A12633" s="35"/>
      <c r="C12633" s="442"/>
      <c r="P12633" s="235"/>
      <c r="AI12633" s="38"/>
    </row>
    <row r="12634" ht="15.75" customHeight="1">
      <c r="A12634" s="35"/>
      <c r="C12634" s="442"/>
      <c r="P12634" s="235"/>
      <c r="AI12634" s="38"/>
    </row>
    <row r="12635" ht="15.75" customHeight="1">
      <c r="A12635" s="35"/>
      <c r="C12635" s="442"/>
      <c r="P12635" s="235"/>
      <c r="AI12635" s="38"/>
    </row>
    <row r="12636" ht="15.75" customHeight="1">
      <c r="A12636" s="35"/>
      <c r="C12636" s="442"/>
      <c r="P12636" s="235"/>
      <c r="AI12636" s="38"/>
    </row>
    <row r="12637" ht="15.75" customHeight="1">
      <c r="A12637" s="35"/>
      <c r="C12637" s="442"/>
      <c r="P12637" s="235"/>
      <c r="AI12637" s="38"/>
    </row>
    <row r="12638" ht="15.75" customHeight="1">
      <c r="A12638" s="35"/>
      <c r="C12638" s="442"/>
      <c r="P12638" s="235"/>
      <c r="AI12638" s="38"/>
    </row>
    <row r="12639" ht="15.75" customHeight="1">
      <c r="A12639" s="35"/>
      <c r="C12639" s="442"/>
      <c r="P12639" s="235"/>
      <c r="AI12639" s="38"/>
    </row>
    <row r="12640" ht="15.75" customHeight="1">
      <c r="A12640" s="35"/>
      <c r="C12640" s="442"/>
      <c r="P12640" s="235"/>
      <c r="AI12640" s="38"/>
    </row>
    <row r="12641" ht="15.75" customHeight="1">
      <c r="A12641" s="35"/>
      <c r="C12641" s="442"/>
      <c r="P12641" s="235"/>
      <c r="AI12641" s="38"/>
    </row>
    <row r="12642" ht="15.75" customHeight="1">
      <c r="A12642" s="35"/>
      <c r="C12642" s="442"/>
      <c r="P12642" s="235"/>
      <c r="AI12642" s="38"/>
    </row>
    <row r="12643" ht="15.75" customHeight="1">
      <c r="A12643" s="35"/>
      <c r="C12643" s="442"/>
      <c r="P12643" s="235"/>
      <c r="AI12643" s="38"/>
    </row>
    <row r="12644" ht="15.75" customHeight="1">
      <c r="A12644" s="35"/>
      <c r="C12644" s="442"/>
      <c r="P12644" s="235"/>
      <c r="AI12644" s="38"/>
    </row>
    <row r="12645" ht="15.75" customHeight="1">
      <c r="A12645" s="35"/>
      <c r="C12645" s="442"/>
      <c r="P12645" s="235"/>
      <c r="AI12645" s="38"/>
    </row>
    <row r="12646" ht="15.75" customHeight="1">
      <c r="A12646" s="35"/>
      <c r="C12646" s="442"/>
      <c r="P12646" s="235"/>
      <c r="AI12646" s="38"/>
    </row>
    <row r="12647" ht="15.75" customHeight="1">
      <c r="A12647" s="35"/>
      <c r="C12647" s="442"/>
      <c r="P12647" s="235"/>
      <c r="AI12647" s="38"/>
    </row>
    <row r="12648" ht="15.75" customHeight="1">
      <c r="A12648" s="35"/>
      <c r="C12648" s="442"/>
      <c r="P12648" s="235"/>
      <c r="AI12648" s="38"/>
    </row>
    <row r="12649" ht="15.75" customHeight="1">
      <c r="A12649" s="35"/>
      <c r="C12649" s="442"/>
      <c r="P12649" s="235"/>
      <c r="AI12649" s="38"/>
    </row>
    <row r="12650" ht="15.75" customHeight="1">
      <c r="A12650" s="35"/>
      <c r="C12650" s="442"/>
      <c r="P12650" s="235"/>
      <c r="AI12650" s="38"/>
    </row>
    <row r="12651" ht="15.75" customHeight="1">
      <c r="A12651" s="35"/>
      <c r="C12651" s="442"/>
      <c r="P12651" s="235"/>
      <c r="AI12651" s="38"/>
    </row>
    <row r="12652" ht="15.75" customHeight="1">
      <c r="A12652" s="35"/>
      <c r="C12652" s="442"/>
      <c r="P12652" s="235"/>
      <c r="AI12652" s="38"/>
    </row>
    <row r="12653" ht="15.75" customHeight="1">
      <c r="A12653" s="35"/>
      <c r="C12653" s="442"/>
      <c r="P12653" s="235"/>
      <c r="AI12653" s="38"/>
    </row>
    <row r="12654" ht="15.75" customHeight="1">
      <c r="A12654" s="35"/>
      <c r="C12654" s="442"/>
      <c r="P12654" s="235"/>
      <c r="AI12654" s="38"/>
    </row>
    <row r="12655" ht="15.75" customHeight="1">
      <c r="A12655" s="35"/>
      <c r="C12655" s="442"/>
      <c r="P12655" s="235"/>
      <c r="AI12655" s="38"/>
    </row>
    <row r="12656" ht="15.75" customHeight="1">
      <c r="A12656" s="35"/>
      <c r="C12656" s="442"/>
      <c r="P12656" s="235"/>
      <c r="AI12656" s="38"/>
    </row>
    <row r="12657" ht="15.75" customHeight="1">
      <c r="A12657" s="35"/>
      <c r="C12657" s="442"/>
      <c r="P12657" s="235"/>
      <c r="AI12657" s="38"/>
    </row>
    <row r="12658" ht="15.75" customHeight="1">
      <c r="A12658" s="35"/>
      <c r="C12658" s="442"/>
      <c r="P12658" s="235"/>
      <c r="AI12658" s="38"/>
    </row>
    <row r="12659" ht="15.75" customHeight="1">
      <c r="A12659" s="35"/>
      <c r="C12659" s="442"/>
      <c r="P12659" s="235"/>
      <c r="AI12659" s="38"/>
    </row>
    <row r="12660" ht="15.75" customHeight="1">
      <c r="A12660" s="35"/>
      <c r="C12660" s="442"/>
      <c r="P12660" s="235"/>
      <c r="AI12660" s="38"/>
    </row>
    <row r="12661" ht="15.75" customHeight="1">
      <c r="A12661" s="35"/>
      <c r="C12661" s="442"/>
      <c r="P12661" s="235"/>
      <c r="AI12661" s="38"/>
    </row>
    <row r="12662" ht="15.75" customHeight="1">
      <c r="A12662" s="35"/>
      <c r="C12662" s="442"/>
      <c r="P12662" s="235"/>
      <c r="AI12662" s="38"/>
    </row>
    <row r="12663" ht="15.75" customHeight="1">
      <c r="A12663" s="35"/>
      <c r="C12663" s="442"/>
      <c r="P12663" s="235"/>
      <c r="AI12663" s="38"/>
    </row>
    <row r="12664" ht="15.75" customHeight="1">
      <c r="A12664" s="35"/>
      <c r="C12664" s="442"/>
      <c r="P12664" s="235"/>
      <c r="AI12664" s="38"/>
    </row>
    <row r="12665" ht="15.75" customHeight="1">
      <c r="A12665" s="35"/>
      <c r="C12665" s="442"/>
      <c r="P12665" s="235"/>
      <c r="AI12665" s="38"/>
    </row>
    <row r="12666" ht="15.75" customHeight="1">
      <c r="A12666" s="35"/>
      <c r="C12666" s="442"/>
      <c r="P12666" s="235"/>
      <c r="AI12666" s="38"/>
    </row>
    <row r="12667" ht="15.75" customHeight="1">
      <c r="A12667" s="35"/>
      <c r="C12667" s="442"/>
      <c r="P12667" s="235"/>
      <c r="AI12667" s="38"/>
    </row>
    <row r="12668" ht="15.75" customHeight="1">
      <c r="A12668" s="35"/>
      <c r="C12668" s="442"/>
      <c r="P12668" s="235"/>
      <c r="AI12668" s="38"/>
    </row>
    <row r="12669" ht="15.75" customHeight="1">
      <c r="A12669" s="35"/>
      <c r="C12669" s="442"/>
      <c r="P12669" s="235"/>
      <c r="AI12669" s="38"/>
    </row>
    <row r="12670" ht="15.75" customHeight="1">
      <c r="A12670" s="35"/>
      <c r="C12670" s="442"/>
      <c r="P12670" s="235"/>
      <c r="AI12670" s="38"/>
    </row>
    <row r="12671" ht="15.75" customHeight="1">
      <c r="A12671" s="35"/>
      <c r="C12671" s="442"/>
      <c r="P12671" s="235"/>
      <c r="AI12671" s="38"/>
    </row>
    <row r="12672" ht="15.75" customHeight="1">
      <c r="A12672" s="35"/>
      <c r="C12672" s="442"/>
      <c r="P12672" s="235"/>
      <c r="AI12672" s="38"/>
    </row>
    <row r="12673" ht="15.75" customHeight="1">
      <c r="A12673" s="35"/>
      <c r="C12673" s="442"/>
      <c r="P12673" s="235"/>
      <c r="AI12673" s="38"/>
    </row>
    <row r="12674" ht="15.75" customHeight="1">
      <c r="A12674" s="35"/>
      <c r="C12674" s="442"/>
      <c r="P12674" s="235"/>
      <c r="AI12674" s="38"/>
    </row>
    <row r="12675" ht="15.75" customHeight="1">
      <c r="A12675" s="35"/>
      <c r="C12675" s="442"/>
      <c r="P12675" s="235"/>
      <c r="AI12675" s="38"/>
    </row>
    <row r="12676" ht="15.75" customHeight="1">
      <c r="A12676" s="35"/>
      <c r="C12676" s="442"/>
      <c r="P12676" s="235"/>
      <c r="AI12676" s="38"/>
    </row>
    <row r="12677" ht="15.75" customHeight="1">
      <c r="A12677" s="35"/>
      <c r="C12677" s="442"/>
      <c r="P12677" s="235"/>
      <c r="AI12677" s="38"/>
    </row>
    <row r="12678" ht="15.75" customHeight="1">
      <c r="A12678" s="35"/>
      <c r="C12678" s="442"/>
      <c r="P12678" s="235"/>
      <c r="AI12678" s="38"/>
    </row>
    <row r="12679" ht="15.75" customHeight="1">
      <c r="A12679" s="35"/>
      <c r="C12679" s="442"/>
      <c r="P12679" s="235"/>
      <c r="AI12679" s="38"/>
    </row>
    <row r="12680" ht="15.75" customHeight="1">
      <c r="A12680" s="35"/>
      <c r="C12680" s="442"/>
      <c r="P12680" s="235"/>
      <c r="AI12680" s="38"/>
    </row>
    <row r="12681" ht="15.75" customHeight="1">
      <c r="A12681" s="35"/>
      <c r="C12681" s="442"/>
      <c r="P12681" s="235"/>
      <c r="AI12681" s="38"/>
    </row>
    <row r="12682" ht="15.75" customHeight="1">
      <c r="A12682" s="35"/>
      <c r="C12682" s="442"/>
      <c r="P12682" s="235"/>
      <c r="AI12682" s="38"/>
    </row>
    <row r="12683" ht="15.75" customHeight="1">
      <c r="A12683" s="35"/>
      <c r="C12683" s="442"/>
      <c r="P12683" s="235"/>
      <c r="AI12683" s="38"/>
    </row>
    <row r="12684" ht="15.75" customHeight="1">
      <c r="A12684" s="35"/>
      <c r="C12684" s="442"/>
      <c r="P12684" s="235"/>
      <c r="AI12684" s="38"/>
    </row>
    <row r="12685" ht="15.75" customHeight="1">
      <c r="A12685" s="35"/>
      <c r="C12685" s="442"/>
      <c r="P12685" s="235"/>
      <c r="AI12685" s="38"/>
    </row>
    <row r="12686" ht="15.75" customHeight="1">
      <c r="A12686" s="35"/>
      <c r="C12686" s="442"/>
      <c r="P12686" s="235"/>
      <c r="AI12686" s="38"/>
    </row>
    <row r="12687" ht="15.75" customHeight="1">
      <c r="A12687" s="35"/>
      <c r="C12687" s="442"/>
      <c r="P12687" s="235"/>
      <c r="AI12687" s="38"/>
    </row>
    <row r="12688" ht="15.75" customHeight="1">
      <c r="A12688" s="35"/>
      <c r="C12688" s="442"/>
      <c r="P12688" s="235"/>
      <c r="AI12688" s="38"/>
    </row>
    <row r="12689" ht="15.75" customHeight="1">
      <c r="A12689" s="35"/>
      <c r="C12689" s="442"/>
      <c r="P12689" s="235"/>
      <c r="AI12689" s="38"/>
    </row>
    <row r="12690" ht="15.75" customHeight="1">
      <c r="A12690" s="35"/>
      <c r="C12690" s="442"/>
      <c r="P12690" s="235"/>
      <c r="AI12690" s="38"/>
    </row>
    <row r="12691" ht="15.75" customHeight="1">
      <c r="A12691" s="35"/>
      <c r="C12691" s="442"/>
      <c r="P12691" s="235"/>
      <c r="AI12691" s="38"/>
    </row>
    <row r="12692" ht="15.75" customHeight="1">
      <c r="A12692" s="35"/>
      <c r="C12692" s="442"/>
      <c r="P12692" s="235"/>
      <c r="AI12692" s="38"/>
    </row>
    <row r="12693" ht="15.75" customHeight="1">
      <c r="A12693" s="35"/>
      <c r="C12693" s="442"/>
      <c r="P12693" s="235"/>
      <c r="AI12693" s="38"/>
    </row>
    <row r="12694" ht="15.75" customHeight="1">
      <c r="A12694" s="35"/>
      <c r="C12694" s="442"/>
      <c r="P12694" s="235"/>
      <c r="AI12694" s="38"/>
    </row>
    <row r="12695" ht="15.75" customHeight="1">
      <c r="A12695" s="35"/>
      <c r="C12695" s="442"/>
      <c r="P12695" s="235"/>
      <c r="AI12695" s="38"/>
    </row>
    <row r="12696" ht="15.75" customHeight="1">
      <c r="A12696" s="35"/>
      <c r="C12696" s="442"/>
      <c r="P12696" s="235"/>
      <c r="AI12696" s="38"/>
    </row>
    <row r="12697" ht="15.75" customHeight="1">
      <c r="A12697" s="35"/>
      <c r="C12697" s="442"/>
      <c r="P12697" s="235"/>
      <c r="AI12697" s="38"/>
    </row>
    <row r="12698" ht="15.75" customHeight="1">
      <c r="A12698" s="35"/>
      <c r="C12698" s="442"/>
      <c r="P12698" s="235"/>
      <c r="AI12698" s="38"/>
    </row>
    <row r="12699" ht="15.75" customHeight="1">
      <c r="A12699" s="35"/>
      <c r="C12699" s="442"/>
      <c r="P12699" s="235"/>
      <c r="AI12699" s="38"/>
    </row>
    <row r="12700" ht="15.75" customHeight="1">
      <c r="A12700" s="35"/>
      <c r="C12700" s="442"/>
      <c r="P12700" s="235"/>
      <c r="AI12700" s="38"/>
    </row>
    <row r="12701" ht="15.75" customHeight="1">
      <c r="A12701" s="35"/>
      <c r="C12701" s="442"/>
      <c r="P12701" s="235"/>
      <c r="AI12701" s="38"/>
    </row>
    <row r="12702" ht="15.75" customHeight="1">
      <c r="A12702" s="35"/>
      <c r="C12702" s="442"/>
      <c r="P12702" s="235"/>
      <c r="AI12702" s="38"/>
    </row>
    <row r="12703" ht="15.75" customHeight="1">
      <c r="A12703" s="35"/>
      <c r="C12703" s="442"/>
      <c r="P12703" s="235"/>
      <c r="AI12703" s="38"/>
    </row>
    <row r="12704" ht="15.75" customHeight="1">
      <c r="A12704" s="35"/>
      <c r="C12704" s="442"/>
      <c r="P12704" s="235"/>
      <c r="AI12704" s="38"/>
    </row>
    <row r="12705" ht="15.75" customHeight="1">
      <c r="A12705" s="35"/>
      <c r="C12705" s="442"/>
      <c r="P12705" s="235"/>
      <c r="AI12705" s="38"/>
    </row>
    <row r="12706" ht="15.75" customHeight="1">
      <c r="A12706" s="35"/>
      <c r="C12706" s="442"/>
      <c r="P12706" s="235"/>
      <c r="AI12706" s="38"/>
    </row>
    <row r="12707" ht="15.75" customHeight="1">
      <c r="A12707" s="35"/>
      <c r="C12707" s="442"/>
      <c r="P12707" s="235"/>
      <c r="AI12707" s="38"/>
    </row>
    <row r="12708" ht="15.75" customHeight="1">
      <c r="A12708" s="35"/>
      <c r="C12708" s="442"/>
      <c r="P12708" s="235"/>
      <c r="AI12708" s="38"/>
    </row>
    <row r="12709" ht="15.75" customHeight="1">
      <c r="A12709" s="35"/>
      <c r="C12709" s="442"/>
      <c r="P12709" s="235"/>
      <c r="AI12709" s="38"/>
    </row>
    <row r="12710" ht="15.75" customHeight="1">
      <c r="A12710" s="35"/>
      <c r="C12710" s="442"/>
      <c r="P12710" s="235"/>
      <c r="AI12710" s="38"/>
    </row>
    <row r="12711" ht="15.75" customHeight="1">
      <c r="A12711" s="35"/>
      <c r="C12711" s="442"/>
      <c r="P12711" s="235"/>
      <c r="AI12711" s="38"/>
    </row>
    <row r="12712" ht="15.75" customHeight="1">
      <c r="A12712" s="35"/>
      <c r="C12712" s="442"/>
      <c r="P12712" s="235"/>
      <c r="AI12712" s="38"/>
    </row>
    <row r="12713" ht="15.75" customHeight="1">
      <c r="A12713" s="35"/>
      <c r="C12713" s="442"/>
      <c r="P12713" s="235"/>
      <c r="AI12713" s="38"/>
    </row>
    <row r="12714" ht="15.75" customHeight="1">
      <c r="A12714" s="35"/>
      <c r="C12714" s="442"/>
      <c r="P12714" s="235"/>
      <c r="AI12714" s="38"/>
    </row>
    <row r="12715" ht="15.75" customHeight="1">
      <c r="A12715" s="35"/>
      <c r="C12715" s="442"/>
      <c r="P12715" s="235"/>
      <c r="AI12715" s="38"/>
    </row>
    <row r="12716" ht="15.75" customHeight="1">
      <c r="A12716" s="35"/>
      <c r="C12716" s="442"/>
      <c r="P12716" s="235"/>
      <c r="AI12716" s="38"/>
    </row>
    <row r="12717" ht="15.75" customHeight="1">
      <c r="A12717" s="35"/>
      <c r="C12717" s="442"/>
      <c r="P12717" s="235"/>
      <c r="AI12717" s="38"/>
    </row>
    <row r="12718" ht="15.75" customHeight="1">
      <c r="A12718" s="35"/>
      <c r="C12718" s="442"/>
      <c r="P12718" s="235"/>
      <c r="AI12718" s="38"/>
    </row>
    <row r="12719" ht="15.75" customHeight="1">
      <c r="A12719" s="35"/>
      <c r="C12719" s="442"/>
      <c r="P12719" s="235"/>
      <c r="AI12719" s="38"/>
    </row>
    <row r="12720" ht="15.75" customHeight="1">
      <c r="A12720" s="35"/>
      <c r="C12720" s="442"/>
      <c r="P12720" s="235"/>
      <c r="AI12720" s="38"/>
    </row>
    <row r="12721" ht="15.75" customHeight="1">
      <c r="A12721" s="35"/>
      <c r="C12721" s="442"/>
      <c r="P12721" s="235"/>
      <c r="AI12721" s="38"/>
    </row>
    <row r="12722" ht="15.75" customHeight="1">
      <c r="A12722" s="35"/>
      <c r="C12722" s="442"/>
      <c r="P12722" s="235"/>
      <c r="AI12722" s="38"/>
    </row>
    <row r="12723" ht="15.75" customHeight="1">
      <c r="A12723" s="35"/>
      <c r="C12723" s="442"/>
      <c r="P12723" s="235"/>
      <c r="AI12723" s="38"/>
    </row>
    <row r="12724" ht="15.75" customHeight="1">
      <c r="A12724" s="35"/>
      <c r="C12724" s="442"/>
      <c r="P12724" s="235"/>
      <c r="AI12724" s="38"/>
    </row>
    <row r="12725" ht="15.75" customHeight="1">
      <c r="A12725" s="35"/>
      <c r="C12725" s="442"/>
      <c r="P12725" s="235"/>
      <c r="AI12725" s="38"/>
    </row>
    <row r="12726" ht="15.75" customHeight="1">
      <c r="A12726" s="35"/>
      <c r="C12726" s="442"/>
      <c r="P12726" s="235"/>
      <c r="AI12726" s="38"/>
    </row>
    <row r="12727" ht="15.75" customHeight="1">
      <c r="A12727" s="35"/>
      <c r="C12727" s="442"/>
      <c r="P12727" s="235"/>
      <c r="AI12727" s="38"/>
    </row>
    <row r="12728" ht="15.75" customHeight="1">
      <c r="A12728" s="35"/>
      <c r="C12728" s="442"/>
      <c r="P12728" s="235"/>
      <c r="AI12728" s="38"/>
    </row>
    <row r="12729" ht="15.75" customHeight="1">
      <c r="A12729" s="35"/>
      <c r="C12729" s="442"/>
      <c r="P12729" s="235"/>
      <c r="AI12729" s="38"/>
    </row>
    <row r="12730" ht="15.75" customHeight="1">
      <c r="A12730" s="35"/>
      <c r="C12730" s="442"/>
      <c r="P12730" s="235"/>
      <c r="AI12730" s="38"/>
    </row>
    <row r="12731" ht="15.75" customHeight="1">
      <c r="A12731" s="35"/>
      <c r="C12731" s="442"/>
      <c r="P12731" s="235"/>
      <c r="AI12731" s="38"/>
    </row>
    <row r="12732" ht="15.75" customHeight="1">
      <c r="A12732" s="35"/>
      <c r="C12732" s="442"/>
      <c r="P12732" s="235"/>
      <c r="AI12732" s="38"/>
    </row>
    <row r="12733" ht="15.75" customHeight="1">
      <c r="A12733" s="35"/>
      <c r="C12733" s="442"/>
      <c r="P12733" s="235"/>
      <c r="AI12733" s="38"/>
    </row>
    <row r="12734" ht="15.75" customHeight="1">
      <c r="A12734" s="35"/>
      <c r="C12734" s="442"/>
      <c r="P12734" s="235"/>
      <c r="AI12734" s="38"/>
    </row>
    <row r="12735" ht="15.75" customHeight="1">
      <c r="A12735" s="35"/>
      <c r="C12735" s="442"/>
      <c r="P12735" s="235"/>
      <c r="AI12735" s="38"/>
    </row>
    <row r="12736" ht="15.75" customHeight="1">
      <c r="A12736" s="35"/>
      <c r="C12736" s="442"/>
      <c r="P12736" s="235"/>
      <c r="AI12736" s="38"/>
    </row>
    <row r="12737" ht="15.75" customHeight="1">
      <c r="A12737" s="35"/>
      <c r="C12737" s="442"/>
      <c r="P12737" s="235"/>
      <c r="AI12737" s="38"/>
    </row>
    <row r="12738" ht="15.75" customHeight="1">
      <c r="A12738" s="35"/>
      <c r="C12738" s="442"/>
      <c r="P12738" s="235"/>
      <c r="AI12738" s="38"/>
    </row>
    <row r="12739" ht="15.75" customHeight="1">
      <c r="A12739" s="35"/>
      <c r="C12739" s="442"/>
      <c r="P12739" s="235"/>
      <c r="AI12739" s="38"/>
    </row>
    <row r="12740" ht="15.75" customHeight="1">
      <c r="A12740" s="35"/>
      <c r="C12740" s="442"/>
      <c r="P12740" s="235"/>
      <c r="AI12740" s="38"/>
    </row>
    <row r="12741" ht="15.75" customHeight="1">
      <c r="A12741" s="35"/>
      <c r="C12741" s="442"/>
      <c r="P12741" s="235"/>
      <c r="AI12741" s="38"/>
    </row>
    <row r="12742" ht="15.75" customHeight="1">
      <c r="A12742" s="35"/>
      <c r="C12742" s="442"/>
      <c r="P12742" s="235"/>
      <c r="AI12742" s="38"/>
    </row>
    <row r="12743" ht="15.75" customHeight="1">
      <c r="A12743" s="35"/>
      <c r="C12743" s="442"/>
      <c r="P12743" s="235"/>
      <c r="AI12743" s="38"/>
    </row>
    <row r="12744" ht="15.75" customHeight="1">
      <c r="A12744" s="35"/>
      <c r="C12744" s="442"/>
      <c r="P12744" s="235"/>
      <c r="AI12744" s="38"/>
    </row>
    <row r="12745" ht="15.75" customHeight="1">
      <c r="A12745" s="35"/>
      <c r="C12745" s="442"/>
      <c r="P12745" s="235"/>
      <c r="AI12745" s="38"/>
    </row>
    <row r="12746" ht="15.75" customHeight="1">
      <c r="A12746" s="35"/>
      <c r="C12746" s="442"/>
      <c r="P12746" s="235"/>
      <c r="AI12746" s="38"/>
    </row>
    <row r="12747" ht="15.75" customHeight="1">
      <c r="A12747" s="35"/>
      <c r="C12747" s="442"/>
      <c r="P12747" s="235"/>
      <c r="AI12747" s="38"/>
    </row>
    <row r="12748" ht="15.75" customHeight="1">
      <c r="A12748" s="35"/>
      <c r="C12748" s="442"/>
      <c r="P12748" s="235"/>
      <c r="AI12748" s="38"/>
    </row>
    <row r="12749" ht="15.75" customHeight="1">
      <c r="A12749" s="35"/>
      <c r="C12749" s="442"/>
      <c r="P12749" s="235"/>
      <c r="AI12749" s="38"/>
    </row>
    <row r="12750" ht="15.75" customHeight="1">
      <c r="A12750" s="35"/>
      <c r="C12750" s="442"/>
      <c r="P12750" s="235"/>
      <c r="AI12750" s="38"/>
    </row>
    <row r="12751" ht="15.75" customHeight="1">
      <c r="A12751" s="35"/>
      <c r="C12751" s="442"/>
      <c r="P12751" s="235"/>
      <c r="AI12751" s="38"/>
    </row>
    <row r="12752" ht="15.75" customHeight="1">
      <c r="A12752" s="35"/>
      <c r="C12752" s="442"/>
      <c r="P12752" s="235"/>
      <c r="AI12752" s="38"/>
    </row>
    <row r="12753" ht="15.75" customHeight="1">
      <c r="A12753" s="35"/>
      <c r="C12753" s="442"/>
      <c r="P12753" s="235"/>
      <c r="AI12753" s="38"/>
    </row>
    <row r="12754" ht="15.75" customHeight="1">
      <c r="A12754" s="35"/>
      <c r="C12754" s="442"/>
      <c r="P12754" s="235"/>
      <c r="AI12754" s="38"/>
    </row>
    <row r="12755" ht="15.75" customHeight="1">
      <c r="A12755" s="35"/>
      <c r="C12755" s="442"/>
      <c r="P12755" s="235"/>
      <c r="AI12755" s="38"/>
    </row>
    <row r="12756" ht="15.75" customHeight="1">
      <c r="A12756" s="35"/>
      <c r="C12756" s="442"/>
      <c r="P12756" s="235"/>
      <c r="AI12756" s="38"/>
    </row>
    <row r="12757" ht="15.75" customHeight="1">
      <c r="A12757" s="35"/>
      <c r="C12757" s="442"/>
      <c r="P12757" s="235"/>
      <c r="AI12757" s="38"/>
    </row>
    <row r="12758" ht="15.75" customHeight="1">
      <c r="A12758" s="35"/>
      <c r="C12758" s="442"/>
      <c r="P12758" s="235"/>
      <c r="AI12758" s="38"/>
    </row>
    <row r="12759" ht="15.75" customHeight="1">
      <c r="A12759" s="35"/>
      <c r="C12759" s="442"/>
      <c r="P12759" s="235"/>
      <c r="AI12759" s="38"/>
    </row>
    <row r="12760" ht="15.75" customHeight="1">
      <c r="A12760" s="35"/>
      <c r="C12760" s="442"/>
      <c r="P12760" s="235"/>
      <c r="AI12760" s="38"/>
    </row>
    <row r="12761" ht="15.75" customHeight="1">
      <c r="A12761" s="35"/>
      <c r="C12761" s="442"/>
      <c r="P12761" s="235"/>
      <c r="AI12761" s="38"/>
    </row>
    <row r="12762" ht="15.75" customHeight="1">
      <c r="A12762" s="35"/>
      <c r="C12762" s="442"/>
      <c r="P12762" s="235"/>
      <c r="AI12762" s="38"/>
    </row>
    <row r="12763" ht="15.75" customHeight="1">
      <c r="A12763" s="35"/>
      <c r="C12763" s="442"/>
      <c r="P12763" s="235"/>
      <c r="AI12763" s="38"/>
    </row>
    <row r="12764" ht="15.75" customHeight="1">
      <c r="A12764" s="35"/>
      <c r="C12764" s="442"/>
      <c r="P12764" s="235"/>
      <c r="AI12764" s="38"/>
    </row>
    <row r="12765" ht="15.75" customHeight="1">
      <c r="A12765" s="35"/>
      <c r="C12765" s="442"/>
      <c r="P12765" s="235"/>
      <c r="AI12765" s="38"/>
    </row>
    <row r="12766" ht="15.75" customHeight="1">
      <c r="A12766" s="35"/>
      <c r="C12766" s="442"/>
      <c r="P12766" s="235"/>
      <c r="AI12766" s="38"/>
    </row>
    <row r="12767" ht="15.75" customHeight="1">
      <c r="A12767" s="35"/>
      <c r="C12767" s="442"/>
      <c r="P12767" s="235"/>
      <c r="AI12767" s="38"/>
    </row>
    <row r="12768" ht="15.75" customHeight="1">
      <c r="A12768" s="35"/>
      <c r="C12768" s="442"/>
      <c r="P12768" s="235"/>
      <c r="AI12768" s="38"/>
    </row>
    <row r="12769" ht="15.75" customHeight="1">
      <c r="A12769" s="35"/>
      <c r="C12769" s="442"/>
      <c r="P12769" s="235"/>
      <c r="AI12769" s="38"/>
    </row>
    <row r="12770" ht="15.75" customHeight="1">
      <c r="A12770" s="35"/>
      <c r="C12770" s="442"/>
      <c r="P12770" s="235"/>
      <c r="AI12770" s="38"/>
    </row>
    <row r="12771" ht="15.75" customHeight="1">
      <c r="A12771" s="35"/>
      <c r="C12771" s="442"/>
      <c r="P12771" s="235"/>
      <c r="AI12771" s="38"/>
    </row>
    <row r="12772" ht="15.75" customHeight="1">
      <c r="A12772" s="35"/>
      <c r="C12772" s="442"/>
      <c r="P12772" s="235"/>
      <c r="AI12772" s="38"/>
    </row>
    <row r="12773" ht="15.75" customHeight="1">
      <c r="A12773" s="35"/>
      <c r="C12773" s="442"/>
      <c r="P12773" s="235"/>
      <c r="AI12773" s="38"/>
    </row>
    <row r="12774" ht="15.75" customHeight="1">
      <c r="A12774" s="35"/>
      <c r="C12774" s="442"/>
      <c r="P12774" s="235"/>
      <c r="AI12774" s="38"/>
    </row>
    <row r="12775" ht="15.75" customHeight="1">
      <c r="A12775" s="35"/>
      <c r="C12775" s="442"/>
      <c r="P12775" s="235"/>
      <c r="AI12775" s="38"/>
    </row>
    <row r="12776" ht="15.75" customHeight="1">
      <c r="A12776" s="35"/>
      <c r="C12776" s="442"/>
      <c r="P12776" s="235"/>
      <c r="AI12776" s="38"/>
    </row>
    <row r="12777" ht="15.75" customHeight="1">
      <c r="A12777" s="35"/>
      <c r="C12777" s="442"/>
      <c r="P12777" s="235"/>
      <c r="AI12777" s="38"/>
    </row>
    <row r="12778" ht="15.75" customHeight="1">
      <c r="A12778" s="35"/>
      <c r="C12778" s="442"/>
      <c r="P12778" s="235"/>
      <c r="AI12778" s="38"/>
    </row>
    <row r="12779" ht="15.75" customHeight="1">
      <c r="A12779" s="35"/>
      <c r="C12779" s="442"/>
      <c r="P12779" s="235"/>
      <c r="AI12779" s="38"/>
    </row>
    <row r="12780" ht="15.75" customHeight="1">
      <c r="A12780" s="35"/>
      <c r="C12780" s="442"/>
      <c r="P12780" s="235"/>
      <c r="AI12780" s="38"/>
    </row>
    <row r="12781" ht="15.75" customHeight="1">
      <c r="A12781" s="35"/>
      <c r="C12781" s="442"/>
      <c r="P12781" s="235"/>
      <c r="AI12781" s="38"/>
    </row>
    <row r="12782" ht="15.75" customHeight="1">
      <c r="A12782" s="35"/>
      <c r="C12782" s="442"/>
      <c r="P12782" s="235"/>
      <c r="AI12782" s="38"/>
    </row>
    <row r="12783" ht="15.75" customHeight="1">
      <c r="A12783" s="35"/>
      <c r="C12783" s="442"/>
      <c r="P12783" s="235"/>
      <c r="AI12783" s="38"/>
    </row>
    <row r="12784" ht="15.75" customHeight="1">
      <c r="A12784" s="35"/>
      <c r="C12784" s="442"/>
      <c r="P12784" s="235"/>
      <c r="AI12784" s="38"/>
    </row>
    <row r="12785" ht="15.75" customHeight="1">
      <c r="A12785" s="35"/>
      <c r="C12785" s="442"/>
      <c r="P12785" s="235"/>
      <c r="AI12785" s="38"/>
    </row>
    <row r="12786" ht="15.75" customHeight="1">
      <c r="A12786" s="35"/>
      <c r="C12786" s="442"/>
      <c r="P12786" s="235"/>
      <c r="AI12786" s="38"/>
    </row>
    <row r="12787" ht="15.75" customHeight="1">
      <c r="A12787" s="35"/>
      <c r="C12787" s="442"/>
      <c r="P12787" s="235"/>
      <c r="AI12787" s="38"/>
    </row>
    <row r="12788" ht="15.75" customHeight="1">
      <c r="A12788" s="35"/>
      <c r="C12788" s="442"/>
      <c r="P12788" s="235"/>
      <c r="AI12788" s="38"/>
    </row>
    <row r="12789" ht="15.75" customHeight="1">
      <c r="A12789" s="35"/>
      <c r="C12789" s="442"/>
      <c r="P12789" s="235"/>
      <c r="AI12789" s="38"/>
    </row>
    <row r="12790" ht="15.75" customHeight="1">
      <c r="A12790" s="35"/>
      <c r="C12790" s="442"/>
      <c r="P12790" s="235"/>
      <c r="AI12790" s="38"/>
    </row>
    <row r="12791" ht="15.75" customHeight="1">
      <c r="A12791" s="35"/>
      <c r="C12791" s="442"/>
      <c r="P12791" s="235"/>
      <c r="AI12791" s="38"/>
    </row>
    <row r="12792" ht="15.75" customHeight="1">
      <c r="A12792" s="35"/>
      <c r="C12792" s="442"/>
      <c r="P12792" s="235"/>
      <c r="AI12792" s="38"/>
    </row>
    <row r="12793" ht="15.75" customHeight="1">
      <c r="A12793" s="35"/>
      <c r="C12793" s="442"/>
      <c r="P12793" s="235"/>
      <c r="AI12793" s="38"/>
    </row>
    <row r="12794" ht="15.75" customHeight="1">
      <c r="A12794" s="35"/>
      <c r="C12794" s="442"/>
      <c r="P12794" s="235"/>
      <c r="AI12794" s="38"/>
    </row>
    <row r="12795" ht="15.75" customHeight="1">
      <c r="A12795" s="35"/>
      <c r="C12795" s="442"/>
      <c r="P12795" s="235"/>
      <c r="AI12795" s="38"/>
    </row>
    <row r="12796" ht="15.75" customHeight="1">
      <c r="A12796" s="35"/>
      <c r="C12796" s="442"/>
      <c r="P12796" s="235"/>
      <c r="AI12796" s="38"/>
    </row>
    <row r="12797" ht="15.75" customHeight="1">
      <c r="A12797" s="35"/>
      <c r="C12797" s="442"/>
      <c r="P12797" s="235"/>
      <c r="AI12797" s="38"/>
    </row>
    <row r="12798" ht="15.75" customHeight="1">
      <c r="A12798" s="35"/>
      <c r="C12798" s="442"/>
      <c r="P12798" s="235"/>
      <c r="AI12798" s="38"/>
    </row>
    <row r="12799" ht="15.75" customHeight="1">
      <c r="A12799" s="35"/>
      <c r="C12799" s="442"/>
      <c r="P12799" s="235"/>
      <c r="AI12799" s="38"/>
    </row>
    <row r="12800" ht="15.75" customHeight="1">
      <c r="A12800" s="35"/>
      <c r="C12800" s="442"/>
      <c r="P12800" s="235"/>
      <c r="AI12800" s="38"/>
    </row>
    <row r="12801" ht="15.75" customHeight="1">
      <c r="A12801" s="35"/>
      <c r="C12801" s="442"/>
      <c r="P12801" s="235"/>
      <c r="AI12801" s="38"/>
    </row>
    <row r="12802" ht="15.75" customHeight="1">
      <c r="A12802" s="35"/>
      <c r="C12802" s="442"/>
      <c r="P12802" s="235"/>
      <c r="AI12802" s="38"/>
    </row>
    <row r="12803" ht="15.75" customHeight="1">
      <c r="A12803" s="35"/>
      <c r="C12803" s="442"/>
      <c r="P12803" s="235"/>
      <c r="AI12803" s="38"/>
    </row>
    <row r="12804" ht="15.75" customHeight="1">
      <c r="A12804" s="35"/>
      <c r="C12804" s="442"/>
      <c r="P12804" s="235"/>
      <c r="AI12804" s="38"/>
    </row>
    <row r="12805" ht="15.75" customHeight="1">
      <c r="A12805" s="35"/>
      <c r="C12805" s="442"/>
      <c r="P12805" s="235"/>
      <c r="AI12805" s="38"/>
    </row>
    <row r="12806" ht="15.75" customHeight="1">
      <c r="A12806" s="35"/>
      <c r="C12806" s="442"/>
      <c r="P12806" s="235"/>
      <c r="AI12806" s="38"/>
    </row>
    <row r="12807" ht="15.75" customHeight="1">
      <c r="A12807" s="35"/>
      <c r="C12807" s="442"/>
      <c r="P12807" s="235"/>
      <c r="AI12807" s="38"/>
    </row>
    <row r="12808" ht="15.75" customHeight="1">
      <c r="A12808" s="35"/>
      <c r="C12808" s="442"/>
      <c r="P12808" s="235"/>
      <c r="AI12808" s="38"/>
    </row>
    <row r="12809" ht="15.75" customHeight="1">
      <c r="A12809" s="35"/>
      <c r="C12809" s="442"/>
      <c r="P12809" s="235"/>
      <c r="AI12809" s="38"/>
    </row>
    <row r="12810" ht="15.75" customHeight="1">
      <c r="A12810" s="35"/>
      <c r="C12810" s="442"/>
      <c r="P12810" s="235"/>
      <c r="AI12810" s="38"/>
    </row>
    <row r="12811" ht="15.75" customHeight="1">
      <c r="A12811" s="35"/>
      <c r="C12811" s="442"/>
      <c r="P12811" s="235"/>
      <c r="AI12811" s="38"/>
    </row>
    <row r="12812" ht="15.75" customHeight="1">
      <c r="A12812" s="35"/>
      <c r="C12812" s="442"/>
      <c r="P12812" s="235"/>
      <c r="AI12812" s="38"/>
    </row>
    <row r="12813" ht="15.75" customHeight="1">
      <c r="A12813" s="35"/>
      <c r="C12813" s="442"/>
      <c r="P12813" s="235"/>
      <c r="AI12813" s="38"/>
    </row>
    <row r="12814" ht="15.75" customHeight="1">
      <c r="A12814" s="35"/>
      <c r="C12814" s="442"/>
      <c r="P12814" s="235"/>
      <c r="AI12814" s="38"/>
    </row>
    <row r="12815" ht="15.75" customHeight="1">
      <c r="A12815" s="35"/>
      <c r="C12815" s="442"/>
      <c r="P12815" s="235"/>
      <c r="AI12815" s="38"/>
    </row>
    <row r="12816" ht="15.75" customHeight="1">
      <c r="A12816" s="35"/>
      <c r="C12816" s="442"/>
      <c r="P12816" s="235"/>
      <c r="AI12816" s="38"/>
    </row>
    <row r="12817" ht="15.75" customHeight="1">
      <c r="A12817" s="35"/>
      <c r="C12817" s="442"/>
      <c r="P12817" s="235"/>
      <c r="AI12817" s="38"/>
    </row>
    <row r="12818" ht="15.75" customHeight="1">
      <c r="A12818" s="35"/>
      <c r="C12818" s="442"/>
      <c r="P12818" s="235"/>
      <c r="AI12818" s="38"/>
    </row>
    <row r="12819" ht="15.75" customHeight="1">
      <c r="A12819" s="35"/>
      <c r="C12819" s="442"/>
      <c r="P12819" s="235"/>
      <c r="AI12819" s="38"/>
    </row>
    <row r="12820" ht="15.75" customHeight="1">
      <c r="A12820" s="35"/>
      <c r="C12820" s="442"/>
      <c r="P12820" s="235"/>
      <c r="AI12820" s="38"/>
    </row>
    <row r="12821" ht="15.75" customHeight="1">
      <c r="A12821" s="35"/>
      <c r="C12821" s="442"/>
      <c r="P12821" s="235"/>
      <c r="AI12821" s="38"/>
    </row>
    <row r="12822" ht="15.75" customHeight="1">
      <c r="A12822" s="35"/>
      <c r="C12822" s="442"/>
      <c r="P12822" s="235"/>
      <c r="AI12822" s="38"/>
    </row>
    <row r="12823" ht="15.75" customHeight="1">
      <c r="A12823" s="35"/>
      <c r="C12823" s="442"/>
      <c r="P12823" s="235"/>
      <c r="AI12823" s="38"/>
    </row>
    <row r="12824" ht="15.75" customHeight="1">
      <c r="A12824" s="35"/>
      <c r="C12824" s="442"/>
      <c r="P12824" s="235"/>
      <c r="AI12824" s="38"/>
    </row>
    <row r="12825" ht="15.75" customHeight="1">
      <c r="A12825" s="35"/>
      <c r="C12825" s="442"/>
      <c r="P12825" s="235"/>
      <c r="AI12825" s="38"/>
    </row>
    <row r="12826" ht="15.75" customHeight="1">
      <c r="A12826" s="35"/>
      <c r="C12826" s="442"/>
      <c r="P12826" s="235"/>
      <c r="AI12826" s="38"/>
    </row>
    <row r="12827" ht="15.75" customHeight="1">
      <c r="A12827" s="35"/>
      <c r="C12827" s="442"/>
      <c r="P12827" s="235"/>
      <c r="AI12827" s="38"/>
    </row>
    <row r="12828" ht="15.75" customHeight="1">
      <c r="A12828" s="35"/>
      <c r="C12828" s="442"/>
      <c r="P12828" s="235"/>
      <c r="AI12828" s="38"/>
    </row>
    <row r="12829" ht="15.75" customHeight="1">
      <c r="A12829" s="35"/>
      <c r="C12829" s="442"/>
      <c r="P12829" s="235"/>
      <c r="AI12829" s="38"/>
    </row>
    <row r="12830" ht="15.75" customHeight="1">
      <c r="A12830" s="35"/>
      <c r="C12830" s="442"/>
      <c r="P12830" s="235"/>
      <c r="AI12830" s="38"/>
    </row>
    <row r="12831" ht="15.75" customHeight="1">
      <c r="A12831" s="35"/>
      <c r="C12831" s="442"/>
      <c r="P12831" s="235"/>
      <c r="AI12831" s="38"/>
    </row>
    <row r="12832" ht="15.75" customHeight="1">
      <c r="A12832" s="35"/>
      <c r="C12832" s="442"/>
      <c r="P12832" s="235"/>
      <c r="AI12832" s="38"/>
    </row>
    <row r="12833" ht="15.75" customHeight="1">
      <c r="A12833" s="35"/>
      <c r="C12833" s="442"/>
      <c r="P12833" s="235"/>
      <c r="AI12833" s="38"/>
    </row>
    <row r="12834" ht="15.75" customHeight="1">
      <c r="A12834" s="35"/>
      <c r="C12834" s="442"/>
      <c r="P12834" s="235"/>
      <c r="AI12834" s="38"/>
    </row>
    <row r="12835" ht="15.75" customHeight="1">
      <c r="A12835" s="35"/>
      <c r="C12835" s="442"/>
      <c r="P12835" s="235"/>
      <c r="AI12835" s="38"/>
    </row>
    <row r="12836" ht="15.75" customHeight="1">
      <c r="A12836" s="35"/>
      <c r="C12836" s="442"/>
      <c r="P12836" s="235"/>
      <c r="AI12836" s="38"/>
    </row>
    <row r="12837" ht="15.75" customHeight="1">
      <c r="A12837" s="35"/>
      <c r="C12837" s="442"/>
      <c r="P12837" s="235"/>
      <c r="AI12837" s="38"/>
    </row>
    <row r="12838" ht="15.75" customHeight="1">
      <c r="A12838" s="35"/>
      <c r="C12838" s="442"/>
      <c r="P12838" s="235"/>
      <c r="AI12838" s="38"/>
    </row>
    <row r="12839" ht="15.75" customHeight="1">
      <c r="A12839" s="35"/>
      <c r="C12839" s="442"/>
      <c r="P12839" s="235"/>
      <c r="AI12839" s="38"/>
    </row>
    <row r="12840" ht="15.75" customHeight="1">
      <c r="A12840" s="35"/>
      <c r="C12840" s="442"/>
      <c r="P12840" s="235"/>
      <c r="AI12840" s="38"/>
    </row>
    <row r="12841" ht="15.75" customHeight="1">
      <c r="A12841" s="35"/>
      <c r="C12841" s="442"/>
      <c r="P12841" s="235"/>
      <c r="AI12841" s="38"/>
    </row>
    <row r="12842" ht="15.75" customHeight="1">
      <c r="A12842" s="35"/>
      <c r="C12842" s="442"/>
      <c r="P12842" s="235"/>
      <c r="AI12842" s="38"/>
    </row>
    <row r="12843" ht="15.75" customHeight="1">
      <c r="A12843" s="35"/>
      <c r="C12843" s="442"/>
      <c r="P12843" s="235"/>
      <c r="AI12843" s="38"/>
    </row>
    <row r="12844" ht="15.75" customHeight="1">
      <c r="A12844" s="35"/>
      <c r="C12844" s="442"/>
      <c r="P12844" s="235"/>
      <c r="AI12844" s="38"/>
    </row>
    <row r="12845" ht="15.75" customHeight="1">
      <c r="A12845" s="35"/>
      <c r="C12845" s="442"/>
      <c r="P12845" s="235"/>
      <c r="AI12845" s="38"/>
    </row>
    <row r="12846" ht="15.75" customHeight="1">
      <c r="A12846" s="35"/>
      <c r="C12846" s="442"/>
      <c r="P12846" s="235"/>
      <c r="AI12846" s="38"/>
    </row>
    <row r="12847" ht="15.75" customHeight="1">
      <c r="A12847" s="35"/>
      <c r="C12847" s="442"/>
      <c r="P12847" s="235"/>
      <c r="AI12847" s="38"/>
    </row>
    <row r="12848" ht="15.75" customHeight="1">
      <c r="A12848" s="35"/>
      <c r="C12848" s="442"/>
      <c r="P12848" s="235"/>
      <c r="AI12848" s="38"/>
    </row>
    <row r="12849" ht="15.75" customHeight="1">
      <c r="A12849" s="35"/>
      <c r="C12849" s="442"/>
      <c r="P12849" s="235"/>
      <c r="AI12849" s="38"/>
    </row>
    <row r="12850" ht="15.75" customHeight="1">
      <c r="A12850" s="35"/>
      <c r="C12850" s="442"/>
      <c r="P12850" s="235"/>
      <c r="AI12850" s="38"/>
    </row>
    <row r="12851" ht="15.75" customHeight="1">
      <c r="A12851" s="35"/>
      <c r="C12851" s="442"/>
      <c r="P12851" s="235"/>
      <c r="AI12851" s="38"/>
    </row>
    <row r="12852" ht="15.75" customHeight="1">
      <c r="A12852" s="35"/>
      <c r="C12852" s="442"/>
      <c r="P12852" s="235"/>
      <c r="AI12852" s="38"/>
    </row>
    <row r="12853" ht="15.75" customHeight="1">
      <c r="A12853" s="35"/>
      <c r="C12853" s="442"/>
      <c r="P12853" s="235"/>
      <c r="AI12853" s="38"/>
    </row>
    <row r="12854" ht="15.75" customHeight="1">
      <c r="A12854" s="35"/>
      <c r="C12854" s="442"/>
      <c r="P12854" s="235"/>
      <c r="AI12854" s="38"/>
    </row>
    <row r="12855" ht="15.75" customHeight="1">
      <c r="A12855" s="35"/>
      <c r="C12855" s="442"/>
      <c r="P12855" s="235"/>
      <c r="AI12855" s="38"/>
    </row>
    <row r="12856" ht="15.75" customHeight="1">
      <c r="A12856" s="35"/>
      <c r="C12856" s="442"/>
      <c r="P12856" s="235"/>
      <c r="AI12856" s="38"/>
    </row>
    <row r="12857" ht="15.75" customHeight="1">
      <c r="A12857" s="35"/>
      <c r="C12857" s="442"/>
      <c r="P12857" s="235"/>
      <c r="AI12857" s="38"/>
    </row>
    <row r="12858" ht="15.75" customHeight="1">
      <c r="A12858" s="35"/>
      <c r="C12858" s="442"/>
      <c r="P12858" s="235"/>
      <c r="AI12858" s="38"/>
    </row>
    <row r="12859" ht="15.75" customHeight="1">
      <c r="A12859" s="35"/>
      <c r="C12859" s="442"/>
      <c r="P12859" s="235"/>
      <c r="AI12859" s="38"/>
    </row>
    <row r="12860" ht="15.75" customHeight="1">
      <c r="A12860" s="35"/>
      <c r="C12860" s="442"/>
      <c r="P12860" s="235"/>
      <c r="AI12860" s="38"/>
    </row>
    <row r="12861" ht="15.75" customHeight="1">
      <c r="A12861" s="35"/>
      <c r="C12861" s="442"/>
      <c r="P12861" s="235"/>
      <c r="AI12861" s="38"/>
    </row>
    <row r="12862" ht="15.75" customHeight="1">
      <c r="A12862" s="35"/>
      <c r="C12862" s="442"/>
      <c r="P12862" s="235"/>
      <c r="AI12862" s="38"/>
    </row>
    <row r="12863" ht="15.75" customHeight="1">
      <c r="A12863" s="35"/>
      <c r="C12863" s="442"/>
      <c r="P12863" s="235"/>
      <c r="AI12863" s="38"/>
    </row>
    <row r="12864" ht="15.75" customHeight="1">
      <c r="A12864" s="35"/>
      <c r="C12864" s="442"/>
      <c r="P12864" s="235"/>
      <c r="AI12864" s="38"/>
    </row>
    <row r="12865" ht="15.75" customHeight="1">
      <c r="A12865" s="35"/>
      <c r="C12865" s="442"/>
      <c r="P12865" s="235"/>
      <c r="AI12865" s="38"/>
    </row>
    <row r="12866" ht="15.75" customHeight="1">
      <c r="A12866" s="35"/>
      <c r="C12866" s="442"/>
      <c r="P12866" s="235"/>
      <c r="AI12866" s="38"/>
    </row>
    <row r="12867" ht="15.75" customHeight="1">
      <c r="A12867" s="35"/>
      <c r="C12867" s="442"/>
      <c r="P12867" s="235"/>
      <c r="AI12867" s="38"/>
    </row>
    <row r="12868" ht="15.75" customHeight="1">
      <c r="A12868" s="35"/>
      <c r="C12868" s="442"/>
      <c r="P12868" s="235"/>
      <c r="AI12868" s="38"/>
    </row>
    <row r="12869" ht="15.75" customHeight="1">
      <c r="A12869" s="35"/>
      <c r="C12869" s="442"/>
      <c r="P12869" s="235"/>
      <c r="AI12869" s="38"/>
    </row>
    <row r="12870" ht="15.75" customHeight="1">
      <c r="A12870" s="35"/>
      <c r="C12870" s="442"/>
      <c r="P12870" s="235"/>
      <c r="AI12870" s="38"/>
    </row>
    <row r="12871" ht="15.75" customHeight="1">
      <c r="A12871" s="35"/>
      <c r="C12871" s="442"/>
      <c r="P12871" s="235"/>
      <c r="AI12871" s="38"/>
    </row>
    <row r="12872" ht="15.75" customHeight="1">
      <c r="A12872" s="35"/>
      <c r="C12872" s="442"/>
      <c r="P12872" s="235"/>
      <c r="AI12872" s="38"/>
    </row>
    <row r="12873" ht="15.75" customHeight="1">
      <c r="A12873" s="35"/>
      <c r="C12873" s="442"/>
      <c r="P12873" s="235"/>
      <c r="AI12873" s="38"/>
    </row>
    <row r="12874" ht="15.75" customHeight="1">
      <c r="A12874" s="35"/>
      <c r="C12874" s="442"/>
      <c r="P12874" s="235"/>
      <c r="AI12874" s="38"/>
    </row>
    <row r="12875" ht="15.75" customHeight="1">
      <c r="A12875" s="35"/>
      <c r="C12875" s="442"/>
      <c r="P12875" s="235"/>
      <c r="AI12875" s="38"/>
    </row>
    <row r="12876" ht="15.75" customHeight="1">
      <c r="A12876" s="35"/>
      <c r="C12876" s="442"/>
      <c r="P12876" s="235"/>
      <c r="AI12876" s="38"/>
    </row>
    <row r="12877" ht="15.75" customHeight="1">
      <c r="A12877" s="35"/>
      <c r="C12877" s="442"/>
      <c r="P12877" s="235"/>
      <c r="AI12877" s="38"/>
    </row>
    <row r="12878" ht="15.75" customHeight="1">
      <c r="A12878" s="35"/>
      <c r="C12878" s="442"/>
      <c r="P12878" s="235"/>
      <c r="AI12878" s="38"/>
    </row>
    <row r="12879" ht="15.75" customHeight="1">
      <c r="A12879" s="35"/>
      <c r="C12879" s="442"/>
      <c r="P12879" s="235"/>
      <c r="AI12879" s="38"/>
    </row>
    <row r="12880" ht="15.75" customHeight="1">
      <c r="A12880" s="35"/>
      <c r="C12880" s="442"/>
      <c r="P12880" s="235"/>
      <c r="AI12880" s="38"/>
    </row>
    <row r="12881" ht="15.75" customHeight="1">
      <c r="A12881" s="35"/>
      <c r="C12881" s="442"/>
      <c r="P12881" s="235"/>
      <c r="AI12881" s="38"/>
    </row>
    <row r="12882" ht="15.75" customHeight="1">
      <c r="A12882" s="35"/>
      <c r="C12882" s="442"/>
      <c r="P12882" s="235"/>
      <c r="AI12882" s="38"/>
    </row>
    <row r="12883" ht="15.75" customHeight="1">
      <c r="A12883" s="35"/>
      <c r="C12883" s="442"/>
      <c r="P12883" s="235"/>
      <c r="AI12883" s="38"/>
    </row>
    <row r="12884" ht="15.75" customHeight="1">
      <c r="A12884" s="35"/>
      <c r="C12884" s="442"/>
      <c r="P12884" s="235"/>
      <c r="AI12884" s="38"/>
    </row>
    <row r="12885" ht="15.75" customHeight="1">
      <c r="A12885" s="35"/>
      <c r="C12885" s="442"/>
      <c r="P12885" s="235"/>
      <c r="AI12885" s="38"/>
    </row>
    <row r="12886" ht="15.75" customHeight="1">
      <c r="A12886" s="35"/>
      <c r="C12886" s="442"/>
      <c r="P12886" s="235"/>
      <c r="AI12886" s="38"/>
    </row>
    <row r="12887" ht="15.75" customHeight="1">
      <c r="A12887" s="35"/>
      <c r="C12887" s="442"/>
      <c r="P12887" s="235"/>
      <c r="AI12887" s="38"/>
    </row>
    <row r="12888" ht="15.75" customHeight="1">
      <c r="A12888" s="35"/>
      <c r="C12888" s="442"/>
      <c r="P12888" s="235"/>
      <c r="AI12888" s="38"/>
    </row>
    <row r="12889" ht="15.75" customHeight="1">
      <c r="A12889" s="35"/>
      <c r="C12889" s="442"/>
      <c r="P12889" s="235"/>
      <c r="AI12889" s="38"/>
    </row>
    <row r="12890" ht="15.75" customHeight="1">
      <c r="A12890" s="35"/>
      <c r="C12890" s="442"/>
      <c r="P12890" s="235"/>
      <c r="AI12890" s="38"/>
    </row>
    <row r="12891" ht="15.75" customHeight="1">
      <c r="A12891" s="35"/>
      <c r="C12891" s="442"/>
      <c r="P12891" s="235"/>
      <c r="AI12891" s="38"/>
    </row>
    <row r="12892" ht="15.75" customHeight="1">
      <c r="A12892" s="35"/>
      <c r="C12892" s="442"/>
      <c r="P12892" s="235"/>
      <c r="AI12892" s="38"/>
    </row>
    <row r="12893" ht="15.75" customHeight="1">
      <c r="A12893" s="35"/>
      <c r="C12893" s="442"/>
      <c r="P12893" s="235"/>
      <c r="AI12893" s="38"/>
    </row>
    <row r="12894" ht="15.75" customHeight="1">
      <c r="A12894" s="35"/>
      <c r="C12894" s="442"/>
      <c r="P12894" s="235"/>
      <c r="AI12894" s="38"/>
    </row>
    <row r="12895" ht="15.75" customHeight="1">
      <c r="A12895" s="35"/>
      <c r="C12895" s="442"/>
      <c r="P12895" s="235"/>
      <c r="AI12895" s="38"/>
    </row>
    <row r="12896" ht="15.75" customHeight="1">
      <c r="A12896" s="35"/>
      <c r="C12896" s="442"/>
      <c r="P12896" s="235"/>
      <c r="AI12896" s="38"/>
    </row>
    <row r="12897" ht="15.75" customHeight="1">
      <c r="A12897" s="35"/>
      <c r="C12897" s="442"/>
      <c r="P12897" s="235"/>
      <c r="AI12897" s="38"/>
    </row>
    <row r="12898" ht="15.75" customHeight="1">
      <c r="A12898" s="35"/>
      <c r="C12898" s="442"/>
      <c r="P12898" s="235"/>
      <c r="AI12898" s="38"/>
    </row>
    <row r="12899" ht="15.75" customHeight="1">
      <c r="A12899" s="35"/>
      <c r="C12899" s="442"/>
      <c r="P12899" s="235"/>
      <c r="AI12899" s="38"/>
    </row>
    <row r="12900" ht="15.75" customHeight="1">
      <c r="A12900" s="35"/>
      <c r="C12900" s="442"/>
      <c r="P12900" s="235"/>
      <c r="AI12900" s="38"/>
    </row>
    <row r="12901" ht="15.75" customHeight="1">
      <c r="A12901" s="35"/>
      <c r="C12901" s="442"/>
      <c r="P12901" s="235"/>
      <c r="AI12901" s="38"/>
    </row>
    <row r="12902" ht="15.75" customHeight="1">
      <c r="A12902" s="35"/>
      <c r="C12902" s="442"/>
      <c r="P12902" s="235"/>
      <c r="AI12902" s="38"/>
    </row>
    <row r="12903" ht="15.75" customHeight="1">
      <c r="A12903" s="35"/>
      <c r="C12903" s="442"/>
      <c r="P12903" s="235"/>
      <c r="AI12903" s="38"/>
    </row>
    <row r="12904" ht="15.75" customHeight="1">
      <c r="A12904" s="35"/>
      <c r="C12904" s="442"/>
      <c r="P12904" s="235"/>
      <c r="AI12904" s="38"/>
    </row>
    <row r="12905" ht="15.75" customHeight="1">
      <c r="A12905" s="35"/>
      <c r="C12905" s="442"/>
      <c r="P12905" s="235"/>
      <c r="AI12905" s="38"/>
    </row>
    <row r="12906" ht="15.75" customHeight="1">
      <c r="A12906" s="35"/>
      <c r="C12906" s="442"/>
      <c r="P12906" s="235"/>
      <c r="AI12906" s="38"/>
    </row>
    <row r="12907" ht="15.75" customHeight="1">
      <c r="A12907" s="35"/>
      <c r="C12907" s="442"/>
      <c r="P12907" s="235"/>
      <c r="AI12907" s="38"/>
    </row>
    <row r="12908" ht="15.75" customHeight="1">
      <c r="A12908" s="35"/>
      <c r="C12908" s="442"/>
      <c r="P12908" s="235"/>
      <c r="AI12908" s="38"/>
    </row>
    <row r="12909" ht="15.75" customHeight="1">
      <c r="A12909" s="35"/>
      <c r="C12909" s="442"/>
      <c r="P12909" s="235"/>
      <c r="AI12909" s="38"/>
    </row>
    <row r="12910" ht="15.75" customHeight="1">
      <c r="A12910" s="35"/>
      <c r="C12910" s="442"/>
      <c r="P12910" s="235"/>
      <c r="AI12910" s="38"/>
    </row>
    <row r="12911" ht="15.75" customHeight="1">
      <c r="A12911" s="35"/>
      <c r="C12911" s="442"/>
      <c r="P12911" s="235"/>
      <c r="AI12911" s="38"/>
    </row>
    <row r="12912" ht="15.75" customHeight="1">
      <c r="A12912" s="35"/>
      <c r="C12912" s="442"/>
      <c r="P12912" s="235"/>
      <c r="AI12912" s="38"/>
    </row>
    <row r="12913" ht="15.75" customHeight="1">
      <c r="A12913" s="35"/>
      <c r="C12913" s="442"/>
      <c r="P12913" s="235"/>
      <c r="AI12913" s="38"/>
    </row>
    <row r="12914" ht="15.75" customHeight="1">
      <c r="A12914" s="35"/>
      <c r="C12914" s="442"/>
      <c r="P12914" s="235"/>
      <c r="AI12914" s="38"/>
    </row>
    <row r="12915" ht="15.75" customHeight="1">
      <c r="A12915" s="35"/>
      <c r="C12915" s="442"/>
      <c r="P12915" s="235"/>
      <c r="AI12915" s="38"/>
    </row>
    <row r="12916" ht="15.75" customHeight="1">
      <c r="A12916" s="35"/>
      <c r="C12916" s="442"/>
      <c r="P12916" s="235"/>
      <c r="AI12916" s="38"/>
    </row>
    <row r="12917" ht="15.75" customHeight="1">
      <c r="A12917" s="35"/>
      <c r="C12917" s="442"/>
      <c r="P12917" s="235"/>
      <c r="AI12917" s="38"/>
    </row>
    <row r="12918" ht="15.75" customHeight="1">
      <c r="A12918" s="35"/>
      <c r="C12918" s="442"/>
      <c r="P12918" s="235"/>
      <c r="AI12918" s="38"/>
    </row>
    <row r="12919" ht="15.75" customHeight="1">
      <c r="A12919" s="35"/>
      <c r="C12919" s="442"/>
      <c r="P12919" s="235"/>
      <c r="AI12919" s="38"/>
    </row>
    <row r="12920" ht="15.75" customHeight="1">
      <c r="A12920" s="35"/>
      <c r="C12920" s="442"/>
      <c r="P12920" s="235"/>
      <c r="AI12920" s="38"/>
    </row>
    <row r="12921" ht="15.75" customHeight="1">
      <c r="A12921" s="35"/>
      <c r="C12921" s="442"/>
      <c r="P12921" s="235"/>
      <c r="AI12921" s="38"/>
    </row>
    <row r="12922" ht="15.75" customHeight="1">
      <c r="A12922" s="35"/>
      <c r="C12922" s="442"/>
      <c r="P12922" s="235"/>
      <c r="AI12922" s="38"/>
    </row>
    <row r="12923" ht="15.75" customHeight="1">
      <c r="A12923" s="35"/>
      <c r="C12923" s="442"/>
      <c r="P12923" s="235"/>
      <c r="AI12923" s="38"/>
    </row>
    <row r="12924" ht="15.75" customHeight="1">
      <c r="A12924" s="35"/>
      <c r="C12924" s="442"/>
      <c r="P12924" s="235"/>
      <c r="AI12924" s="38"/>
    </row>
    <row r="12925" ht="15.75" customHeight="1">
      <c r="A12925" s="35"/>
      <c r="C12925" s="442"/>
      <c r="P12925" s="235"/>
      <c r="AI12925" s="38"/>
    </row>
    <row r="12926" ht="15.75" customHeight="1">
      <c r="A12926" s="35"/>
      <c r="C12926" s="442"/>
      <c r="P12926" s="235"/>
      <c r="AI12926" s="38"/>
    </row>
    <row r="12927" ht="15.75" customHeight="1">
      <c r="A12927" s="35"/>
      <c r="C12927" s="442"/>
      <c r="P12927" s="235"/>
      <c r="AI12927" s="38"/>
    </row>
    <row r="12928" ht="15.75" customHeight="1">
      <c r="A12928" s="35"/>
      <c r="C12928" s="442"/>
      <c r="P12928" s="235"/>
      <c r="AI12928" s="38"/>
    </row>
    <row r="12929" ht="15.75" customHeight="1">
      <c r="A12929" s="35"/>
      <c r="C12929" s="442"/>
      <c r="P12929" s="235"/>
      <c r="AI12929" s="38"/>
    </row>
    <row r="12930" ht="15.75" customHeight="1">
      <c r="A12930" s="35"/>
      <c r="C12930" s="442"/>
      <c r="P12930" s="235"/>
      <c r="AI12930" s="38"/>
    </row>
    <row r="12931" ht="15.75" customHeight="1">
      <c r="A12931" s="35"/>
      <c r="C12931" s="442"/>
      <c r="P12931" s="235"/>
      <c r="AI12931" s="38"/>
    </row>
    <row r="12932" ht="15.75" customHeight="1">
      <c r="A12932" s="35"/>
      <c r="C12932" s="442"/>
      <c r="P12932" s="235"/>
      <c r="AI12932" s="38"/>
    </row>
    <row r="12933" ht="15.75" customHeight="1">
      <c r="A12933" s="35"/>
      <c r="C12933" s="442"/>
      <c r="P12933" s="235"/>
      <c r="AI12933" s="38"/>
    </row>
    <row r="12934" ht="15.75" customHeight="1">
      <c r="A12934" s="35"/>
      <c r="C12934" s="442"/>
      <c r="P12934" s="235"/>
      <c r="AI12934" s="38"/>
    </row>
    <row r="12935" ht="15.75" customHeight="1">
      <c r="A12935" s="35"/>
      <c r="C12935" s="442"/>
      <c r="P12935" s="235"/>
      <c r="AI12935" s="38"/>
    </row>
    <row r="12936" ht="15.75" customHeight="1">
      <c r="A12936" s="35"/>
      <c r="C12936" s="442"/>
      <c r="P12936" s="235"/>
      <c r="AI12936" s="38"/>
    </row>
    <row r="12937" ht="15.75" customHeight="1">
      <c r="A12937" s="35"/>
      <c r="C12937" s="442"/>
      <c r="P12937" s="235"/>
      <c r="AI12937" s="38"/>
    </row>
    <row r="12938" ht="15.75" customHeight="1">
      <c r="A12938" s="35"/>
      <c r="C12938" s="442"/>
      <c r="P12938" s="235"/>
      <c r="AI12938" s="38"/>
    </row>
    <row r="12939" ht="15.75" customHeight="1">
      <c r="A12939" s="35"/>
      <c r="C12939" s="442"/>
      <c r="P12939" s="235"/>
      <c r="AI12939" s="38"/>
    </row>
    <row r="12940" ht="15.75" customHeight="1">
      <c r="A12940" s="35"/>
      <c r="C12940" s="442"/>
      <c r="P12940" s="235"/>
      <c r="AI12940" s="38"/>
    </row>
    <row r="12941" ht="15.75" customHeight="1">
      <c r="A12941" s="35"/>
      <c r="C12941" s="442"/>
      <c r="P12941" s="235"/>
      <c r="AI12941" s="38"/>
    </row>
    <row r="12942" ht="15.75" customHeight="1">
      <c r="A12942" s="35"/>
      <c r="C12942" s="442"/>
      <c r="P12942" s="235"/>
      <c r="AI12942" s="38"/>
    </row>
    <row r="12943" ht="15.75" customHeight="1">
      <c r="A12943" s="35"/>
      <c r="C12943" s="442"/>
      <c r="P12943" s="235"/>
      <c r="AI12943" s="38"/>
    </row>
    <row r="12944" ht="15.75" customHeight="1">
      <c r="A12944" s="35"/>
      <c r="C12944" s="442"/>
      <c r="P12944" s="235"/>
      <c r="AI12944" s="38"/>
    </row>
    <row r="12945" ht="15.75" customHeight="1">
      <c r="A12945" s="35"/>
      <c r="C12945" s="442"/>
      <c r="P12945" s="235"/>
      <c r="AI12945" s="38"/>
    </row>
    <row r="12946" ht="15.75" customHeight="1">
      <c r="A12946" s="35"/>
      <c r="C12946" s="442"/>
      <c r="P12946" s="235"/>
      <c r="AI12946" s="38"/>
    </row>
    <row r="12947" ht="15.75" customHeight="1">
      <c r="A12947" s="35"/>
      <c r="C12947" s="442"/>
      <c r="P12947" s="235"/>
      <c r="AI12947" s="38"/>
    </row>
    <row r="12948" ht="15.75" customHeight="1">
      <c r="A12948" s="35"/>
      <c r="C12948" s="442"/>
      <c r="P12948" s="235"/>
      <c r="AI12948" s="38"/>
    </row>
    <row r="12949" ht="15.75" customHeight="1">
      <c r="A12949" s="35"/>
      <c r="C12949" s="442"/>
      <c r="P12949" s="235"/>
      <c r="AI12949" s="38"/>
    </row>
    <row r="12950" ht="15.75" customHeight="1">
      <c r="A12950" s="35"/>
      <c r="C12950" s="442"/>
      <c r="P12950" s="235"/>
      <c r="AI12950" s="38"/>
    </row>
    <row r="12951" ht="15.75" customHeight="1">
      <c r="A12951" s="35"/>
      <c r="C12951" s="442"/>
      <c r="P12951" s="235"/>
      <c r="AI12951" s="38"/>
    </row>
    <row r="12952" ht="15.75" customHeight="1">
      <c r="A12952" s="35"/>
      <c r="C12952" s="442"/>
      <c r="P12952" s="235"/>
      <c r="AI12952" s="38"/>
    </row>
    <row r="12953" ht="15.75" customHeight="1">
      <c r="A12953" s="35"/>
      <c r="C12953" s="442"/>
      <c r="P12953" s="235"/>
      <c r="AI12953" s="38"/>
    </row>
    <row r="12954" ht="15.75" customHeight="1">
      <c r="A12954" s="35"/>
      <c r="C12954" s="442"/>
      <c r="P12954" s="235"/>
      <c r="AI12954" s="38"/>
    </row>
    <row r="12955" ht="15.75" customHeight="1">
      <c r="A12955" s="35"/>
      <c r="C12955" s="442"/>
      <c r="P12955" s="235"/>
      <c r="AI12955" s="38"/>
    </row>
    <row r="12956" ht="15.75" customHeight="1">
      <c r="A12956" s="35"/>
      <c r="C12956" s="442"/>
      <c r="P12956" s="235"/>
      <c r="AI12956" s="38"/>
    </row>
    <row r="12957" ht="15.75" customHeight="1">
      <c r="A12957" s="35"/>
      <c r="C12957" s="442"/>
      <c r="P12957" s="235"/>
      <c r="AI12957" s="38"/>
    </row>
    <row r="12958" ht="15.75" customHeight="1">
      <c r="A12958" s="35"/>
      <c r="C12958" s="442"/>
      <c r="P12958" s="235"/>
      <c r="AI12958" s="38"/>
    </row>
    <row r="12959" ht="15.75" customHeight="1">
      <c r="A12959" s="35"/>
      <c r="C12959" s="442"/>
      <c r="P12959" s="235"/>
      <c r="AI12959" s="38"/>
    </row>
    <row r="12960" ht="15.75" customHeight="1">
      <c r="A12960" s="35"/>
      <c r="C12960" s="442"/>
      <c r="P12960" s="235"/>
      <c r="AI12960" s="38"/>
    </row>
    <row r="12961" ht="15.75" customHeight="1">
      <c r="A12961" s="35"/>
      <c r="C12961" s="442"/>
      <c r="P12961" s="235"/>
      <c r="AI12961" s="38"/>
    </row>
    <row r="12962" ht="15.75" customHeight="1">
      <c r="A12962" s="35"/>
      <c r="C12962" s="442"/>
      <c r="P12962" s="235"/>
      <c r="AI12962" s="38"/>
    </row>
    <row r="12963" ht="15.75" customHeight="1">
      <c r="A12963" s="35"/>
      <c r="C12963" s="442"/>
      <c r="P12963" s="235"/>
      <c r="AI12963" s="38"/>
    </row>
    <row r="12964" ht="15.75" customHeight="1">
      <c r="A12964" s="35"/>
      <c r="C12964" s="442"/>
      <c r="P12964" s="235"/>
      <c r="AI12964" s="38"/>
    </row>
    <row r="12965" ht="15.75" customHeight="1">
      <c r="A12965" s="35"/>
      <c r="C12965" s="442"/>
      <c r="P12965" s="235"/>
      <c r="AI12965" s="38"/>
    </row>
    <row r="12966" ht="15.75" customHeight="1">
      <c r="A12966" s="35"/>
      <c r="C12966" s="442"/>
      <c r="P12966" s="235"/>
      <c r="AI12966" s="38"/>
    </row>
    <row r="12967" ht="15.75" customHeight="1">
      <c r="A12967" s="35"/>
      <c r="C12967" s="442"/>
      <c r="P12967" s="235"/>
      <c r="AI12967" s="38"/>
    </row>
    <row r="12968" ht="15.75" customHeight="1">
      <c r="A12968" s="35"/>
      <c r="C12968" s="442"/>
      <c r="P12968" s="235"/>
      <c r="AI12968" s="38"/>
    </row>
    <row r="12969" ht="15.75" customHeight="1">
      <c r="A12969" s="35"/>
      <c r="C12969" s="442"/>
      <c r="P12969" s="235"/>
      <c r="AI12969" s="38"/>
    </row>
    <row r="12970" ht="15.75" customHeight="1">
      <c r="A12970" s="35"/>
      <c r="C12970" s="442"/>
      <c r="P12970" s="235"/>
      <c r="AI12970" s="38"/>
    </row>
    <row r="12971" ht="15.75" customHeight="1">
      <c r="A12971" s="35"/>
      <c r="C12971" s="442"/>
      <c r="P12971" s="235"/>
      <c r="AI12971" s="38"/>
    </row>
    <row r="12972" ht="15.75" customHeight="1">
      <c r="A12972" s="35"/>
      <c r="C12972" s="442"/>
      <c r="P12972" s="235"/>
      <c r="AI12972" s="38"/>
    </row>
    <row r="12973" ht="15.75" customHeight="1">
      <c r="A12973" s="35"/>
      <c r="C12973" s="442"/>
      <c r="P12973" s="235"/>
      <c r="AI12973" s="38"/>
    </row>
    <row r="12974" ht="15.75" customHeight="1">
      <c r="A12974" s="35"/>
      <c r="C12974" s="442"/>
      <c r="P12974" s="235"/>
      <c r="AI12974" s="38"/>
    </row>
    <row r="12975" ht="15.75" customHeight="1">
      <c r="A12975" s="35"/>
      <c r="C12975" s="442"/>
      <c r="P12975" s="235"/>
      <c r="AI12975" s="38"/>
    </row>
    <row r="12976" ht="15.75" customHeight="1">
      <c r="A12976" s="35"/>
      <c r="C12976" s="442"/>
      <c r="P12976" s="235"/>
      <c r="AI12976" s="38"/>
    </row>
    <row r="12977" ht="15.75" customHeight="1">
      <c r="A12977" s="35"/>
      <c r="C12977" s="442"/>
      <c r="P12977" s="235"/>
      <c r="AI12977" s="38"/>
    </row>
    <row r="12978" ht="15.75" customHeight="1">
      <c r="A12978" s="35"/>
      <c r="C12978" s="442"/>
      <c r="P12978" s="235"/>
      <c r="AI12978" s="38"/>
    </row>
    <row r="12979" ht="15.75" customHeight="1">
      <c r="A12979" s="35"/>
      <c r="C12979" s="442"/>
      <c r="P12979" s="235"/>
      <c r="AI12979" s="38"/>
    </row>
    <row r="12980" ht="15.75" customHeight="1">
      <c r="A12980" s="35"/>
      <c r="C12980" s="442"/>
      <c r="P12980" s="235"/>
      <c r="AI12980" s="38"/>
    </row>
    <row r="12981" ht="15.75" customHeight="1">
      <c r="A12981" s="35"/>
      <c r="C12981" s="442"/>
      <c r="P12981" s="235"/>
      <c r="AI12981" s="38"/>
    </row>
    <row r="12982" ht="15.75" customHeight="1">
      <c r="A12982" s="35"/>
      <c r="C12982" s="442"/>
      <c r="P12982" s="235"/>
      <c r="AI12982" s="38"/>
    </row>
    <row r="12983" ht="15.75" customHeight="1">
      <c r="A12983" s="35"/>
      <c r="C12983" s="442"/>
      <c r="P12983" s="235"/>
      <c r="AI12983" s="38"/>
    </row>
    <row r="12984" ht="15.75" customHeight="1">
      <c r="A12984" s="35"/>
      <c r="C12984" s="442"/>
      <c r="P12984" s="235"/>
      <c r="AI12984" s="38"/>
    </row>
    <row r="12985" ht="15.75" customHeight="1">
      <c r="A12985" s="35"/>
      <c r="C12985" s="442"/>
      <c r="P12985" s="235"/>
      <c r="AI12985" s="38"/>
    </row>
    <row r="12986" ht="15.75" customHeight="1">
      <c r="A12986" s="35"/>
      <c r="C12986" s="442"/>
      <c r="P12986" s="235"/>
      <c r="AI12986" s="38"/>
    </row>
    <row r="12987" ht="15.75" customHeight="1">
      <c r="A12987" s="35"/>
      <c r="C12987" s="442"/>
      <c r="P12987" s="235"/>
      <c r="AI12987" s="38"/>
    </row>
    <row r="12988" ht="15.75" customHeight="1">
      <c r="A12988" s="35"/>
      <c r="C12988" s="442"/>
      <c r="P12988" s="235"/>
      <c r="AI12988" s="38"/>
    </row>
    <row r="12989" ht="15.75" customHeight="1">
      <c r="A12989" s="35"/>
      <c r="C12989" s="442"/>
      <c r="P12989" s="235"/>
      <c r="AI12989" s="38"/>
    </row>
    <row r="12990" ht="15.75" customHeight="1">
      <c r="A12990" s="35"/>
      <c r="C12990" s="442"/>
      <c r="P12990" s="235"/>
      <c r="AI12990" s="38"/>
    </row>
    <row r="12991" ht="15.75" customHeight="1">
      <c r="A12991" s="35"/>
      <c r="C12991" s="442"/>
      <c r="P12991" s="235"/>
      <c r="AI12991" s="38"/>
    </row>
    <row r="12992" ht="15.75" customHeight="1">
      <c r="A12992" s="35"/>
      <c r="C12992" s="442"/>
      <c r="P12992" s="235"/>
      <c r="AI12992" s="38"/>
    </row>
    <row r="12993" ht="15.75" customHeight="1">
      <c r="A12993" s="35"/>
      <c r="C12993" s="442"/>
      <c r="P12993" s="235"/>
      <c r="AI12993" s="38"/>
    </row>
    <row r="12994" ht="15.75" customHeight="1">
      <c r="A12994" s="35"/>
      <c r="C12994" s="442"/>
      <c r="P12994" s="235"/>
      <c r="AI12994" s="38"/>
    </row>
    <row r="12995" ht="15.75" customHeight="1">
      <c r="A12995" s="35"/>
      <c r="C12995" s="442"/>
      <c r="P12995" s="235"/>
      <c r="AI12995" s="38"/>
    </row>
    <row r="12996" ht="15.75" customHeight="1">
      <c r="A12996" s="35"/>
      <c r="C12996" s="442"/>
      <c r="P12996" s="235"/>
      <c r="AI12996" s="38"/>
    </row>
    <row r="12997" ht="15.75" customHeight="1">
      <c r="A12997" s="35"/>
      <c r="C12997" s="442"/>
      <c r="P12997" s="235"/>
      <c r="AI12997" s="38"/>
    </row>
    <row r="12998" ht="15.75" customHeight="1">
      <c r="A12998" s="35"/>
      <c r="C12998" s="442"/>
      <c r="P12998" s="235"/>
      <c r="AI12998" s="38"/>
    </row>
    <row r="12999" ht="15.75" customHeight="1">
      <c r="A12999" s="35"/>
      <c r="C12999" s="442"/>
      <c r="P12999" s="235"/>
      <c r="AI12999" s="38"/>
    </row>
    <row r="13000" ht="15.75" customHeight="1">
      <c r="A13000" s="35"/>
      <c r="C13000" s="442"/>
      <c r="P13000" s="235"/>
      <c r="AI13000" s="38"/>
    </row>
    <row r="13001" ht="15.75" customHeight="1">
      <c r="A13001" s="35"/>
      <c r="C13001" s="442"/>
      <c r="P13001" s="235"/>
      <c r="AI13001" s="38"/>
    </row>
    <row r="13002" ht="15.75" customHeight="1">
      <c r="A13002" s="35"/>
      <c r="C13002" s="442"/>
      <c r="P13002" s="235"/>
      <c r="AI13002" s="38"/>
    </row>
    <row r="13003" ht="15.75" customHeight="1">
      <c r="A13003" s="35"/>
      <c r="C13003" s="442"/>
      <c r="P13003" s="235"/>
      <c r="AI13003" s="38"/>
    </row>
    <row r="13004" ht="15.75" customHeight="1">
      <c r="A13004" s="35"/>
      <c r="C13004" s="442"/>
      <c r="P13004" s="235"/>
      <c r="AI13004" s="38"/>
    </row>
    <row r="13005" ht="15.75" customHeight="1">
      <c r="A13005" s="35"/>
      <c r="C13005" s="442"/>
      <c r="P13005" s="235"/>
      <c r="AI13005" s="38"/>
    </row>
    <row r="13006" ht="15.75" customHeight="1">
      <c r="A13006" s="35"/>
      <c r="C13006" s="442"/>
      <c r="P13006" s="235"/>
      <c r="AI13006" s="38"/>
    </row>
    <row r="13007" ht="15.75" customHeight="1">
      <c r="A13007" s="35"/>
      <c r="C13007" s="442"/>
      <c r="P13007" s="235"/>
      <c r="AI13007" s="38"/>
    </row>
    <row r="13008" ht="15.75" customHeight="1">
      <c r="A13008" s="35"/>
      <c r="C13008" s="442"/>
      <c r="P13008" s="235"/>
      <c r="AI13008" s="38"/>
    </row>
    <row r="13009" ht="15.75" customHeight="1">
      <c r="A13009" s="35"/>
      <c r="C13009" s="442"/>
      <c r="P13009" s="235"/>
      <c r="AI13009" s="38"/>
    </row>
    <row r="13010" ht="15.75" customHeight="1">
      <c r="A13010" s="35"/>
      <c r="C13010" s="442"/>
      <c r="P13010" s="235"/>
      <c r="AI13010" s="38"/>
    </row>
    <row r="13011" ht="15.75" customHeight="1">
      <c r="A13011" s="35"/>
      <c r="C13011" s="442"/>
      <c r="P13011" s="235"/>
      <c r="AI13011" s="38"/>
    </row>
    <row r="13012" ht="15.75" customHeight="1">
      <c r="A13012" s="35"/>
      <c r="C13012" s="442"/>
      <c r="P13012" s="235"/>
      <c r="AI13012" s="38"/>
    </row>
    <row r="13013" ht="15.75" customHeight="1">
      <c r="A13013" s="35"/>
      <c r="C13013" s="442"/>
      <c r="P13013" s="235"/>
      <c r="AI13013" s="38"/>
    </row>
    <row r="13014" ht="15.75" customHeight="1">
      <c r="A13014" s="35"/>
      <c r="C13014" s="442"/>
      <c r="P13014" s="235"/>
      <c r="AI13014" s="38"/>
    </row>
    <row r="13015" ht="15.75" customHeight="1">
      <c r="A13015" s="35"/>
      <c r="C13015" s="442"/>
      <c r="P13015" s="235"/>
      <c r="AI13015" s="38"/>
    </row>
    <row r="13016" ht="15.75" customHeight="1">
      <c r="A13016" s="35"/>
      <c r="C13016" s="442"/>
      <c r="P13016" s="235"/>
      <c r="AI13016" s="38"/>
    </row>
    <row r="13017" ht="15.75" customHeight="1">
      <c r="A13017" s="35"/>
      <c r="C13017" s="442"/>
      <c r="P13017" s="235"/>
      <c r="AI13017" s="38"/>
    </row>
    <row r="13018" ht="15.75" customHeight="1">
      <c r="A13018" s="35"/>
      <c r="C13018" s="442"/>
      <c r="P13018" s="235"/>
      <c r="AI13018" s="38"/>
    </row>
    <row r="13019" ht="15.75" customHeight="1">
      <c r="A13019" s="35"/>
      <c r="C13019" s="442"/>
      <c r="P13019" s="235"/>
      <c r="AI13019" s="38"/>
    </row>
    <row r="13020" ht="15.75" customHeight="1">
      <c r="A13020" s="35"/>
      <c r="C13020" s="442"/>
      <c r="P13020" s="235"/>
      <c r="AI13020" s="38"/>
    </row>
    <row r="13021" ht="15.75" customHeight="1">
      <c r="A13021" s="35"/>
      <c r="C13021" s="442"/>
      <c r="P13021" s="235"/>
      <c r="AI13021" s="38"/>
    </row>
    <row r="13022" ht="15.75" customHeight="1">
      <c r="A13022" s="35"/>
      <c r="C13022" s="442"/>
      <c r="P13022" s="235"/>
      <c r="AI13022" s="38"/>
    </row>
    <row r="13023" ht="15.75" customHeight="1">
      <c r="A13023" s="35"/>
      <c r="C13023" s="442"/>
      <c r="P13023" s="235"/>
      <c r="AI13023" s="38"/>
    </row>
    <row r="13024" ht="15.75" customHeight="1">
      <c r="A13024" s="35"/>
      <c r="C13024" s="442"/>
      <c r="P13024" s="235"/>
      <c r="AI13024" s="38"/>
    </row>
    <row r="13025" ht="15.75" customHeight="1">
      <c r="A13025" s="35"/>
      <c r="C13025" s="442"/>
      <c r="P13025" s="235"/>
      <c r="AI13025" s="38"/>
    </row>
    <row r="13026" ht="15.75" customHeight="1">
      <c r="A13026" s="35"/>
      <c r="C13026" s="442"/>
      <c r="P13026" s="235"/>
      <c r="AI13026" s="38"/>
    </row>
    <row r="13027" ht="15.75" customHeight="1">
      <c r="A13027" s="35"/>
      <c r="C13027" s="442"/>
      <c r="P13027" s="235"/>
      <c r="AI13027" s="38"/>
    </row>
    <row r="13028" ht="15.75" customHeight="1">
      <c r="A13028" s="35"/>
      <c r="C13028" s="442"/>
      <c r="P13028" s="235"/>
      <c r="AI13028" s="38"/>
    </row>
    <row r="13029" ht="15.75" customHeight="1">
      <c r="A13029" s="35"/>
      <c r="C13029" s="442"/>
      <c r="P13029" s="235"/>
      <c r="AI13029" s="38"/>
    </row>
    <row r="13030" ht="15.75" customHeight="1">
      <c r="A13030" s="35"/>
      <c r="C13030" s="442"/>
      <c r="P13030" s="235"/>
      <c r="AI13030" s="38"/>
    </row>
    <row r="13031" ht="15.75" customHeight="1">
      <c r="A13031" s="35"/>
      <c r="C13031" s="442"/>
      <c r="P13031" s="235"/>
      <c r="AI13031" s="38"/>
    </row>
    <row r="13032" ht="15.75" customHeight="1">
      <c r="A13032" s="35"/>
      <c r="C13032" s="442"/>
      <c r="P13032" s="235"/>
      <c r="AI13032" s="38"/>
    </row>
    <row r="13033" ht="15.75" customHeight="1">
      <c r="A13033" s="35"/>
      <c r="C13033" s="442"/>
      <c r="P13033" s="235"/>
      <c r="AI13033" s="38"/>
    </row>
    <row r="13034" ht="15.75" customHeight="1">
      <c r="A13034" s="35"/>
      <c r="C13034" s="442"/>
      <c r="P13034" s="235"/>
      <c r="AI13034" s="38"/>
    </row>
    <row r="13035" ht="15.75" customHeight="1">
      <c r="A13035" s="35"/>
      <c r="C13035" s="442"/>
      <c r="P13035" s="235"/>
      <c r="AI13035" s="38"/>
    </row>
    <row r="13036" ht="15.75" customHeight="1">
      <c r="A13036" s="35"/>
      <c r="C13036" s="442"/>
      <c r="P13036" s="235"/>
      <c r="AI13036" s="38"/>
    </row>
    <row r="13037" ht="15.75" customHeight="1">
      <c r="A13037" s="35"/>
      <c r="C13037" s="442"/>
      <c r="P13037" s="235"/>
      <c r="AI13037" s="38"/>
    </row>
    <row r="13038" ht="15.75" customHeight="1">
      <c r="A13038" s="35"/>
      <c r="C13038" s="442"/>
      <c r="P13038" s="235"/>
      <c r="AI13038" s="38"/>
    </row>
    <row r="13039" ht="15.75" customHeight="1">
      <c r="A13039" s="35"/>
      <c r="C13039" s="442"/>
      <c r="P13039" s="235"/>
      <c r="AI13039" s="38"/>
    </row>
    <row r="13040" ht="15.75" customHeight="1">
      <c r="A13040" s="35"/>
      <c r="C13040" s="442"/>
      <c r="P13040" s="235"/>
      <c r="AI13040" s="38"/>
    </row>
    <row r="13041" ht="15.75" customHeight="1">
      <c r="A13041" s="35"/>
      <c r="C13041" s="442"/>
      <c r="P13041" s="235"/>
      <c r="AI13041" s="38"/>
    </row>
    <row r="13042" ht="15.75" customHeight="1">
      <c r="A13042" s="35"/>
      <c r="C13042" s="442"/>
      <c r="P13042" s="235"/>
      <c r="AI13042" s="38"/>
    </row>
    <row r="13043" ht="15.75" customHeight="1">
      <c r="A13043" s="35"/>
      <c r="C13043" s="442"/>
      <c r="P13043" s="235"/>
      <c r="AI13043" s="38"/>
    </row>
    <row r="13044" ht="15.75" customHeight="1">
      <c r="A13044" s="35"/>
      <c r="C13044" s="442"/>
      <c r="P13044" s="235"/>
      <c r="AI13044" s="38"/>
    </row>
    <row r="13045" ht="15.75" customHeight="1">
      <c r="A13045" s="35"/>
      <c r="C13045" s="442"/>
      <c r="P13045" s="235"/>
      <c r="AI13045" s="38"/>
    </row>
    <row r="13046" ht="15.75" customHeight="1">
      <c r="A13046" s="35"/>
      <c r="C13046" s="442"/>
      <c r="P13046" s="235"/>
      <c r="AI13046" s="38"/>
    </row>
    <row r="13047" ht="15.75" customHeight="1">
      <c r="A13047" s="35"/>
      <c r="C13047" s="442"/>
      <c r="P13047" s="235"/>
      <c r="AI13047" s="38"/>
    </row>
    <row r="13048" ht="15.75" customHeight="1">
      <c r="A13048" s="35"/>
      <c r="C13048" s="442"/>
      <c r="P13048" s="235"/>
      <c r="AI13048" s="38"/>
    </row>
    <row r="13049" ht="15.75" customHeight="1">
      <c r="A13049" s="35"/>
      <c r="C13049" s="442"/>
      <c r="P13049" s="235"/>
      <c r="AI13049" s="38"/>
    </row>
    <row r="13050" ht="15.75" customHeight="1">
      <c r="A13050" s="35"/>
      <c r="C13050" s="442"/>
      <c r="P13050" s="235"/>
      <c r="AI13050" s="38"/>
    </row>
    <row r="13051" ht="15.75" customHeight="1">
      <c r="A13051" s="35"/>
      <c r="C13051" s="442"/>
      <c r="P13051" s="235"/>
      <c r="AI13051" s="38"/>
    </row>
    <row r="13052" ht="15.75" customHeight="1">
      <c r="A13052" s="35"/>
      <c r="C13052" s="442"/>
      <c r="P13052" s="235"/>
      <c r="AI13052" s="38"/>
    </row>
    <row r="13053" ht="15.75" customHeight="1">
      <c r="A13053" s="35"/>
      <c r="C13053" s="442"/>
      <c r="P13053" s="235"/>
      <c r="AI13053" s="38"/>
    </row>
    <row r="13054" ht="15.75" customHeight="1">
      <c r="A13054" s="35"/>
      <c r="C13054" s="442"/>
      <c r="P13054" s="235"/>
      <c r="AI13054" s="38"/>
    </row>
    <row r="13055" ht="15.75" customHeight="1">
      <c r="A13055" s="35"/>
      <c r="C13055" s="442"/>
      <c r="P13055" s="235"/>
      <c r="AI13055" s="38"/>
    </row>
    <row r="13056" ht="15.75" customHeight="1">
      <c r="A13056" s="35"/>
      <c r="C13056" s="442"/>
      <c r="P13056" s="235"/>
      <c r="AI13056" s="38"/>
    </row>
    <row r="13057" ht="15.75" customHeight="1">
      <c r="A13057" s="35"/>
      <c r="C13057" s="442"/>
      <c r="P13057" s="235"/>
      <c r="AI13057" s="38"/>
    </row>
    <row r="13058" ht="15.75" customHeight="1">
      <c r="A13058" s="35"/>
      <c r="C13058" s="442"/>
      <c r="P13058" s="235"/>
      <c r="AI13058" s="38"/>
    </row>
    <row r="13059" ht="15.75" customHeight="1">
      <c r="A13059" s="35"/>
      <c r="C13059" s="442"/>
      <c r="P13059" s="235"/>
      <c r="AI13059" s="38"/>
    </row>
    <row r="13060" ht="15.75" customHeight="1">
      <c r="A13060" s="35"/>
      <c r="C13060" s="442"/>
      <c r="P13060" s="235"/>
      <c r="AI13060" s="38"/>
    </row>
    <row r="13061" ht="15.75" customHeight="1">
      <c r="A13061" s="35"/>
      <c r="C13061" s="442"/>
      <c r="P13061" s="235"/>
      <c r="AI13061" s="38"/>
    </row>
    <row r="13062" ht="15.75" customHeight="1">
      <c r="A13062" s="35"/>
      <c r="C13062" s="442"/>
      <c r="P13062" s="235"/>
      <c r="AI13062" s="38"/>
    </row>
    <row r="13063" ht="15.75" customHeight="1">
      <c r="A13063" s="35"/>
      <c r="C13063" s="442"/>
      <c r="P13063" s="235"/>
      <c r="AI13063" s="38"/>
    </row>
    <row r="13064" ht="15.75" customHeight="1">
      <c r="A13064" s="35"/>
      <c r="C13064" s="442"/>
      <c r="P13064" s="235"/>
      <c r="AI13064" s="38"/>
    </row>
    <row r="13065" ht="15.75" customHeight="1">
      <c r="A13065" s="35"/>
      <c r="C13065" s="442"/>
      <c r="P13065" s="235"/>
      <c r="AI13065" s="38"/>
    </row>
    <row r="13066" ht="15.75" customHeight="1">
      <c r="A13066" s="35"/>
      <c r="C13066" s="442"/>
      <c r="P13066" s="235"/>
      <c r="AI13066" s="38"/>
    </row>
    <row r="13067" ht="15.75" customHeight="1">
      <c r="A13067" s="35"/>
      <c r="C13067" s="442"/>
      <c r="P13067" s="235"/>
      <c r="AI13067" s="38"/>
    </row>
    <row r="13068" ht="15.75" customHeight="1">
      <c r="A13068" s="35"/>
      <c r="C13068" s="442"/>
      <c r="P13068" s="235"/>
      <c r="AI13068" s="38"/>
    </row>
    <row r="13069" ht="15.75" customHeight="1">
      <c r="A13069" s="35"/>
      <c r="C13069" s="442"/>
      <c r="P13069" s="235"/>
      <c r="AI13069" s="38"/>
    </row>
    <row r="13070" ht="15.75" customHeight="1">
      <c r="A13070" s="35"/>
      <c r="C13070" s="442"/>
      <c r="P13070" s="235"/>
      <c r="AI13070" s="38"/>
    </row>
    <row r="13071" ht="15.75" customHeight="1">
      <c r="A13071" s="35"/>
      <c r="C13071" s="442"/>
      <c r="P13071" s="235"/>
      <c r="AI13071" s="38"/>
    </row>
    <row r="13072" ht="15.75" customHeight="1">
      <c r="A13072" s="35"/>
      <c r="C13072" s="442"/>
      <c r="P13072" s="235"/>
      <c r="AI13072" s="38"/>
    </row>
    <row r="13073" ht="15.75" customHeight="1">
      <c r="A13073" s="35"/>
      <c r="C13073" s="442"/>
      <c r="P13073" s="235"/>
      <c r="AI13073" s="38"/>
    </row>
    <row r="13074" ht="15.75" customHeight="1">
      <c r="A13074" s="35"/>
      <c r="C13074" s="442"/>
      <c r="P13074" s="235"/>
      <c r="AI13074" s="38"/>
    </row>
    <row r="13075" ht="15.75" customHeight="1">
      <c r="A13075" s="35"/>
      <c r="C13075" s="442"/>
      <c r="P13075" s="235"/>
      <c r="AI13075" s="38"/>
    </row>
    <row r="13076" ht="15.75" customHeight="1">
      <c r="A13076" s="35"/>
      <c r="C13076" s="442"/>
      <c r="P13076" s="235"/>
      <c r="AI13076" s="38"/>
    </row>
    <row r="13077" ht="15.75" customHeight="1">
      <c r="A13077" s="35"/>
      <c r="C13077" s="442"/>
      <c r="P13077" s="235"/>
      <c r="AI13077" s="38"/>
    </row>
    <row r="13078" ht="15.75" customHeight="1">
      <c r="A13078" s="35"/>
      <c r="C13078" s="442"/>
      <c r="P13078" s="235"/>
      <c r="AI13078" s="38"/>
    </row>
    <row r="13079" ht="15.75" customHeight="1">
      <c r="A13079" s="35"/>
      <c r="C13079" s="442"/>
      <c r="P13079" s="235"/>
      <c r="AI13079" s="38"/>
    </row>
    <row r="13080" ht="15.75" customHeight="1">
      <c r="A13080" s="35"/>
      <c r="C13080" s="442"/>
      <c r="P13080" s="235"/>
      <c r="AI13080" s="38"/>
    </row>
    <row r="13081" ht="15.75" customHeight="1">
      <c r="A13081" s="35"/>
      <c r="C13081" s="442"/>
      <c r="P13081" s="235"/>
      <c r="AI13081" s="38"/>
    </row>
    <row r="13082" ht="15.75" customHeight="1">
      <c r="A13082" s="35"/>
      <c r="C13082" s="442"/>
      <c r="P13082" s="235"/>
      <c r="AI13082" s="38"/>
    </row>
    <row r="13083" ht="15.75" customHeight="1">
      <c r="A13083" s="35"/>
      <c r="C13083" s="442"/>
      <c r="P13083" s="235"/>
      <c r="AI13083" s="38"/>
    </row>
    <row r="13084" ht="15.75" customHeight="1">
      <c r="A13084" s="35"/>
      <c r="C13084" s="442"/>
      <c r="P13084" s="235"/>
      <c r="AI13084" s="38"/>
    </row>
    <row r="13085" ht="15.75" customHeight="1">
      <c r="A13085" s="35"/>
      <c r="C13085" s="442"/>
      <c r="P13085" s="235"/>
      <c r="AI13085" s="38"/>
    </row>
    <row r="13086" ht="15.75" customHeight="1">
      <c r="A13086" s="35"/>
      <c r="C13086" s="442"/>
      <c r="P13086" s="235"/>
      <c r="AI13086" s="38"/>
    </row>
    <row r="13087" ht="15.75" customHeight="1">
      <c r="A13087" s="35"/>
      <c r="C13087" s="442"/>
      <c r="P13087" s="235"/>
      <c r="AI13087" s="38"/>
    </row>
    <row r="13088" ht="15.75" customHeight="1">
      <c r="A13088" s="35"/>
      <c r="C13088" s="442"/>
      <c r="P13088" s="235"/>
      <c r="AI13088" s="38"/>
    </row>
    <row r="13089" ht="15.75" customHeight="1">
      <c r="A13089" s="35"/>
      <c r="C13089" s="442"/>
      <c r="P13089" s="235"/>
      <c r="AI13089" s="38"/>
    </row>
    <row r="13090" ht="15.75" customHeight="1">
      <c r="A13090" s="35"/>
      <c r="C13090" s="442"/>
      <c r="P13090" s="235"/>
      <c r="AI13090" s="38"/>
    </row>
    <row r="13091" ht="15.75" customHeight="1">
      <c r="A13091" s="35"/>
      <c r="C13091" s="442"/>
      <c r="P13091" s="235"/>
      <c r="AI13091" s="38"/>
    </row>
    <row r="13092" ht="15.75" customHeight="1">
      <c r="A13092" s="35"/>
      <c r="C13092" s="442"/>
      <c r="P13092" s="235"/>
      <c r="AI13092" s="38"/>
    </row>
    <row r="13093" ht="15.75" customHeight="1">
      <c r="A13093" s="35"/>
      <c r="C13093" s="442"/>
      <c r="P13093" s="235"/>
      <c r="AI13093" s="38"/>
    </row>
    <row r="13094" ht="15.75" customHeight="1">
      <c r="A13094" s="35"/>
      <c r="C13094" s="442"/>
      <c r="P13094" s="235"/>
      <c r="AI13094" s="38"/>
    </row>
    <row r="13095" ht="15.75" customHeight="1">
      <c r="A13095" s="35"/>
      <c r="C13095" s="442"/>
      <c r="P13095" s="235"/>
      <c r="AI13095" s="38"/>
    </row>
    <row r="13096" ht="15.75" customHeight="1">
      <c r="A13096" s="35"/>
      <c r="C13096" s="442"/>
      <c r="P13096" s="235"/>
      <c r="AI13096" s="38"/>
    </row>
    <row r="13097" ht="15.75" customHeight="1">
      <c r="A13097" s="35"/>
      <c r="C13097" s="442"/>
      <c r="P13097" s="235"/>
      <c r="AI13097" s="38"/>
    </row>
    <row r="13098" ht="15.75" customHeight="1">
      <c r="A13098" s="35"/>
      <c r="C13098" s="442"/>
      <c r="P13098" s="235"/>
      <c r="AI13098" s="38"/>
    </row>
    <row r="13099" ht="15.75" customHeight="1">
      <c r="A13099" s="35"/>
      <c r="C13099" s="442"/>
      <c r="P13099" s="235"/>
      <c r="AI13099" s="38"/>
    </row>
    <row r="13100" ht="15.75" customHeight="1">
      <c r="A13100" s="35"/>
      <c r="C13100" s="442"/>
      <c r="P13100" s="235"/>
      <c r="AI13100" s="38"/>
    </row>
    <row r="13101" ht="15.75" customHeight="1">
      <c r="A13101" s="35"/>
      <c r="C13101" s="442"/>
      <c r="P13101" s="235"/>
      <c r="AI13101" s="38"/>
    </row>
    <row r="13102" ht="15.75" customHeight="1">
      <c r="A13102" s="35"/>
      <c r="C13102" s="442"/>
      <c r="P13102" s="235"/>
      <c r="AI13102" s="38"/>
    </row>
    <row r="13103" ht="15.75" customHeight="1">
      <c r="A13103" s="35"/>
      <c r="C13103" s="442"/>
      <c r="P13103" s="235"/>
      <c r="AI13103" s="38"/>
    </row>
    <row r="13104" ht="15.75" customHeight="1">
      <c r="A13104" s="35"/>
      <c r="C13104" s="442"/>
      <c r="P13104" s="235"/>
      <c r="AI13104" s="38"/>
    </row>
    <row r="13105" ht="15.75" customHeight="1">
      <c r="A13105" s="35"/>
      <c r="C13105" s="442"/>
      <c r="P13105" s="235"/>
      <c r="AI13105" s="38"/>
    </row>
    <row r="13106" ht="15.75" customHeight="1">
      <c r="A13106" s="35"/>
      <c r="C13106" s="442"/>
      <c r="P13106" s="235"/>
      <c r="AI13106" s="38"/>
    </row>
    <row r="13107" ht="15.75" customHeight="1">
      <c r="A13107" s="35"/>
      <c r="C13107" s="442"/>
      <c r="P13107" s="235"/>
      <c r="AI13107" s="38"/>
    </row>
    <row r="13108" ht="15.75" customHeight="1">
      <c r="A13108" s="35"/>
      <c r="C13108" s="442"/>
      <c r="P13108" s="235"/>
      <c r="AI13108" s="38"/>
    </row>
    <row r="13109" ht="15.75" customHeight="1">
      <c r="A13109" s="35"/>
      <c r="C13109" s="442"/>
      <c r="P13109" s="235"/>
      <c r="AI13109" s="38"/>
    </row>
    <row r="13110" ht="15.75" customHeight="1">
      <c r="A13110" s="35"/>
      <c r="C13110" s="442"/>
      <c r="P13110" s="235"/>
      <c r="AI13110" s="38"/>
    </row>
    <row r="13111" ht="15.75" customHeight="1">
      <c r="A13111" s="35"/>
      <c r="C13111" s="442"/>
      <c r="P13111" s="235"/>
      <c r="AI13111" s="38"/>
    </row>
    <row r="13112" ht="15.75" customHeight="1">
      <c r="A13112" s="35"/>
      <c r="C13112" s="442"/>
      <c r="P13112" s="235"/>
      <c r="AI13112" s="38"/>
    </row>
    <row r="13113" ht="15.75" customHeight="1">
      <c r="A13113" s="35"/>
      <c r="C13113" s="442"/>
      <c r="P13113" s="235"/>
      <c r="AI13113" s="38"/>
    </row>
    <row r="13114" ht="15.75" customHeight="1">
      <c r="A13114" s="35"/>
      <c r="C13114" s="442"/>
      <c r="P13114" s="235"/>
      <c r="AI13114" s="38"/>
    </row>
    <row r="13115" ht="15.75" customHeight="1">
      <c r="A13115" s="35"/>
      <c r="C13115" s="442"/>
      <c r="P13115" s="235"/>
      <c r="AI13115" s="38"/>
    </row>
    <row r="13116" ht="15.75" customHeight="1">
      <c r="A13116" s="35"/>
      <c r="C13116" s="442"/>
      <c r="P13116" s="235"/>
      <c r="AI13116" s="38"/>
    </row>
    <row r="13117" ht="15.75" customHeight="1">
      <c r="A13117" s="35"/>
      <c r="C13117" s="442"/>
      <c r="P13117" s="235"/>
      <c r="AI13117" s="38"/>
    </row>
    <row r="13118" ht="15.75" customHeight="1">
      <c r="A13118" s="35"/>
      <c r="C13118" s="442"/>
      <c r="P13118" s="235"/>
      <c r="AI13118" s="38"/>
    </row>
    <row r="13119" ht="15.75" customHeight="1">
      <c r="A13119" s="35"/>
      <c r="C13119" s="442"/>
      <c r="P13119" s="235"/>
      <c r="AI13119" s="38"/>
    </row>
    <row r="13120" ht="15.75" customHeight="1">
      <c r="A13120" s="35"/>
      <c r="C13120" s="442"/>
      <c r="P13120" s="235"/>
      <c r="AI13120" s="38"/>
    </row>
    <row r="13121" ht="15.75" customHeight="1">
      <c r="A13121" s="35"/>
      <c r="C13121" s="442"/>
      <c r="P13121" s="235"/>
      <c r="AI13121" s="38"/>
    </row>
    <row r="13122" ht="15.75" customHeight="1">
      <c r="A13122" s="35"/>
      <c r="C13122" s="442"/>
      <c r="P13122" s="235"/>
      <c r="AI13122" s="38"/>
    </row>
    <row r="13123" ht="15.75" customHeight="1">
      <c r="A13123" s="35"/>
      <c r="C13123" s="442"/>
      <c r="P13123" s="235"/>
      <c r="AI13123" s="38"/>
    </row>
    <row r="13124" ht="15.75" customHeight="1">
      <c r="A13124" s="35"/>
      <c r="C13124" s="442"/>
      <c r="P13124" s="235"/>
      <c r="AI13124" s="38"/>
    </row>
    <row r="13125" ht="15.75" customHeight="1">
      <c r="A13125" s="35"/>
      <c r="C13125" s="442"/>
      <c r="P13125" s="235"/>
      <c r="AI13125" s="38"/>
    </row>
    <row r="13126" ht="15.75" customHeight="1">
      <c r="A13126" s="35"/>
      <c r="C13126" s="442"/>
      <c r="P13126" s="235"/>
      <c r="AI13126" s="38"/>
    </row>
    <row r="13127" ht="15.75" customHeight="1">
      <c r="A13127" s="35"/>
      <c r="C13127" s="442"/>
      <c r="P13127" s="235"/>
      <c r="AI13127" s="38"/>
    </row>
    <row r="13128" ht="15.75" customHeight="1">
      <c r="A13128" s="35"/>
      <c r="C13128" s="442"/>
      <c r="P13128" s="235"/>
      <c r="AI13128" s="38"/>
    </row>
    <row r="13129" ht="15.75" customHeight="1">
      <c r="A13129" s="35"/>
      <c r="C13129" s="442"/>
      <c r="P13129" s="235"/>
      <c r="AI13129" s="38"/>
    </row>
    <row r="13130" ht="15.75" customHeight="1">
      <c r="A13130" s="35"/>
      <c r="C13130" s="442"/>
      <c r="P13130" s="235"/>
      <c r="AI13130" s="38"/>
    </row>
    <row r="13131" ht="15.75" customHeight="1">
      <c r="A13131" s="35"/>
      <c r="C13131" s="442"/>
      <c r="P13131" s="235"/>
      <c r="AI13131" s="38"/>
    </row>
    <row r="13132" ht="15.75" customHeight="1">
      <c r="A13132" s="35"/>
      <c r="C13132" s="442"/>
      <c r="P13132" s="235"/>
      <c r="AI13132" s="38"/>
    </row>
    <row r="13133" ht="15.75" customHeight="1">
      <c r="A13133" s="35"/>
      <c r="C13133" s="442"/>
      <c r="P13133" s="235"/>
      <c r="AI13133" s="38"/>
    </row>
    <row r="13134" ht="15.75" customHeight="1">
      <c r="A13134" s="35"/>
      <c r="C13134" s="442"/>
      <c r="P13134" s="235"/>
      <c r="AI13134" s="38"/>
    </row>
    <row r="13135" ht="15.75" customHeight="1">
      <c r="A13135" s="35"/>
      <c r="C13135" s="442"/>
      <c r="P13135" s="235"/>
      <c r="AI13135" s="38"/>
    </row>
    <row r="13136" ht="15.75" customHeight="1">
      <c r="A13136" s="35"/>
      <c r="C13136" s="442"/>
      <c r="P13136" s="235"/>
      <c r="AI13136" s="38"/>
    </row>
    <row r="13137" ht="15.75" customHeight="1">
      <c r="A13137" s="35"/>
      <c r="C13137" s="442"/>
      <c r="P13137" s="235"/>
      <c r="AI13137" s="38"/>
    </row>
    <row r="13138" ht="15.75" customHeight="1">
      <c r="A13138" s="35"/>
      <c r="C13138" s="442"/>
      <c r="P13138" s="235"/>
      <c r="AI13138" s="38"/>
    </row>
    <row r="13139" ht="15.75" customHeight="1">
      <c r="A13139" s="35"/>
      <c r="C13139" s="442"/>
      <c r="P13139" s="235"/>
      <c r="AI13139" s="38"/>
    </row>
    <row r="13140" ht="15.75" customHeight="1">
      <c r="A13140" s="35"/>
      <c r="C13140" s="442"/>
      <c r="P13140" s="235"/>
      <c r="AI13140" s="38"/>
    </row>
    <row r="13141" ht="15.75" customHeight="1">
      <c r="A13141" s="35"/>
      <c r="C13141" s="442"/>
      <c r="P13141" s="235"/>
      <c r="AI13141" s="38"/>
    </row>
    <row r="13142" ht="15.75" customHeight="1">
      <c r="A13142" s="35"/>
      <c r="C13142" s="442"/>
      <c r="P13142" s="235"/>
      <c r="AI13142" s="38"/>
    </row>
    <row r="13143" ht="15.75" customHeight="1">
      <c r="A13143" s="35"/>
      <c r="C13143" s="442"/>
      <c r="P13143" s="235"/>
      <c r="AI13143" s="38"/>
    </row>
    <row r="13144" ht="15.75" customHeight="1">
      <c r="A13144" s="35"/>
      <c r="C13144" s="442"/>
      <c r="P13144" s="235"/>
      <c r="AI13144" s="38"/>
    </row>
    <row r="13145" ht="15.75" customHeight="1">
      <c r="A13145" s="35"/>
      <c r="C13145" s="442"/>
      <c r="P13145" s="235"/>
      <c r="AI13145" s="38"/>
    </row>
    <row r="13146" ht="15.75" customHeight="1">
      <c r="A13146" s="35"/>
      <c r="C13146" s="442"/>
      <c r="P13146" s="235"/>
      <c r="AI13146" s="38"/>
    </row>
    <row r="13147" ht="15.75" customHeight="1">
      <c r="A13147" s="35"/>
      <c r="C13147" s="442"/>
      <c r="P13147" s="235"/>
      <c r="AI13147" s="38"/>
    </row>
    <row r="13148" ht="15.75" customHeight="1">
      <c r="A13148" s="35"/>
      <c r="C13148" s="442"/>
      <c r="P13148" s="235"/>
      <c r="AI13148" s="38"/>
    </row>
    <row r="13149" ht="15.75" customHeight="1">
      <c r="A13149" s="35"/>
      <c r="C13149" s="442"/>
      <c r="P13149" s="235"/>
      <c r="AI13149" s="38"/>
    </row>
    <row r="13150" ht="15.75" customHeight="1">
      <c r="A13150" s="35"/>
      <c r="C13150" s="442"/>
      <c r="P13150" s="235"/>
      <c r="AI13150" s="38"/>
    </row>
    <row r="13151" ht="15.75" customHeight="1">
      <c r="A13151" s="35"/>
      <c r="C13151" s="442"/>
      <c r="P13151" s="235"/>
      <c r="AI13151" s="38"/>
    </row>
    <row r="13152" ht="15.75" customHeight="1">
      <c r="A13152" s="35"/>
      <c r="C13152" s="442"/>
      <c r="P13152" s="235"/>
      <c r="AI13152" s="38"/>
    </row>
    <row r="13153" ht="15.75" customHeight="1">
      <c r="A13153" s="35"/>
      <c r="C13153" s="442"/>
      <c r="P13153" s="235"/>
      <c r="AI13153" s="38"/>
    </row>
    <row r="13154" ht="15.75" customHeight="1">
      <c r="A13154" s="35"/>
      <c r="C13154" s="442"/>
      <c r="P13154" s="235"/>
      <c r="AI13154" s="38"/>
    </row>
    <row r="13155" ht="15.75" customHeight="1">
      <c r="A13155" s="35"/>
      <c r="C13155" s="442"/>
      <c r="P13155" s="235"/>
      <c r="AI13155" s="38"/>
    </row>
    <row r="13156" ht="15.75" customHeight="1">
      <c r="A13156" s="35"/>
      <c r="C13156" s="442"/>
      <c r="P13156" s="235"/>
      <c r="AI13156" s="38"/>
    </row>
    <row r="13157" ht="15.75" customHeight="1">
      <c r="A13157" s="35"/>
      <c r="C13157" s="442"/>
      <c r="P13157" s="235"/>
      <c r="AI13157" s="38"/>
    </row>
    <row r="13158" ht="15.75" customHeight="1">
      <c r="A13158" s="35"/>
      <c r="C13158" s="442"/>
      <c r="P13158" s="235"/>
      <c r="AI13158" s="38"/>
    </row>
    <row r="13159" ht="15.75" customHeight="1">
      <c r="A13159" s="35"/>
      <c r="C13159" s="442"/>
      <c r="P13159" s="235"/>
      <c r="AI13159" s="38"/>
    </row>
    <row r="13160" ht="15.75" customHeight="1">
      <c r="A13160" s="35"/>
      <c r="C13160" s="442"/>
      <c r="P13160" s="235"/>
      <c r="AI13160" s="38"/>
    </row>
    <row r="13161" ht="15.75" customHeight="1">
      <c r="A13161" s="35"/>
      <c r="C13161" s="442"/>
      <c r="P13161" s="235"/>
      <c r="AI13161" s="38"/>
    </row>
    <row r="13162" ht="15.75" customHeight="1">
      <c r="A13162" s="35"/>
      <c r="C13162" s="442"/>
      <c r="P13162" s="235"/>
      <c r="AI13162" s="38"/>
    </row>
    <row r="13163" ht="15.75" customHeight="1">
      <c r="A13163" s="35"/>
      <c r="C13163" s="442"/>
      <c r="P13163" s="235"/>
      <c r="AI13163" s="38"/>
    </row>
    <row r="13164" ht="15.75" customHeight="1">
      <c r="A13164" s="35"/>
      <c r="C13164" s="442"/>
      <c r="P13164" s="235"/>
      <c r="AI13164" s="38"/>
    </row>
    <row r="13165" ht="15.75" customHeight="1">
      <c r="A13165" s="35"/>
      <c r="C13165" s="442"/>
      <c r="P13165" s="235"/>
      <c r="AI13165" s="38"/>
    </row>
    <row r="13166" ht="15.75" customHeight="1">
      <c r="A13166" s="35"/>
      <c r="C13166" s="442"/>
      <c r="P13166" s="235"/>
      <c r="AI13166" s="38"/>
    </row>
    <row r="13167" ht="15.75" customHeight="1">
      <c r="A13167" s="35"/>
      <c r="C13167" s="442"/>
      <c r="P13167" s="235"/>
      <c r="AI13167" s="38"/>
    </row>
    <row r="13168" ht="15.75" customHeight="1">
      <c r="A13168" s="35"/>
      <c r="C13168" s="442"/>
      <c r="P13168" s="235"/>
      <c r="AI13168" s="38"/>
    </row>
    <row r="13169" ht="15.75" customHeight="1">
      <c r="A13169" s="35"/>
      <c r="C13169" s="442"/>
      <c r="P13169" s="235"/>
      <c r="AI13169" s="38"/>
    </row>
    <row r="13170" ht="15.75" customHeight="1">
      <c r="A13170" s="35"/>
      <c r="C13170" s="442"/>
      <c r="P13170" s="235"/>
      <c r="AI13170" s="38"/>
    </row>
    <row r="13171" ht="15.75" customHeight="1">
      <c r="A13171" s="35"/>
      <c r="C13171" s="442"/>
      <c r="P13171" s="235"/>
      <c r="AI13171" s="38"/>
    </row>
    <row r="13172" ht="15.75" customHeight="1">
      <c r="A13172" s="35"/>
      <c r="C13172" s="442"/>
      <c r="P13172" s="235"/>
      <c r="AI13172" s="38"/>
    </row>
    <row r="13173" ht="15.75" customHeight="1">
      <c r="A13173" s="35"/>
      <c r="C13173" s="442"/>
      <c r="P13173" s="235"/>
      <c r="AI13173" s="38"/>
    </row>
    <row r="13174" ht="15.75" customHeight="1">
      <c r="A13174" s="35"/>
      <c r="C13174" s="442"/>
      <c r="P13174" s="235"/>
      <c r="AI13174" s="38"/>
    </row>
    <row r="13175" ht="15.75" customHeight="1">
      <c r="A13175" s="35"/>
      <c r="C13175" s="442"/>
      <c r="P13175" s="235"/>
      <c r="AI13175" s="38"/>
    </row>
    <row r="13176" ht="15.75" customHeight="1">
      <c r="A13176" s="35"/>
      <c r="C13176" s="442"/>
      <c r="P13176" s="235"/>
      <c r="AI13176" s="38"/>
    </row>
    <row r="13177" ht="15.75" customHeight="1">
      <c r="A13177" s="35"/>
      <c r="C13177" s="442"/>
      <c r="P13177" s="235"/>
      <c r="AI13177" s="38"/>
    </row>
    <row r="13178" ht="15.75" customHeight="1">
      <c r="A13178" s="35"/>
      <c r="C13178" s="442"/>
      <c r="P13178" s="235"/>
      <c r="AI13178" s="38"/>
    </row>
    <row r="13179" ht="15.75" customHeight="1">
      <c r="A13179" s="35"/>
      <c r="C13179" s="442"/>
      <c r="P13179" s="235"/>
      <c r="AI13179" s="38"/>
    </row>
    <row r="13180" ht="15.75" customHeight="1">
      <c r="A13180" s="35"/>
      <c r="C13180" s="442"/>
      <c r="P13180" s="235"/>
      <c r="AI13180" s="38"/>
    </row>
    <row r="13181" ht="15.75" customHeight="1">
      <c r="A13181" s="35"/>
      <c r="C13181" s="442"/>
      <c r="P13181" s="235"/>
      <c r="AI13181" s="38"/>
    </row>
    <row r="13182" ht="15.75" customHeight="1">
      <c r="A13182" s="35"/>
      <c r="C13182" s="442"/>
      <c r="P13182" s="235"/>
      <c r="AI13182" s="38"/>
    </row>
    <row r="13183" ht="15.75" customHeight="1">
      <c r="A13183" s="35"/>
      <c r="C13183" s="442"/>
      <c r="P13183" s="235"/>
      <c r="AI13183" s="38"/>
    </row>
    <row r="13184" ht="15.75" customHeight="1">
      <c r="A13184" s="35"/>
      <c r="C13184" s="442"/>
      <c r="P13184" s="235"/>
      <c r="AI13184" s="38"/>
    </row>
    <row r="13185" ht="15.75" customHeight="1">
      <c r="A13185" s="35"/>
      <c r="C13185" s="442"/>
      <c r="P13185" s="235"/>
      <c r="AI13185" s="38"/>
    </row>
    <row r="13186" ht="15.75" customHeight="1">
      <c r="A13186" s="35"/>
      <c r="C13186" s="442"/>
      <c r="P13186" s="235"/>
      <c r="AI13186" s="38"/>
    </row>
    <row r="13187" ht="15.75" customHeight="1">
      <c r="A13187" s="35"/>
      <c r="C13187" s="442"/>
      <c r="P13187" s="235"/>
      <c r="AI13187" s="38"/>
    </row>
    <row r="13188" ht="15.75" customHeight="1">
      <c r="A13188" s="35"/>
      <c r="C13188" s="442"/>
      <c r="P13188" s="235"/>
      <c r="AI13188" s="38"/>
    </row>
    <row r="13189" ht="15.75" customHeight="1">
      <c r="A13189" s="35"/>
      <c r="C13189" s="442"/>
      <c r="P13189" s="235"/>
      <c r="AI13189" s="38"/>
    </row>
    <row r="13190" ht="15.75" customHeight="1">
      <c r="A13190" s="35"/>
      <c r="C13190" s="442"/>
      <c r="P13190" s="235"/>
      <c r="AI13190" s="38"/>
    </row>
    <row r="13191" ht="15.75" customHeight="1">
      <c r="A13191" s="35"/>
      <c r="C13191" s="442"/>
      <c r="P13191" s="235"/>
      <c r="AI13191" s="38"/>
    </row>
    <row r="13192" ht="15.75" customHeight="1">
      <c r="A13192" s="35"/>
      <c r="C13192" s="442"/>
      <c r="P13192" s="235"/>
      <c r="AI13192" s="38"/>
    </row>
    <row r="13193" ht="15.75" customHeight="1">
      <c r="A13193" s="35"/>
      <c r="C13193" s="442"/>
      <c r="P13193" s="235"/>
      <c r="AI13193" s="38"/>
    </row>
    <row r="13194" ht="15.75" customHeight="1">
      <c r="A13194" s="35"/>
      <c r="C13194" s="442"/>
      <c r="P13194" s="235"/>
      <c r="AI13194" s="38"/>
    </row>
    <row r="13195" ht="15.75" customHeight="1">
      <c r="A13195" s="35"/>
      <c r="C13195" s="442"/>
      <c r="P13195" s="235"/>
      <c r="AI13195" s="38"/>
    </row>
    <row r="13196" ht="15.75" customHeight="1">
      <c r="A13196" s="35"/>
      <c r="C13196" s="442"/>
      <c r="P13196" s="235"/>
      <c r="AI13196" s="38"/>
    </row>
    <row r="13197" ht="15.75" customHeight="1">
      <c r="A13197" s="35"/>
      <c r="C13197" s="442"/>
      <c r="P13197" s="235"/>
      <c r="AI13197" s="38"/>
    </row>
    <row r="13198" ht="15.75" customHeight="1">
      <c r="A13198" s="35"/>
      <c r="C13198" s="442"/>
      <c r="P13198" s="235"/>
      <c r="AI13198" s="38"/>
    </row>
    <row r="13199" ht="15.75" customHeight="1">
      <c r="A13199" s="35"/>
      <c r="C13199" s="442"/>
      <c r="P13199" s="235"/>
      <c r="AI13199" s="38"/>
    </row>
    <row r="13200" ht="15.75" customHeight="1">
      <c r="A13200" s="35"/>
      <c r="C13200" s="442"/>
      <c r="P13200" s="235"/>
      <c r="AI13200" s="38"/>
    </row>
    <row r="13201" ht="15.75" customHeight="1">
      <c r="A13201" s="35"/>
      <c r="C13201" s="442"/>
      <c r="P13201" s="235"/>
      <c r="AI13201" s="38"/>
    </row>
    <row r="13202" ht="15.75" customHeight="1">
      <c r="A13202" s="35"/>
      <c r="C13202" s="442"/>
      <c r="P13202" s="235"/>
      <c r="AI13202" s="38"/>
    </row>
    <row r="13203" ht="15.75" customHeight="1">
      <c r="A13203" s="35"/>
      <c r="C13203" s="442"/>
      <c r="P13203" s="235"/>
      <c r="AI13203" s="38"/>
    </row>
    <row r="13204" ht="15.75" customHeight="1">
      <c r="A13204" s="35"/>
      <c r="C13204" s="442"/>
      <c r="P13204" s="235"/>
      <c r="AI13204" s="38"/>
    </row>
    <row r="13205" ht="15.75" customHeight="1">
      <c r="A13205" s="35"/>
      <c r="C13205" s="442"/>
      <c r="P13205" s="235"/>
      <c r="AI13205" s="38"/>
    </row>
    <row r="13206" ht="15.75" customHeight="1">
      <c r="A13206" s="35"/>
      <c r="C13206" s="442"/>
      <c r="P13206" s="235"/>
      <c r="AI13206" s="38"/>
    </row>
    <row r="13207" ht="15.75" customHeight="1">
      <c r="A13207" s="35"/>
      <c r="C13207" s="442"/>
      <c r="P13207" s="235"/>
      <c r="AI13207" s="38"/>
    </row>
    <row r="13208" ht="15.75" customHeight="1">
      <c r="A13208" s="35"/>
      <c r="C13208" s="442"/>
      <c r="P13208" s="235"/>
      <c r="AI13208" s="38"/>
    </row>
    <row r="13209" ht="15.75" customHeight="1">
      <c r="A13209" s="35"/>
      <c r="C13209" s="442"/>
      <c r="P13209" s="235"/>
      <c r="AI13209" s="38"/>
    </row>
    <row r="13210" ht="15.75" customHeight="1">
      <c r="A13210" s="35"/>
      <c r="C13210" s="442"/>
      <c r="P13210" s="235"/>
      <c r="AI13210" s="38"/>
    </row>
    <row r="13211" ht="15.75" customHeight="1">
      <c r="A13211" s="35"/>
      <c r="C13211" s="442"/>
      <c r="P13211" s="235"/>
      <c r="AI13211" s="38"/>
    </row>
    <row r="13212" ht="15.75" customHeight="1">
      <c r="A13212" s="35"/>
      <c r="C13212" s="442"/>
      <c r="P13212" s="235"/>
      <c r="AI13212" s="38"/>
    </row>
    <row r="13213" ht="15.75" customHeight="1">
      <c r="A13213" s="35"/>
      <c r="C13213" s="442"/>
      <c r="P13213" s="235"/>
      <c r="AI13213" s="38"/>
    </row>
    <row r="13214" ht="15.75" customHeight="1">
      <c r="A13214" s="35"/>
      <c r="C13214" s="442"/>
      <c r="P13214" s="235"/>
      <c r="AI13214" s="38"/>
    </row>
    <row r="13215" ht="15.75" customHeight="1">
      <c r="A13215" s="35"/>
      <c r="C13215" s="442"/>
      <c r="P13215" s="235"/>
      <c r="AI13215" s="38"/>
    </row>
    <row r="13216" ht="15.75" customHeight="1">
      <c r="A13216" s="35"/>
      <c r="C13216" s="442"/>
      <c r="P13216" s="235"/>
      <c r="AI13216" s="38"/>
    </row>
    <row r="13217" ht="15.75" customHeight="1">
      <c r="A13217" s="35"/>
      <c r="C13217" s="442"/>
      <c r="P13217" s="235"/>
      <c r="AI13217" s="38"/>
    </row>
    <row r="13218" ht="15.75" customHeight="1">
      <c r="A13218" s="35"/>
      <c r="C13218" s="442"/>
      <c r="P13218" s="235"/>
      <c r="AI13218" s="38"/>
    </row>
    <row r="13219" ht="15.75" customHeight="1">
      <c r="A13219" s="35"/>
      <c r="C13219" s="442"/>
      <c r="P13219" s="235"/>
      <c r="AI13219" s="38"/>
    </row>
    <row r="13220" ht="15.75" customHeight="1">
      <c r="A13220" s="35"/>
      <c r="C13220" s="442"/>
      <c r="P13220" s="235"/>
      <c r="AI13220" s="38"/>
    </row>
    <row r="13221" ht="15.75" customHeight="1">
      <c r="A13221" s="35"/>
      <c r="C13221" s="442"/>
      <c r="P13221" s="235"/>
      <c r="AI13221" s="38"/>
    </row>
    <row r="13222" ht="15.75" customHeight="1">
      <c r="A13222" s="35"/>
      <c r="C13222" s="442"/>
      <c r="P13222" s="235"/>
      <c r="AI13222" s="38"/>
    </row>
    <row r="13223" ht="15.75" customHeight="1">
      <c r="A13223" s="35"/>
      <c r="C13223" s="442"/>
      <c r="P13223" s="235"/>
      <c r="AI13223" s="38"/>
    </row>
    <row r="13224" ht="15.75" customHeight="1">
      <c r="A13224" s="35"/>
      <c r="C13224" s="442"/>
      <c r="P13224" s="235"/>
      <c r="AI13224" s="38"/>
    </row>
    <row r="13225" ht="15.75" customHeight="1">
      <c r="A13225" s="35"/>
      <c r="C13225" s="442"/>
      <c r="P13225" s="235"/>
      <c r="AI13225" s="38"/>
    </row>
    <row r="13226" ht="15.75" customHeight="1">
      <c r="A13226" s="35"/>
      <c r="C13226" s="442"/>
      <c r="P13226" s="235"/>
      <c r="AI13226" s="38"/>
    </row>
    <row r="13227" ht="15.75" customHeight="1">
      <c r="A13227" s="35"/>
      <c r="C13227" s="442"/>
      <c r="P13227" s="235"/>
      <c r="AI13227" s="38"/>
    </row>
    <row r="13228" ht="15.75" customHeight="1">
      <c r="A13228" s="35"/>
      <c r="C13228" s="442"/>
      <c r="P13228" s="235"/>
      <c r="AI13228" s="38"/>
    </row>
    <row r="13229" ht="15.75" customHeight="1">
      <c r="A13229" s="35"/>
      <c r="C13229" s="442"/>
      <c r="P13229" s="235"/>
      <c r="AI13229" s="38"/>
    </row>
    <row r="13230" ht="15.75" customHeight="1">
      <c r="A13230" s="35"/>
      <c r="C13230" s="442"/>
      <c r="P13230" s="235"/>
      <c r="AI13230" s="38"/>
    </row>
    <row r="13231" ht="15.75" customHeight="1">
      <c r="A13231" s="35"/>
      <c r="C13231" s="442"/>
      <c r="P13231" s="235"/>
      <c r="AI13231" s="38"/>
    </row>
    <row r="13232" ht="15.75" customHeight="1">
      <c r="A13232" s="35"/>
      <c r="C13232" s="442"/>
      <c r="P13232" s="235"/>
      <c r="AI13232" s="38"/>
    </row>
    <row r="13233" ht="15.75" customHeight="1">
      <c r="A13233" s="35"/>
      <c r="C13233" s="442"/>
      <c r="P13233" s="235"/>
      <c r="AI13233" s="38"/>
    </row>
    <row r="13234" ht="15.75" customHeight="1">
      <c r="A13234" s="35"/>
      <c r="C13234" s="442"/>
      <c r="P13234" s="235"/>
      <c r="AI13234" s="38"/>
    </row>
    <row r="13235" ht="15.75" customHeight="1">
      <c r="A13235" s="35"/>
      <c r="C13235" s="442"/>
      <c r="P13235" s="235"/>
      <c r="AI13235" s="38"/>
    </row>
    <row r="13236" ht="15.75" customHeight="1">
      <c r="A13236" s="35"/>
      <c r="C13236" s="442"/>
      <c r="P13236" s="235"/>
      <c r="AI13236" s="38"/>
    </row>
    <row r="13237" ht="15.75" customHeight="1">
      <c r="A13237" s="35"/>
      <c r="C13237" s="442"/>
      <c r="P13237" s="235"/>
      <c r="AI13237" s="38"/>
    </row>
    <row r="13238" ht="15.75" customHeight="1">
      <c r="A13238" s="35"/>
      <c r="C13238" s="442"/>
      <c r="P13238" s="235"/>
      <c r="AI13238" s="38"/>
    </row>
    <row r="13239" ht="15.75" customHeight="1">
      <c r="A13239" s="35"/>
      <c r="C13239" s="442"/>
      <c r="P13239" s="235"/>
      <c r="AI13239" s="38"/>
    </row>
    <row r="13240" ht="15.75" customHeight="1">
      <c r="A13240" s="35"/>
      <c r="C13240" s="442"/>
      <c r="P13240" s="235"/>
      <c r="AI13240" s="38"/>
    </row>
    <row r="13241" ht="15.75" customHeight="1">
      <c r="A13241" s="35"/>
      <c r="C13241" s="442"/>
      <c r="P13241" s="235"/>
      <c r="AI13241" s="38"/>
    </row>
    <row r="13242" ht="15.75" customHeight="1">
      <c r="A13242" s="35"/>
      <c r="C13242" s="442"/>
      <c r="P13242" s="235"/>
      <c r="AI13242" s="38"/>
    </row>
    <row r="13243" ht="15.75" customHeight="1">
      <c r="A13243" s="35"/>
      <c r="C13243" s="442"/>
      <c r="P13243" s="235"/>
      <c r="AI13243" s="38"/>
    </row>
    <row r="13244" ht="15.75" customHeight="1">
      <c r="A13244" s="35"/>
      <c r="C13244" s="442"/>
      <c r="P13244" s="235"/>
      <c r="AI13244" s="38"/>
    </row>
    <row r="13245" ht="15.75" customHeight="1">
      <c r="A13245" s="35"/>
      <c r="C13245" s="442"/>
      <c r="P13245" s="235"/>
      <c r="AI13245" s="38"/>
    </row>
    <row r="13246" ht="15.75" customHeight="1">
      <c r="A13246" s="35"/>
      <c r="C13246" s="442"/>
      <c r="P13246" s="235"/>
      <c r="AI13246" s="38"/>
    </row>
    <row r="13247" ht="15.75" customHeight="1">
      <c r="A13247" s="35"/>
      <c r="C13247" s="442"/>
      <c r="P13247" s="235"/>
      <c r="AI13247" s="38"/>
    </row>
    <row r="13248" ht="15.75" customHeight="1">
      <c r="A13248" s="35"/>
      <c r="C13248" s="442"/>
      <c r="P13248" s="235"/>
      <c r="AI13248" s="38"/>
    </row>
    <row r="13249" ht="15.75" customHeight="1">
      <c r="A13249" s="35"/>
      <c r="C13249" s="442"/>
      <c r="P13249" s="235"/>
      <c r="AI13249" s="38"/>
    </row>
    <row r="13250" ht="15.75" customHeight="1">
      <c r="A13250" s="35"/>
      <c r="C13250" s="442"/>
      <c r="P13250" s="235"/>
      <c r="AI13250" s="38"/>
    </row>
    <row r="13251" ht="15.75" customHeight="1">
      <c r="A13251" s="35"/>
      <c r="C13251" s="442"/>
      <c r="P13251" s="235"/>
      <c r="AI13251" s="38"/>
    </row>
    <row r="13252" ht="15.75" customHeight="1">
      <c r="A13252" s="35"/>
      <c r="C13252" s="442"/>
      <c r="P13252" s="235"/>
      <c r="AI13252" s="38"/>
    </row>
    <row r="13253" ht="15.75" customHeight="1">
      <c r="A13253" s="35"/>
      <c r="C13253" s="442"/>
      <c r="P13253" s="235"/>
      <c r="AI13253" s="38"/>
    </row>
    <row r="13254" ht="15.75" customHeight="1">
      <c r="A13254" s="35"/>
      <c r="C13254" s="442"/>
      <c r="P13254" s="235"/>
      <c r="AI13254" s="38"/>
    </row>
    <row r="13255" ht="15.75" customHeight="1">
      <c r="A13255" s="35"/>
      <c r="C13255" s="442"/>
      <c r="P13255" s="235"/>
      <c r="AI13255" s="38"/>
    </row>
    <row r="13256" ht="15.75" customHeight="1">
      <c r="A13256" s="35"/>
      <c r="C13256" s="442"/>
      <c r="P13256" s="235"/>
      <c r="AI13256" s="38"/>
    </row>
    <row r="13257" ht="15.75" customHeight="1">
      <c r="A13257" s="35"/>
      <c r="C13257" s="442"/>
      <c r="P13257" s="235"/>
      <c r="AI13257" s="38"/>
    </row>
    <row r="13258" ht="15.75" customHeight="1">
      <c r="A13258" s="35"/>
      <c r="C13258" s="442"/>
      <c r="P13258" s="235"/>
      <c r="AI13258" s="38"/>
    </row>
    <row r="13259" ht="15.75" customHeight="1">
      <c r="A13259" s="35"/>
      <c r="C13259" s="442"/>
      <c r="P13259" s="235"/>
      <c r="AI13259" s="38"/>
    </row>
    <row r="13260" ht="15.75" customHeight="1">
      <c r="A13260" s="35"/>
      <c r="C13260" s="442"/>
      <c r="P13260" s="235"/>
      <c r="AI13260" s="38"/>
    </row>
    <row r="13261" ht="15.75" customHeight="1">
      <c r="A13261" s="35"/>
      <c r="C13261" s="442"/>
      <c r="P13261" s="235"/>
      <c r="AI13261" s="38"/>
    </row>
    <row r="13262" ht="15.75" customHeight="1">
      <c r="A13262" s="35"/>
      <c r="C13262" s="442"/>
      <c r="P13262" s="235"/>
      <c r="AI13262" s="38"/>
    </row>
    <row r="13263" ht="15.75" customHeight="1">
      <c r="A13263" s="35"/>
      <c r="C13263" s="442"/>
      <c r="P13263" s="235"/>
      <c r="AI13263" s="38"/>
    </row>
    <row r="13264" ht="15.75" customHeight="1">
      <c r="A13264" s="35"/>
      <c r="C13264" s="442"/>
      <c r="P13264" s="235"/>
      <c r="AI13264" s="38"/>
    </row>
    <row r="13265" ht="15.75" customHeight="1">
      <c r="A13265" s="35"/>
      <c r="C13265" s="442"/>
      <c r="P13265" s="235"/>
      <c r="AI13265" s="38"/>
    </row>
    <row r="13266" ht="15.75" customHeight="1">
      <c r="A13266" s="35"/>
      <c r="C13266" s="442"/>
      <c r="P13266" s="235"/>
      <c r="AI13266" s="38"/>
    </row>
    <row r="13267" ht="15.75" customHeight="1">
      <c r="A13267" s="35"/>
      <c r="C13267" s="442"/>
      <c r="P13267" s="235"/>
      <c r="AI13267" s="38"/>
    </row>
    <row r="13268" ht="15.75" customHeight="1">
      <c r="A13268" s="35"/>
      <c r="C13268" s="442"/>
      <c r="P13268" s="235"/>
      <c r="AI13268" s="38"/>
    </row>
    <row r="13269" ht="15.75" customHeight="1">
      <c r="A13269" s="35"/>
      <c r="C13269" s="442"/>
      <c r="P13269" s="235"/>
      <c r="AI13269" s="38"/>
    </row>
    <row r="13270" ht="15.75" customHeight="1">
      <c r="A13270" s="35"/>
      <c r="C13270" s="442"/>
      <c r="P13270" s="235"/>
      <c r="AI13270" s="38"/>
    </row>
    <row r="13271" ht="15.75" customHeight="1">
      <c r="A13271" s="35"/>
      <c r="C13271" s="442"/>
      <c r="P13271" s="235"/>
      <c r="AI13271" s="38"/>
    </row>
    <row r="13272" ht="15.75" customHeight="1">
      <c r="A13272" s="35"/>
      <c r="C13272" s="442"/>
      <c r="P13272" s="235"/>
      <c r="AI13272" s="38"/>
    </row>
    <row r="13273" ht="15.75" customHeight="1">
      <c r="A13273" s="35"/>
      <c r="C13273" s="442"/>
      <c r="P13273" s="235"/>
      <c r="AI13273" s="38"/>
    </row>
    <row r="13274" ht="15.75" customHeight="1">
      <c r="A13274" s="35"/>
      <c r="C13274" s="442"/>
      <c r="P13274" s="235"/>
      <c r="AI13274" s="38"/>
    </row>
    <row r="13275" ht="15.75" customHeight="1">
      <c r="A13275" s="35"/>
      <c r="C13275" s="442"/>
      <c r="P13275" s="235"/>
      <c r="AI13275" s="38"/>
    </row>
    <row r="13276" ht="15.75" customHeight="1">
      <c r="A13276" s="35"/>
      <c r="C13276" s="442"/>
      <c r="P13276" s="235"/>
      <c r="AI13276" s="38"/>
    </row>
    <row r="13277" ht="15.75" customHeight="1">
      <c r="A13277" s="35"/>
      <c r="C13277" s="442"/>
      <c r="P13277" s="235"/>
      <c r="AI13277" s="38"/>
    </row>
    <row r="13278" ht="15.75" customHeight="1">
      <c r="A13278" s="35"/>
      <c r="C13278" s="442"/>
      <c r="P13278" s="235"/>
      <c r="AI13278" s="38"/>
    </row>
    <row r="13279" ht="15.75" customHeight="1">
      <c r="A13279" s="35"/>
      <c r="C13279" s="442"/>
      <c r="P13279" s="235"/>
      <c r="AI13279" s="38"/>
    </row>
    <row r="13280" ht="15.75" customHeight="1">
      <c r="A13280" s="35"/>
      <c r="C13280" s="442"/>
      <c r="P13280" s="235"/>
      <c r="AI13280" s="38"/>
    </row>
    <row r="13281" ht="15.75" customHeight="1">
      <c r="A13281" s="35"/>
      <c r="C13281" s="442"/>
      <c r="P13281" s="235"/>
      <c r="AI13281" s="38"/>
    </row>
    <row r="13282" ht="15.75" customHeight="1">
      <c r="A13282" s="35"/>
      <c r="C13282" s="442"/>
      <c r="P13282" s="235"/>
      <c r="AI13282" s="38"/>
    </row>
    <row r="13283" ht="15.75" customHeight="1">
      <c r="A13283" s="35"/>
      <c r="C13283" s="442"/>
      <c r="P13283" s="235"/>
      <c r="AI13283" s="38"/>
    </row>
    <row r="13284" ht="15.75" customHeight="1">
      <c r="A13284" s="35"/>
      <c r="C13284" s="442"/>
      <c r="P13284" s="235"/>
      <c r="AI13284" s="38"/>
    </row>
    <row r="13285" ht="15.75" customHeight="1">
      <c r="A13285" s="35"/>
      <c r="C13285" s="442"/>
      <c r="P13285" s="235"/>
      <c r="AI13285" s="38"/>
    </row>
    <row r="13286" ht="15.75" customHeight="1">
      <c r="A13286" s="35"/>
      <c r="C13286" s="442"/>
      <c r="P13286" s="235"/>
      <c r="AI13286" s="38"/>
    </row>
    <row r="13287" ht="15.75" customHeight="1">
      <c r="A13287" s="35"/>
      <c r="C13287" s="442"/>
      <c r="P13287" s="235"/>
      <c r="AI13287" s="38"/>
    </row>
    <row r="13288" ht="15.75" customHeight="1">
      <c r="A13288" s="35"/>
      <c r="C13288" s="442"/>
      <c r="P13288" s="235"/>
      <c r="AI13288" s="38"/>
    </row>
    <row r="13289" ht="15.75" customHeight="1">
      <c r="A13289" s="35"/>
      <c r="C13289" s="442"/>
      <c r="P13289" s="235"/>
      <c r="AI13289" s="38"/>
    </row>
    <row r="13290" ht="15.75" customHeight="1">
      <c r="A13290" s="35"/>
      <c r="C13290" s="442"/>
      <c r="P13290" s="235"/>
      <c r="AI13290" s="38"/>
    </row>
    <row r="13291" ht="15.75" customHeight="1">
      <c r="A13291" s="35"/>
      <c r="C13291" s="442"/>
      <c r="P13291" s="235"/>
      <c r="AI13291" s="38"/>
    </row>
    <row r="13292" ht="15.75" customHeight="1">
      <c r="A13292" s="35"/>
      <c r="C13292" s="442"/>
      <c r="P13292" s="235"/>
      <c r="AI13292" s="38"/>
    </row>
    <row r="13293" ht="15.75" customHeight="1">
      <c r="A13293" s="35"/>
      <c r="C13293" s="442"/>
      <c r="P13293" s="235"/>
      <c r="AI13293" s="38"/>
    </row>
    <row r="13294" ht="15.75" customHeight="1">
      <c r="A13294" s="35"/>
      <c r="C13294" s="442"/>
      <c r="P13294" s="235"/>
      <c r="AI13294" s="38"/>
    </row>
    <row r="13295" ht="15.75" customHeight="1">
      <c r="A13295" s="35"/>
      <c r="C13295" s="442"/>
      <c r="P13295" s="235"/>
      <c r="AI13295" s="38"/>
    </row>
    <row r="13296" ht="15.75" customHeight="1">
      <c r="A13296" s="35"/>
      <c r="C13296" s="442"/>
      <c r="P13296" s="235"/>
      <c r="AI13296" s="38"/>
    </row>
    <row r="13297" ht="15.75" customHeight="1">
      <c r="A13297" s="35"/>
      <c r="C13297" s="442"/>
      <c r="P13297" s="235"/>
      <c r="AI13297" s="38"/>
    </row>
    <row r="13298" ht="15.75" customHeight="1">
      <c r="A13298" s="35"/>
      <c r="C13298" s="442"/>
      <c r="P13298" s="235"/>
      <c r="AI13298" s="38"/>
    </row>
    <row r="13299" ht="15.75" customHeight="1">
      <c r="A13299" s="35"/>
      <c r="C13299" s="442"/>
      <c r="P13299" s="235"/>
      <c r="AI13299" s="38"/>
    </row>
    <row r="13300" ht="15.75" customHeight="1">
      <c r="A13300" s="35"/>
      <c r="C13300" s="442"/>
      <c r="P13300" s="235"/>
      <c r="AI13300" s="38"/>
    </row>
    <row r="13301" ht="15.75" customHeight="1">
      <c r="A13301" s="35"/>
      <c r="C13301" s="442"/>
      <c r="P13301" s="235"/>
      <c r="AI13301" s="38"/>
    </row>
    <row r="13302" ht="15.75" customHeight="1">
      <c r="A13302" s="35"/>
      <c r="C13302" s="442"/>
      <c r="P13302" s="235"/>
      <c r="AI13302" s="38"/>
    </row>
    <row r="13303" ht="15.75" customHeight="1">
      <c r="A13303" s="35"/>
      <c r="C13303" s="442"/>
      <c r="P13303" s="235"/>
      <c r="AI13303" s="38"/>
    </row>
    <row r="13304" ht="15.75" customHeight="1">
      <c r="A13304" s="35"/>
      <c r="C13304" s="442"/>
      <c r="P13304" s="235"/>
      <c r="AI13304" s="38"/>
    </row>
    <row r="13305" ht="15.75" customHeight="1">
      <c r="A13305" s="35"/>
      <c r="C13305" s="442"/>
      <c r="P13305" s="235"/>
      <c r="AI13305" s="38"/>
    </row>
    <row r="13306" ht="15.75" customHeight="1">
      <c r="A13306" s="35"/>
      <c r="C13306" s="442"/>
      <c r="P13306" s="235"/>
      <c r="AI13306" s="38"/>
    </row>
    <row r="13307" ht="15.75" customHeight="1">
      <c r="A13307" s="35"/>
      <c r="C13307" s="442"/>
      <c r="P13307" s="235"/>
      <c r="AI13307" s="38"/>
    </row>
    <row r="13308" ht="15.75" customHeight="1">
      <c r="A13308" s="35"/>
      <c r="C13308" s="442"/>
      <c r="P13308" s="235"/>
      <c r="AI13308" s="38"/>
    </row>
    <row r="13309" ht="15.75" customHeight="1">
      <c r="A13309" s="35"/>
      <c r="C13309" s="442"/>
      <c r="P13309" s="235"/>
      <c r="AI13309" s="38"/>
    </row>
    <row r="13310" ht="15.75" customHeight="1">
      <c r="A13310" s="35"/>
      <c r="C13310" s="442"/>
      <c r="P13310" s="235"/>
      <c r="AI13310" s="38"/>
    </row>
    <row r="13311" ht="15.75" customHeight="1">
      <c r="A13311" s="35"/>
      <c r="C13311" s="442"/>
      <c r="P13311" s="235"/>
      <c r="AI13311" s="38"/>
    </row>
    <row r="13312" ht="15.75" customHeight="1">
      <c r="A13312" s="35"/>
      <c r="C13312" s="442"/>
      <c r="P13312" s="235"/>
      <c r="AI13312" s="38"/>
    </row>
    <row r="13313" ht="15.75" customHeight="1">
      <c r="A13313" s="35"/>
      <c r="C13313" s="442"/>
      <c r="P13313" s="235"/>
      <c r="AI13313" s="38"/>
    </row>
    <row r="13314" ht="15.75" customHeight="1">
      <c r="A13314" s="35"/>
      <c r="C13314" s="442"/>
      <c r="P13314" s="235"/>
      <c r="AI13314" s="38"/>
    </row>
    <row r="13315" ht="15.75" customHeight="1">
      <c r="A13315" s="35"/>
      <c r="C13315" s="442"/>
      <c r="P13315" s="235"/>
      <c r="AI13315" s="38"/>
    </row>
    <row r="13316" ht="15.75" customHeight="1">
      <c r="A13316" s="35"/>
      <c r="C13316" s="442"/>
      <c r="P13316" s="235"/>
      <c r="AI13316" s="38"/>
    </row>
    <row r="13317" ht="15.75" customHeight="1">
      <c r="A13317" s="35"/>
      <c r="C13317" s="442"/>
      <c r="P13317" s="235"/>
      <c r="AI13317" s="38"/>
    </row>
    <row r="13318" ht="15.75" customHeight="1">
      <c r="A13318" s="35"/>
      <c r="C13318" s="442"/>
      <c r="P13318" s="235"/>
      <c r="AI13318" s="38"/>
    </row>
    <row r="13319" ht="15.75" customHeight="1">
      <c r="A13319" s="35"/>
      <c r="C13319" s="442"/>
      <c r="P13319" s="235"/>
      <c r="AI13319" s="38"/>
    </row>
    <row r="13320" ht="15.75" customHeight="1">
      <c r="A13320" s="35"/>
      <c r="C13320" s="442"/>
      <c r="P13320" s="235"/>
      <c r="AI13320" s="38"/>
    </row>
    <row r="13321" ht="15.75" customHeight="1">
      <c r="A13321" s="35"/>
      <c r="C13321" s="442"/>
      <c r="P13321" s="235"/>
      <c r="AI13321" s="38"/>
    </row>
    <row r="13322" ht="15.75" customHeight="1">
      <c r="A13322" s="35"/>
      <c r="C13322" s="442"/>
      <c r="P13322" s="235"/>
      <c r="AI13322" s="38"/>
    </row>
    <row r="13323" ht="15.75" customHeight="1">
      <c r="A13323" s="35"/>
      <c r="C13323" s="442"/>
      <c r="P13323" s="235"/>
      <c r="AI13323" s="38"/>
    </row>
    <row r="13324" ht="15.75" customHeight="1">
      <c r="A13324" s="35"/>
      <c r="C13324" s="442"/>
      <c r="P13324" s="235"/>
      <c r="AI13324" s="38"/>
    </row>
    <row r="13325" ht="15.75" customHeight="1">
      <c r="A13325" s="35"/>
      <c r="C13325" s="442"/>
      <c r="P13325" s="235"/>
      <c r="AI13325" s="38"/>
    </row>
    <row r="13326" ht="15.75" customHeight="1">
      <c r="A13326" s="35"/>
      <c r="C13326" s="442"/>
      <c r="P13326" s="235"/>
      <c r="AI13326" s="38"/>
    </row>
    <row r="13327" ht="15.75" customHeight="1">
      <c r="A13327" s="35"/>
      <c r="C13327" s="442"/>
      <c r="P13327" s="235"/>
      <c r="AI13327" s="38"/>
    </row>
    <row r="13328" ht="15.75" customHeight="1">
      <c r="A13328" s="35"/>
      <c r="C13328" s="442"/>
      <c r="P13328" s="235"/>
      <c r="AI13328" s="38"/>
    </row>
    <row r="13329" ht="15.75" customHeight="1">
      <c r="A13329" s="35"/>
      <c r="C13329" s="442"/>
      <c r="P13329" s="235"/>
      <c r="AI13329" s="38"/>
    </row>
    <row r="13330" ht="15.75" customHeight="1">
      <c r="A13330" s="35"/>
      <c r="C13330" s="442"/>
      <c r="P13330" s="235"/>
      <c r="AI13330" s="38"/>
    </row>
    <row r="13331" ht="15.75" customHeight="1">
      <c r="A13331" s="35"/>
      <c r="C13331" s="442"/>
      <c r="P13331" s="235"/>
      <c r="AI13331" s="38"/>
    </row>
    <row r="13332" ht="15.75" customHeight="1">
      <c r="A13332" s="35"/>
      <c r="C13332" s="442"/>
      <c r="P13332" s="235"/>
      <c r="AI13332" s="38"/>
    </row>
    <row r="13333" ht="15.75" customHeight="1">
      <c r="A13333" s="35"/>
      <c r="C13333" s="442"/>
      <c r="P13333" s="235"/>
      <c r="AI13333" s="38"/>
    </row>
    <row r="13334" ht="15.75" customHeight="1">
      <c r="A13334" s="35"/>
      <c r="C13334" s="442"/>
      <c r="P13334" s="235"/>
      <c r="AI13334" s="38"/>
    </row>
    <row r="13335" ht="15.75" customHeight="1">
      <c r="A13335" s="35"/>
      <c r="C13335" s="442"/>
      <c r="P13335" s="235"/>
      <c r="AI13335" s="38"/>
    </row>
    <row r="13336" ht="15.75" customHeight="1">
      <c r="A13336" s="35"/>
      <c r="C13336" s="442"/>
      <c r="P13336" s="235"/>
      <c r="AI13336" s="38"/>
    </row>
    <row r="13337" ht="15.75" customHeight="1">
      <c r="A13337" s="35"/>
      <c r="C13337" s="442"/>
      <c r="P13337" s="235"/>
      <c r="AI13337" s="38"/>
    </row>
    <row r="13338" ht="15.75" customHeight="1">
      <c r="A13338" s="35"/>
      <c r="C13338" s="442"/>
      <c r="P13338" s="235"/>
      <c r="AI13338" s="38"/>
    </row>
    <row r="13339" ht="15.75" customHeight="1">
      <c r="A13339" s="35"/>
      <c r="C13339" s="442"/>
      <c r="P13339" s="235"/>
      <c r="AI13339" s="38"/>
    </row>
    <row r="13340" ht="15.75" customHeight="1">
      <c r="A13340" s="35"/>
      <c r="C13340" s="442"/>
      <c r="P13340" s="235"/>
      <c r="AI13340" s="38"/>
    </row>
    <row r="13341" ht="15.75" customHeight="1">
      <c r="A13341" s="35"/>
      <c r="C13341" s="442"/>
      <c r="P13341" s="235"/>
      <c r="AI13341" s="38"/>
    </row>
    <row r="13342" ht="15.75" customHeight="1">
      <c r="A13342" s="35"/>
      <c r="C13342" s="442"/>
      <c r="P13342" s="235"/>
      <c r="AI13342" s="38"/>
    </row>
    <row r="13343" ht="15.75" customHeight="1">
      <c r="A13343" s="35"/>
      <c r="C13343" s="442"/>
      <c r="P13343" s="235"/>
      <c r="AI13343" s="38"/>
    </row>
    <row r="13344" ht="15.75" customHeight="1">
      <c r="A13344" s="35"/>
      <c r="C13344" s="442"/>
      <c r="P13344" s="235"/>
      <c r="AI13344" s="38"/>
    </row>
    <row r="13345" ht="15.75" customHeight="1">
      <c r="A13345" s="35"/>
      <c r="C13345" s="442"/>
      <c r="P13345" s="235"/>
      <c r="AI13345" s="38"/>
    </row>
    <row r="13346" ht="15.75" customHeight="1">
      <c r="A13346" s="35"/>
      <c r="C13346" s="442"/>
      <c r="P13346" s="235"/>
      <c r="AI13346" s="38"/>
    </row>
    <row r="13347" ht="15.75" customHeight="1">
      <c r="A13347" s="35"/>
      <c r="C13347" s="442"/>
      <c r="P13347" s="235"/>
      <c r="AI13347" s="38"/>
    </row>
    <row r="13348" ht="15.75" customHeight="1">
      <c r="A13348" s="35"/>
      <c r="C13348" s="442"/>
      <c r="P13348" s="235"/>
      <c r="AI13348" s="38"/>
    </row>
    <row r="13349" ht="15.75" customHeight="1">
      <c r="A13349" s="35"/>
      <c r="C13349" s="442"/>
      <c r="P13349" s="235"/>
      <c r="AI13349" s="38"/>
    </row>
    <row r="13350" ht="15.75" customHeight="1">
      <c r="A13350" s="35"/>
      <c r="C13350" s="442"/>
      <c r="P13350" s="235"/>
      <c r="AI13350" s="38"/>
    </row>
    <row r="13351" ht="15.75" customHeight="1">
      <c r="A13351" s="35"/>
      <c r="C13351" s="442"/>
      <c r="P13351" s="235"/>
      <c r="AI13351" s="38"/>
    </row>
    <row r="13352" ht="15.75" customHeight="1">
      <c r="A13352" s="35"/>
      <c r="C13352" s="442"/>
      <c r="P13352" s="235"/>
      <c r="AI13352" s="38"/>
    </row>
    <row r="13353" ht="15.75" customHeight="1">
      <c r="A13353" s="35"/>
      <c r="C13353" s="442"/>
      <c r="P13353" s="235"/>
      <c r="AI13353" s="38"/>
    </row>
    <row r="13354" ht="15.75" customHeight="1">
      <c r="A13354" s="35"/>
      <c r="C13354" s="442"/>
      <c r="P13354" s="235"/>
      <c r="AI13354" s="38"/>
    </row>
    <row r="13355" ht="15.75" customHeight="1">
      <c r="A13355" s="35"/>
      <c r="C13355" s="442"/>
      <c r="P13355" s="235"/>
      <c r="AI13355" s="38"/>
    </row>
    <row r="13356" ht="15.75" customHeight="1">
      <c r="A13356" s="35"/>
      <c r="C13356" s="442"/>
      <c r="P13356" s="235"/>
      <c r="AI13356" s="38"/>
    </row>
    <row r="13357" ht="15.75" customHeight="1">
      <c r="A13357" s="35"/>
      <c r="C13357" s="442"/>
      <c r="P13357" s="235"/>
      <c r="AI13357" s="38"/>
    </row>
    <row r="13358" ht="15.75" customHeight="1">
      <c r="A13358" s="35"/>
      <c r="C13358" s="442"/>
      <c r="P13358" s="235"/>
      <c r="AI13358" s="38"/>
    </row>
    <row r="13359" ht="15.75" customHeight="1">
      <c r="A13359" s="35"/>
      <c r="C13359" s="442"/>
      <c r="P13359" s="235"/>
      <c r="AI13359" s="38"/>
    </row>
    <row r="13360" ht="15.75" customHeight="1">
      <c r="A13360" s="35"/>
      <c r="C13360" s="442"/>
      <c r="P13360" s="235"/>
      <c r="AI13360" s="38"/>
    </row>
    <row r="13361" ht="15.75" customHeight="1">
      <c r="A13361" s="35"/>
      <c r="C13361" s="442"/>
      <c r="P13361" s="235"/>
      <c r="AI13361" s="38"/>
    </row>
    <row r="13362" ht="15.75" customHeight="1">
      <c r="A13362" s="35"/>
      <c r="C13362" s="442"/>
      <c r="P13362" s="235"/>
      <c r="AI13362" s="38"/>
    </row>
    <row r="13363" ht="15.75" customHeight="1">
      <c r="A13363" s="35"/>
      <c r="C13363" s="442"/>
      <c r="P13363" s="235"/>
      <c r="AI13363" s="38"/>
    </row>
    <row r="13364" ht="15.75" customHeight="1">
      <c r="A13364" s="35"/>
      <c r="C13364" s="442"/>
      <c r="P13364" s="235"/>
      <c r="AI13364" s="38"/>
    </row>
    <row r="13365" ht="15.75" customHeight="1">
      <c r="A13365" s="35"/>
      <c r="C13365" s="442"/>
      <c r="P13365" s="235"/>
      <c r="AI13365" s="38"/>
    </row>
    <row r="13366" ht="15.75" customHeight="1">
      <c r="A13366" s="35"/>
      <c r="C13366" s="442"/>
      <c r="P13366" s="235"/>
      <c r="AI13366" s="38"/>
    </row>
    <row r="13367" ht="15.75" customHeight="1">
      <c r="A13367" s="35"/>
      <c r="C13367" s="442"/>
      <c r="P13367" s="235"/>
      <c r="AI13367" s="38"/>
    </row>
    <row r="13368" ht="15.75" customHeight="1">
      <c r="A13368" s="35"/>
      <c r="C13368" s="442"/>
      <c r="P13368" s="235"/>
      <c r="AI13368" s="38"/>
    </row>
    <row r="13369" ht="15.75" customHeight="1">
      <c r="A13369" s="35"/>
      <c r="C13369" s="442"/>
      <c r="P13369" s="235"/>
      <c r="AI13369" s="38"/>
    </row>
    <row r="13370" ht="15.75" customHeight="1">
      <c r="A13370" s="35"/>
      <c r="C13370" s="442"/>
      <c r="P13370" s="235"/>
      <c r="AI13370" s="38"/>
    </row>
    <row r="13371" ht="15.75" customHeight="1">
      <c r="A13371" s="35"/>
      <c r="C13371" s="442"/>
      <c r="P13371" s="235"/>
      <c r="AI13371" s="38"/>
    </row>
    <row r="13372" ht="15.75" customHeight="1">
      <c r="A13372" s="35"/>
      <c r="C13372" s="442"/>
      <c r="P13372" s="235"/>
      <c r="AI13372" s="38"/>
    </row>
    <row r="13373" ht="15.75" customHeight="1">
      <c r="A13373" s="35"/>
      <c r="C13373" s="442"/>
      <c r="P13373" s="235"/>
      <c r="AI13373" s="38"/>
    </row>
    <row r="13374" ht="15.75" customHeight="1">
      <c r="A13374" s="35"/>
      <c r="C13374" s="442"/>
      <c r="P13374" s="235"/>
      <c r="AI13374" s="38"/>
    </row>
    <row r="13375" ht="15.75" customHeight="1">
      <c r="A13375" s="35"/>
      <c r="C13375" s="442"/>
      <c r="P13375" s="235"/>
      <c r="AI13375" s="38"/>
    </row>
    <row r="13376" ht="15.75" customHeight="1">
      <c r="A13376" s="35"/>
      <c r="C13376" s="442"/>
      <c r="P13376" s="235"/>
      <c r="AI13376" s="38"/>
    </row>
    <row r="13377" ht="15.75" customHeight="1">
      <c r="A13377" s="35"/>
      <c r="C13377" s="442"/>
      <c r="P13377" s="235"/>
      <c r="AI13377" s="38"/>
    </row>
    <row r="13378" ht="15.75" customHeight="1">
      <c r="A13378" s="35"/>
      <c r="C13378" s="442"/>
      <c r="P13378" s="235"/>
      <c r="AI13378" s="38"/>
    </row>
    <row r="13379" ht="15.75" customHeight="1">
      <c r="A13379" s="35"/>
      <c r="C13379" s="442"/>
      <c r="P13379" s="235"/>
      <c r="AI13379" s="38"/>
    </row>
    <row r="13380" ht="15.75" customHeight="1">
      <c r="A13380" s="35"/>
      <c r="C13380" s="442"/>
      <c r="P13380" s="235"/>
      <c r="AI13380" s="38"/>
    </row>
    <row r="13381" ht="15.75" customHeight="1">
      <c r="A13381" s="35"/>
      <c r="C13381" s="442"/>
      <c r="P13381" s="235"/>
      <c r="AI13381" s="38"/>
    </row>
    <row r="13382" ht="15.75" customHeight="1">
      <c r="A13382" s="35"/>
      <c r="C13382" s="442"/>
      <c r="P13382" s="235"/>
      <c r="AI13382" s="38"/>
    </row>
    <row r="13383" ht="15.75" customHeight="1">
      <c r="A13383" s="35"/>
      <c r="C13383" s="442"/>
      <c r="P13383" s="235"/>
      <c r="AI13383" s="38"/>
    </row>
    <row r="13384" ht="15.75" customHeight="1">
      <c r="A13384" s="35"/>
      <c r="C13384" s="442"/>
      <c r="P13384" s="235"/>
      <c r="AI13384" s="38"/>
    </row>
    <row r="13385" ht="15.75" customHeight="1">
      <c r="A13385" s="35"/>
      <c r="C13385" s="442"/>
      <c r="P13385" s="235"/>
      <c r="AI13385" s="38"/>
    </row>
    <row r="13386" ht="15.75" customHeight="1">
      <c r="A13386" s="35"/>
      <c r="C13386" s="442"/>
      <c r="P13386" s="235"/>
      <c r="AI13386" s="38"/>
    </row>
    <row r="13387" ht="15.75" customHeight="1">
      <c r="A13387" s="35"/>
      <c r="C13387" s="442"/>
      <c r="P13387" s="235"/>
      <c r="AI13387" s="38"/>
    </row>
    <row r="13388" ht="15.75" customHeight="1">
      <c r="A13388" s="35"/>
      <c r="C13388" s="442"/>
      <c r="P13388" s="235"/>
      <c r="AI13388" s="38"/>
    </row>
    <row r="13389" ht="15.75" customHeight="1">
      <c r="A13389" s="35"/>
      <c r="C13389" s="442"/>
      <c r="P13389" s="235"/>
      <c r="AI13389" s="38"/>
    </row>
    <row r="13390" ht="15.75" customHeight="1">
      <c r="A13390" s="35"/>
      <c r="C13390" s="442"/>
      <c r="P13390" s="235"/>
      <c r="AI13390" s="38"/>
    </row>
    <row r="13391" ht="15.75" customHeight="1">
      <c r="A13391" s="35"/>
      <c r="C13391" s="442"/>
      <c r="P13391" s="235"/>
      <c r="AI13391" s="38"/>
    </row>
    <row r="13392" ht="15.75" customHeight="1">
      <c r="A13392" s="35"/>
      <c r="C13392" s="442"/>
      <c r="P13392" s="235"/>
      <c r="AI13392" s="38"/>
    </row>
    <row r="13393" ht="15.75" customHeight="1">
      <c r="A13393" s="35"/>
      <c r="C13393" s="442"/>
      <c r="P13393" s="235"/>
      <c r="AI13393" s="38"/>
    </row>
    <row r="13394" ht="15.75" customHeight="1">
      <c r="A13394" s="35"/>
      <c r="C13394" s="442"/>
      <c r="P13394" s="235"/>
      <c r="AI13394" s="38"/>
    </row>
    <row r="13395" ht="15.75" customHeight="1">
      <c r="A13395" s="35"/>
      <c r="C13395" s="442"/>
      <c r="P13395" s="235"/>
      <c r="AI13395" s="38"/>
    </row>
    <row r="13396" ht="15.75" customHeight="1">
      <c r="A13396" s="35"/>
      <c r="C13396" s="442"/>
      <c r="P13396" s="235"/>
      <c r="AI13396" s="38"/>
    </row>
    <row r="13397" ht="15.75" customHeight="1">
      <c r="A13397" s="35"/>
      <c r="C13397" s="442"/>
      <c r="P13397" s="235"/>
      <c r="AI13397" s="38"/>
    </row>
    <row r="13398" ht="15.75" customHeight="1">
      <c r="A13398" s="35"/>
      <c r="C13398" s="442"/>
      <c r="P13398" s="235"/>
      <c r="AI13398" s="38"/>
    </row>
    <row r="13399" ht="15.75" customHeight="1">
      <c r="A13399" s="35"/>
      <c r="C13399" s="442"/>
      <c r="P13399" s="235"/>
      <c r="AI13399" s="38"/>
    </row>
    <row r="13400" ht="15.75" customHeight="1">
      <c r="A13400" s="35"/>
      <c r="C13400" s="442"/>
      <c r="P13400" s="235"/>
      <c r="AI13400" s="38"/>
    </row>
    <row r="13401" ht="15.75" customHeight="1">
      <c r="A13401" s="35"/>
      <c r="C13401" s="442"/>
      <c r="P13401" s="235"/>
      <c r="AI13401" s="38"/>
    </row>
    <row r="13402" ht="15.75" customHeight="1">
      <c r="A13402" s="35"/>
      <c r="C13402" s="442"/>
      <c r="P13402" s="235"/>
      <c r="AI13402" s="38"/>
    </row>
    <row r="13403" ht="15.75" customHeight="1">
      <c r="A13403" s="35"/>
      <c r="C13403" s="442"/>
      <c r="P13403" s="235"/>
      <c r="AI13403" s="38"/>
    </row>
    <row r="13404" ht="15.75" customHeight="1">
      <c r="A13404" s="35"/>
      <c r="C13404" s="442"/>
      <c r="P13404" s="235"/>
      <c r="AI13404" s="38"/>
    </row>
    <row r="13405" ht="15.75" customHeight="1">
      <c r="A13405" s="35"/>
      <c r="C13405" s="442"/>
      <c r="P13405" s="235"/>
      <c r="AI13405" s="38"/>
    </row>
    <row r="13406" ht="15.75" customHeight="1">
      <c r="A13406" s="35"/>
      <c r="C13406" s="442"/>
      <c r="P13406" s="235"/>
      <c r="AI13406" s="38"/>
    </row>
    <row r="13407" ht="15.75" customHeight="1">
      <c r="A13407" s="35"/>
      <c r="C13407" s="442"/>
      <c r="P13407" s="235"/>
      <c r="AI13407" s="38"/>
    </row>
    <row r="13408" ht="15.75" customHeight="1">
      <c r="A13408" s="35"/>
      <c r="C13408" s="442"/>
      <c r="P13408" s="235"/>
      <c r="AI13408" s="38"/>
    </row>
    <row r="13409" ht="15.75" customHeight="1">
      <c r="A13409" s="35"/>
      <c r="C13409" s="442"/>
      <c r="P13409" s="235"/>
      <c r="AI13409" s="38"/>
    </row>
    <row r="13410" ht="15.75" customHeight="1">
      <c r="A13410" s="35"/>
      <c r="C13410" s="442"/>
      <c r="P13410" s="235"/>
      <c r="AI13410" s="38"/>
    </row>
    <row r="13411" ht="15.75" customHeight="1">
      <c r="A13411" s="35"/>
      <c r="C13411" s="442"/>
      <c r="P13411" s="235"/>
      <c r="AI13411" s="38"/>
    </row>
    <row r="13412" ht="15.75" customHeight="1">
      <c r="A13412" s="35"/>
      <c r="C13412" s="442"/>
      <c r="P13412" s="235"/>
      <c r="AI13412" s="38"/>
    </row>
    <row r="13413" ht="15.75" customHeight="1">
      <c r="A13413" s="35"/>
      <c r="C13413" s="442"/>
      <c r="P13413" s="235"/>
      <c r="AI13413" s="38"/>
    </row>
    <row r="13414" ht="15.75" customHeight="1">
      <c r="A13414" s="35"/>
      <c r="C13414" s="442"/>
      <c r="P13414" s="235"/>
      <c r="AI13414" s="38"/>
    </row>
    <row r="13415" ht="15.75" customHeight="1">
      <c r="A13415" s="35"/>
      <c r="C13415" s="442"/>
      <c r="P13415" s="235"/>
      <c r="AI13415" s="38"/>
    </row>
    <row r="13416" ht="15.75" customHeight="1">
      <c r="A13416" s="35"/>
      <c r="C13416" s="442"/>
      <c r="P13416" s="235"/>
      <c r="AI13416" s="38"/>
    </row>
    <row r="13417" ht="15.75" customHeight="1">
      <c r="A13417" s="35"/>
      <c r="C13417" s="442"/>
      <c r="P13417" s="235"/>
      <c r="AI13417" s="38"/>
    </row>
    <row r="13418" ht="15.75" customHeight="1">
      <c r="A13418" s="35"/>
      <c r="C13418" s="442"/>
      <c r="P13418" s="235"/>
      <c r="AI13418" s="38"/>
    </row>
    <row r="13419" ht="15.75" customHeight="1">
      <c r="A13419" s="35"/>
      <c r="C13419" s="442"/>
      <c r="P13419" s="235"/>
      <c r="AI13419" s="38"/>
    </row>
    <row r="13420" ht="15.75" customHeight="1">
      <c r="A13420" s="35"/>
      <c r="C13420" s="442"/>
      <c r="P13420" s="235"/>
      <c r="AI13420" s="38"/>
    </row>
    <row r="13421" ht="15.75" customHeight="1">
      <c r="A13421" s="35"/>
      <c r="C13421" s="442"/>
      <c r="P13421" s="235"/>
      <c r="AI13421" s="38"/>
    </row>
    <row r="13422" ht="15.75" customHeight="1">
      <c r="A13422" s="35"/>
      <c r="C13422" s="442"/>
      <c r="P13422" s="235"/>
      <c r="AI13422" s="38"/>
    </row>
    <row r="13423" ht="15.75" customHeight="1">
      <c r="A13423" s="35"/>
      <c r="C13423" s="442"/>
      <c r="P13423" s="235"/>
      <c r="AI13423" s="38"/>
    </row>
    <row r="13424" ht="15.75" customHeight="1">
      <c r="A13424" s="35"/>
      <c r="C13424" s="442"/>
      <c r="P13424" s="235"/>
      <c r="AI13424" s="38"/>
    </row>
    <row r="13425" ht="15.75" customHeight="1">
      <c r="A13425" s="35"/>
      <c r="C13425" s="442"/>
      <c r="P13425" s="235"/>
      <c r="AI13425" s="38"/>
    </row>
    <row r="13426" ht="15.75" customHeight="1">
      <c r="A13426" s="35"/>
      <c r="C13426" s="442"/>
      <c r="P13426" s="235"/>
      <c r="AI13426" s="38"/>
    </row>
    <row r="13427" ht="15.75" customHeight="1">
      <c r="A13427" s="35"/>
      <c r="C13427" s="442"/>
      <c r="P13427" s="235"/>
      <c r="AI13427" s="38"/>
    </row>
    <row r="13428" ht="15.75" customHeight="1">
      <c r="A13428" s="35"/>
      <c r="C13428" s="442"/>
      <c r="P13428" s="235"/>
      <c r="AI13428" s="38"/>
    </row>
    <row r="13429" ht="15.75" customHeight="1">
      <c r="A13429" s="35"/>
      <c r="C13429" s="442"/>
      <c r="P13429" s="235"/>
      <c r="AI13429" s="38"/>
    </row>
    <row r="13430" ht="15.75" customHeight="1">
      <c r="A13430" s="35"/>
      <c r="C13430" s="442"/>
      <c r="P13430" s="235"/>
      <c r="AI13430" s="38"/>
    </row>
    <row r="13431" ht="15.75" customHeight="1">
      <c r="A13431" s="35"/>
      <c r="C13431" s="442"/>
      <c r="P13431" s="235"/>
      <c r="AI13431" s="38"/>
    </row>
    <row r="13432" ht="15.75" customHeight="1">
      <c r="A13432" s="35"/>
      <c r="C13432" s="442"/>
      <c r="P13432" s="235"/>
      <c r="AI13432" s="38"/>
    </row>
    <row r="13433" ht="15.75" customHeight="1">
      <c r="A13433" s="35"/>
      <c r="C13433" s="442"/>
      <c r="P13433" s="235"/>
      <c r="AI13433" s="38"/>
    </row>
    <row r="13434" ht="15.75" customHeight="1">
      <c r="A13434" s="35"/>
      <c r="C13434" s="442"/>
      <c r="P13434" s="235"/>
      <c r="AI13434" s="38"/>
    </row>
    <row r="13435" ht="15.75" customHeight="1">
      <c r="A13435" s="35"/>
      <c r="C13435" s="442"/>
      <c r="P13435" s="235"/>
      <c r="AI13435" s="38"/>
    </row>
    <row r="13436" ht="15.75" customHeight="1">
      <c r="A13436" s="35"/>
      <c r="C13436" s="442"/>
      <c r="P13436" s="235"/>
      <c r="AI13436" s="38"/>
    </row>
    <row r="13437" ht="15.75" customHeight="1">
      <c r="A13437" s="35"/>
      <c r="C13437" s="442"/>
      <c r="P13437" s="235"/>
      <c r="AI13437" s="38"/>
    </row>
    <row r="13438" ht="15.75" customHeight="1">
      <c r="A13438" s="35"/>
      <c r="C13438" s="442"/>
      <c r="P13438" s="235"/>
      <c r="AI13438" s="38"/>
    </row>
    <row r="13439" ht="15.75" customHeight="1">
      <c r="A13439" s="35"/>
      <c r="C13439" s="442"/>
      <c r="P13439" s="235"/>
      <c r="AI13439" s="38"/>
    </row>
    <row r="13440" ht="15.75" customHeight="1">
      <c r="A13440" s="35"/>
      <c r="C13440" s="442"/>
      <c r="P13440" s="235"/>
      <c r="AI13440" s="38"/>
    </row>
    <row r="13441" ht="15.75" customHeight="1">
      <c r="A13441" s="35"/>
      <c r="C13441" s="442"/>
      <c r="P13441" s="235"/>
      <c r="AI13441" s="38"/>
    </row>
    <row r="13442" ht="15.75" customHeight="1">
      <c r="A13442" s="35"/>
      <c r="C13442" s="442"/>
      <c r="P13442" s="235"/>
      <c r="AI13442" s="38"/>
    </row>
    <row r="13443" ht="15.75" customHeight="1">
      <c r="A13443" s="35"/>
      <c r="C13443" s="442"/>
      <c r="P13443" s="235"/>
      <c r="AI13443" s="38"/>
    </row>
    <row r="13444" ht="15.75" customHeight="1">
      <c r="A13444" s="35"/>
      <c r="C13444" s="442"/>
      <c r="P13444" s="235"/>
      <c r="AI13444" s="38"/>
    </row>
    <row r="13445" ht="15.75" customHeight="1">
      <c r="A13445" s="35"/>
      <c r="C13445" s="442"/>
      <c r="P13445" s="235"/>
      <c r="AI13445" s="38"/>
    </row>
    <row r="13446" ht="15.75" customHeight="1">
      <c r="A13446" s="35"/>
      <c r="C13446" s="442"/>
      <c r="P13446" s="235"/>
      <c r="AI13446" s="38"/>
    </row>
    <row r="13447" ht="15.75" customHeight="1">
      <c r="A13447" s="35"/>
      <c r="C13447" s="442"/>
      <c r="P13447" s="235"/>
      <c r="AI13447" s="38"/>
    </row>
    <row r="13448" ht="15.75" customHeight="1">
      <c r="A13448" s="35"/>
      <c r="C13448" s="442"/>
      <c r="P13448" s="235"/>
      <c r="AI13448" s="38"/>
    </row>
    <row r="13449" ht="15.75" customHeight="1">
      <c r="A13449" s="35"/>
      <c r="C13449" s="442"/>
      <c r="P13449" s="235"/>
      <c r="AI13449" s="38"/>
    </row>
    <row r="13450" ht="15.75" customHeight="1">
      <c r="A13450" s="35"/>
      <c r="C13450" s="442"/>
      <c r="P13450" s="235"/>
      <c r="AI13450" s="38"/>
    </row>
    <row r="13451" ht="15.75" customHeight="1">
      <c r="A13451" s="35"/>
      <c r="C13451" s="442"/>
      <c r="P13451" s="235"/>
      <c r="AI13451" s="38"/>
    </row>
    <row r="13452" ht="15.75" customHeight="1">
      <c r="A13452" s="35"/>
      <c r="C13452" s="442"/>
      <c r="P13452" s="235"/>
      <c r="AI13452" s="38"/>
    </row>
    <row r="13453" ht="15.75" customHeight="1">
      <c r="A13453" s="35"/>
      <c r="C13453" s="442"/>
      <c r="P13453" s="235"/>
      <c r="AI13453" s="38"/>
    </row>
    <row r="13454" ht="15.75" customHeight="1">
      <c r="A13454" s="35"/>
      <c r="C13454" s="442"/>
      <c r="P13454" s="235"/>
      <c r="AI13454" s="38"/>
    </row>
    <row r="13455" ht="15.75" customHeight="1">
      <c r="A13455" s="35"/>
      <c r="C13455" s="442"/>
      <c r="P13455" s="235"/>
      <c r="AI13455" s="38"/>
    </row>
    <row r="13456" ht="15.75" customHeight="1">
      <c r="A13456" s="35"/>
      <c r="C13456" s="442"/>
      <c r="P13456" s="235"/>
      <c r="AI13456" s="38"/>
    </row>
    <row r="13457" ht="15.75" customHeight="1">
      <c r="A13457" s="35"/>
      <c r="C13457" s="442"/>
      <c r="P13457" s="235"/>
      <c r="AI13457" s="38"/>
    </row>
    <row r="13458" ht="15.75" customHeight="1">
      <c r="A13458" s="35"/>
      <c r="C13458" s="442"/>
      <c r="P13458" s="235"/>
      <c r="AI13458" s="38"/>
    </row>
    <row r="13459" ht="15.75" customHeight="1">
      <c r="A13459" s="35"/>
      <c r="C13459" s="442"/>
      <c r="P13459" s="235"/>
      <c r="AI13459" s="38"/>
    </row>
    <row r="13460" ht="15.75" customHeight="1">
      <c r="A13460" s="35"/>
      <c r="C13460" s="442"/>
      <c r="P13460" s="235"/>
      <c r="AI13460" s="38"/>
    </row>
    <row r="13461" ht="15.75" customHeight="1">
      <c r="A13461" s="35"/>
      <c r="C13461" s="442"/>
      <c r="P13461" s="235"/>
      <c r="AI13461" s="38"/>
    </row>
    <row r="13462" ht="15.75" customHeight="1">
      <c r="A13462" s="35"/>
      <c r="C13462" s="442"/>
      <c r="P13462" s="235"/>
      <c r="AI13462" s="38"/>
    </row>
    <row r="13463" ht="15.75" customHeight="1">
      <c r="A13463" s="35"/>
      <c r="C13463" s="442"/>
      <c r="P13463" s="235"/>
      <c r="AI13463" s="38"/>
    </row>
    <row r="13464" ht="15.75" customHeight="1">
      <c r="A13464" s="35"/>
      <c r="C13464" s="442"/>
      <c r="P13464" s="235"/>
      <c r="AI13464" s="38"/>
    </row>
    <row r="13465" ht="15.75" customHeight="1">
      <c r="A13465" s="35"/>
      <c r="C13465" s="442"/>
      <c r="P13465" s="235"/>
      <c r="AI13465" s="38"/>
    </row>
    <row r="13466" ht="15.75" customHeight="1">
      <c r="A13466" s="35"/>
      <c r="C13466" s="442"/>
      <c r="P13466" s="235"/>
      <c r="AI13466" s="38"/>
    </row>
    <row r="13467" ht="15.75" customHeight="1">
      <c r="A13467" s="35"/>
      <c r="C13467" s="442"/>
      <c r="P13467" s="235"/>
      <c r="AI13467" s="38"/>
    </row>
    <row r="13468" ht="15.75" customHeight="1">
      <c r="A13468" s="35"/>
      <c r="C13468" s="442"/>
      <c r="P13468" s="235"/>
      <c r="AI13468" s="38"/>
    </row>
    <row r="13469" ht="15.75" customHeight="1">
      <c r="A13469" s="35"/>
      <c r="C13469" s="442"/>
      <c r="P13469" s="235"/>
      <c r="AI13469" s="38"/>
    </row>
    <row r="13470" ht="15.75" customHeight="1">
      <c r="A13470" s="35"/>
      <c r="C13470" s="442"/>
      <c r="P13470" s="235"/>
      <c r="AI13470" s="38"/>
    </row>
    <row r="13471" ht="15.75" customHeight="1">
      <c r="A13471" s="35"/>
      <c r="C13471" s="442"/>
      <c r="P13471" s="235"/>
      <c r="AI13471" s="38"/>
    </row>
    <row r="13472" ht="15.75" customHeight="1">
      <c r="A13472" s="35"/>
      <c r="C13472" s="442"/>
      <c r="P13472" s="235"/>
      <c r="AI13472" s="38"/>
    </row>
    <row r="13473" ht="15.75" customHeight="1">
      <c r="A13473" s="35"/>
      <c r="C13473" s="442"/>
      <c r="P13473" s="235"/>
      <c r="AI13473" s="38"/>
    </row>
    <row r="13474" ht="15.75" customHeight="1">
      <c r="A13474" s="35"/>
      <c r="C13474" s="442"/>
      <c r="P13474" s="235"/>
      <c r="AI13474" s="38"/>
    </row>
    <row r="13475" ht="15.75" customHeight="1">
      <c r="A13475" s="35"/>
      <c r="C13475" s="442"/>
      <c r="P13475" s="235"/>
      <c r="AI13475" s="38"/>
    </row>
    <row r="13476" ht="15.75" customHeight="1">
      <c r="A13476" s="35"/>
      <c r="C13476" s="442"/>
      <c r="P13476" s="235"/>
      <c r="AI13476" s="38"/>
    </row>
    <row r="13477" ht="15.75" customHeight="1">
      <c r="A13477" s="35"/>
      <c r="C13477" s="442"/>
      <c r="P13477" s="235"/>
      <c r="AI13477" s="38"/>
    </row>
    <row r="13478" ht="15.75" customHeight="1">
      <c r="A13478" s="35"/>
      <c r="C13478" s="442"/>
      <c r="P13478" s="235"/>
      <c r="AI13478" s="38"/>
    </row>
    <row r="13479" ht="15.75" customHeight="1">
      <c r="A13479" s="35"/>
      <c r="C13479" s="442"/>
      <c r="P13479" s="235"/>
      <c r="AI13479" s="38"/>
    </row>
    <row r="13480" ht="15.75" customHeight="1">
      <c r="A13480" s="35"/>
      <c r="C13480" s="442"/>
      <c r="P13480" s="235"/>
      <c r="AI13480" s="38"/>
    </row>
    <row r="13481" ht="15.75" customHeight="1">
      <c r="A13481" s="35"/>
      <c r="C13481" s="442"/>
      <c r="P13481" s="235"/>
      <c r="AI13481" s="38"/>
    </row>
    <row r="13482" ht="15.75" customHeight="1">
      <c r="A13482" s="35"/>
      <c r="C13482" s="442"/>
      <c r="P13482" s="235"/>
      <c r="AI13482" s="38"/>
    </row>
    <row r="13483" ht="15.75" customHeight="1">
      <c r="A13483" s="35"/>
      <c r="C13483" s="442"/>
      <c r="P13483" s="235"/>
      <c r="AI13483" s="38"/>
    </row>
    <row r="13484" ht="15.75" customHeight="1">
      <c r="A13484" s="35"/>
      <c r="C13484" s="442"/>
      <c r="P13484" s="235"/>
      <c r="AI13484" s="38"/>
    </row>
    <row r="13485" ht="15.75" customHeight="1">
      <c r="A13485" s="35"/>
      <c r="C13485" s="442"/>
      <c r="P13485" s="235"/>
      <c r="AI13485" s="38"/>
    </row>
    <row r="13486" ht="15.75" customHeight="1">
      <c r="A13486" s="35"/>
      <c r="C13486" s="442"/>
      <c r="P13486" s="235"/>
      <c r="AI13486" s="38"/>
    </row>
    <row r="13487" ht="15.75" customHeight="1">
      <c r="A13487" s="35"/>
      <c r="C13487" s="442"/>
      <c r="P13487" s="235"/>
      <c r="AI13487" s="38"/>
    </row>
    <row r="13488" ht="15.75" customHeight="1">
      <c r="A13488" s="35"/>
      <c r="C13488" s="442"/>
      <c r="P13488" s="235"/>
      <c r="AI13488" s="38"/>
    </row>
    <row r="13489" ht="15.75" customHeight="1">
      <c r="A13489" s="35"/>
      <c r="C13489" s="442"/>
      <c r="P13489" s="235"/>
      <c r="AI13489" s="38"/>
    </row>
    <row r="13490" ht="15.75" customHeight="1">
      <c r="A13490" s="35"/>
      <c r="C13490" s="442"/>
      <c r="P13490" s="235"/>
      <c r="AI13490" s="38"/>
    </row>
    <row r="13491" ht="15.75" customHeight="1">
      <c r="A13491" s="35"/>
      <c r="C13491" s="442"/>
      <c r="P13491" s="235"/>
      <c r="AI13491" s="38"/>
    </row>
    <row r="13492" ht="15.75" customHeight="1">
      <c r="A13492" s="35"/>
      <c r="C13492" s="442"/>
      <c r="P13492" s="235"/>
      <c r="AI13492" s="38"/>
    </row>
    <row r="13493" ht="15.75" customHeight="1">
      <c r="A13493" s="35"/>
      <c r="C13493" s="442"/>
      <c r="P13493" s="235"/>
      <c r="AI13493" s="38"/>
    </row>
    <row r="13494" ht="15.75" customHeight="1">
      <c r="A13494" s="35"/>
      <c r="C13494" s="442"/>
      <c r="P13494" s="235"/>
      <c r="AI13494" s="38"/>
    </row>
    <row r="13495" ht="15.75" customHeight="1">
      <c r="A13495" s="35"/>
      <c r="C13495" s="442"/>
      <c r="P13495" s="235"/>
      <c r="AI13495" s="38"/>
    </row>
    <row r="13496" ht="15.75" customHeight="1">
      <c r="A13496" s="35"/>
      <c r="C13496" s="442"/>
      <c r="P13496" s="235"/>
      <c r="AI13496" s="38"/>
    </row>
    <row r="13497" ht="15.75" customHeight="1">
      <c r="A13497" s="35"/>
      <c r="C13497" s="442"/>
      <c r="P13497" s="235"/>
      <c r="AI13497" s="38"/>
    </row>
    <row r="13498" ht="15.75" customHeight="1">
      <c r="A13498" s="35"/>
      <c r="C13498" s="442"/>
      <c r="P13498" s="235"/>
      <c r="AI13498" s="38"/>
    </row>
    <row r="13499" ht="15.75" customHeight="1">
      <c r="A13499" s="35"/>
      <c r="C13499" s="442"/>
      <c r="P13499" s="235"/>
      <c r="AI13499" s="38"/>
    </row>
    <row r="13500" ht="15.75" customHeight="1">
      <c r="A13500" s="35"/>
      <c r="C13500" s="442"/>
      <c r="P13500" s="235"/>
      <c r="AI13500" s="38"/>
    </row>
    <row r="13501" ht="15.75" customHeight="1">
      <c r="A13501" s="35"/>
      <c r="C13501" s="442"/>
      <c r="P13501" s="235"/>
      <c r="AI13501" s="38"/>
    </row>
    <row r="13502" ht="15.75" customHeight="1">
      <c r="A13502" s="35"/>
      <c r="C13502" s="442"/>
      <c r="P13502" s="235"/>
      <c r="AI13502" s="38"/>
    </row>
    <row r="13503" ht="15.75" customHeight="1">
      <c r="A13503" s="35"/>
      <c r="C13503" s="442"/>
      <c r="P13503" s="235"/>
      <c r="AI13503" s="38"/>
    </row>
    <row r="13504" ht="15.75" customHeight="1">
      <c r="A13504" s="35"/>
      <c r="C13504" s="442"/>
      <c r="P13504" s="235"/>
      <c r="AI13504" s="38"/>
    </row>
    <row r="13505" ht="15.75" customHeight="1">
      <c r="A13505" s="35"/>
      <c r="C13505" s="442"/>
      <c r="P13505" s="235"/>
      <c r="AI13505" s="38"/>
    </row>
    <row r="13506" ht="15.75" customHeight="1">
      <c r="A13506" s="35"/>
      <c r="C13506" s="442"/>
      <c r="P13506" s="235"/>
      <c r="AI13506" s="38"/>
    </row>
    <row r="13507" ht="15.75" customHeight="1">
      <c r="A13507" s="35"/>
      <c r="C13507" s="442"/>
      <c r="P13507" s="235"/>
      <c r="AI13507" s="38"/>
    </row>
    <row r="13508" ht="15.75" customHeight="1">
      <c r="A13508" s="35"/>
      <c r="C13508" s="442"/>
      <c r="P13508" s="235"/>
      <c r="AI13508" s="38"/>
    </row>
    <row r="13509" ht="15.75" customHeight="1">
      <c r="A13509" s="35"/>
      <c r="C13509" s="442"/>
      <c r="P13509" s="235"/>
      <c r="AI13509" s="38"/>
    </row>
    <row r="13510" ht="15.75" customHeight="1">
      <c r="A13510" s="35"/>
      <c r="C13510" s="442"/>
      <c r="P13510" s="235"/>
      <c r="AI13510" s="38"/>
    </row>
    <row r="13511" ht="15.75" customHeight="1">
      <c r="A13511" s="35"/>
      <c r="C13511" s="442"/>
      <c r="P13511" s="235"/>
      <c r="AI13511" s="38"/>
    </row>
    <row r="13512" ht="15.75" customHeight="1">
      <c r="A13512" s="35"/>
      <c r="C13512" s="442"/>
      <c r="P13512" s="235"/>
      <c r="AI13512" s="38"/>
    </row>
    <row r="13513" ht="15.75" customHeight="1">
      <c r="A13513" s="35"/>
      <c r="C13513" s="442"/>
      <c r="P13513" s="235"/>
      <c r="AI13513" s="38"/>
    </row>
    <row r="13514" ht="15.75" customHeight="1">
      <c r="A13514" s="35"/>
      <c r="C13514" s="442"/>
      <c r="P13514" s="235"/>
      <c r="AI13514" s="38"/>
    </row>
    <row r="13515" ht="15.75" customHeight="1">
      <c r="A13515" s="35"/>
      <c r="C13515" s="442"/>
      <c r="P13515" s="235"/>
      <c r="AI13515" s="38"/>
    </row>
    <row r="13516" ht="15.75" customHeight="1">
      <c r="A13516" s="35"/>
      <c r="C13516" s="442"/>
      <c r="P13516" s="235"/>
      <c r="AI13516" s="38"/>
    </row>
    <row r="13517" ht="15.75" customHeight="1">
      <c r="A13517" s="35"/>
      <c r="C13517" s="442"/>
      <c r="P13517" s="235"/>
      <c r="AI13517" s="38"/>
    </row>
    <row r="13518" ht="15.75" customHeight="1">
      <c r="A13518" s="35"/>
      <c r="C13518" s="442"/>
      <c r="P13518" s="235"/>
      <c r="AI13518" s="38"/>
    </row>
    <row r="13519" ht="15.75" customHeight="1">
      <c r="A13519" s="35"/>
      <c r="C13519" s="442"/>
      <c r="P13519" s="235"/>
      <c r="AI13519" s="38"/>
    </row>
    <row r="13520" ht="15.75" customHeight="1">
      <c r="A13520" s="35"/>
      <c r="C13520" s="442"/>
      <c r="P13520" s="235"/>
      <c r="AI13520" s="38"/>
    </row>
    <row r="13521" ht="15.75" customHeight="1">
      <c r="A13521" s="35"/>
      <c r="C13521" s="442"/>
      <c r="P13521" s="235"/>
      <c r="AI13521" s="38"/>
    </row>
    <row r="13522" ht="15.75" customHeight="1">
      <c r="A13522" s="35"/>
      <c r="C13522" s="442"/>
      <c r="P13522" s="235"/>
      <c r="AI13522" s="38"/>
    </row>
    <row r="13523" ht="15.75" customHeight="1">
      <c r="A13523" s="35"/>
      <c r="C13523" s="442"/>
      <c r="P13523" s="235"/>
      <c r="AI13523" s="38"/>
    </row>
    <row r="13524" ht="15.75" customHeight="1">
      <c r="A13524" s="35"/>
      <c r="C13524" s="442"/>
      <c r="P13524" s="235"/>
      <c r="AI13524" s="38"/>
    </row>
    <row r="13525" ht="15.75" customHeight="1">
      <c r="A13525" s="35"/>
      <c r="C13525" s="442"/>
      <c r="P13525" s="235"/>
      <c r="AI13525" s="38"/>
    </row>
    <row r="13526" ht="15.75" customHeight="1">
      <c r="A13526" s="35"/>
      <c r="C13526" s="442"/>
      <c r="P13526" s="235"/>
      <c r="AI13526" s="38"/>
    </row>
    <row r="13527" ht="15.75" customHeight="1">
      <c r="A13527" s="35"/>
      <c r="C13527" s="442"/>
      <c r="P13527" s="235"/>
      <c r="AI13527" s="38"/>
    </row>
    <row r="13528" ht="15.75" customHeight="1">
      <c r="A13528" s="35"/>
      <c r="C13528" s="442"/>
      <c r="P13528" s="235"/>
      <c r="AI13528" s="38"/>
    </row>
    <row r="13529" ht="15.75" customHeight="1">
      <c r="A13529" s="35"/>
      <c r="C13529" s="442"/>
      <c r="P13529" s="235"/>
      <c r="AI13529" s="38"/>
    </row>
    <row r="13530" ht="15.75" customHeight="1">
      <c r="A13530" s="35"/>
      <c r="C13530" s="442"/>
      <c r="P13530" s="235"/>
      <c r="AI13530" s="38"/>
    </row>
    <row r="13531" ht="15.75" customHeight="1">
      <c r="A13531" s="35"/>
      <c r="C13531" s="442"/>
      <c r="P13531" s="235"/>
      <c r="AI13531" s="38"/>
    </row>
    <row r="13532" ht="15.75" customHeight="1">
      <c r="A13532" s="35"/>
      <c r="C13532" s="442"/>
      <c r="P13532" s="235"/>
      <c r="AI13532" s="38"/>
    </row>
    <row r="13533" ht="15.75" customHeight="1">
      <c r="A13533" s="35"/>
      <c r="C13533" s="442"/>
      <c r="P13533" s="235"/>
      <c r="AI13533" s="38"/>
    </row>
    <row r="13534" ht="15.75" customHeight="1">
      <c r="A13534" s="35"/>
      <c r="C13534" s="442"/>
      <c r="P13534" s="235"/>
      <c r="AI13534" s="38"/>
    </row>
    <row r="13535" ht="15.75" customHeight="1">
      <c r="A13535" s="35"/>
      <c r="C13535" s="442"/>
      <c r="P13535" s="235"/>
      <c r="AI13535" s="38"/>
    </row>
    <row r="13536" ht="15.75" customHeight="1">
      <c r="A13536" s="35"/>
      <c r="C13536" s="442"/>
      <c r="P13536" s="235"/>
      <c r="AI13536" s="38"/>
    </row>
    <row r="13537" ht="15.75" customHeight="1">
      <c r="A13537" s="35"/>
      <c r="C13537" s="442"/>
      <c r="P13537" s="235"/>
      <c r="AI13537" s="38"/>
    </row>
    <row r="13538" ht="15.75" customHeight="1">
      <c r="A13538" s="35"/>
      <c r="C13538" s="442"/>
      <c r="P13538" s="235"/>
      <c r="AI13538" s="38"/>
    </row>
    <row r="13539" ht="15.75" customHeight="1">
      <c r="A13539" s="35"/>
      <c r="C13539" s="442"/>
      <c r="P13539" s="235"/>
      <c r="AI13539" s="38"/>
    </row>
    <row r="13540" ht="15.75" customHeight="1">
      <c r="A13540" s="35"/>
      <c r="C13540" s="442"/>
      <c r="P13540" s="235"/>
      <c r="AI13540" s="38"/>
    </row>
    <row r="13541" ht="15.75" customHeight="1">
      <c r="A13541" s="35"/>
      <c r="C13541" s="442"/>
      <c r="P13541" s="235"/>
      <c r="AI13541" s="38"/>
    </row>
    <row r="13542" ht="15.75" customHeight="1">
      <c r="A13542" s="35"/>
      <c r="C13542" s="442"/>
      <c r="P13542" s="235"/>
      <c r="AI13542" s="38"/>
    </row>
    <row r="13543" ht="15.75" customHeight="1">
      <c r="A13543" s="35"/>
      <c r="C13543" s="442"/>
      <c r="P13543" s="235"/>
      <c r="AI13543" s="38"/>
    </row>
    <row r="13544" ht="15.75" customHeight="1">
      <c r="A13544" s="35"/>
      <c r="C13544" s="442"/>
      <c r="P13544" s="235"/>
      <c r="AI13544" s="38"/>
    </row>
    <row r="13545" ht="15.75" customHeight="1">
      <c r="A13545" s="35"/>
      <c r="C13545" s="442"/>
      <c r="P13545" s="235"/>
      <c r="AI13545" s="38"/>
    </row>
    <row r="13546" ht="15.75" customHeight="1">
      <c r="A13546" s="35"/>
      <c r="C13546" s="442"/>
      <c r="P13546" s="235"/>
      <c r="AI13546" s="38"/>
    </row>
    <row r="13547" ht="15.75" customHeight="1">
      <c r="A13547" s="35"/>
      <c r="C13547" s="442"/>
      <c r="P13547" s="235"/>
      <c r="AI13547" s="38"/>
    </row>
    <row r="13548" ht="15.75" customHeight="1">
      <c r="A13548" s="35"/>
      <c r="C13548" s="442"/>
      <c r="P13548" s="235"/>
      <c r="AI13548" s="38"/>
    </row>
    <row r="13549" ht="15.75" customHeight="1">
      <c r="A13549" s="35"/>
      <c r="C13549" s="442"/>
      <c r="P13549" s="235"/>
      <c r="AI13549" s="38"/>
    </row>
    <row r="13550" ht="15.75" customHeight="1">
      <c r="A13550" s="35"/>
      <c r="C13550" s="442"/>
      <c r="P13550" s="235"/>
      <c r="AI13550" s="38"/>
    </row>
    <row r="13551" ht="15.75" customHeight="1">
      <c r="A13551" s="35"/>
      <c r="C13551" s="442"/>
      <c r="P13551" s="235"/>
      <c r="AI13551" s="38"/>
    </row>
    <row r="13552" ht="15.75" customHeight="1">
      <c r="A13552" s="35"/>
      <c r="C13552" s="442"/>
      <c r="P13552" s="235"/>
      <c r="AI13552" s="38"/>
    </row>
    <row r="13553" ht="15.75" customHeight="1">
      <c r="A13553" s="35"/>
      <c r="C13553" s="442"/>
      <c r="P13553" s="235"/>
      <c r="AI13553" s="38"/>
    </row>
    <row r="13554" ht="15.75" customHeight="1">
      <c r="A13554" s="35"/>
      <c r="C13554" s="442"/>
      <c r="P13554" s="235"/>
      <c r="AI13554" s="38"/>
    </row>
    <row r="13555" ht="15.75" customHeight="1">
      <c r="A13555" s="35"/>
      <c r="C13555" s="442"/>
      <c r="P13555" s="235"/>
      <c r="AI13555" s="38"/>
    </row>
    <row r="13556" ht="15.75" customHeight="1">
      <c r="A13556" s="35"/>
      <c r="C13556" s="442"/>
      <c r="P13556" s="235"/>
      <c r="AI13556" s="38"/>
    </row>
    <row r="13557" ht="15.75" customHeight="1">
      <c r="A13557" s="35"/>
      <c r="C13557" s="442"/>
      <c r="P13557" s="235"/>
      <c r="AI13557" s="38"/>
    </row>
    <row r="13558" ht="15.75" customHeight="1">
      <c r="A13558" s="35"/>
      <c r="C13558" s="442"/>
      <c r="P13558" s="235"/>
      <c r="AI13558" s="38"/>
    </row>
    <row r="13559" ht="15.75" customHeight="1">
      <c r="A13559" s="35"/>
      <c r="C13559" s="442"/>
      <c r="P13559" s="235"/>
      <c r="AI13559" s="38"/>
    </row>
    <row r="13560" ht="15.75" customHeight="1">
      <c r="A13560" s="35"/>
      <c r="C13560" s="442"/>
      <c r="P13560" s="235"/>
      <c r="AI13560" s="38"/>
    </row>
    <row r="13561" ht="15.75" customHeight="1">
      <c r="A13561" s="35"/>
      <c r="C13561" s="442"/>
      <c r="P13561" s="235"/>
      <c r="AI13561" s="38"/>
    </row>
    <row r="13562" ht="15.75" customHeight="1">
      <c r="A13562" s="35"/>
      <c r="C13562" s="442"/>
      <c r="P13562" s="235"/>
      <c r="AI13562" s="38"/>
    </row>
    <row r="13563" ht="15.75" customHeight="1">
      <c r="A13563" s="35"/>
      <c r="C13563" s="442"/>
      <c r="P13563" s="235"/>
      <c r="AI13563" s="38"/>
    </row>
    <row r="13564" ht="15.75" customHeight="1">
      <c r="A13564" s="35"/>
      <c r="C13564" s="442"/>
      <c r="P13564" s="235"/>
      <c r="AI13564" s="38"/>
    </row>
    <row r="13565" ht="15.75" customHeight="1">
      <c r="A13565" s="35"/>
      <c r="C13565" s="442"/>
      <c r="P13565" s="235"/>
      <c r="AI13565" s="38"/>
    </row>
    <row r="13566" ht="15.75" customHeight="1">
      <c r="A13566" s="35"/>
      <c r="C13566" s="442"/>
      <c r="P13566" s="235"/>
      <c r="AI13566" s="38"/>
    </row>
    <row r="13567" ht="15.75" customHeight="1">
      <c r="A13567" s="35"/>
      <c r="C13567" s="442"/>
      <c r="P13567" s="235"/>
      <c r="AI13567" s="38"/>
    </row>
    <row r="13568" ht="15.75" customHeight="1">
      <c r="A13568" s="35"/>
      <c r="C13568" s="442"/>
      <c r="P13568" s="235"/>
      <c r="AI13568" s="38"/>
    </row>
    <row r="13569" ht="15.75" customHeight="1">
      <c r="A13569" s="35"/>
      <c r="C13569" s="442"/>
      <c r="P13569" s="235"/>
      <c r="AI13569" s="38"/>
    </row>
    <row r="13570" ht="15.75" customHeight="1">
      <c r="A13570" s="35"/>
      <c r="C13570" s="442"/>
      <c r="P13570" s="235"/>
      <c r="AI13570" s="38"/>
    </row>
    <row r="13571" ht="15.75" customHeight="1">
      <c r="A13571" s="35"/>
      <c r="C13571" s="442"/>
      <c r="P13571" s="235"/>
      <c r="AI13571" s="38"/>
    </row>
    <row r="13572" ht="15.75" customHeight="1">
      <c r="A13572" s="35"/>
      <c r="C13572" s="442"/>
      <c r="P13572" s="235"/>
      <c r="AI13572" s="38"/>
    </row>
    <row r="13573" ht="15.75" customHeight="1">
      <c r="A13573" s="35"/>
      <c r="C13573" s="442"/>
      <c r="P13573" s="235"/>
      <c r="AI13573" s="38"/>
    </row>
    <row r="13574" ht="15.75" customHeight="1">
      <c r="A13574" s="35"/>
      <c r="C13574" s="442"/>
      <c r="P13574" s="235"/>
      <c r="AI13574" s="38"/>
    </row>
    <row r="13575" ht="15.75" customHeight="1">
      <c r="A13575" s="35"/>
      <c r="C13575" s="442"/>
      <c r="P13575" s="235"/>
      <c r="AI13575" s="38"/>
    </row>
    <row r="13576" ht="15.75" customHeight="1">
      <c r="A13576" s="35"/>
      <c r="C13576" s="442"/>
      <c r="P13576" s="235"/>
      <c r="AI13576" s="38"/>
    </row>
    <row r="13577" ht="15.75" customHeight="1">
      <c r="A13577" s="35"/>
      <c r="C13577" s="442"/>
      <c r="P13577" s="235"/>
      <c r="AI13577" s="38"/>
    </row>
    <row r="13578" ht="15.75" customHeight="1">
      <c r="A13578" s="35"/>
      <c r="C13578" s="442"/>
      <c r="P13578" s="235"/>
      <c r="AI13578" s="38"/>
    </row>
    <row r="13579" ht="15.75" customHeight="1">
      <c r="A13579" s="35"/>
      <c r="C13579" s="442"/>
      <c r="P13579" s="235"/>
      <c r="AI13579" s="38"/>
    </row>
    <row r="13580" ht="15.75" customHeight="1">
      <c r="A13580" s="35"/>
      <c r="C13580" s="442"/>
      <c r="P13580" s="235"/>
      <c r="AI13580" s="38"/>
    </row>
    <row r="13581" ht="15.75" customHeight="1">
      <c r="A13581" s="35"/>
      <c r="C13581" s="442"/>
      <c r="P13581" s="235"/>
      <c r="AI13581" s="38"/>
    </row>
    <row r="13582" ht="15.75" customHeight="1">
      <c r="A13582" s="35"/>
      <c r="C13582" s="442"/>
      <c r="P13582" s="235"/>
      <c r="AI13582" s="38"/>
    </row>
    <row r="13583" ht="15.75" customHeight="1">
      <c r="A13583" s="35"/>
      <c r="C13583" s="442"/>
      <c r="P13583" s="235"/>
      <c r="AI13583" s="38"/>
    </row>
    <row r="13584" ht="15.75" customHeight="1">
      <c r="A13584" s="35"/>
      <c r="C13584" s="442"/>
      <c r="P13584" s="235"/>
      <c r="AI13584" s="38"/>
    </row>
    <row r="13585" ht="15.75" customHeight="1">
      <c r="A13585" s="35"/>
      <c r="C13585" s="442"/>
      <c r="P13585" s="235"/>
      <c r="AI13585" s="38"/>
    </row>
    <row r="13586" ht="15.75" customHeight="1">
      <c r="A13586" s="35"/>
      <c r="C13586" s="442"/>
      <c r="P13586" s="235"/>
      <c r="AI13586" s="38"/>
    </row>
    <row r="13587" ht="15.75" customHeight="1">
      <c r="A13587" s="35"/>
      <c r="C13587" s="442"/>
      <c r="P13587" s="235"/>
      <c r="AI13587" s="38"/>
    </row>
    <row r="13588" ht="15.75" customHeight="1">
      <c r="A13588" s="35"/>
      <c r="C13588" s="442"/>
      <c r="P13588" s="235"/>
      <c r="AI13588" s="38"/>
    </row>
    <row r="13589" ht="15.75" customHeight="1">
      <c r="A13589" s="35"/>
      <c r="C13589" s="442"/>
      <c r="P13589" s="235"/>
      <c r="AI13589" s="38"/>
    </row>
    <row r="13590" ht="15.75" customHeight="1">
      <c r="A13590" s="35"/>
      <c r="C13590" s="442"/>
      <c r="P13590" s="235"/>
      <c r="AI13590" s="38"/>
    </row>
    <row r="13591" ht="15.75" customHeight="1">
      <c r="A13591" s="35"/>
      <c r="C13591" s="442"/>
      <c r="P13591" s="235"/>
      <c r="AI13591" s="38"/>
    </row>
    <row r="13592" ht="15.75" customHeight="1">
      <c r="A13592" s="35"/>
      <c r="C13592" s="442"/>
      <c r="P13592" s="235"/>
      <c r="AI13592" s="38"/>
    </row>
    <row r="13593" ht="15.75" customHeight="1">
      <c r="A13593" s="35"/>
      <c r="C13593" s="442"/>
      <c r="P13593" s="235"/>
      <c r="AI13593" s="38"/>
    </row>
    <row r="13594" ht="15.75" customHeight="1">
      <c r="A13594" s="35"/>
      <c r="C13594" s="442"/>
      <c r="P13594" s="235"/>
      <c r="AI13594" s="38"/>
    </row>
    <row r="13595" ht="15.75" customHeight="1">
      <c r="A13595" s="35"/>
      <c r="C13595" s="442"/>
      <c r="P13595" s="235"/>
      <c r="AI13595" s="38"/>
    </row>
    <row r="13596" ht="15.75" customHeight="1">
      <c r="A13596" s="35"/>
      <c r="C13596" s="442"/>
      <c r="P13596" s="235"/>
      <c r="AI13596" s="38"/>
    </row>
    <row r="13597" ht="15.75" customHeight="1">
      <c r="A13597" s="35"/>
      <c r="C13597" s="442"/>
      <c r="P13597" s="235"/>
      <c r="AI13597" s="38"/>
    </row>
    <row r="13598" ht="15.75" customHeight="1">
      <c r="A13598" s="35"/>
      <c r="C13598" s="442"/>
      <c r="P13598" s="235"/>
      <c r="AI13598" s="38"/>
    </row>
    <row r="13599" ht="15.75" customHeight="1">
      <c r="A13599" s="35"/>
      <c r="C13599" s="442"/>
      <c r="P13599" s="235"/>
      <c r="AI13599" s="38"/>
    </row>
    <row r="13600" ht="15.75" customHeight="1">
      <c r="A13600" s="35"/>
      <c r="C13600" s="442"/>
      <c r="P13600" s="235"/>
      <c r="AI13600" s="38"/>
    </row>
    <row r="13601" ht="15.75" customHeight="1">
      <c r="A13601" s="35"/>
      <c r="C13601" s="442"/>
      <c r="P13601" s="235"/>
      <c r="AI13601" s="38"/>
    </row>
    <row r="13602" ht="15.75" customHeight="1">
      <c r="A13602" s="35"/>
      <c r="C13602" s="442"/>
      <c r="P13602" s="235"/>
      <c r="AI13602" s="38"/>
    </row>
    <row r="13603" ht="15.75" customHeight="1">
      <c r="A13603" s="35"/>
      <c r="C13603" s="442"/>
      <c r="P13603" s="235"/>
      <c r="AI13603" s="38"/>
    </row>
    <row r="13604" ht="15.75" customHeight="1">
      <c r="A13604" s="35"/>
      <c r="C13604" s="442"/>
      <c r="P13604" s="235"/>
      <c r="AI13604" s="38"/>
    </row>
    <row r="13605" ht="15.75" customHeight="1">
      <c r="A13605" s="35"/>
      <c r="C13605" s="442"/>
      <c r="P13605" s="235"/>
      <c r="AI13605" s="38"/>
    </row>
    <row r="13606" ht="15.75" customHeight="1">
      <c r="A13606" s="35"/>
      <c r="C13606" s="442"/>
      <c r="P13606" s="235"/>
      <c r="AI13606" s="38"/>
    </row>
    <row r="13607" ht="15.75" customHeight="1">
      <c r="A13607" s="35"/>
      <c r="C13607" s="442"/>
      <c r="P13607" s="235"/>
      <c r="AI13607" s="38"/>
    </row>
    <row r="13608" ht="15.75" customHeight="1">
      <c r="A13608" s="35"/>
      <c r="C13608" s="442"/>
      <c r="P13608" s="235"/>
      <c r="AI13608" s="38"/>
    </row>
    <row r="13609" ht="15.75" customHeight="1">
      <c r="A13609" s="35"/>
      <c r="C13609" s="442"/>
      <c r="P13609" s="235"/>
      <c r="AI13609" s="38"/>
    </row>
    <row r="13610" ht="15.75" customHeight="1">
      <c r="A13610" s="35"/>
      <c r="C13610" s="442"/>
      <c r="P13610" s="235"/>
      <c r="AI13610" s="38"/>
    </row>
    <row r="13611" ht="15.75" customHeight="1">
      <c r="A13611" s="35"/>
      <c r="C13611" s="442"/>
      <c r="P13611" s="235"/>
      <c r="AI13611" s="38"/>
    </row>
    <row r="13612" ht="15.75" customHeight="1">
      <c r="A13612" s="35"/>
      <c r="C13612" s="442"/>
      <c r="P13612" s="235"/>
      <c r="AI13612" s="38"/>
    </row>
    <row r="13613" ht="15.75" customHeight="1">
      <c r="A13613" s="35"/>
      <c r="C13613" s="442"/>
      <c r="P13613" s="235"/>
      <c r="AI13613" s="38"/>
    </row>
    <row r="13614" ht="15.75" customHeight="1">
      <c r="A13614" s="35"/>
      <c r="C13614" s="442"/>
      <c r="P13614" s="235"/>
      <c r="AI13614" s="38"/>
    </row>
    <row r="13615" ht="15.75" customHeight="1">
      <c r="A13615" s="35"/>
      <c r="C13615" s="442"/>
      <c r="P13615" s="235"/>
      <c r="AI13615" s="38"/>
    </row>
    <row r="13616" ht="15.75" customHeight="1">
      <c r="A13616" s="35"/>
      <c r="C13616" s="442"/>
      <c r="P13616" s="235"/>
      <c r="AI13616" s="38"/>
    </row>
    <row r="13617" ht="15.75" customHeight="1">
      <c r="A13617" s="35"/>
      <c r="C13617" s="442"/>
      <c r="P13617" s="235"/>
      <c r="AI13617" s="38"/>
    </row>
    <row r="13618" ht="15.75" customHeight="1">
      <c r="A13618" s="35"/>
      <c r="C13618" s="442"/>
      <c r="P13618" s="235"/>
      <c r="AI13618" s="38"/>
    </row>
    <row r="13619" ht="15.75" customHeight="1">
      <c r="A13619" s="35"/>
      <c r="C13619" s="442"/>
      <c r="P13619" s="235"/>
      <c r="AI13619" s="38"/>
    </row>
    <row r="13620" ht="15.75" customHeight="1">
      <c r="A13620" s="35"/>
      <c r="C13620" s="442"/>
      <c r="P13620" s="235"/>
      <c r="AI13620" s="38"/>
    </row>
    <row r="13621" ht="15.75" customHeight="1">
      <c r="A13621" s="35"/>
      <c r="C13621" s="442"/>
      <c r="P13621" s="235"/>
      <c r="AI13621" s="38"/>
    </row>
    <row r="13622" ht="15.75" customHeight="1">
      <c r="A13622" s="35"/>
      <c r="C13622" s="442"/>
      <c r="P13622" s="235"/>
      <c r="AI13622" s="38"/>
    </row>
    <row r="13623" ht="15.75" customHeight="1">
      <c r="A13623" s="35"/>
      <c r="C13623" s="442"/>
      <c r="P13623" s="235"/>
      <c r="AI13623" s="38"/>
    </row>
    <row r="13624" ht="15.75" customHeight="1">
      <c r="A13624" s="35"/>
      <c r="C13624" s="442"/>
      <c r="P13624" s="235"/>
      <c r="AI13624" s="38"/>
    </row>
    <row r="13625" ht="15.75" customHeight="1">
      <c r="A13625" s="35"/>
      <c r="C13625" s="442"/>
      <c r="P13625" s="235"/>
      <c r="AI13625" s="38"/>
    </row>
    <row r="13626" ht="15.75" customHeight="1">
      <c r="A13626" s="35"/>
      <c r="C13626" s="442"/>
      <c r="P13626" s="235"/>
      <c r="AI13626" s="38"/>
    </row>
    <row r="13627" ht="15.75" customHeight="1">
      <c r="A13627" s="35"/>
      <c r="C13627" s="442"/>
      <c r="P13627" s="235"/>
      <c r="AI13627" s="38"/>
    </row>
    <row r="13628" ht="15.75" customHeight="1">
      <c r="A13628" s="35"/>
      <c r="C13628" s="442"/>
      <c r="P13628" s="235"/>
      <c r="AI13628" s="38"/>
    </row>
    <row r="13629" ht="15.75" customHeight="1">
      <c r="A13629" s="35"/>
      <c r="C13629" s="442"/>
      <c r="P13629" s="235"/>
      <c r="AI13629" s="38"/>
    </row>
    <row r="13630" ht="15.75" customHeight="1">
      <c r="A13630" s="35"/>
      <c r="C13630" s="442"/>
      <c r="P13630" s="235"/>
      <c r="AI13630" s="38"/>
    </row>
    <row r="13631" ht="15.75" customHeight="1">
      <c r="A13631" s="35"/>
      <c r="C13631" s="442"/>
      <c r="P13631" s="235"/>
      <c r="AI13631" s="38"/>
    </row>
    <row r="13632" ht="15.75" customHeight="1">
      <c r="A13632" s="35"/>
      <c r="C13632" s="442"/>
      <c r="P13632" s="235"/>
      <c r="AI13632" s="38"/>
    </row>
    <row r="13633" ht="15.75" customHeight="1">
      <c r="A13633" s="35"/>
      <c r="C13633" s="442"/>
      <c r="P13633" s="235"/>
      <c r="AI13633" s="38"/>
    </row>
    <row r="13634" ht="15.75" customHeight="1">
      <c r="A13634" s="35"/>
      <c r="C13634" s="442"/>
      <c r="P13634" s="235"/>
      <c r="AI13634" s="38"/>
    </row>
    <row r="13635" ht="15.75" customHeight="1">
      <c r="A13635" s="35"/>
      <c r="C13635" s="442"/>
      <c r="P13635" s="235"/>
      <c r="AI13635" s="38"/>
    </row>
    <row r="13636" ht="15.75" customHeight="1">
      <c r="A13636" s="35"/>
      <c r="C13636" s="442"/>
      <c r="P13636" s="235"/>
      <c r="AI13636" s="38"/>
    </row>
    <row r="13637" ht="15.75" customHeight="1">
      <c r="A13637" s="35"/>
      <c r="C13637" s="442"/>
      <c r="P13637" s="235"/>
      <c r="AI13637" s="38"/>
    </row>
    <row r="13638" ht="15.75" customHeight="1">
      <c r="A13638" s="35"/>
      <c r="C13638" s="442"/>
      <c r="P13638" s="235"/>
      <c r="AI13638" s="38"/>
    </row>
    <row r="13639" ht="15.75" customHeight="1">
      <c r="A13639" s="35"/>
      <c r="C13639" s="442"/>
      <c r="P13639" s="235"/>
      <c r="AI13639" s="38"/>
    </row>
    <row r="13640" ht="15.75" customHeight="1">
      <c r="A13640" s="35"/>
      <c r="C13640" s="442"/>
      <c r="P13640" s="235"/>
      <c r="AI13640" s="38"/>
    </row>
    <row r="13641" ht="15.75" customHeight="1">
      <c r="A13641" s="35"/>
      <c r="C13641" s="442"/>
      <c r="P13641" s="235"/>
      <c r="AI13641" s="38"/>
    </row>
    <row r="13642" ht="15.75" customHeight="1">
      <c r="A13642" s="35"/>
      <c r="C13642" s="442"/>
      <c r="P13642" s="235"/>
      <c r="AI13642" s="38"/>
    </row>
    <row r="13643" ht="15.75" customHeight="1">
      <c r="A13643" s="35"/>
      <c r="C13643" s="442"/>
      <c r="P13643" s="235"/>
      <c r="AI13643" s="38"/>
    </row>
    <row r="13644" ht="15.75" customHeight="1">
      <c r="A13644" s="35"/>
      <c r="C13644" s="442"/>
      <c r="P13644" s="235"/>
      <c r="AI13644" s="38"/>
    </row>
    <row r="13645" ht="15.75" customHeight="1">
      <c r="A13645" s="35"/>
      <c r="C13645" s="442"/>
      <c r="P13645" s="235"/>
      <c r="AI13645" s="38"/>
    </row>
    <row r="13646" ht="15.75" customHeight="1">
      <c r="A13646" s="35"/>
      <c r="C13646" s="442"/>
      <c r="P13646" s="235"/>
      <c r="AI13646" s="38"/>
    </row>
    <row r="13647" ht="15.75" customHeight="1">
      <c r="A13647" s="35"/>
      <c r="C13647" s="442"/>
      <c r="P13647" s="235"/>
      <c r="AI13647" s="38"/>
    </row>
    <row r="13648" ht="15.75" customHeight="1">
      <c r="A13648" s="35"/>
      <c r="C13648" s="442"/>
      <c r="P13648" s="235"/>
      <c r="AI13648" s="38"/>
    </row>
    <row r="13649" ht="15.75" customHeight="1">
      <c r="A13649" s="35"/>
      <c r="C13649" s="442"/>
      <c r="P13649" s="235"/>
      <c r="AI13649" s="38"/>
    </row>
    <row r="13650" ht="15.75" customHeight="1">
      <c r="A13650" s="35"/>
      <c r="C13650" s="442"/>
      <c r="P13650" s="235"/>
      <c r="AI13650" s="38"/>
    </row>
    <row r="13651" ht="15.75" customHeight="1">
      <c r="A13651" s="35"/>
      <c r="C13651" s="442"/>
      <c r="P13651" s="235"/>
      <c r="AI13651" s="38"/>
    </row>
    <row r="13652" ht="15.75" customHeight="1">
      <c r="A13652" s="35"/>
      <c r="C13652" s="442"/>
      <c r="P13652" s="235"/>
      <c r="AI13652" s="38"/>
    </row>
    <row r="13653" ht="15.75" customHeight="1">
      <c r="A13653" s="35"/>
      <c r="C13653" s="442"/>
      <c r="P13653" s="235"/>
      <c r="AI13653" s="38"/>
    </row>
    <row r="13654" ht="15.75" customHeight="1">
      <c r="A13654" s="35"/>
      <c r="C13654" s="442"/>
      <c r="P13654" s="235"/>
      <c r="AI13654" s="38"/>
    </row>
    <row r="13655" ht="15.75" customHeight="1">
      <c r="A13655" s="35"/>
      <c r="C13655" s="442"/>
      <c r="P13655" s="235"/>
      <c r="AI13655" s="38"/>
    </row>
    <row r="13656" ht="15.75" customHeight="1">
      <c r="A13656" s="35"/>
      <c r="C13656" s="442"/>
      <c r="P13656" s="235"/>
      <c r="AI13656" s="38"/>
    </row>
    <row r="13657" ht="15.75" customHeight="1">
      <c r="A13657" s="35"/>
      <c r="C13657" s="442"/>
      <c r="P13657" s="235"/>
      <c r="AI13657" s="38"/>
    </row>
    <row r="13658" ht="15.75" customHeight="1">
      <c r="A13658" s="35"/>
      <c r="C13658" s="442"/>
      <c r="P13658" s="235"/>
      <c r="AI13658" s="38"/>
    </row>
    <row r="13659" ht="15.75" customHeight="1">
      <c r="A13659" s="35"/>
      <c r="C13659" s="442"/>
      <c r="P13659" s="235"/>
      <c r="AI13659" s="38"/>
    </row>
    <row r="13660" ht="15.75" customHeight="1">
      <c r="A13660" s="35"/>
      <c r="C13660" s="442"/>
      <c r="P13660" s="235"/>
      <c r="AI13660" s="38"/>
    </row>
    <row r="13661" ht="15.75" customHeight="1">
      <c r="A13661" s="35"/>
      <c r="C13661" s="442"/>
      <c r="P13661" s="235"/>
      <c r="AI13661" s="38"/>
    </row>
    <row r="13662" ht="15.75" customHeight="1">
      <c r="A13662" s="35"/>
      <c r="C13662" s="442"/>
      <c r="P13662" s="235"/>
      <c r="AI13662" s="38"/>
    </row>
    <row r="13663" ht="15.75" customHeight="1">
      <c r="A13663" s="35"/>
      <c r="C13663" s="442"/>
      <c r="P13663" s="235"/>
      <c r="AI13663" s="38"/>
    </row>
    <row r="13664" ht="15.75" customHeight="1">
      <c r="A13664" s="35"/>
      <c r="C13664" s="442"/>
      <c r="P13664" s="235"/>
      <c r="AI13664" s="38"/>
    </row>
    <row r="13665" ht="15.75" customHeight="1">
      <c r="A13665" s="35"/>
      <c r="C13665" s="442"/>
      <c r="P13665" s="235"/>
      <c r="AI13665" s="38"/>
    </row>
    <row r="13666" ht="15.75" customHeight="1">
      <c r="A13666" s="35"/>
      <c r="C13666" s="442"/>
      <c r="P13666" s="235"/>
      <c r="AI13666" s="38"/>
    </row>
    <row r="13667" ht="15.75" customHeight="1">
      <c r="A13667" s="35"/>
      <c r="C13667" s="442"/>
      <c r="P13667" s="235"/>
      <c r="AI13667" s="38"/>
    </row>
    <row r="13668" ht="15.75" customHeight="1">
      <c r="A13668" s="35"/>
      <c r="C13668" s="442"/>
      <c r="P13668" s="235"/>
      <c r="AI13668" s="38"/>
    </row>
    <row r="13669" ht="15.75" customHeight="1">
      <c r="A13669" s="35"/>
      <c r="C13669" s="442"/>
      <c r="P13669" s="235"/>
      <c r="AI13669" s="38"/>
    </row>
    <row r="13670" ht="15.75" customHeight="1">
      <c r="A13670" s="35"/>
      <c r="C13670" s="442"/>
      <c r="P13670" s="235"/>
      <c r="AI13670" s="38"/>
    </row>
    <row r="13671" ht="15.75" customHeight="1">
      <c r="A13671" s="35"/>
      <c r="C13671" s="442"/>
      <c r="P13671" s="235"/>
      <c r="AI13671" s="38"/>
    </row>
    <row r="13672" ht="15.75" customHeight="1">
      <c r="A13672" s="35"/>
      <c r="C13672" s="442"/>
      <c r="P13672" s="235"/>
      <c r="AI13672" s="38"/>
    </row>
    <row r="13673" ht="15.75" customHeight="1">
      <c r="A13673" s="35"/>
      <c r="C13673" s="442"/>
      <c r="P13673" s="235"/>
      <c r="AI13673" s="38"/>
    </row>
    <row r="13674" ht="15.75" customHeight="1">
      <c r="A13674" s="35"/>
      <c r="C13674" s="442"/>
      <c r="P13674" s="235"/>
      <c r="AI13674" s="38"/>
    </row>
    <row r="13675" ht="15.75" customHeight="1">
      <c r="A13675" s="35"/>
      <c r="C13675" s="442"/>
      <c r="P13675" s="235"/>
      <c r="AI13675" s="38"/>
    </row>
    <row r="13676" ht="15.75" customHeight="1">
      <c r="A13676" s="35"/>
      <c r="C13676" s="442"/>
      <c r="P13676" s="235"/>
      <c r="AI13676" s="38"/>
    </row>
    <row r="13677" ht="15.75" customHeight="1">
      <c r="A13677" s="35"/>
      <c r="C13677" s="442"/>
      <c r="P13677" s="235"/>
      <c r="AI13677" s="38"/>
    </row>
    <row r="13678" ht="15.75" customHeight="1">
      <c r="A13678" s="35"/>
      <c r="C13678" s="442"/>
      <c r="P13678" s="235"/>
      <c r="AI13678" s="38"/>
    </row>
    <row r="13679" ht="15.75" customHeight="1">
      <c r="A13679" s="35"/>
      <c r="C13679" s="442"/>
      <c r="P13679" s="235"/>
      <c r="AI13679" s="38"/>
    </row>
    <row r="13680" ht="15.75" customHeight="1">
      <c r="A13680" s="35"/>
      <c r="C13680" s="442"/>
      <c r="P13680" s="235"/>
      <c r="AI13680" s="38"/>
    </row>
    <row r="13681" ht="15.75" customHeight="1">
      <c r="A13681" s="35"/>
      <c r="C13681" s="442"/>
      <c r="P13681" s="235"/>
      <c r="AI13681" s="38"/>
    </row>
    <row r="13682" ht="15.75" customHeight="1">
      <c r="A13682" s="35"/>
      <c r="C13682" s="442"/>
      <c r="P13682" s="235"/>
      <c r="AI13682" s="38"/>
    </row>
    <row r="13683" ht="15.75" customHeight="1">
      <c r="A13683" s="35"/>
      <c r="C13683" s="442"/>
      <c r="P13683" s="235"/>
      <c r="AI13683" s="38"/>
    </row>
    <row r="13684" ht="15.75" customHeight="1">
      <c r="A13684" s="35"/>
      <c r="C13684" s="442"/>
      <c r="P13684" s="235"/>
      <c r="AI13684" s="38"/>
    </row>
    <row r="13685" ht="15.75" customHeight="1">
      <c r="A13685" s="35"/>
      <c r="C13685" s="442"/>
      <c r="P13685" s="235"/>
      <c r="AI13685" s="38"/>
    </row>
    <row r="13686" ht="15.75" customHeight="1">
      <c r="A13686" s="35"/>
      <c r="C13686" s="442"/>
      <c r="P13686" s="235"/>
      <c r="AI13686" s="38"/>
    </row>
    <row r="13687" ht="15.75" customHeight="1">
      <c r="A13687" s="35"/>
      <c r="C13687" s="442"/>
      <c r="P13687" s="235"/>
      <c r="AI13687" s="38"/>
    </row>
    <row r="13688" ht="15.75" customHeight="1">
      <c r="A13688" s="35"/>
      <c r="C13688" s="442"/>
      <c r="P13688" s="235"/>
      <c r="AI13688" s="38"/>
    </row>
    <row r="13689" ht="15.75" customHeight="1">
      <c r="A13689" s="35"/>
      <c r="C13689" s="442"/>
      <c r="P13689" s="235"/>
      <c r="AI13689" s="38"/>
    </row>
    <row r="13690" ht="15.75" customHeight="1">
      <c r="A13690" s="35"/>
      <c r="C13690" s="442"/>
      <c r="P13690" s="235"/>
      <c r="AI13690" s="38"/>
    </row>
    <row r="13691" ht="15.75" customHeight="1">
      <c r="A13691" s="35"/>
      <c r="C13691" s="442"/>
      <c r="P13691" s="235"/>
      <c r="AI13691" s="38"/>
    </row>
    <row r="13692" ht="15.75" customHeight="1">
      <c r="A13692" s="35"/>
      <c r="C13692" s="442"/>
      <c r="P13692" s="235"/>
      <c r="AI13692" s="38"/>
    </row>
    <row r="13693" ht="15.75" customHeight="1">
      <c r="A13693" s="35"/>
      <c r="C13693" s="442"/>
      <c r="P13693" s="235"/>
      <c r="AI13693" s="38"/>
    </row>
    <row r="13694" ht="15.75" customHeight="1">
      <c r="A13694" s="35"/>
      <c r="C13694" s="442"/>
      <c r="P13694" s="235"/>
      <c r="AI13694" s="38"/>
    </row>
    <row r="13695" ht="15.75" customHeight="1">
      <c r="A13695" s="35"/>
      <c r="C13695" s="442"/>
      <c r="P13695" s="235"/>
      <c r="AI13695" s="38"/>
    </row>
    <row r="13696" ht="15.75" customHeight="1">
      <c r="A13696" s="35"/>
      <c r="C13696" s="442"/>
      <c r="P13696" s="235"/>
      <c r="AI13696" s="38"/>
    </row>
    <row r="13697" ht="15.75" customHeight="1">
      <c r="A13697" s="35"/>
      <c r="C13697" s="442"/>
      <c r="P13697" s="235"/>
      <c r="AI13697" s="38"/>
    </row>
    <row r="13698" ht="15.75" customHeight="1">
      <c r="A13698" s="35"/>
      <c r="C13698" s="442"/>
      <c r="P13698" s="235"/>
      <c r="AI13698" s="38"/>
    </row>
    <row r="13699" ht="15.75" customHeight="1">
      <c r="A13699" s="35"/>
      <c r="C13699" s="442"/>
      <c r="P13699" s="235"/>
      <c r="AI13699" s="38"/>
    </row>
    <row r="13700" ht="15.75" customHeight="1">
      <c r="A13700" s="35"/>
      <c r="C13700" s="442"/>
      <c r="P13700" s="235"/>
      <c r="AI13700" s="38"/>
    </row>
    <row r="13701" ht="15.75" customHeight="1">
      <c r="A13701" s="35"/>
      <c r="C13701" s="442"/>
      <c r="P13701" s="235"/>
      <c r="AI13701" s="38"/>
    </row>
    <row r="13702" ht="15.75" customHeight="1">
      <c r="A13702" s="35"/>
      <c r="C13702" s="442"/>
      <c r="P13702" s="235"/>
      <c r="AI13702" s="38"/>
    </row>
    <row r="13703" ht="15.75" customHeight="1">
      <c r="A13703" s="35"/>
      <c r="C13703" s="442"/>
      <c r="P13703" s="235"/>
      <c r="AI13703" s="38"/>
    </row>
    <row r="13704" ht="15.75" customHeight="1">
      <c r="A13704" s="35"/>
      <c r="C13704" s="442"/>
      <c r="P13704" s="235"/>
      <c r="AI13704" s="38"/>
    </row>
    <row r="13705" ht="15.75" customHeight="1">
      <c r="A13705" s="35"/>
      <c r="C13705" s="442"/>
      <c r="P13705" s="235"/>
      <c r="AI13705" s="38"/>
    </row>
    <row r="13706" ht="15.75" customHeight="1">
      <c r="A13706" s="35"/>
      <c r="C13706" s="442"/>
      <c r="P13706" s="235"/>
      <c r="AI13706" s="38"/>
    </row>
    <row r="13707" ht="15.75" customHeight="1">
      <c r="A13707" s="35"/>
      <c r="C13707" s="442"/>
      <c r="P13707" s="235"/>
      <c r="AI13707" s="38"/>
    </row>
    <row r="13708" ht="15.75" customHeight="1">
      <c r="A13708" s="35"/>
      <c r="C13708" s="442"/>
      <c r="P13708" s="235"/>
      <c r="AI13708" s="38"/>
    </row>
    <row r="13709" ht="15.75" customHeight="1">
      <c r="A13709" s="35"/>
      <c r="C13709" s="442"/>
      <c r="P13709" s="235"/>
      <c r="AI13709" s="38"/>
    </row>
    <row r="13710" ht="15.75" customHeight="1">
      <c r="A13710" s="35"/>
      <c r="C13710" s="442"/>
      <c r="P13710" s="235"/>
      <c r="AI13710" s="38"/>
    </row>
    <row r="13711" ht="15.75" customHeight="1">
      <c r="A13711" s="35"/>
      <c r="C13711" s="442"/>
      <c r="P13711" s="235"/>
      <c r="AI13711" s="38"/>
    </row>
    <row r="13712" ht="15.75" customHeight="1">
      <c r="A13712" s="35"/>
      <c r="C13712" s="442"/>
      <c r="P13712" s="235"/>
      <c r="AI13712" s="38"/>
    </row>
    <row r="13713" ht="15.75" customHeight="1">
      <c r="A13713" s="35"/>
      <c r="C13713" s="442"/>
      <c r="P13713" s="235"/>
      <c r="AI13713" s="38"/>
    </row>
    <row r="13714" ht="15.75" customHeight="1">
      <c r="A13714" s="35"/>
      <c r="C13714" s="442"/>
      <c r="P13714" s="235"/>
      <c r="AI13714" s="38"/>
    </row>
    <row r="13715" ht="15.75" customHeight="1">
      <c r="A13715" s="35"/>
      <c r="C13715" s="442"/>
      <c r="P13715" s="235"/>
      <c r="AI13715" s="38"/>
    </row>
    <row r="13716" ht="15.75" customHeight="1">
      <c r="A13716" s="35"/>
      <c r="C13716" s="442"/>
      <c r="P13716" s="235"/>
      <c r="AI13716" s="38"/>
    </row>
    <row r="13717" ht="15.75" customHeight="1">
      <c r="A13717" s="35"/>
      <c r="C13717" s="442"/>
      <c r="P13717" s="235"/>
      <c r="AI13717" s="38"/>
    </row>
    <row r="13718" ht="15.75" customHeight="1">
      <c r="A13718" s="35"/>
      <c r="C13718" s="442"/>
      <c r="P13718" s="235"/>
      <c r="AI13718" s="38"/>
    </row>
    <row r="13719" ht="15.75" customHeight="1">
      <c r="A13719" s="35"/>
      <c r="C13719" s="442"/>
      <c r="P13719" s="235"/>
      <c r="AI13719" s="38"/>
    </row>
    <row r="13720" ht="15.75" customHeight="1">
      <c r="A13720" s="35"/>
      <c r="C13720" s="442"/>
      <c r="P13720" s="235"/>
      <c r="AI13720" s="38"/>
    </row>
    <row r="13721" ht="15.75" customHeight="1">
      <c r="A13721" s="35"/>
      <c r="C13721" s="442"/>
      <c r="P13721" s="235"/>
      <c r="AI13721" s="38"/>
    </row>
    <row r="13722" ht="15.75" customHeight="1">
      <c r="A13722" s="35"/>
      <c r="C13722" s="442"/>
      <c r="P13722" s="235"/>
      <c r="AI13722" s="38"/>
    </row>
    <row r="13723" ht="15.75" customHeight="1">
      <c r="A13723" s="35"/>
      <c r="C13723" s="442"/>
      <c r="P13723" s="235"/>
      <c r="AI13723" s="38"/>
    </row>
    <row r="13724" ht="15.75" customHeight="1">
      <c r="A13724" s="35"/>
      <c r="C13724" s="442"/>
      <c r="P13724" s="235"/>
      <c r="AI13724" s="38"/>
    </row>
    <row r="13725" ht="15.75" customHeight="1">
      <c r="A13725" s="35"/>
      <c r="C13725" s="442"/>
      <c r="P13725" s="235"/>
      <c r="AI13725" s="38"/>
    </row>
    <row r="13726" ht="15.75" customHeight="1">
      <c r="A13726" s="35"/>
      <c r="C13726" s="442"/>
      <c r="P13726" s="235"/>
      <c r="AI13726" s="38"/>
    </row>
    <row r="13727" ht="15.75" customHeight="1">
      <c r="A13727" s="35"/>
      <c r="C13727" s="442"/>
      <c r="P13727" s="235"/>
      <c r="AI13727" s="38"/>
    </row>
    <row r="13728" ht="15.75" customHeight="1">
      <c r="A13728" s="35"/>
      <c r="C13728" s="442"/>
      <c r="P13728" s="235"/>
      <c r="AI13728" s="38"/>
    </row>
    <row r="13729" ht="15.75" customHeight="1">
      <c r="A13729" s="35"/>
      <c r="C13729" s="442"/>
      <c r="P13729" s="235"/>
      <c r="AI13729" s="38"/>
    </row>
    <row r="13730" ht="15.75" customHeight="1">
      <c r="A13730" s="35"/>
      <c r="C13730" s="442"/>
      <c r="P13730" s="235"/>
      <c r="AI13730" s="38"/>
    </row>
    <row r="13731" ht="15.75" customHeight="1">
      <c r="A13731" s="35"/>
      <c r="C13731" s="442"/>
      <c r="P13731" s="235"/>
      <c r="AI13731" s="38"/>
    </row>
    <row r="13732" ht="15.75" customHeight="1">
      <c r="A13732" s="35"/>
      <c r="C13732" s="442"/>
      <c r="P13732" s="235"/>
      <c r="AI13732" s="38"/>
    </row>
    <row r="13733" ht="15.75" customHeight="1">
      <c r="A13733" s="35"/>
      <c r="C13733" s="442"/>
      <c r="P13733" s="235"/>
      <c r="AI13733" s="38"/>
    </row>
    <row r="13734" ht="15.75" customHeight="1">
      <c r="A13734" s="35"/>
      <c r="C13734" s="442"/>
      <c r="P13734" s="235"/>
      <c r="AI13734" s="38"/>
    </row>
    <row r="13735" ht="15.75" customHeight="1">
      <c r="A13735" s="35"/>
      <c r="C13735" s="442"/>
      <c r="P13735" s="235"/>
      <c r="AI13735" s="38"/>
    </row>
    <row r="13736" ht="15.75" customHeight="1">
      <c r="A13736" s="35"/>
      <c r="C13736" s="442"/>
      <c r="P13736" s="235"/>
      <c r="AI13736" s="38"/>
    </row>
    <row r="13737" ht="15.75" customHeight="1">
      <c r="A13737" s="35"/>
      <c r="C13737" s="442"/>
      <c r="P13737" s="235"/>
      <c r="AI13737" s="38"/>
    </row>
    <row r="13738" ht="15.75" customHeight="1">
      <c r="A13738" s="35"/>
      <c r="C13738" s="442"/>
      <c r="P13738" s="235"/>
      <c r="AI13738" s="38"/>
    </row>
    <row r="13739" ht="15.75" customHeight="1">
      <c r="A13739" s="35"/>
      <c r="C13739" s="442"/>
      <c r="P13739" s="235"/>
      <c r="AI13739" s="38"/>
    </row>
    <row r="13740" ht="15.75" customHeight="1">
      <c r="A13740" s="35"/>
      <c r="C13740" s="442"/>
      <c r="P13740" s="235"/>
      <c r="AI13740" s="38"/>
    </row>
    <row r="13741" ht="15.75" customHeight="1">
      <c r="A13741" s="35"/>
      <c r="C13741" s="442"/>
      <c r="P13741" s="235"/>
      <c r="AI13741" s="38"/>
    </row>
    <row r="13742" ht="15.75" customHeight="1">
      <c r="A13742" s="35"/>
      <c r="C13742" s="442"/>
      <c r="P13742" s="235"/>
      <c r="AI13742" s="38"/>
    </row>
    <row r="13743" ht="15.75" customHeight="1">
      <c r="A13743" s="35"/>
      <c r="C13743" s="442"/>
      <c r="P13743" s="235"/>
      <c r="AI13743" s="38"/>
    </row>
    <row r="13744" ht="15.75" customHeight="1">
      <c r="A13744" s="35"/>
      <c r="C13744" s="442"/>
      <c r="P13744" s="235"/>
      <c r="AI13744" s="38"/>
    </row>
    <row r="13745" ht="15.75" customHeight="1">
      <c r="A13745" s="35"/>
      <c r="C13745" s="442"/>
      <c r="P13745" s="235"/>
      <c r="AI13745" s="38"/>
    </row>
    <row r="13746" ht="15.75" customHeight="1">
      <c r="A13746" s="35"/>
      <c r="C13746" s="442"/>
      <c r="P13746" s="235"/>
      <c r="AI13746" s="38"/>
    </row>
    <row r="13747" ht="15.75" customHeight="1">
      <c r="A13747" s="35"/>
      <c r="C13747" s="442"/>
      <c r="P13747" s="235"/>
      <c r="AI13747" s="38"/>
    </row>
    <row r="13748" ht="15.75" customHeight="1">
      <c r="A13748" s="35"/>
      <c r="C13748" s="442"/>
      <c r="P13748" s="235"/>
      <c r="AI13748" s="38"/>
    </row>
    <row r="13749" ht="15.75" customHeight="1">
      <c r="A13749" s="35"/>
      <c r="C13749" s="442"/>
      <c r="P13749" s="235"/>
      <c r="AI13749" s="38"/>
    </row>
    <row r="13750" ht="15.75" customHeight="1">
      <c r="A13750" s="35"/>
      <c r="C13750" s="442"/>
      <c r="P13750" s="235"/>
      <c r="AI13750" s="38"/>
    </row>
    <row r="13751" ht="15.75" customHeight="1">
      <c r="A13751" s="35"/>
      <c r="C13751" s="442"/>
      <c r="P13751" s="235"/>
      <c r="AI13751" s="38"/>
    </row>
    <row r="13752" ht="15.75" customHeight="1">
      <c r="A13752" s="35"/>
      <c r="C13752" s="442"/>
      <c r="P13752" s="235"/>
      <c r="AI13752" s="38"/>
    </row>
    <row r="13753" ht="15.75" customHeight="1">
      <c r="A13753" s="35"/>
      <c r="C13753" s="442"/>
      <c r="P13753" s="235"/>
      <c r="AI13753" s="38"/>
    </row>
    <row r="13754" ht="15.75" customHeight="1">
      <c r="A13754" s="35"/>
      <c r="C13754" s="442"/>
      <c r="P13754" s="235"/>
      <c r="AI13754" s="38"/>
    </row>
    <row r="13755" ht="15.75" customHeight="1">
      <c r="A13755" s="35"/>
      <c r="C13755" s="442"/>
      <c r="P13755" s="235"/>
      <c r="AI13755" s="38"/>
    </row>
    <row r="13756" ht="15.75" customHeight="1">
      <c r="A13756" s="35"/>
      <c r="C13756" s="442"/>
      <c r="P13756" s="235"/>
      <c r="AI13756" s="38"/>
    </row>
    <row r="13757" ht="15.75" customHeight="1">
      <c r="A13757" s="35"/>
      <c r="C13757" s="442"/>
      <c r="P13757" s="235"/>
      <c r="AI13757" s="38"/>
    </row>
    <row r="13758" ht="15.75" customHeight="1">
      <c r="A13758" s="35"/>
      <c r="C13758" s="442"/>
      <c r="P13758" s="235"/>
      <c r="AI13758" s="38"/>
    </row>
    <row r="13759" ht="15.75" customHeight="1">
      <c r="A13759" s="35"/>
      <c r="C13759" s="442"/>
      <c r="P13759" s="235"/>
      <c r="AI13759" s="38"/>
    </row>
    <row r="13760" ht="15.75" customHeight="1">
      <c r="A13760" s="35"/>
      <c r="C13760" s="442"/>
      <c r="P13760" s="235"/>
      <c r="AI13760" s="38"/>
    </row>
    <row r="13761" ht="15.75" customHeight="1">
      <c r="A13761" s="35"/>
      <c r="C13761" s="442"/>
      <c r="P13761" s="235"/>
      <c r="AI13761" s="38"/>
    </row>
    <row r="13762" ht="15.75" customHeight="1">
      <c r="A13762" s="35"/>
      <c r="C13762" s="442"/>
      <c r="P13762" s="235"/>
      <c r="AI13762" s="38"/>
    </row>
    <row r="13763" ht="15.75" customHeight="1">
      <c r="A13763" s="35"/>
      <c r="C13763" s="442"/>
      <c r="P13763" s="235"/>
      <c r="AI13763" s="38"/>
    </row>
    <row r="13764" ht="15.75" customHeight="1">
      <c r="A13764" s="35"/>
      <c r="C13764" s="442"/>
      <c r="P13764" s="235"/>
      <c r="AI13764" s="38"/>
    </row>
    <row r="13765" ht="15.75" customHeight="1">
      <c r="A13765" s="35"/>
      <c r="C13765" s="442"/>
      <c r="P13765" s="235"/>
      <c r="AI13765" s="38"/>
    </row>
    <row r="13766" ht="15.75" customHeight="1">
      <c r="A13766" s="35"/>
      <c r="C13766" s="442"/>
      <c r="P13766" s="235"/>
      <c r="AI13766" s="38"/>
    </row>
    <row r="13767" ht="15.75" customHeight="1">
      <c r="A13767" s="35"/>
      <c r="C13767" s="442"/>
      <c r="P13767" s="235"/>
      <c r="AI13767" s="38"/>
    </row>
    <row r="13768" ht="15.75" customHeight="1">
      <c r="A13768" s="35"/>
      <c r="C13768" s="442"/>
      <c r="P13768" s="235"/>
      <c r="AI13768" s="38"/>
    </row>
    <row r="13769" ht="15.75" customHeight="1">
      <c r="A13769" s="35"/>
      <c r="C13769" s="442"/>
      <c r="P13769" s="235"/>
      <c r="AI13769" s="38"/>
    </row>
    <row r="13770" ht="15.75" customHeight="1">
      <c r="A13770" s="35"/>
      <c r="C13770" s="442"/>
      <c r="P13770" s="235"/>
      <c r="AI13770" s="38"/>
    </row>
    <row r="13771" ht="15.75" customHeight="1">
      <c r="A13771" s="35"/>
      <c r="C13771" s="442"/>
      <c r="P13771" s="235"/>
      <c r="AI13771" s="38"/>
    </row>
    <row r="13772" ht="15.75" customHeight="1">
      <c r="A13772" s="35"/>
      <c r="C13772" s="442"/>
      <c r="P13772" s="235"/>
      <c r="AI13772" s="38"/>
    </row>
    <row r="13773" ht="15.75" customHeight="1">
      <c r="A13773" s="35"/>
      <c r="C13773" s="442"/>
      <c r="P13773" s="235"/>
      <c r="AI13773" s="38"/>
    </row>
    <row r="13774" ht="15.75" customHeight="1">
      <c r="A13774" s="35"/>
      <c r="C13774" s="442"/>
      <c r="P13774" s="235"/>
      <c r="AI13774" s="38"/>
    </row>
    <row r="13775" ht="15.75" customHeight="1">
      <c r="A13775" s="35"/>
      <c r="C13775" s="442"/>
      <c r="P13775" s="235"/>
      <c r="AI13775" s="38"/>
    </row>
    <row r="13776" ht="15.75" customHeight="1">
      <c r="A13776" s="35"/>
      <c r="C13776" s="442"/>
      <c r="P13776" s="235"/>
      <c r="AI13776" s="38"/>
    </row>
    <row r="13777" ht="15.75" customHeight="1">
      <c r="A13777" s="35"/>
      <c r="C13777" s="442"/>
      <c r="P13777" s="235"/>
      <c r="AI13777" s="38"/>
    </row>
    <row r="13778" ht="15.75" customHeight="1">
      <c r="A13778" s="35"/>
      <c r="C13778" s="442"/>
      <c r="P13778" s="235"/>
      <c r="AI13778" s="38"/>
    </row>
    <row r="13779" ht="15.75" customHeight="1">
      <c r="A13779" s="35"/>
      <c r="C13779" s="442"/>
      <c r="P13779" s="235"/>
      <c r="AI13779" s="38"/>
    </row>
    <row r="13780" ht="15.75" customHeight="1">
      <c r="A13780" s="35"/>
      <c r="C13780" s="442"/>
      <c r="P13780" s="235"/>
      <c r="AI13780" s="38"/>
    </row>
    <row r="13781" ht="15.75" customHeight="1">
      <c r="A13781" s="35"/>
      <c r="C13781" s="442"/>
      <c r="P13781" s="235"/>
      <c r="AI13781" s="38"/>
    </row>
    <row r="13782" ht="15.75" customHeight="1">
      <c r="A13782" s="35"/>
      <c r="C13782" s="442"/>
      <c r="P13782" s="235"/>
      <c r="AI13782" s="38"/>
    </row>
    <row r="13783" ht="15.75" customHeight="1">
      <c r="A13783" s="35"/>
      <c r="C13783" s="442"/>
      <c r="P13783" s="235"/>
      <c r="AI13783" s="38"/>
    </row>
    <row r="13784" ht="15.75" customHeight="1">
      <c r="A13784" s="35"/>
      <c r="C13784" s="442"/>
      <c r="P13784" s="235"/>
      <c r="AI13784" s="38"/>
    </row>
    <row r="13785" ht="15.75" customHeight="1">
      <c r="A13785" s="35"/>
      <c r="C13785" s="442"/>
      <c r="P13785" s="235"/>
      <c r="AI13785" s="38"/>
    </row>
    <row r="13786" ht="15.75" customHeight="1">
      <c r="A13786" s="35"/>
      <c r="C13786" s="442"/>
      <c r="P13786" s="235"/>
      <c r="AI13786" s="38"/>
    </row>
    <row r="13787" ht="15.75" customHeight="1">
      <c r="A13787" s="35"/>
      <c r="C13787" s="442"/>
      <c r="P13787" s="235"/>
      <c r="AI13787" s="38"/>
    </row>
    <row r="13788" ht="15.75" customHeight="1">
      <c r="A13788" s="35"/>
      <c r="C13788" s="442"/>
      <c r="P13788" s="235"/>
      <c r="AI13788" s="38"/>
    </row>
    <row r="13789" ht="15.75" customHeight="1">
      <c r="A13789" s="35"/>
      <c r="C13789" s="442"/>
      <c r="P13789" s="235"/>
      <c r="AI13789" s="38"/>
    </row>
    <row r="13790" ht="15.75" customHeight="1">
      <c r="A13790" s="35"/>
      <c r="C13790" s="442"/>
      <c r="P13790" s="235"/>
      <c r="AI13790" s="38"/>
    </row>
    <row r="13791" ht="15.75" customHeight="1">
      <c r="A13791" s="35"/>
      <c r="C13791" s="442"/>
      <c r="P13791" s="235"/>
      <c r="AI13791" s="38"/>
    </row>
    <row r="13792" ht="15.75" customHeight="1">
      <c r="A13792" s="35"/>
      <c r="C13792" s="442"/>
      <c r="P13792" s="235"/>
      <c r="AI13792" s="38"/>
    </row>
    <row r="13793" ht="15.75" customHeight="1">
      <c r="A13793" s="35"/>
      <c r="C13793" s="442"/>
      <c r="P13793" s="235"/>
      <c r="AI13793" s="38"/>
    </row>
    <row r="13794" ht="15.75" customHeight="1">
      <c r="A13794" s="35"/>
      <c r="C13794" s="442"/>
      <c r="P13794" s="235"/>
      <c r="AI13794" s="38"/>
    </row>
    <row r="13795" ht="15.75" customHeight="1">
      <c r="A13795" s="35"/>
      <c r="C13795" s="442"/>
      <c r="P13795" s="235"/>
      <c r="AI13795" s="38"/>
    </row>
    <row r="13796" ht="15.75" customHeight="1">
      <c r="A13796" s="35"/>
      <c r="C13796" s="442"/>
      <c r="P13796" s="235"/>
      <c r="AI13796" s="38"/>
    </row>
    <row r="13797" ht="15.75" customHeight="1">
      <c r="A13797" s="35"/>
      <c r="C13797" s="442"/>
      <c r="P13797" s="235"/>
      <c r="AI13797" s="38"/>
    </row>
    <row r="13798" ht="15.75" customHeight="1">
      <c r="A13798" s="35"/>
      <c r="C13798" s="442"/>
      <c r="P13798" s="235"/>
      <c r="AI13798" s="38"/>
    </row>
    <row r="13799" ht="15.75" customHeight="1">
      <c r="A13799" s="35"/>
      <c r="C13799" s="442"/>
      <c r="P13799" s="235"/>
      <c r="AI13799" s="38"/>
    </row>
    <row r="13800" ht="15.75" customHeight="1">
      <c r="A13800" s="35"/>
      <c r="C13800" s="442"/>
      <c r="P13800" s="235"/>
      <c r="AI13800" s="38"/>
    </row>
    <row r="13801" ht="15.75" customHeight="1">
      <c r="A13801" s="35"/>
      <c r="C13801" s="442"/>
      <c r="P13801" s="235"/>
      <c r="AI13801" s="38"/>
    </row>
    <row r="13802" ht="15.75" customHeight="1">
      <c r="A13802" s="35"/>
      <c r="C13802" s="442"/>
      <c r="P13802" s="235"/>
      <c r="AI13802" s="38"/>
    </row>
    <row r="13803" ht="15.75" customHeight="1">
      <c r="A13803" s="35"/>
      <c r="C13803" s="442"/>
      <c r="P13803" s="235"/>
      <c r="AI13803" s="38"/>
    </row>
    <row r="13804" ht="15.75" customHeight="1">
      <c r="A13804" s="35"/>
      <c r="C13804" s="442"/>
      <c r="P13804" s="235"/>
      <c r="AI13804" s="38"/>
    </row>
    <row r="13805" ht="15.75" customHeight="1">
      <c r="A13805" s="35"/>
      <c r="C13805" s="442"/>
      <c r="P13805" s="235"/>
      <c r="AI13805" s="38"/>
    </row>
    <row r="13806" ht="15.75" customHeight="1">
      <c r="A13806" s="35"/>
      <c r="C13806" s="442"/>
      <c r="P13806" s="235"/>
      <c r="AI13806" s="38"/>
    </row>
    <row r="13807" ht="15.75" customHeight="1">
      <c r="A13807" s="35"/>
      <c r="C13807" s="442"/>
      <c r="P13807" s="235"/>
      <c r="AI13807" s="38"/>
    </row>
    <row r="13808" ht="15.75" customHeight="1">
      <c r="A13808" s="35"/>
      <c r="C13808" s="442"/>
      <c r="P13808" s="235"/>
      <c r="AI13808" s="38"/>
    </row>
    <row r="13809" ht="15.75" customHeight="1">
      <c r="A13809" s="35"/>
      <c r="C13809" s="442"/>
      <c r="P13809" s="235"/>
      <c r="AI13809" s="38"/>
    </row>
    <row r="13810" ht="15.75" customHeight="1">
      <c r="A13810" s="35"/>
      <c r="C13810" s="442"/>
      <c r="P13810" s="235"/>
      <c r="AI13810" s="38"/>
    </row>
    <row r="13811" ht="15.75" customHeight="1">
      <c r="A13811" s="35"/>
      <c r="C13811" s="442"/>
      <c r="P13811" s="235"/>
      <c r="AI13811" s="38"/>
    </row>
    <row r="13812" ht="15.75" customHeight="1">
      <c r="A13812" s="35"/>
      <c r="C13812" s="442"/>
      <c r="P13812" s="235"/>
      <c r="AI13812" s="38"/>
    </row>
    <row r="13813" ht="15.75" customHeight="1">
      <c r="A13813" s="35"/>
      <c r="C13813" s="442"/>
      <c r="P13813" s="235"/>
      <c r="AI13813" s="38"/>
    </row>
    <row r="13814" ht="15.75" customHeight="1">
      <c r="A13814" s="35"/>
      <c r="C13814" s="442"/>
      <c r="P13814" s="235"/>
      <c r="AI13814" s="38"/>
    </row>
    <row r="13815" ht="15.75" customHeight="1">
      <c r="A13815" s="35"/>
      <c r="C13815" s="442"/>
      <c r="P13815" s="235"/>
      <c r="AI13815" s="38"/>
    </row>
    <row r="13816" ht="15.75" customHeight="1">
      <c r="A13816" s="35"/>
      <c r="C13816" s="442"/>
      <c r="P13816" s="235"/>
      <c r="AI13816" s="38"/>
    </row>
    <row r="13817" ht="15.75" customHeight="1">
      <c r="A13817" s="35"/>
      <c r="C13817" s="442"/>
      <c r="P13817" s="235"/>
      <c r="AI13817" s="38"/>
    </row>
    <row r="13818" ht="15.75" customHeight="1">
      <c r="A13818" s="35"/>
      <c r="C13818" s="442"/>
      <c r="P13818" s="235"/>
      <c r="AI13818" s="38"/>
    </row>
    <row r="13819" ht="15.75" customHeight="1">
      <c r="A13819" s="35"/>
      <c r="C13819" s="442"/>
      <c r="P13819" s="235"/>
      <c r="AI13819" s="38"/>
    </row>
    <row r="13820" ht="15.75" customHeight="1">
      <c r="A13820" s="35"/>
      <c r="C13820" s="442"/>
      <c r="P13820" s="235"/>
      <c r="AI13820" s="38"/>
    </row>
    <row r="13821" ht="15.75" customHeight="1">
      <c r="A13821" s="35"/>
      <c r="C13821" s="442"/>
      <c r="P13821" s="235"/>
      <c r="AI13821" s="38"/>
    </row>
    <row r="13822" ht="15.75" customHeight="1">
      <c r="A13822" s="35"/>
      <c r="C13822" s="442"/>
      <c r="P13822" s="235"/>
      <c r="AI13822" s="38"/>
    </row>
    <row r="13823" ht="15.75" customHeight="1">
      <c r="A13823" s="35"/>
      <c r="C13823" s="442"/>
      <c r="P13823" s="235"/>
      <c r="AI13823" s="38"/>
    </row>
    <row r="13824" ht="15.75" customHeight="1">
      <c r="A13824" s="35"/>
      <c r="C13824" s="442"/>
      <c r="P13824" s="235"/>
      <c r="AI13824" s="38"/>
    </row>
    <row r="13825" ht="15.75" customHeight="1">
      <c r="A13825" s="35"/>
      <c r="C13825" s="442"/>
      <c r="P13825" s="235"/>
      <c r="AI13825" s="38"/>
    </row>
    <row r="13826" ht="15.75" customHeight="1">
      <c r="A13826" s="35"/>
      <c r="C13826" s="442"/>
      <c r="P13826" s="235"/>
      <c r="AI13826" s="38"/>
    </row>
    <row r="13827" ht="15.75" customHeight="1">
      <c r="A13827" s="35"/>
      <c r="C13827" s="442"/>
      <c r="P13827" s="235"/>
      <c r="AI13827" s="38"/>
    </row>
    <row r="13828" ht="15.75" customHeight="1">
      <c r="A13828" s="35"/>
      <c r="C13828" s="442"/>
      <c r="P13828" s="235"/>
      <c r="AI13828" s="38"/>
    </row>
    <row r="13829" ht="15.75" customHeight="1">
      <c r="A13829" s="35"/>
      <c r="C13829" s="442"/>
      <c r="P13829" s="235"/>
      <c r="AI13829" s="38"/>
    </row>
    <row r="13830" ht="15.75" customHeight="1">
      <c r="A13830" s="35"/>
      <c r="C13830" s="442"/>
      <c r="P13830" s="235"/>
      <c r="AI13830" s="38"/>
    </row>
    <row r="13831" ht="15.75" customHeight="1">
      <c r="A13831" s="35"/>
      <c r="C13831" s="442"/>
      <c r="P13831" s="235"/>
      <c r="AI13831" s="38"/>
    </row>
    <row r="13832" ht="15.75" customHeight="1">
      <c r="A13832" s="35"/>
      <c r="C13832" s="442"/>
      <c r="P13832" s="235"/>
      <c r="AI13832" s="38"/>
    </row>
    <row r="13833" ht="15.75" customHeight="1">
      <c r="A13833" s="35"/>
      <c r="C13833" s="442"/>
      <c r="P13833" s="235"/>
      <c r="AI13833" s="38"/>
    </row>
    <row r="13834" ht="15.75" customHeight="1">
      <c r="A13834" s="35"/>
      <c r="C13834" s="442"/>
      <c r="P13834" s="235"/>
      <c r="AI13834" s="38"/>
    </row>
    <row r="13835" ht="15.75" customHeight="1">
      <c r="A13835" s="35"/>
      <c r="C13835" s="442"/>
      <c r="P13835" s="235"/>
      <c r="AI13835" s="38"/>
    </row>
    <row r="13836" ht="15.75" customHeight="1">
      <c r="A13836" s="35"/>
      <c r="C13836" s="442"/>
      <c r="P13836" s="235"/>
      <c r="AI13836" s="38"/>
    </row>
    <row r="13837" ht="15.75" customHeight="1">
      <c r="A13837" s="35"/>
      <c r="C13837" s="442"/>
      <c r="P13837" s="235"/>
      <c r="AI13837" s="38"/>
    </row>
    <row r="13838" ht="15.75" customHeight="1">
      <c r="A13838" s="35"/>
      <c r="C13838" s="442"/>
      <c r="P13838" s="235"/>
      <c r="AI13838" s="38"/>
    </row>
    <row r="13839" ht="15.75" customHeight="1">
      <c r="A13839" s="35"/>
      <c r="C13839" s="442"/>
      <c r="P13839" s="235"/>
      <c r="AI13839" s="38"/>
    </row>
    <row r="13840" ht="15.75" customHeight="1">
      <c r="A13840" s="35"/>
      <c r="C13840" s="442"/>
      <c r="P13840" s="235"/>
      <c r="AI13840" s="38"/>
    </row>
    <row r="13841" ht="15.75" customHeight="1">
      <c r="A13841" s="35"/>
      <c r="C13841" s="442"/>
      <c r="P13841" s="235"/>
      <c r="AI13841" s="38"/>
    </row>
    <row r="13842" ht="15.75" customHeight="1">
      <c r="A13842" s="35"/>
      <c r="C13842" s="442"/>
      <c r="P13842" s="235"/>
      <c r="AI13842" s="38"/>
    </row>
    <row r="13843" ht="15.75" customHeight="1">
      <c r="A13843" s="35"/>
      <c r="C13843" s="442"/>
      <c r="P13843" s="235"/>
      <c r="AI13843" s="38"/>
    </row>
    <row r="13844" ht="15.75" customHeight="1">
      <c r="A13844" s="35"/>
      <c r="C13844" s="442"/>
      <c r="P13844" s="235"/>
      <c r="AI13844" s="38"/>
    </row>
    <row r="13845" ht="15.75" customHeight="1">
      <c r="A13845" s="35"/>
      <c r="C13845" s="442"/>
      <c r="P13845" s="235"/>
      <c r="AI13845" s="38"/>
    </row>
    <row r="13846" ht="15.75" customHeight="1">
      <c r="A13846" s="35"/>
      <c r="C13846" s="442"/>
      <c r="P13846" s="235"/>
      <c r="AI13846" s="38"/>
    </row>
    <row r="13847" ht="15.75" customHeight="1">
      <c r="A13847" s="35"/>
      <c r="C13847" s="442"/>
      <c r="P13847" s="235"/>
      <c r="AI13847" s="38"/>
    </row>
    <row r="13848" ht="15.75" customHeight="1">
      <c r="A13848" s="35"/>
      <c r="C13848" s="442"/>
      <c r="P13848" s="235"/>
      <c r="AI13848" s="38"/>
    </row>
    <row r="13849" ht="15.75" customHeight="1">
      <c r="A13849" s="35"/>
      <c r="C13849" s="442"/>
      <c r="P13849" s="235"/>
      <c r="AI13849" s="38"/>
    </row>
    <row r="13850" ht="15.75" customHeight="1">
      <c r="A13850" s="35"/>
      <c r="C13850" s="442"/>
      <c r="P13850" s="235"/>
      <c r="AI13850" s="38"/>
    </row>
    <row r="13851" ht="15.75" customHeight="1">
      <c r="A13851" s="35"/>
      <c r="C13851" s="442"/>
      <c r="P13851" s="235"/>
      <c r="AI13851" s="38"/>
    </row>
    <row r="13852" ht="15.75" customHeight="1">
      <c r="A13852" s="35"/>
      <c r="C13852" s="442"/>
      <c r="P13852" s="235"/>
      <c r="AI13852" s="38"/>
    </row>
    <row r="13853" ht="15.75" customHeight="1">
      <c r="A13853" s="35"/>
      <c r="C13853" s="442"/>
      <c r="P13853" s="235"/>
      <c r="AI13853" s="38"/>
    </row>
    <row r="13854" ht="15.75" customHeight="1">
      <c r="A13854" s="35"/>
      <c r="C13854" s="442"/>
      <c r="P13854" s="235"/>
      <c r="AI13854" s="38"/>
    </row>
    <row r="13855" ht="15.75" customHeight="1">
      <c r="A13855" s="35"/>
      <c r="C13855" s="442"/>
      <c r="P13855" s="235"/>
      <c r="AI13855" s="38"/>
    </row>
    <row r="13856" ht="15.75" customHeight="1">
      <c r="A13856" s="35"/>
      <c r="C13856" s="442"/>
      <c r="P13856" s="235"/>
      <c r="AI13856" s="38"/>
    </row>
    <row r="13857" ht="15.75" customHeight="1">
      <c r="A13857" s="35"/>
      <c r="C13857" s="442"/>
      <c r="P13857" s="235"/>
      <c r="AI13857" s="38"/>
    </row>
    <row r="13858" ht="15.75" customHeight="1">
      <c r="A13858" s="35"/>
      <c r="C13858" s="442"/>
      <c r="P13858" s="235"/>
      <c r="AI13858" s="38"/>
    </row>
    <row r="13859" ht="15.75" customHeight="1">
      <c r="A13859" s="35"/>
      <c r="C13859" s="442"/>
      <c r="P13859" s="235"/>
      <c r="AI13859" s="38"/>
    </row>
    <row r="13860" ht="15.75" customHeight="1">
      <c r="A13860" s="35"/>
      <c r="C13860" s="442"/>
      <c r="P13860" s="235"/>
      <c r="AI13860" s="38"/>
    </row>
    <row r="13861" ht="15.75" customHeight="1">
      <c r="A13861" s="35"/>
      <c r="C13861" s="442"/>
      <c r="P13861" s="235"/>
      <c r="AI13861" s="38"/>
    </row>
    <row r="13862" ht="15.75" customHeight="1">
      <c r="A13862" s="35"/>
      <c r="C13862" s="442"/>
      <c r="P13862" s="235"/>
      <c r="AI13862" s="38"/>
    </row>
    <row r="13863" ht="15.75" customHeight="1">
      <c r="A13863" s="35"/>
      <c r="C13863" s="442"/>
      <c r="P13863" s="235"/>
      <c r="AI13863" s="38"/>
    </row>
    <row r="13864" ht="15.75" customHeight="1">
      <c r="A13864" s="35"/>
      <c r="C13864" s="442"/>
      <c r="P13864" s="235"/>
      <c r="AI13864" s="38"/>
    </row>
    <row r="13865" ht="15.75" customHeight="1">
      <c r="A13865" s="35"/>
      <c r="C13865" s="442"/>
      <c r="P13865" s="235"/>
      <c r="AI13865" s="38"/>
    </row>
    <row r="13866" ht="15.75" customHeight="1">
      <c r="A13866" s="35"/>
      <c r="C13866" s="442"/>
      <c r="P13866" s="235"/>
      <c r="AI13866" s="38"/>
    </row>
    <row r="13867" ht="15.75" customHeight="1">
      <c r="A13867" s="35"/>
      <c r="C13867" s="442"/>
      <c r="P13867" s="235"/>
      <c r="AI13867" s="38"/>
    </row>
    <row r="13868" ht="15.75" customHeight="1">
      <c r="A13868" s="35"/>
      <c r="C13868" s="442"/>
      <c r="P13868" s="235"/>
      <c r="AI13868" s="38"/>
    </row>
    <row r="13869" ht="15.75" customHeight="1">
      <c r="A13869" s="35"/>
      <c r="C13869" s="442"/>
      <c r="P13869" s="235"/>
      <c r="AI13869" s="38"/>
    </row>
    <row r="13870" ht="15.75" customHeight="1">
      <c r="A13870" s="35"/>
      <c r="C13870" s="442"/>
      <c r="P13870" s="235"/>
      <c r="AI13870" s="38"/>
    </row>
    <row r="13871" ht="15.75" customHeight="1">
      <c r="A13871" s="35"/>
      <c r="C13871" s="442"/>
      <c r="P13871" s="235"/>
      <c r="AI13871" s="38"/>
    </row>
    <row r="13872" ht="15.75" customHeight="1">
      <c r="A13872" s="35"/>
      <c r="C13872" s="442"/>
      <c r="P13872" s="235"/>
      <c r="AI13872" s="38"/>
    </row>
    <row r="13873" ht="15.75" customHeight="1">
      <c r="A13873" s="35"/>
      <c r="C13873" s="442"/>
      <c r="P13873" s="235"/>
      <c r="AI13873" s="38"/>
    </row>
    <row r="13874" ht="15.75" customHeight="1">
      <c r="A13874" s="35"/>
      <c r="C13874" s="442"/>
      <c r="P13874" s="235"/>
      <c r="AI13874" s="38"/>
    </row>
    <row r="13875" ht="15.75" customHeight="1">
      <c r="A13875" s="35"/>
      <c r="C13875" s="442"/>
      <c r="P13875" s="235"/>
      <c r="AI13875" s="38"/>
    </row>
    <row r="13876" ht="15.75" customHeight="1">
      <c r="A13876" s="35"/>
      <c r="C13876" s="442"/>
      <c r="P13876" s="235"/>
      <c r="AI13876" s="38"/>
    </row>
    <row r="13877" ht="15.75" customHeight="1">
      <c r="A13877" s="35"/>
      <c r="C13877" s="442"/>
      <c r="P13877" s="235"/>
      <c r="AI13877" s="38"/>
    </row>
    <row r="13878" ht="15.75" customHeight="1">
      <c r="A13878" s="35"/>
      <c r="C13878" s="442"/>
      <c r="P13878" s="235"/>
      <c r="AI13878" s="38"/>
    </row>
    <row r="13879" ht="15.75" customHeight="1">
      <c r="A13879" s="35"/>
      <c r="C13879" s="442"/>
      <c r="P13879" s="235"/>
      <c r="AI13879" s="38"/>
    </row>
    <row r="13880" ht="15.75" customHeight="1">
      <c r="A13880" s="35"/>
      <c r="C13880" s="442"/>
      <c r="P13880" s="235"/>
      <c r="AI13880" s="38"/>
    </row>
    <row r="13881" ht="15.75" customHeight="1">
      <c r="A13881" s="35"/>
      <c r="C13881" s="442"/>
      <c r="P13881" s="235"/>
      <c r="AI13881" s="38"/>
    </row>
    <row r="13882" ht="15.75" customHeight="1">
      <c r="A13882" s="35"/>
      <c r="C13882" s="442"/>
      <c r="P13882" s="235"/>
      <c r="AI13882" s="38"/>
    </row>
    <row r="13883" ht="15.75" customHeight="1">
      <c r="A13883" s="35"/>
      <c r="C13883" s="442"/>
      <c r="P13883" s="235"/>
      <c r="AI13883" s="38"/>
    </row>
    <row r="13884" ht="15.75" customHeight="1">
      <c r="A13884" s="35"/>
      <c r="C13884" s="442"/>
      <c r="P13884" s="235"/>
      <c r="AI13884" s="38"/>
    </row>
    <row r="13885" ht="15.75" customHeight="1">
      <c r="A13885" s="35"/>
      <c r="C13885" s="442"/>
      <c r="P13885" s="235"/>
      <c r="AI13885" s="38"/>
    </row>
    <row r="13886" ht="15.75" customHeight="1">
      <c r="A13886" s="35"/>
      <c r="C13886" s="442"/>
      <c r="P13886" s="235"/>
      <c r="AI13886" s="38"/>
    </row>
    <row r="13887" ht="15.75" customHeight="1">
      <c r="A13887" s="35"/>
      <c r="C13887" s="442"/>
      <c r="P13887" s="235"/>
      <c r="AI13887" s="38"/>
    </row>
    <row r="13888" ht="15.75" customHeight="1">
      <c r="A13888" s="35"/>
      <c r="C13888" s="442"/>
      <c r="P13888" s="235"/>
      <c r="AI13888" s="38"/>
    </row>
    <row r="13889" ht="15.75" customHeight="1">
      <c r="A13889" s="35"/>
      <c r="C13889" s="442"/>
      <c r="P13889" s="235"/>
      <c r="AI13889" s="38"/>
    </row>
    <row r="13890" ht="15.75" customHeight="1">
      <c r="A13890" s="35"/>
      <c r="C13890" s="442"/>
      <c r="P13890" s="235"/>
      <c r="AI13890" s="38"/>
    </row>
    <row r="13891" ht="15.75" customHeight="1">
      <c r="A13891" s="35"/>
      <c r="C13891" s="442"/>
      <c r="P13891" s="235"/>
      <c r="AI13891" s="38"/>
    </row>
    <row r="13892" ht="15.75" customHeight="1">
      <c r="A13892" s="35"/>
      <c r="C13892" s="442"/>
      <c r="P13892" s="235"/>
      <c r="AI13892" s="38"/>
    </row>
    <row r="13893" ht="15.75" customHeight="1">
      <c r="A13893" s="35"/>
      <c r="C13893" s="442"/>
      <c r="P13893" s="235"/>
      <c r="AI13893" s="38"/>
    </row>
    <row r="13894" ht="15.75" customHeight="1">
      <c r="A13894" s="35"/>
      <c r="C13894" s="442"/>
      <c r="P13894" s="235"/>
      <c r="AI13894" s="38"/>
    </row>
    <row r="13895" ht="15.75" customHeight="1">
      <c r="A13895" s="35"/>
      <c r="C13895" s="442"/>
      <c r="P13895" s="235"/>
      <c r="AI13895" s="38"/>
    </row>
    <row r="13896" ht="15.75" customHeight="1">
      <c r="A13896" s="35"/>
      <c r="C13896" s="442"/>
      <c r="P13896" s="235"/>
      <c r="AI13896" s="38"/>
    </row>
    <row r="13897" ht="15.75" customHeight="1">
      <c r="A13897" s="35"/>
      <c r="C13897" s="442"/>
      <c r="P13897" s="235"/>
      <c r="AI13897" s="38"/>
    </row>
    <row r="13898" ht="15.75" customHeight="1">
      <c r="A13898" s="35"/>
      <c r="C13898" s="442"/>
      <c r="P13898" s="235"/>
      <c r="AI13898" s="38"/>
    </row>
    <row r="13899" ht="15.75" customHeight="1">
      <c r="A13899" s="35"/>
      <c r="C13899" s="442"/>
      <c r="P13899" s="235"/>
      <c r="AI13899" s="38"/>
    </row>
    <row r="13900" ht="15.75" customHeight="1">
      <c r="A13900" s="35"/>
      <c r="C13900" s="442"/>
      <c r="P13900" s="235"/>
      <c r="AI13900" s="38"/>
    </row>
    <row r="13901" ht="15.75" customHeight="1">
      <c r="A13901" s="35"/>
      <c r="C13901" s="442"/>
      <c r="P13901" s="235"/>
      <c r="AI13901" s="38"/>
    </row>
    <row r="13902" ht="15.75" customHeight="1">
      <c r="A13902" s="35"/>
      <c r="C13902" s="442"/>
      <c r="P13902" s="235"/>
      <c r="AI13902" s="38"/>
    </row>
    <row r="13903" ht="15.75" customHeight="1">
      <c r="A13903" s="35"/>
      <c r="C13903" s="442"/>
      <c r="P13903" s="235"/>
      <c r="AI13903" s="38"/>
    </row>
    <row r="13904" ht="15.75" customHeight="1">
      <c r="A13904" s="35"/>
      <c r="C13904" s="442"/>
      <c r="P13904" s="235"/>
      <c r="AI13904" s="38"/>
    </row>
    <row r="13905" ht="15.75" customHeight="1">
      <c r="A13905" s="35"/>
      <c r="C13905" s="442"/>
      <c r="P13905" s="235"/>
      <c r="AI13905" s="38"/>
    </row>
    <row r="13906" ht="15.75" customHeight="1">
      <c r="A13906" s="35"/>
      <c r="C13906" s="442"/>
      <c r="P13906" s="235"/>
      <c r="AI13906" s="38"/>
    </row>
    <row r="13907" ht="15.75" customHeight="1">
      <c r="A13907" s="35"/>
      <c r="C13907" s="442"/>
      <c r="P13907" s="235"/>
      <c r="AI13907" s="38"/>
    </row>
    <row r="13908" ht="15.75" customHeight="1">
      <c r="A13908" s="35"/>
      <c r="C13908" s="442"/>
      <c r="P13908" s="235"/>
      <c r="AI13908" s="38"/>
    </row>
    <row r="13909" ht="15.75" customHeight="1">
      <c r="A13909" s="35"/>
      <c r="C13909" s="442"/>
      <c r="P13909" s="235"/>
      <c r="AI13909" s="38"/>
    </row>
    <row r="13910" ht="15.75" customHeight="1">
      <c r="A13910" s="35"/>
      <c r="C13910" s="442"/>
      <c r="P13910" s="235"/>
      <c r="AI13910" s="38"/>
    </row>
    <row r="13911" ht="15.75" customHeight="1">
      <c r="A13911" s="35"/>
      <c r="C13911" s="442"/>
      <c r="P13911" s="235"/>
      <c r="AI13911" s="38"/>
    </row>
    <row r="13912" ht="15.75" customHeight="1">
      <c r="A13912" s="35"/>
      <c r="C13912" s="442"/>
      <c r="P13912" s="235"/>
      <c r="AI13912" s="38"/>
    </row>
    <row r="13913" ht="15.75" customHeight="1">
      <c r="A13913" s="35"/>
      <c r="C13913" s="442"/>
      <c r="P13913" s="235"/>
      <c r="AI13913" s="38"/>
    </row>
    <row r="13914" ht="15.75" customHeight="1">
      <c r="A13914" s="35"/>
      <c r="C13914" s="442"/>
      <c r="P13914" s="235"/>
      <c r="AI13914" s="38"/>
    </row>
    <row r="13915" ht="15.75" customHeight="1">
      <c r="A13915" s="35"/>
      <c r="C13915" s="442"/>
      <c r="P13915" s="235"/>
      <c r="AI13915" s="38"/>
    </row>
    <row r="13916" ht="15.75" customHeight="1">
      <c r="A13916" s="35"/>
      <c r="C13916" s="442"/>
      <c r="P13916" s="235"/>
      <c r="AI13916" s="38"/>
    </row>
    <row r="13917" ht="15.75" customHeight="1">
      <c r="A13917" s="35"/>
      <c r="C13917" s="442"/>
      <c r="P13917" s="235"/>
      <c r="AI13917" s="38"/>
    </row>
    <row r="13918" ht="15.75" customHeight="1">
      <c r="A13918" s="35"/>
      <c r="C13918" s="442"/>
      <c r="P13918" s="235"/>
      <c r="AI13918" s="38"/>
    </row>
    <row r="13919" ht="15.75" customHeight="1">
      <c r="A13919" s="35"/>
      <c r="C13919" s="442"/>
      <c r="P13919" s="235"/>
      <c r="AI13919" s="38"/>
    </row>
    <row r="13920" ht="15.75" customHeight="1">
      <c r="A13920" s="35"/>
      <c r="C13920" s="442"/>
      <c r="P13920" s="235"/>
      <c r="AI13920" s="38"/>
    </row>
    <row r="13921" ht="15.75" customHeight="1">
      <c r="A13921" s="35"/>
      <c r="C13921" s="442"/>
      <c r="P13921" s="235"/>
      <c r="AI13921" s="38"/>
    </row>
    <row r="13922" ht="15.75" customHeight="1">
      <c r="A13922" s="35"/>
      <c r="C13922" s="442"/>
      <c r="P13922" s="235"/>
      <c r="AI13922" s="38"/>
    </row>
    <row r="13923" ht="15.75" customHeight="1">
      <c r="A13923" s="35"/>
      <c r="C13923" s="442"/>
      <c r="P13923" s="235"/>
      <c r="AI13923" s="38"/>
    </row>
    <row r="13924" ht="15.75" customHeight="1">
      <c r="A13924" s="35"/>
      <c r="C13924" s="442"/>
      <c r="P13924" s="235"/>
      <c r="AI13924" s="38"/>
    </row>
    <row r="13925" ht="15.75" customHeight="1">
      <c r="A13925" s="35"/>
      <c r="C13925" s="442"/>
      <c r="P13925" s="235"/>
      <c r="AI13925" s="38"/>
    </row>
    <row r="13926" ht="15.75" customHeight="1">
      <c r="A13926" s="35"/>
      <c r="C13926" s="442"/>
      <c r="P13926" s="235"/>
      <c r="AI13926" s="38"/>
    </row>
    <row r="13927" ht="15.75" customHeight="1">
      <c r="A13927" s="35"/>
      <c r="C13927" s="442"/>
      <c r="P13927" s="235"/>
      <c r="AI13927" s="38"/>
    </row>
    <row r="13928" ht="15.75" customHeight="1">
      <c r="A13928" s="35"/>
      <c r="C13928" s="442"/>
      <c r="P13928" s="235"/>
      <c r="AI13928" s="38"/>
    </row>
    <row r="13929" ht="15.75" customHeight="1">
      <c r="A13929" s="35"/>
      <c r="C13929" s="442"/>
      <c r="P13929" s="235"/>
      <c r="AI13929" s="38"/>
    </row>
    <row r="13930" ht="15.75" customHeight="1">
      <c r="A13930" s="35"/>
      <c r="C13930" s="442"/>
      <c r="P13930" s="235"/>
      <c r="AI13930" s="38"/>
    </row>
    <row r="13931" ht="15.75" customHeight="1">
      <c r="A13931" s="35"/>
      <c r="C13931" s="442"/>
      <c r="P13931" s="235"/>
      <c r="AI13931" s="38"/>
    </row>
    <row r="13932" ht="15.75" customHeight="1">
      <c r="A13932" s="35"/>
      <c r="C13932" s="442"/>
      <c r="P13932" s="235"/>
      <c r="AI13932" s="38"/>
    </row>
    <row r="13933" ht="15.75" customHeight="1">
      <c r="A13933" s="35"/>
      <c r="C13933" s="442"/>
      <c r="P13933" s="235"/>
      <c r="AI13933" s="38"/>
    </row>
    <row r="13934" ht="15.75" customHeight="1">
      <c r="A13934" s="35"/>
      <c r="C13934" s="442"/>
      <c r="P13934" s="235"/>
      <c r="AI13934" s="38"/>
    </row>
    <row r="13935" ht="15.75" customHeight="1">
      <c r="A13935" s="35"/>
      <c r="C13935" s="442"/>
      <c r="P13935" s="235"/>
      <c r="AI13935" s="38"/>
    </row>
    <row r="13936" ht="15.75" customHeight="1">
      <c r="A13936" s="35"/>
      <c r="C13936" s="442"/>
      <c r="P13936" s="235"/>
      <c r="AI13936" s="38"/>
    </row>
    <row r="13937" ht="15.75" customHeight="1">
      <c r="A13937" s="35"/>
      <c r="C13937" s="442"/>
      <c r="P13937" s="235"/>
      <c r="AI13937" s="38"/>
    </row>
    <row r="13938" ht="15.75" customHeight="1">
      <c r="A13938" s="35"/>
      <c r="C13938" s="442"/>
      <c r="P13938" s="235"/>
      <c r="AI13938" s="38"/>
    </row>
    <row r="13939" ht="15.75" customHeight="1">
      <c r="A13939" s="35"/>
      <c r="C13939" s="442"/>
      <c r="P13939" s="235"/>
      <c r="AI13939" s="38"/>
    </row>
    <row r="13940" ht="15.75" customHeight="1">
      <c r="A13940" s="35"/>
      <c r="C13940" s="442"/>
      <c r="P13940" s="235"/>
      <c r="AI13940" s="38"/>
    </row>
    <row r="13941" ht="15.75" customHeight="1">
      <c r="A13941" s="35"/>
      <c r="C13941" s="442"/>
      <c r="P13941" s="235"/>
      <c r="AI13941" s="38"/>
    </row>
    <row r="13942" ht="15.75" customHeight="1">
      <c r="A13942" s="35"/>
      <c r="C13942" s="442"/>
      <c r="P13942" s="235"/>
      <c r="AI13942" s="38"/>
    </row>
    <row r="13943" ht="15.75" customHeight="1">
      <c r="A13943" s="35"/>
      <c r="C13943" s="442"/>
      <c r="P13943" s="235"/>
      <c r="AI13943" s="38"/>
    </row>
    <row r="13944" ht="15.75" customHeight="1">
      <c r="A13944" s="35"/>
      <c r="C13944" s="442"/>
      <c r="P13944" s="235"/>
      <c r="AI13944" s="38"/>
    </row>
    <row r="13945" ht="15.75" customHeight="1">
      <c r="A13945" s="35"/>
      <c r="C13945" s="442"/>
      <c r="P13945" s="235"/>
      <c r="AI13945" s="38"/>
    </row>
    <row r="13946" ht="15.75" customHeight="1">
      <c r="A13946" s="35"/>
      <c r="C13946" s="442"/>
      <c r="P13946" s="235"/>
      <c r="AI13946" s="38"/>
    </row>
    <row r="13947" ht="15.75" customHeight="1">
      <c r="A13947" s="35"/>
      <c r="C13947" s="442"/>
      <c r="P13947" s="235"/>
      <c r="AI13947" s="38"/>
    </row>
    <row r="13948" ht="15.75" customHeight="1">
      <c r="A13948" s="35"/>
      <c r="C13948" s="442"/>
      <c r="P13948" s="235"/>
      <c r="AI13948" s="38"/>
    </row>
    <row r="13949" ht="15.75" customHeight="1">
      <c r="A13949" s="35"/>
      <c r="C13949" s="442"/>
      <c r="P13949" s="235"/>
      <c r="AI13949" s="38"/>
    </row>
    <row r="13950" ht="15.75" customHeight="1">
      <c r="A13950" s="35"/>
      <c r="C13950" s="442"/>
      <c r="P13950" s="235"/>
      <c r="AI13950" s="38"/>
    </row>
    <row r="13951" ht="15.75" customHeight="1">
      <c r="A13951" s="35"/>
      <c r="C13951" s="442"/>
      <c r="P13951" s="235"/>
      <c r="AI13951" s="38"/>
    </row>
    <row r="13952" ht="15.75" customHeight="1">
      <c r="A13952" s="35"/>
      <c r="C13952" s="442"/>
      <c r="P13952" s="235"/>
      <c r="AI13952" s="38"/>
    </row>
    <row r="13953" ht="15.75" customHeight="1">
      <c r="A13953" s="35"/>
      <c r="C13953" s="442"/>
      <c r="P13953" s="235"/>
      <c r="AI13953" s="38"/>
    </row>
    <row r="13954" ht="15.75" customHeight="1">
      <c r="A13954" s="35"/>
      <c r="C13954" s="442"/>
      <c r="P13954" s="235"/>
      <c r="AI13954" s="38"/>
    </row>
    <row r="13955" ht="15.75" customHeight="1">
      <c r="A13955" s="35"/>
      <c r="C13955" s="442"/>
      <c r="P13955" s="235"/>
      <c r="AI13955" s="38"/>
    </row>
    <row r="13956" ht="15.75" customHeight="1">
      <c r="A13956" s="35"/>
      <c r="C13956" s="442"/>
      <c r="P13956" s="235"/>
      <c r="AI13956" s="38"/>
    </row>
    <row r="13957" ht="15.75" customHeight="1">
      <c r="A13957" s="35"/>
      <c r="C13957" s="442"/>
      <c r="P13957" s="235"/>
      <c r="AI13957" s="38"/>
    </row>
    <row r="13958" ht="15.75" customHeight="1">
      <c r="A13958" s="35"/>
      <c r="C13958" s="442"/>
      <c r="P13958" s="235"/>
      <c r="AI13958" s="38"/>
    </row>
    <row r="13959" ht="15.75" customHeight="1">
      <c r="A13959" s="35"/>
      <c r="C13959" s="442"/>
      <c r="P13959" s="235"/>
      <c r="AI13959" s="38"/>
    </row>
    <row r="13960" ht="15.75" customHeight="1">
      <c r="A13960" s="35"/>
      <c r="C13960" s="442"/>
      <c r="P13960" s="235"/>
      <c r="AI13960" s="38"/>
    </row>
    <row r="13961" ht="15.75" customHeight="1">
      <c r="A13961" s="35"/>
      <c r="C13961" s="442"/>
      <c r="P13961" s="235"/>
      <c r="AI13961" s="38"/>
    </row>
    <row r="13962" ht="15.75" customHeight="1">
      <c r="A13962" s="35"/>
      <c r="C13962" s="442"/>
      <c r="P13962" s="235"/>
      <c r="AI13962" s="38"/>
    </row>
    <row r="13963" ht="15.75" customHeight="1">
      <c r="A13963" s="35"/>
      <c r="C13963" s="442"/>
      <c r="P13963" s="235"/>
      <c r="AI13963" s="38"/>
    </row>
    <row r="13964" ht="15.75" customHeight="1">
      <c r="A13964" s="35"/>
      <c r="C13964" s="442"/>
      <c r="P13964" s="235"/>
      <c r="AI13964" s="38"/>
    </row>
    <row r="13965" ht="15.75" customHeight="1">
      <c r="A13965" s="35"/>
      <c r="C13965" s="442"/>
      <c r="P13965" s="235"/>
      <c r="AI13965" s="38"/>
    </row>
    <row r="13966" ht="15.75" customHeight="1">
      <c r="A13966" s="35"/>
      <c r="C13966" s="442"/>
      <c r="P13966" s="235"/>
      <c r="AI13966" s="38"/>
    </row>
    <row r="13967" ht="15.75" customHeight="1">
      <c r="A13967" s="35"/>
      <c r="C13967" s="442"/>
      <c r="P13967" s="235"/>
      <c r="AI13967" s="38"/>
    </row>
    <row r="13968" ht="15.75" customHeight="1">
      <c r="A13968" s="35"/>
      <c r="C13968" s="442"/>
      <c r="P13968" s="235"/>
      <c r="AI13968" s="38"/>
    </row>
    <row r="13969" ht="15.75" customHeight="1">
      <c r="A13969" s="35"/>
      <c r="C13969" s="442"/>
      <c r="P13969" s="235"/>
      <c r="AI13969" s="38"/>
    </row>
    <row r="13970" ht="15.75" customHeight="1">
      <c r="A13970" s="35"/>
      <c r="C13970" s="442"/>
      <c r="P13970" s="235"/>
      <c r="AI13970" s="38"/>
    </row>
    <row r="13971" ht="15.75" customHeight="1">
      <c r="A13971" s="35"/>
      <c r="C13971" s="442"/>
      <c r="P13971" s="235"/>
      <c r="AI13971" s="38"/>
    </row>
    <row r="13972" ht="15.75" customHeight="1">
      <c r="A13972" s="35"/>
      <c r="C13972" s="442"/>
      <c r="P13972" s="235"/>
      <c r="AI13972" s="38"/>
    </row>
    <row r="13973" ht="15.75" customHeight="1">
      <c r="A13973" s="35"/>
      <c r="C13973" s="442"/>
      <c r="P13973" s="235"/>
      <c r="AI13973" s="38"/>
    </row>
    <row r="13974" ht="15.75" customHeight="1">
      <c r="A13974" s="35"/>
      <c r="C13974" s="442"/>
      <c r="P13974" s="235"/>
      <c r="AI13974" s="38"/>
    </row>
    <row r="13975" ht="15.75" customHeight="1">
      <c r="A13975" s="35"/>
      <c r="C13975" s="442"/>
      <c r="P13975" s="235"/>
      <c r="AI13975" s="38"/>
    </row>
    <row r="13976" ht="15.75" customHeight="1">
      <c r="A13976" s="35"/>
      <c r="C13976" s="442"/>
      <c r="P13976" s="235"/>
      <c r="AI13976" s="38"/>
    </row>
    <row r="13977" ht="15.75" customHeight="1">
      <c r="A13977" s="35"/>
      <c r="C13977" s="442"/>
      <c r="P13977" s="235"/>
      <c r="AI13977" s="38"/>
    </row>
    <row r="13978" ht="15.75" customHeight="1">
      <c r="A13978" s="35"/>
      <c r="C13978" s="442"/>
      <c r="P13978" s="235"/>
      <c r="AI13978" s="38"/>
    </row>
    <row r="13979" ht="15.75" customHeight="1">
      <c r="A13979" s="35"/>
      <c r="C13979" s="442"/>
      <c r="P13979" s="235"/>
      <c r="AI13979" s="38"/>
    </row>
    <row r="13980" ht="15.75" customHeight="1">
      <c r="A13980" s="35"/>
      <c r="C13980" s="442"/>
      <c r="P13980" s="235"/>
      <c r="AI13980" s="38"/>
    </row>
    <row r="13981" ht="15.75" customHeight="1">
      <c r="A13981" s="35"/>
      <c r="C13981" s="442"/>
      <c r="P13981" s="235"/>
      <c r="AI13981" s="38"/>
    </row>
    <row r="13982" ht="15.75" customHeight="1">
      <c r="A13982" s="35"/>
      <c r="C13982" s="442"/>
      <c r="P13982" s="235"/>
      <c r="AI13982" s="38"/>
    </row>
    <row r="13983" ht="15.75" customHeight="1">
      <c r="A13983" s="35"/>
      <c r="C13983" s="442"/>
      <c r="P13983" s="235"/>
      <c r="AI13983" s="38"/>
    </row>
    <row r="13984" ht="15.75" customHeight="1">
      <c r="A13984" s="35"/>
      <c r="C13984" s="442"/>
      <c r="P13984" s="235"/>
      <c r="AI13984" s="38"/>
    </row>
    <row r="13985" ht="15.75" customHeight="1">
      <c r="A13985" s="35"/>
      <c r="C13985" s="442"/>
      <c r="P13985" s="235"/>
      <c r="AI13985" s="38"/>
    </row>
    <row r="13986" ht="15.75" customHeight="1">
      <c r="A13986" s="35"/>
      <c r="C13986" s="442"/>
      <c r="P13986" s="235"/>
      <c r="AI13986" s="38"/>
    </row>
    <row r="13987" ht="15.75" customHeight="1">
      <c r="A13987" s="35"/>
      <c r="C13987" s="442"/>
      <c r="P13987" s="235"/>
      <c r="AI13987" s="38"/>
    </row>
    <row r="13988" ht="15.75" customHeight="1">
      <c r="A13988" s="35"/>
      <c r="C13988" s="442"/>
      <c r="P13988" s="235"/>
      <c r="AI13988" s="38"/>
    </row>
    <row r="13989" ht="15.75" customHeight="1">
      <c r="A13989" s="35"/>
      <c r="C13989" s="442"/>
      <c r="P13989" s="235"/>
      <c r="AI13989" s="38"/>
    </row>
    <row r="13990" ht="15.75" customHeight="1">
      <c r="A13990" s="35"/>
      <c r="C13990" s="442"/>
      <c r="P13990" s="235"/>
      <c r="AI13990" s="38"/>
    </row>
    <row r="13991" ht="15.75" customHeight="1">
      <c r="A13991" s="35"/>
      <c r="C13991" s="442"/>
      <c r="P13991" s="235"/>
      <c r="AI13991" s="38"/>
    </row>
    <row r="13992" ht="15.75" customHeight="1">
      <c r="A13992" s="35"/>
      <c r="C13992" s="442"/>
      <c r="P13992" s="235"/>
      <c r="AI13992" s="38"/>
    </row>
    <row r="13993" ht="15.75" customHeight="1">
      <c r="A13993" s="35"/>
      <c r="C13993" s="442"/>
      <c r="P13993" s="235"/>
      <c r="AI13993" s="38"/>
    </row>
    <row r="13994" ht="15.75" customHeight="1">
      <c r="A13994" s="35"/>
      <c r="C13994" s="442"/>
      <c r="P13994" s="235"/>
      <c r="AI13994" s="38"/>
    </row>
    <row r="13995" ht="15.75" customHeight="1">
      <c r="A13995" s="35"/>
      <c r="C13995" s="442"/>
      <c r="P13995" s="235"/>
      <c r="AI13995" s="38"/>
    </row>
    <row r="13996" ht="15.75" customHeight="1">
      <c r="A13996" s="35"/>
      <c r="C13996" s="442"/>
      <c r="P13996" s="235"/>
      <c r="AI13996" s="38"/>
    </row>
    <row r="13997" ht="15.75" customHeight="1">
      <c r="A13997" s="35"/>
      <c r="C13997" s="442"/>
      <c r="P13997" s="235"/>
      <c r="AI13997" s="38"/>
    </row>
    <row r="13998" ht="15.75" customHeight="1">
      <c r="A13998" s="35"/>
      <c r="C13998" s="442"/>
      <c r="P13998" s="235"/>
      <c r="AI13998" s="38"/>
    </row>
    <row r="13999" ht="15.75" customHeight="1">
      <c r="A13999" s="35"/>
      <c r="C13999" s="442"/>
      <c r="P13999" s="235"/>
      <c r="AI13999" s="38"/>
    </row>
    <row r="14000" ht="15.75" customHeight="1">
      <c r="A14000" s="35"/>
      <c r="C14000" s="442"/>
      <c r="P14000" s="235"/>
      <c r="AI14000" s="38"/>
    </row>
    <row r="14001" ht="15.75" customHeight="1">
      <c r="A14001" s="35"/>
      <c r="C14001" s="442"/>
      <c r="P14001" s="235"/>
      <c r="AI14001" s="38"/>
    </row>
    <row r="14002" ht="15.75" customHeight="1">
      <c r="A14002" s="35"/>
      <c r="C14002" s="442"/>
      <c r="P14002" s="235"/>
      <c r="AI14002" s="38"/>
    </row>
    <row r="14003" ht="15.75" customHeight="1">
      <c r="A14003" s="35"/>
      <c r="C14003" s="442"/>
      <c r="P14003" s="235"/>
      <c r="AI14003" s="38"/>
    </row>
    <row r="14004" ht="15.75" customHeight="1">
      <c r="A14004" s="35"/>
      <c r="C14004" s="442"/>
      <c r="P14004" s="235"/>
      <c r="AI14004" s="38"/>
    </row>
    <row r="14005" ht="15.75" customHeight="1">
      <c r="A14005" s="35"/>
      <c r="C14005" s="442"/>
      <c r="P14005" s="235"/>
      <c r="AI14005" s="38"/>
    </row>
    <row r="14006" ht="15.75" customHeight="1">
      <c r="A14006" s="35"/>
      <c r="C14006" s="442"/>
      <c r="P14006" s="235"/>
      <c r="AI14006" s="38"/>
    </row>
    <row r="14007" ht="15.75" customHeight="1">
      <c r="A14007" s="35"/>
      <c r="C14007" s="442"/>
      <c r="P14007" s="235"/>
      <c r="AI14007" s="38"/>
    </row>
    <row r="14008" ht="15.75" customHeight="1">
      <c r="A14008" s="35"/>
      <c r="C14008" s="442"/>
      <c r="P14008" s="235"/>
      <c r="AI14008" s="38"/>
    </row>
    <row r="14009" ht="15.75" customHeight="1">
      <c r="A14009" s="35"/>
      <c r="C14009" s="442"/>
      <c r="P14009" s="235"/>
      <c r="AI14009" s="38"/>
    </row>
    <row r="14010" ht="15.75" customHeight="1">
      <c r="A14010" s="35"/>
      <c r="C14010" s="442"/>
      <c r="P14010" s="235"/>
      <c r="AI14010" s="38"/>
    </row>
    <row r="14011" ht="15.75" customHeight="1">
      <c r="A14011" s="35"/>
      <c r="C14011" s="442"/>
      <c r="P14011" s="235"/>
      <c r="AI14011" s="38"/>
    </row>
    <row r="14012" ht="15.75" customHeight="1">
      <c r="A14012" s="35"/>
      <c r="C14012" s="442"/>
      <c r="P14012" s="235"/>
      <c r="AI14012" s="38"/>
    </row>
    <row r="14013" ht="15.75" customHeight="1">
      <c r="A14013" s="35"/>
      <c r="C14013" s="442"/>
      <c r="P14013" s="235"/>
      <c r="AI14013" s="38"/>
    </row>
    <row r="14014" ht="15.75" customHeight="1">
      <c r="A14014" s="35"/>
      <c r="C14014" s="442"/>
      <c r="P14014" s="235"/>
      <c r="AI14014" s="38"/>
    </row>
    <row r="14015" ht="15.75" customHeight="1">
      <c r="A14015" s="35"/>
      <c r="C14015" s="442"/>
      <c r="P14015" s="235"/>
      <c r="AI14015" s="38"/>
    </row>
    <row r="14016" ht="15.75" customHeight="1">
      <c r="A14016" s="35"/>
      <c r="C14016" s="442"/>
      <c r="P14016" s="235"/>
      <c r="AI14016" s="38"/>
    </row>
    <row r="14017" ht="15.75" customHeight="1">
      <c r="A14017" s="35"/>
      <c r="C14017" s="442"/>
      <c r="P14017" s="235"/>
      <c r="AI14017" s="38"/>
    </row>
    <row r="14018" ht="15.75" customHeight="1">
      <c r="A14018" s="35"/>
      <c r="C14018" s="442"/>
      <c r="P14018" s="235"/>
      <c r="AI14018" s="38"/>
    </row>
    <row r="14019" ht="15.75" customHeight="1">
      <c r="A14019" s="35"/>
      <c r="C14019" s="442"/>
      <c r="P14019" s="235"/>
      <c r="AI14019" s="38"/>
    </row>
    <row r="14020" ht="15.75" customHeight="1">
      <c r="A14020" s="35"/>
      <c r="C14020" s="442"/>
      <c r="P14020" s="235"/>
      <c r="AI14020" s="38"/>
    </row>
    <row r="14021" ht="15.75" customHeight="1">
      <c r="A14021" s="35"/>
      <c r="C14021" s="442"/>
      <c r="P14021" s="235"/>
      <c r="AI14021" s="38"/>
    </row>
    <row r="14022" ht="15.75" customHeight="1">
      <c r="A14022" s="35"/>
      <c r="C14022" s="442"/>
      <c r="P14022" s="235"/>
      <c r="AI14022" s="38"/>
    </row>
    <row r="14023" ht="15.75" customHeight="1">
      <c r="A14023" s="35"/>
      <c r="C14023" s="442"/>
      <c r="P14023" s="235"/>
      <c r="AI14023" s="38"/>
    </row>
    <row r="14024" ht="15.75" customHeight="1">
      <c r="A14024" s="35"/>
      <c r="C14024" s="442"/>
      <c r="P14024" s="235"/>
      <c r="AI14024" s="38"/>
    </row>
    <row r="14025" ht="15.75" customHeight="1">
      <c r="A14025" s="35"/>
      <c r="C14025" s="442"/>
      <c r="P14025" s="235"/>
      <c r="AI14025" s="38"/>
    </row>
    <row r="14026" ht="15.75" customHeight="1">
      <c r="A14026" s="35"/>
      <c r="C14026" s="442"/>
      <c r="P14026" s="235"/>
      <c r="AI14026" s="38"/>
    </row>
    <row r="14027" ht="15.75" customHeight="1">
      <c r="A14027" s="35"/>
      <c r="C14027" s="442"/>
      <c r="P14027" s="235"/>
      <c r="AI14027" s="38"/>
    </row>
    <row r="14028" ht="15.75" customHeight="1">
      <c r="A14028" s="35"/>
      <c r="C14028" s="442"/>
      <c r="P14028" s="235"/>
      <c r="AI14028" s="38"/>
    </row>
    <row r="14029" ht="15.75" customHeight="1">
      <c r="A14029" s="35"/>
      <c r="C14029" s="442"/>
      <c r="P14029" s="235"/>
      <c r="AI14029" s="38"/>
    </row>
    <row r="14030" ht="15.75" customHeight="1">
      <c r="A14030" s="35"/>
      <c r="C14030" s="442"/>
      <c r="P14030" s="235"/>
      <c r="AI14030" s="38"/>
    </row>
    <row r="14031" ht="15.75" customHeight="1">
      <c r="A14031" s="35"/>
      <c r="C14031" s="442"/>
      <c r="P14031" s="235"/>
      <c r="AI14031" s="38"/>
    </row>
    <row r="14032" ht="15.75" customHeight="1">
      <c r="A14032" s="35"/>
      <c r="C14032" s="442"/>
      <c r="P14032" s="235"/>
      <c r="AI14032" s="38"/>
    </row>
    <row r="14033" ht="15.75" customHeight="1">
      <c r="A14033" s="35"/>
      <c r="C14033" s="442"/>
      <c r="P14033" s="235"/>
      <c r="AI14033" s="38"/>
    </row>
    <row r="14034" ht="15.75" customHeight="1">
      <c r="A14034" s="35"/>
      <c r="C14034" s="442"/>
      <c r="P14034" s="235"/>
      <c r="AI14034" s="38"/>
    </row>
    <row r="14035" ht="15.75" customHeight="1">
      <c r="A14035" s="35"/>
      <c r="C14035" s="442"/>
      <c r="P14035" s="235"/>
      <c r="AI14035" s="38"/>
    </row>
    <row r="14036" ht="15.75" customHeight="1">
      <c r="A14036" s="35"/>
      <c r="C14036" s="442"/>
      <c r="P14036" s="235"/>
      <c r="AI14036" s="38"/>
    </row>
    <row r="14037" ht="15.75" customHeight="1">
      <c r="A14037" s="35"/>
      <c r="C14037" s="442"/>
      <c r="P14037" s="235"/>
      <c r="AI14037" s="38"/>
    </row>
    <row r="14038" ht="15.75" customHeight="1">
      <c r="A14038" s="35"/>
      <c r="C14038" s="442"/>
      <c r="P14038" s="235"/>
      <c r="AI14038" s="38"/>
    </row>
    <row r="14039" ht="15.75" customHeight="1">
      <c r="A14039" s="35"/>
      <c r="C14039" s="442"/>
      <c r="P14039" s="235"/>
      <c r="AI14039" s="38"/>
    </row>
    <row r="14040" ht="15.75" customHeight="1">
      <c r="A14040" s="35"/>
      <c r="C14040" s="442"/>
      <c r="P14040" s="235"/>
      <c r="AI14040" s="38"/>
    </row>
    <row r="14041" ht="15.75" customHeight="1">
      <c r="A14041" s="35"/>
      <c r="C14041" s="442"/>
      <c r="P14041" s="235"/>
      <c r="AI14041" s="38"/>
    </row>
    <row r="14042" ht="15.75" customHeight="1">
      <c r="A14042" s="35"/>
      <c r="C14042" s="442"/>
      <c r="P14042" s="235"/>
      <c r="AI14042" s="38"/>
    </row>
    <row r="14043" ht="15.75" customHeight="1">
      <c r="A14043" s="35"/>
      <c r="C14043" s="442"/>
      <c r="P14043" s="235"/>
      <c r="AI14043" s="38"/>
    </row>
    <row r="14044" ht="15.75" customHeight="1">
      <c r="A14044" s="35"/>
      <c r="C14044" s="442"/>
      <c r="P14044" s="235"/>
      <c r="AI14044" s="38"/>
    </row>
    <row r="14045" ht="15.75" customHeight="1">
      <c r="A14045" s="35"/>
      <c r="C14045" s="442"/>
      <c r="P14045" s="235"/>
      <c r="AI14045" s="38"/>
    </row>
    <row r="14046" ht="15.75" customHeight="1">
      <c r="A14046" s="35"/>
      <c r="C14046" s="442"/>
      <c r="P14046" s="235"/>
      <c r="AI14046" s="38"/>
    </row>
    <row r="14047" ht="15.75" customHeight="1">
      <c r="A14047" s="35"/>
      <c r="C14047" s="442"/>
      <c r="P14047" s="235"/>
      <c r="AI14047" s="38"/>
    </row>
    <row r="14048" ht="15.75" customHeight="1">
      <c r="A14048" s="35"/>
      <c r="C14048" s="442"/>
      <c r="P14048" s="235"/>
      <c r="AI14048" s="38"/>
    </row>
    <row r="14049" ht="15.75" customHeight="1">
      <c r="A14049" s="35"/>
      <c r="C14049" s="442"/>
      <c r="P14049" s="235"/>
      <c r="AI14049" s="38"/>
    </row>
    <row r="14050" ht="15.75" customHeight="1">
      <c r="A14050" s="35"/>
      <c r="C14050" s="442"/>
      <c r="P14050" s="235"/>
      <c r="AI14050" s="38"/>
    </row>
    <row r="14051" ht="15.75" customHeight="1">
      <c r="A14051" s="35"/>
      <c r="C14051" s="442"/>
      <c r="P14051" s="235"/>
      <c r="AI14051" s="38"/>
    </row>
    <row r="14052" ht="15.75" customHeight="1">
      <c r="A14052" s="35"/>
      <c r="C14052" s="442"/>
      <c r="P14052" s="235"/>
      <c r="AI14052" s="38"/>
    </row>
    <row r="14053" ht="15.75" customHeight="1">
      <c r="A14053" s="35"/>
      <c r="C14053" s="442"/>
      <c r="P14053" s="235"/>
      <c r="AI14053" s="38"/>
    </row>
    <row r="14054" ht="15.75" customHeight="1">
      <c r="A14054" s="35"/>
      <c r="C14054" s="442"/>
      <c r="P14054" s="235"/>
      <c r="AI14054" s="38"/>
    </row>
    <row r="14055" ht="15.75" customHeight="1">
      <c r="A14055" s="35"/>
      <c r="C14055" s="442"/>
      <c r="P14055" s="235"/>
      <c r="AI14055" s="38"/>
    </row>
    <row r="14056" ht="15.75" customHeight="1">
      <c r="A14056" s="35"/>
      <c r="C14056" s="442"/>
      <c r="P14056" s="235"/>
      <c r="AI14056" s="38"/>
    </row>
    <row r="14057" ht="15.75" customHeight="1">
      <c r="A14057" s="35"/>
      <c r="C14057" s="442"/>
      <c r="P14057" s="235"/>
      <c r="AI14057" s="38"/>
    </row>
    <row r="14058" ht="15.75" customHeight="1">
      <c r="A14058" s="35"/>
      <c r="C14058" s="442"/>
      <c r="P14058" s="235"/>
      <c r="AI14058" s="38"/>
    </row>
    <row r="14059" ht="15.75" customHeight="1">
      <c r="A14059" s="35"/>
      <c r="C14059" s="442"/>
      <c r="P14059" s="235"/>
      <c r="AI14059" s="38"/>
    </row>
    <row r="14060" ht="15.75" customHeight="1">
      <c r="A14060" s="35"/>
      <c r="C14060" s="442"/>
      <c r="P14060" s="235"/>
      <c r="AI14060" s="38"/>
    </row>
    <row r="14061" ht="15.75" customHeight="1">
      <c r="A14061" s="35"/>
      <c r="C14061" s="442"/>
      <c r="P14061" s="235"/>
      <c r="AI14061" s="38"/>
    </row>
    <row r="14062" ht="15.75" customHeight="1">
      <c r="A14062" s="35"/>
      <c r="C14062" s="442"/>
      <c r="P14062" s="235"/>
      <c r="AI14062" s="38"/>
    </row>
    <row r="14063" ht="15.75" customHeight="1">
      <c r="A14063" s="35"/>
      <c r="C14063" s="442"/>
      <c r="P14063" s="235"/>
      <c r="AI14063" s="38"/>
    </row>
    <row r="14064" ht="15.75" customHeight="1">
      <c r="A14064" s="35"/>
      <c r="C14064" s="442"/>
      <c r="P14064" s="235"/>
      <c r="AI14064" s="38"/>
    </row>
    <row r="14065" ht="15.75" customHeight="1">
      <c r="A14065" s="35"/>
      <c r="C14065" s="442"/>
      <c r="P14065" s="235"/>
      <c r="AI14065" s="38"/>
    </row>
    <row r="14066" ht="15.75" customHeight="1">
      <c r="A14066" s="35"/>
      <c r="C14066" s="442"/>
      <c r="P14066" s="235"/>
      <c r="AI14066" s="38"/>
    </row>
    <row r="14067" ht="15.75" customHeight="1">
      <c r="A14067" s="35"/>
      <c r="C14067" s="442"/>
      <c r="P14067" s="235"/>
      <c r="AI14067" s="38"/>
    </row>
    <row r="14068" ht="15.75" customHeight="1">
      <c r="A14068" s="35"/>
      <c r="C14068" s="442"/>
      <c r="P14068" s="235"/>
      <c r="AI14068" s="38"/>
    </row>
    <row r="14069" ht="15.75" customHeight="1">
      <c r="A14069" s="35"/>
      <c r="C14069" s="442"/>
      <c r="P14069" s="235"/>
      <c r="AI14069" s="38"/>
    </row>
    <row r="14070" ht="15.75" customHeight="1">
      <c r="A14070" s="35"/>
      <c r="C14070" s="442"/>
      <c r="P14070" s="235"/>
      <c r="AI14070" s="38"/>
    </row>
    <row r="14071" ht="15.75" customHeight="1">
      <c r="A14071" s="35"/>
      <c r="C14071" s="442"/>
      <c r="P14071" s="235"/>
      <c r="AI14071" s="38"/>
    </row>
    <row r="14072" ht="15.75" customHeight="1">
      <c r="A14072" s="35"/>
      <c r="C14072" s="442"/>
      <c r="P14072" s="235"/>
      <c r="AI14072" s="38"/>
    </row>
    <row r="14073" ht="15.75" customHeight="1">
      <c r="A14073" s="35"/>
      <c r="C14073" s="442"/>
      <c r="P14073" s="235"/>
      <c r="AI14073" s="38"/>
    </row>
    <row r="14074" ht="15.75" customHeight="1">
      <c r="A14074" s="35"/>
      <c r="C14074" s="442"/>
      <c r="P14074" s="235"/>
      <c r="AI14074" s="38"/>
    </row>
    <row r="14075" ht="15.75" customHeight="1">
      <c r="A14075" s="35"/>
      <c r="C14075" s="442"/>
      <c r="P14075" s="235"/>
      <c r="AI14075" s="38"/>
    </row>
    <row r="14076" ht="15.75" customHeight="1">
      <c r="A14076" s="35"/>
      <c r="C14076" s="442"/>
      <c r="P14076" s="235"/>
      <c r="AI14076" s="38"/>
    </row>
    <row r="14077" ht="15.75" customHeight="1">
      <c r="A14077" s="35"/>
      <c r="C14077" s="442"/>
      <c r="P14077" s="235"/>
      <c r="AI14077" s="38"/>
    </row>
    <row r="14078" ht="15.75" customHeight="1">
      <c r="A14078" s="35"/>
      <c r="C14078" s="442"/>
      <c r="P14078" s="235"/>
      <c r="AI14078" s="38"/>
    </row>
    <row r="14079" ht="15.75" customHeight="1">
      <c r="A14079" s="35"/>
      <c r="C14079" s="442"/>
      <c r="P14079" s="235"/>
      <c r="AI14079" s="38"/>
    </row>
    <row r="14080" ht="15.75" customHeight="1">
      <c r="A14080" s="35"/>
      <c r="C14080" s="442"/>
      <c r="P14080" s="235"/>
      <c r="AI14080" s="38"/>
    </row>
    <row r="14081" ht="15.75" customHeight="1">
      <c r="A14081" s="35"/>
      <c r="C14081" s="442"/>
      <c r="P14081" s="235"/>
      <c r="AI14081" s="38"/>
    </row>
    <row r="14082" ht="15.75" customHeight="1">
      <c r="A14082" s="35"/>
      <c r="C14082" s="442"/>
      <c r="P14082" s="235"/>
      <c r="AI14082" s="38"/>
    </row>
    <row r="14083" ht="15.75" customHeight="1">
      <c r="A14083" s="35"/>
      <c r="C14083" s="442"/>
      <c r="P14083" s="235"/>
      <c r="AI14083" s="38"/>
    </row>
    <row r="14084" ht="15.75" customHeight="1">
      <c r="A14084" s="35"/>
      <c r="C14084" s="442"/>
      <c r="P14084" s="235"/>
      <c r="AI14084" s="38"/>
    </row>
    <row r="14085" ht="15.75" customHeight="1">
      <c r="A14085" s="35"/>
      <c r="C14085" s="442"/>
      <c r="P14085" s="235"/>
      <c r="AI14085" s="38"/>
    </row>
    <row r="14086" ht="15.75" customHeight="1">
      <c r="A14086" s="35"/>
      <c r="C14086" s="442"/>
      <c r="P14086" s="235"/>
      <c r="AI14086" s="38"/>
    </row>
    <row r="14087" ht="15.75" customHeight="1">
      <c r="A14087" s="35"/>
      <c r="C14087" s="442"/>
      <c r="P14087" s="235"/>
      <c r="AI14087" s="38"/>
    </row>
    <row r="14088" ht="15.75" customHeight="1">
      <c r="A14088" s="35"/>
      <c r="C14088" s="442"/>
      <c r="P14088" s="235"/>
      <c r="AI14088" s="38"/>
    </row>
    <row r="14089" ht="15.75" customHeight="1">
      <c r="A14089" s="35"/>
      <c r="C14089" s="442"/>
      <c r="P14089" s="235"/>
      <c r="AI14089" s="38"/>
    </row>
    <row r="14090" ht="15.75" customHeight="1">
      <c r="A14090" s="35"/>
      <c r="C14090" s="442"/>
      <c r="P14090" s="235"/>
      <c r="AI14090" s="38"/>
    </row>
    <row r="14091" ht="15.75" customHeight="1">
      <c r="A14091" s="35"/>
      <c r="C14091" s="442"/>
      <c r="P14091" s="235"/>
      <c r="AI14091" s="38"/>
    </row>
    <row r="14092" ht="15.75" customHeight="1">
      <c r="A14092" s="35"/>
      <c r="C14092" s="442"/>
      <c r="P14092" s="235"/>
      <c r="AI14092" s="38"/>
    </row>
    <row r="14093" ht="15.75" customHeight="1">
      <c r="A14093" s="35"/>
      <c r="C14093" s="442"/>
      <c r="P14093" s="235"/>
      <c r="AI14093" s="38"/>
    </row>
    <row r="14094" ht="15.75" customHeight="1">
      <c r="A14094" s="35"/>
      <c r="C14094" s="442"/>
      <c r="P14094" s="235"/>
      <c r="AI14094" s="38"/>
    </row>
    <row r="14095" ht="15.75" customHeight="1">
      <c r="A14095" s="35"/>
      <c r="C14095" s="442"/>
      <c r="P14095" s="235"/>
      <c r="AI14095" s="38"/>
    </row>
    <row r="14096" ht="15.75" customHeight="1">
      <c r="A14096" s="35"/>
      <c r="C14096" s="442"/>
      <c r="P14096" s="235"/>
      <c r="AI14096" s="38"/>
    </row>
    <row r="14097" ht="15.75" customHeight="1">
      <c r="A14097" s="35"/>
      <c r="C14097" s="442"/>
      <c r="P14097" s="235"/>
      <c r="AI14097" s="38"/>
    </row>
    <row r="14098" ht="15.75" customHeight="1">
      <c r="A14098" s="35"/>
      <c r="C14098" s="442"/>
      <c r="P14098" s="235"/>
      <c r="AI14098" s="38"/>
    </row>
    <row r="14099" ht="15.75" customHeight="1">
      <c r="A14099" s="35"/>
      <c r="C14099" s="442"/>
      <c r="P14099" s="235"/>
      <c r="AI14099" s="38"/>
    </row>
    <row r="14100" ht="15.75" customHeight="1">
      <c r="A14100" s="35"/>
      <c r="C14100" s="442"/>
      <c r="P14100" s="235"/>
      <c r="AI14100" s="38"/>
    </row>
    <row r="14101" ht="15.75" customHeight="1">
      <c r="A14101" s="35"/>
      <c r="C14101" s="442"/>
      <c r="P14101" s="235"/>
      <c r="AI14101" s="38"/>
    </row>
    <row r="14102" ht="15.75" customHeight="1">
      <c r="A14102" s="35"/>
      <c r="C14102" s="442"/>
      <c r="P14102" s="235"/>
      <c r="AI14102" s="38"/>
    </row>
    <row r="14103" ht="15.75" customHeight="1">
      <c r="A14103" s="35"/>
      <c r="C14103" s="442"/>
      <c r="P14103" s="235"/>
      <c r="AI14103" s="38"/>
    </row>
    <row r="14104" ht="15.75" customHeight="1">
      <c r="A14104" s="35"/>
      <c r="C14104" s="442"/>
      <c r="P14104" s="235"/>
      <c r="AI14104" s="38"/>
    </row>
    <row r="14105" ht="15.75" customHeight="1">
      <c r="A14105" s="35"/>
      <c r="C14105" s="442"/>
      <c r="P14105" s="235"/>
      <c r="AI14105" s="38"/>
    </row>
    <row r="14106" ht="15.75" customHeight="1">
      <c r="A14106" s="35"/>
      <c r="C14106" s="442"/>
      <c r="P14106" s="235"/>
      <c r="AI14106" s="38"/>
    </row>
    <row r="14107" ht="15.75" customHeight="1">
      <c r="A14107" s="35"/>
      <c r="C14107" s="442"/>
      <c r="P14107" s="235"/>
      <c r="AI14107" s="38"/>
    </row>
    <row r="14108" ht="15.75" customHeight="1">
      <c r="A14108" s="35"/>
      <c r="C14108" s="442"/>
      <c r="P14108" s="235"/>
      <c r="AI14108" s="38"/>
    </row>
    <row r="14109" ht="15.75" customHeight="1">
      <c r="A14109" s="35"/>
      <c r="C14109" s="442"/>
      <c r="P14109" s="235"/>
      <c r="AI14109" s="38"/>
    </row>
    <row r="14110" ht="15.75" customHeight="1">
      <c r="A14110" s="35"/>
      <c r="C14110" s="442"/>
      <c r="P14110" s="235"/>
      <c r="AI14110" s="38"/>
    </row>
    <row r="14111" ht="15.75" customHeight="1">
      <c r="A14111" s="35"/>
      <c r="C14111" s="442"/>
      <c r="P14111" s="235"/>
      <c r="AI14111" s="38"/>
    </row>
    <row r="14112" ht="15.75" customHeight="1">
      <c r="A14112" s="35"/>
      <c r="C14112" s="442"/>
      <c r="P14112" s="235"/>
      <c r="AI14112" s="38"/>
    </row>
    <row r="14113" ht="15.75" customHeight="1">
      <c r="A14113" s="35"/>
      <c r="C14113" s="442"/>
      <c r="P14113" s="235"/>
      <c r="AI14113" s="38"/>
    </row>
    <row r="14114" ht="15.75" customHeight="1">
      <c r="A14114" s="35"/>
      <c r="C14114" s="442"/>
      <c r="P14114" s="235"/>
      <c r="AI14114" s="38"/>
    </row>
    <row r="14115" ht="15.75" customHeight="1">
      <c r="A14115" s="35"/>
      <c r="C14115" s="442"/>
      <c r="P14115" s="235"/>
      <c r="AI14115" s="38"/>
    </row>
    <row r="14116" ht="15.75" customHeight="1">
      <c r="A14116" s="35"/>
      <c r="C14116" s="442"/>
      <c r="P14116" s="235"/>
      <c r="AI14116" s="38"/>
    </row>
    <row r="14117" ht="15.75" customHeight="1">
      <c r="A14117" s="35"/>
      <c r="C14117" s="442"/>
      <c r="P14117" s="235"/>
      <c r="AI14117" s="38"/>
    </row>
    <row r="14118" ht="15.75" customHeight="1">
      <c r="A14118" s="35"/>
      <c r="C14118" s="442"/>
      <c r="P14118" s="235"/>
      <c r="AI14118" s="38"/>
    </row>
    <row r="14119" ht="15.75" customHeight="1">
      <c r="A14119" s="35"/>
      <c r="C14119" s="442"/>
      <c r="P14119" s="235"/>
      <c r="AI14119" s="38"/>
    </row>
    <row r="14120" ht="15.75" customHeight="1">
      <c r="A14120" s="35"/>
      <c r="C14120" s="442"/>
      <c r="P14120" s="235"/>
      <c r="AI14120" s="38"/>
    </row>
    <row r="14121" ht="15.75" customHeight="1">
      <c r="A14121" s="35"/>
      <c r="C14121" s="442"/>
      <c r="P14121" s="235"/>
      <c r="AI14121" s="38"/>
    </row>
    <row r="14122" ht="15.75" customHeight="1">
      <c r="A14122" s="35"/>
      <c r="C14122" s="442"/>
      <c r="P14122" s="235"/>
      <c r="AI14122" s="38"/>
    </row>
    <row r="14123" ht="15.75" customHeight="1">
      <c r="A14123" s="35"/>
      <c r="C14123" s="442"/>
      <c r="P14123" s="235"/>
      <c r="AI14123" s="38"/>
    </row>
    <row r="14124" ht="15.75" customHeight="1">
      <c r="A14124" s="35"/>
      <c r="C14124" s="442"/>
      <c r="P14124" s="235"/>
      <c r="AI14124" s="38"/>
    </row>
    <row r="14125" ht="15.75" customHeight="1">
      <c r="A14125" s="35"/>
      <c r="C14125" s="442"/>
      <c r="P14125" s="235"/>
      <c r="AI14125" s="38"/>
    </row>
    <row r="14126" ht="15.75" customHeight="1">
      <c r="A14126" s="35"/>
      <c r="C14126" s="442"/>
      <c r="P14126" s="235"/>
      <c r="AI14126" s="38"/>
    </row>
    <row r="14127" ht="15.75" customHeight="1">
      <c r="A14127" s="35"/>
      <c r="C14127" s="442"/>
      <c r="P14127" s="235"/>
      <c r="AI14127" s="38"/>
    </row>
    <row r="14128" ht="15.75" customHeight="1">
      <c r="A14128" s="35"/>
      <c r="C14128" s="442"/>
      <c r="P14128" s="235"/>
      <c r="AI14128" s="38"/>
    </row>
    <row r="14129" ht="15.75" customHeight="1">
      <c r="A14129" s="35"/>
      <c r="C14129" s="442"/>
      <c r="P14129" s="235"/>
      <c r="AI14129" s="38"/>
    </row>
    <row r="14130" ht="15.75" customHeight="1">
      <c r="A14130" s="35"/>
      <c r="C14130" s="442"/>
      <c r="P14130" s="235"/>
      <c r="AI14130" s="38"/>
    </row>
    <row r="14131" ht="15.75" customHeight="1">
      <c r="A14131" s="35"/>
      <c r="C14131" s="442"/>
      <c r="P14131" s="235"/>
      <c r="AI14131" s="38"/>
    </row>
    <row r="14132" ht="15.75" customHeight="1">
      <c r="A14132" s="35"/>
      <c r="C14132" s="442"/>
      <c r="P14132" s="235"/>
      <c r="AI14132" s="38"/>
    </row>
    <row r="14133" ht="15.75" customHeight="1">
      <c r="A14133" s="35"/>
      <c r="C14133" s="442"/>
      <c r="P14133" s="235"/>
      <c r="AI14133" s="38"/>
    </row>
    <row r="14134" ht="15.75" customHeight="1">
      <c r="A14134" s="35"/>
      <c r="C14134" s="442"/>
      <c r="P14134" s="235"/>
      <c r="AI14134" s="38"/>
    </row>
    <row r="14135" ht="15.75" customHeight="1">
      <c r="A14135" s="35"/>
      <c r="C14135" s="442"/>
      <c r="P14135" s="235"/>
      <c r="AI14135" s="38"/>
    </row>
    <row r="14136" ht="15.75" customHeight="1">
      <c r="A14136" s="35"/>
      <c r="C14136" s="442"/>
      <c r="P14136" s="235"/>
      <c r="AI14136" s="38"/>
    </row>
    <row r="14137" ht="15.75" customHeight="1">
      <c r="A14137" s="35"/>
      <c r="C14137" s="442"/>
      <c r="P14137" s="235"/>
      <c r="AI14137" s="38"/>
    </row>
    <row r="14138" ht="15.75" customHeight="1">
      <c r="A14138" s="35"/>
      <c r="C14138" s="442"/>
      <c r="P14138" s="235"/>
      <c r="AI14138" s="38"/>
    </row>
    <row r="14139" ht="15.75" customHeight="1">
      <c r="A14139" s="35"/>
      <c r="C14139" s="442"/>
      <c r="P14139" s="235"/>
      <c r="AI14139" s="38"/>
    </row>
    <row r="14140" ht="15.75" customHeight="1">
      <c r="A14140" s="35"/>
      <c r="C14140" s="442"/>
      <c r="P14140" s="235"/>
      <c r="AI14140" s="38"/>
    </row>
    <row r="14141" ht="15.75" customHeight="1">
      <c r="A14141" s="35"/>
      <c r="C14141" s="442"/>
      <c r="P14141" s="235"/>
      <c r="AI14141" s="38"/>
    </row>
    <row r="14142" ht="15.75" customHeight="1">
      <c r="A14142" s="35"/>
      <c r="C14142" s="442"/>
      <c r="P14142" s="235"/>
      <c r="AI14142" s="38"/>
    </row>
    <row r="14143" ht="15.75" customHeight="1">
      <c r="A14143" s="35"/>
      <c r="C14143" s="442"/>
      <c r="P14143" s="235"/>
      <c r="AI14143" s="38"/>
    </row>
    <row r="14144" ht="15.75" customHeight="1">
      <c r="A14144" s="35"/>
      <c r="C14144" s="442"/>
      <c r="P14144" s="235"/>
      <c r="AI14144" s="38"/>
    </row>
    <row r="14145" ht="15.75" customHeight="1">
      <c r="A14145" s="35"/>
      <c r="C14145" s="442"/>
      <c r="P14145" s="235"/>
      <c r="AI14145" s="38"/>
    </row>
    <row r="14146" ht="15.75" customHeight="1">
      <c r="A14146" s="35"/>
      <c r="C14146" s="442"/>
      <c r="P14146" s="235"/>
      <c r="AI14146" s="38"/>
    </row>
    <row r="14147" ht="15.75" customHeight="1">
      <c r="A14147" s="35"/>
      <c r="C14147" s="442"/>
      <c r="P14147" s="235"/>
      <c r="AI14147" s="38"/>
    </row>
    <row r="14148" ht="15.75" customHeight="1">
      <c r="A14148" s="35"/>
      <c r="C14148" s="442"/>
      <c r="P14148" s="235"/>
      <c r="AI14148" s="38"/>
    </row>
    <row r="14149" ht="15.75" customHeight="1">
      <c r="A14149" s="35"/>
      <c r="C14149" s="442"/>
      <c r="P14149" s="235"/>
      <c r="AI14149" s="38"/>
    </row>
    <row r="14150" ht="15.75" customHeight="1">
      <c r="A14150" s="35"/>
      <c r="C14150" s="442"/>
      <c r="P14150" s="235"/>
      <c r="AI14150" s="38"/>
    </row>
    <row r="14151" ht="15.75" customHeight="1">
      <c r="A14151" s="35"/>
      <c r="C14151" s="442"/>
      <c r="P14151" s="235"/>
      <c r="AI14151" s="38"/>
    </row>
    <row r="14152" ht="15.75" customHeight="1">
      <c r="A14152" s="35"/>
      <c r="C14152" s="442"/>
      <c r="P14152" s="235"/>
      <c r="AI14152" s="38"/>
    </row>
    <row r="14153" ht="15.75" customHeight="1">
      <c r="A14153" s="35"/>
      <c r="C14153" s="442"/>
      <c r="P14153" s="235"/>
      <c r="AI14153" s="38"/>
    </row>
    <row r="14154" ht="15.75" customHeight="1">
      <c r="A14154" s="35"/>
      <c r="C14154" s="442"/>
      <c r="P14154" s="235"/>
      <c r="AI14154" s="38"/>
    </row>
    <row r="14155" ht="15.75" customHeight="1">
      <c r="A14155" s="35"/>
      <c r="C14155" s="442"/>
      <c r="P14155" s="235"/>
      <c r="AI14155" s="38"/>
    </row>
    <row r="14156" ht="15.75" customHeight="1">
      <c r="A14156" s="35"/>
      <c r="C14156" s="442"/>
      <c r="P14156" s="235"/>
      <c r="AI14156" s="38"/>
    </row>
    <row r="14157" ht="15.75" customHeight="1">
      <c r="A14157" s="35"/>
      <c r="C14157" s="442"/>
      <c r="P14157" s="235"/>
      <c r="AI14157" s="38"/>
    </row>
    <row r="14158" ht="15.75" customHeight="1">
      <c r="A14158" s="35"/>
      <c r="C14158" s="442"/>
      <c r="P14158" s="235"/>
      <c r="AI14158" s="38"/>
    </row>
    <row r="14159" ht="15.75" customHeight="1">
      <c r="A14159" s="35"/>
      <c r="C14159" s="442"/>
      <c r="P14159" s="235"/>
      <c r="AI14159" s="38"/>
    </row>
    <row r="14160" ht="15.75" customHeight="1">
      <c r="A14160" s="35"/>
      <c r="C14160" s="442"/>
      <c r="P14160" s="235"/>
      <c r="AI14160" s="38"/>
    </row>
    <row r="14161" ht="15.75" customHeight="1">
      <c r="A14161" s="35"/>
      <c r="C14161" s="442"/>
      <c r="P14161" s="235"/>
      <c r="AI14161" s="38"/>
    </row>
    <row r="14162" ht="15.75" customHeight="1">
      <c r="A14162" s="35"/>
      <c r="C14162" s="442"/>
      <c r="P14162" s="235"/>
      <c r="AI14162" s="38"/>
    </row>
    <row r="14163" ht="15.75" customHeight="1">
      <c r="A14163" s="35"/>
      <c r="C14163" s="442"/>
      <c r="P14163" s="235"/>
      <c r="AI14163" s="38"/>
    </row>
    <row r="14164" ht="15.75" customHeight="1">
      <c r="A14164" s="35"/>
      <c r="C14164" s="442"/>
      <c r="P14164" s="235"/>
      <c r="AI14164" s="38"/>
    </row>
    <row r="14165" ht="15.75" customHeight="1">
      <c r="A14165" s="35"/>
      <c r="C14165" s="442"/>
      <c r="P14165" s="235"/>
      <c r="AI14165" s="38"/>
    </row>
    <row r="14166" ht="15.75" customHeight="1">
      <c r="A14166" s="35"/>
      <c r="C14166" s="442"/>
      <c r="P14166" s="235"/>
      <c r="AI14166" s="38"/>
    </row>
    <row r="14167" ht="15.75" customHeight="1">
      <c r="A14167" s="35"/>
      <c r="C14167" s="442"/>
      <c r="P14167" s="235"/>
      <c r="AI14167" s="38"/>
    </row>
    <row r="14168" ht="15.75" customHeight="1">
      <c r="A14168" s="35"/>
      <c r="C14168" s="442"/>
      <c r="P14168" s="235"/>
      <c r="AI14168" s="38"/>
    </row>
    <row r="14169" ht="15.75" customHeight="1">
      <c r="A14169" s="35"/>
      <c r="C14169" s="442"/>
      <c r="P14169" s="235"/>
      <c r="AI14169" s="38"/>
    </row>
    <row r="14170" ht="15.75" customHeight="1">
      <c r="A14170" s="35"/>
      <c r="C14170" s="442"/>
      <c r="P14170" s="235"/>
      <c r="AI14170" s="38"/>
    </row>
    <row r="14171" ht="15.75" customHeight="1">
      <c r="A14171" s="35"/>
      <c r="C14171" s="442"/>
      <c r="P14171" s="235"/>
      <c r="AI14171" s="38"/>
    </row>
    <row r="14172" ht="15.75" customHeight="1">
      <c r="A14172" s="35"/>
      <c r="C14172" s="442"/>
      <c r="P14172" s="235"/>
      <c r="AI14172" s="38"/>
    </row>
    <row r="14173" ht="15.75" customHeight="1">
      <c r="A14173" s="35"/>
      <c r="C14173" s="442"/>
      <c r="P14173" s="235"/>
      <c r="AI14173" s="38"/>
    </row>
    <row r="14174" ht="15.75" customHeight="1">
      <c r="A14174" s="35"/>
      <c r="C14174" s="442"/>
      <c r="P14174" s="235"/>
      <c r="AI14174" s="38"/>
    </row>
    <row r="14175" ht="15.75" customHeight="1">
      <c r="A14175" s="35"/>
      <c r="C14175" s="442"/>
      <c r="P14175" s="235"/>
      <c r="AI14175" s="38"/>
    </row>
    <row r="14176" ht="15.75" customHeight="1">
      <c r="A14176" s="35"/>
      <c r="C14176" s="442"/>
      <c r="P14176" s="235"/>
      <c r="AI14176" s="38"/>
    </row>
    <row r="14177" ht="15.75" customHeight="1">
      <c r="A14177" s="35"/>
      <c r="C14177" s="442"/>
      <c r="P14177" s="235"/>
      <c r="AI14177" s="38"/>
    </row>
    <row r="14178" ht="15.75" customHeight="1">
      <c r="A14178" s="35"/>
      <c r="C14178" s="442"/>
      <c r="P14178" s="235"/>
      <c r="AI14178" s="38"/>
    </row>
    <row r="14179" ht="15.75" customHeight="1">
      <c r="A14179" s="35"/>
      <c r="C14179" s="442"/>
      <c r="P14179" s="235"/>
      <c r="AI14179" s="38"/>
    </row>
    <row r="14180" ht="15.75" customHeight="1">
      <c r="A14180" s="35"/>
      <c r="C14180" s="442"/>
      <c r="P14180" s="235"/>
      <c r="AI14180" s="38"/>
    </row>
    <row r="14181" ht="15.75" customHeight="1">
      <c r="A14181" s="35"/>
      <c r="C14181" s="442"/>
      <c r="P14181" s="235"/>
      <c r="AI14181" s="38"/>
    </row>
    <row r="14182" ht="15.75" customHeight="1">
      <c r="A14182" s="35"/>
      <c r="C14182" s="442"/>
      <c r="P14182" s="235"/>
      <c r="AI14182" s="38"/>
    </row>
    <row r="14183" ht="15.75" customHeight="1">
      <c r="A14183" s="35"/>
      <c r="C14183" s="442"/>
      <c r="P14183" s="235"/>
      <c r="AI14183" s="38"/>
    </row>
    <row r="14184" ht="15.75" customHeight="1">
      <c r="A14184" s="35"/>
      <c r="C14184" s="442"/>
      <c r="P14184" s="235"/>
      <c r="AI14184" s="38"/>
    </row>
    <row r="14185" ht="15.75" customHeight="1">
      <c r="A14185" s="35"/>
      <c r="C14185" s="442"/>
      <c r="P14185" s="235"/>
      <c r="AI14185" s="38"/>
    </row>
    <row r="14186" ht="15.75" customHeight="1">
      <c r="A14186" s="35"/>
      <c r="C14186" s="442"/>
      <c r="P14186" s="235"/>
      <c r="AI14186" s="38"/>
    </row>
    <row r="14187" ht="15.75" customHeight="1">
      <c r="A14187" s="35"/>
      <c r="C14187" s="442"/>
      <c r="P14187" s="235"/>
      <c r="AI14187" s="38"/>
    </row>
    <row r="14188" ht="15.75" customHeight="1">
      <c r="A14188" s="35"/>
      <c r="C14188" s="442"/>
      <c r="P14188" s="235"/>
      <c r="AI14188" s="38"/>
    </row>
    <row r="14189" ht="15.75" customHeight="1">
      <c r="A14189" s="35"/>
      <c r="C14189" s="442"/>
      <c r="P14189" s="235"/>
      <c r="AI14189" s="38"/>
    </row>
    <row r="14190" ht="15.75" customHeight="1">
      <c r="A14190" s="35"/>
      <c r="C14190" s="442"/>
      <c r="P14190" s="235"/>
      <c r="AI14190" s="38"/>
    </row>
    <row r="14191" ht="15.75" customHeight="1">
      <c r="A14191" s="35"/>
      <c r="C14191" s="442"/>
      <c r="P14191" s="235"/>
      <c r="AI14191" s="38"/>
    </row>
    <row r="14192" ht="15.75" customHeight="1">
      <c r="A14192" s="35"/>
      <c r="C14192" s="442"/>
      <c r="P14192" s="235"/>
      <c r="AI14192" s="38"/>
    </row>
    <row r="14193" ht="15.75" customHeight="1">
      <c r="A14193" s="35"/>
      <c r="C14193" s="442"/>
      <c r="P14193" s="235"/>
      <c r="AI14193" s="38"/>
    </row>
    <row r="14194" ht="15.75" customHeight="1">
      <c r="A14194" s="35"/>
      <c r="C14194" s="442"/>
      <c r="P14194" s="235"/>
      <c r="AI14194" s="38"/>
    </row>
    <row r="14195" ht="15.75" customHeight="1">
      <c r="A14195" s="35"/>
      <c r="C14195" s="442"/>
      <c r="P14195" s="235"/>
      <c r="AI14195" s="38"/>
    </row>
    <row r="14196" ht="15.75" customHeight="1">
      <c r="A14196" s="35"/>
      <c r="C14196" s="442"/>
      <c r="P14196" s="235"/>
      <c r="AI14196" s="38"/>
    </row>
    <row r="14197" ht="15.75" customHeight="1">
      <c r="A14197" s="35"/>
      <c r="C14197" s="442"/>
      <c r="P14197" s="235"/>
      <c r="AI14197" s="38"/>
    </row>
    <row r="14198" ht="15.75" customHeight="1">
      <c r="A14198" s="35"/>
      <c r="C14198" s="442"/>
      <c r="P14198" s="235"/>
      <c r="AI14198" s="38"/>
    </row>
    <row r="14199" ht="15.75" customHeight="1">
      <c r="A14199" s="35"/>
      <c r="C14199" s="442"/>
      <c r="P14199" s="235"/>
      <c r="AI14199" s="38"/>
    </row>
    <row r="14200" ht="15.75" customHeight="1">
      <c r="A14200" s="35"/>
      <c r="C14200" s="442"/>
      <c r="P14200" s="235"/>
      <c r="AI14200" s="38"/>
    </row>
    <row r="14201" ht="15.75" customHeight="1">
      <c r="A14201" s="35"/>
      <c r="C14201" s="442"/>
      <c r="P14201" s="235"/>
      <c r="AI14201" s="38"/>
    </row>
    <row r="14202" ht="15.75" customHeight="1">
      <c r="A14202" s="35"/>
      <c r="C14202" s="442"/>
      <c r="P14202" s="235"/>
      <c r="AI14202" s="38"/>
    </row>
    <row r="14203" ht="15.75" customHeight="1">
      <c r="A14203" s="35"/>
      <c r="C14203" s="442"/>
      <c r="P14203" s="235"/>
      <c r="AI14203" s="38"/>
    </row>
    <row r="14204" ht="15.75" customHeight="1">
      <c r="A14204" s="35"/>
      <c r="C14204" s="442"/>
      <c r="P14204" s="235"/>
      <c r="AI14204" s="38"/>
    </row>
    <row r="14205" ht="15.75" customHeight="1">
      <c r="A14205" s="35"/>
      <c r="C14205" s="442"/>
      <c r="P14205" s="235"/>
      <c r="AI14205" s="38"/>
    </row>
    <row r="14206" ht="15.75" customHeight="1">
      <c r="A14206" s="35"/>
      <c r="C14206" s="442"/>
      <c r="P14206" s="235"/>
      <c r="AI14206" s="38"/>
    </row>
    <row r="14207" ht="15.75" customHeight="1">
      <c r="A14207" s="35"/>
      <c r="C14207" s="442"/>
      <c r="P14207" s="235"/>
      <c r="AI14207" s="38"/>
    </row>
    <row r="14208" ht="15.75" customHeight="1">
      <c r="A14208" s="35"/>
      <c r="C14208" s="442"/>
      <c r="P14208" s="235"/>
      <c r="AI14208" s="38"/>
    </row>
    <row r="14209" ht="15.75" customHeight="1">
      <c r="A14209" s="35"/>
      <c r="C14209" s="442"/>
      <c r="P14209" s="235"/>
      <c r="AI14209" s="38"/>
    </row>
    <row r="14210" ht="15.75" customHeight="1">
      <c r="A14210" s="35"/>
      <c r="C14210" s="442"/>
      <c r="P14210" s="235"/>
      <c r="AI14210" s="38"/>
    </row>
    <row r="14211" ht="15.75" customHeight="1">
      <c r="A14211" s="35"/>
      <c r="C14211" s="442"/>
      <c r="P14211" s="235"/>
      <c r="AI14211" s="38"/>
    </row>
    <row r="14212" ht="15.75" customHeight="1">
      <c r="A14212" s="35"/>
      <c r="C14212" s="442"/>
      <c r="P14212" s="235"/>
      <c r="AI14212" s="38"/>
    </row>
    <row r="14213" ht="15.75" customHeight="1">
      <c r="A14213" s="35"/>
      <c r="C14213" s="442"/>
      <c r="P14213" s="235"/>
      <c r="AI14213" s="38"/>
    </row>
    <row r="14214" ht="15.75" customHeight="1">
      <c r="A14214" s="35"/>
      <c r="C14214" s="442"/>
      <c r="P14214" s="235"/>
      <c r="AI14214" s="38"/>
    </row>
    <row r="14215" ht="15.75" customHeight="1">
      <c r="A14215" s="35"/>
      <c r="C14215" s="442"/>
      <c r="P14215" s="235"/>
      <c r="AI14215" s="38"/>
    </row>
    <row r="14216" ht="15.75" customHeight="1">
      <c r="A14216" s="35"/>
      <c r="C14216" s="442"/>
      <c r="P14216" s="235"/>
      <c r="AI14216" s="38"/>
    </row>
    <row r="14217" ht="15.75" customHeight="1">
      <c r="A14217" s="35"/>
      <c r="C14217" s="442"/>
      <c r="P14217" s="235"/>
      <c r="AI14217" s="38"/>
    </row>
    <row r="14218" ht="15.75" customHeight="1">
      <c r="A14218" s="35"/>
      <c r="C14218" s="442"/>
      <c r="P14218" s="235"/>
      <c r="AI14218" s="38"/>
    </row>
    <row r="14219" ht="15.75" customHeight="1">
      <c r="A14219" s="35"/>
      <c r="C14219" s="442"/>
      <c r="P14219" s="235"/>
      <c r="AI14219" s="38"/>
    </row>
    <row r="14220" ht="15.75" customHeight="1">
      <c r="A14220" s="35"/>
      <c r="C14220" s="442"/>
      <c r="P14220" s="235"/>
      <c r="AI14220" s="38"/>
    </row>
    <row r="14221" ht="15.75" customHeight="1">
      <c r="A14221" s="35"/>
      <c r="C14221" s="442"/>
      <c r="P14221" s="235"/>
      <c r="AI14221" s="38"/>
    </row>
    <row r="14222" ht="15.75" customHeight="1">
      <c r="A14222" s="35"/>
      <c r="C14222" s="442"/>
      <c r="P14222" s="235"/>
      <c r="AI14222" s="38"/>
    </row>
    <row r="14223" ht="15.75" customHeight="1">
      <c r="A14223" s="35"/>
      <c r="C14223" s="442"/>
      <c r="P14223" s="235"/>
      <c r="AI14223" s="38"/>
    </row>
    <row r="14224" ht="15.75" customHeight="1">
      <c r="A14224" s="35"/>
      <c r="C14224" s="442"/>
      <c r="P14224" s="235"/>
      <c r="AI14224" s="38"/>
    </row>
    <row r="14225" ht="15.75" customHeight="1">
      <c r="A14225" s="35"/>
      <c r="C14225" s="442"/>
      <c r="P14225" s="235"/>
      <c r="AI14225" s="38"/>
    </row>
    <row r="14226" ht="15.75" customHeight="1">
      <c r="A14226" s="35"/>
      <c r="C14226" s="442"/>
      <c r="P14226" s="235"/>
      <c r="AI14226" s="38"/>
    </row>
    <row r="14227" ht="15.75" customHeight="1">
      <c r="A14227" s="35"/>
      <c r="C14227" s="442"/>
      <c r="P14227" s="235"/>
      <c r="AI14227" s="38"/>
    </row>
    <row r="14228" ht="15.75" customHeight="1">
      <c r="A14228" s="35"/>
      <c r="C14228" s="442"/>
      <c r="P14228" s="235"/>
      <c r="AI14228" s="38"/>
    </row>
    <row r="14229" ht="15.75" customHeight="1">
      <c r="A14229" s="35"/>
      <c r="C14229" s="442"/>
      <c r="P14229" s="235"/>
      <c r="AI14229" s="38"/>
    </row>
    <row r="14230" ht="15.75" customHeight="1">
      <c r="A14230" s="35"/>
      <c r="C14230" s="442"/>
      <c r="P14230" s="235"/>
      <c r="AI14230" s="38"/>
    </row>
    <row r="14231" ht="15.75" customHeight="1">
      <c r="A14231" s="35"/>
      <c r="C14231" s="442"/>
      <c r="P14231" s="235"/>
      <c r="AI14231" s="38"/>
    </row>
    <row r="14232" ht="15.75" customHeight="1">
      <c r="A14232" s="35"/>
      <c r="C14232" s="442"/>
      <c r="P14232" s="235"/>
      <c r="AI14232" s="38"/>
    </row>
    <row r="14233" ht="15.75" customHeight="1">
      <c r="A14233" s="35"/>
      <c r="C14233" s="442"/>
      <c r="P14233" s="235"/>
      <c r="AI14233" s="38"/>
    </row>
    <row r="14234" ht="15.75" customHeight="1">
      <c r="A14234" s="35"/>
      <c r="C14234" s="442"/>
      <c r="P14234" s="235"/>
      <c r="AI14234" s="38"/>
    </row>
    <row r="14235" ht="15.75" customHeight="1">
      <c r="A14235" s="35"/>
      <c r="C14235" s="442"/>
      <c r="P14235" s="235"/>
      <c r="AI14235" s="38"/>
    </row>
    <row r="14236" ht="15.75" customHeight="1">
      <c r="A14236" s="35"/>
      <c r="C14236" s="442"/>
      <c r="P14236" s="235"/>
      <c r="AI14236" s="38"/>
    </row>
    <row r="14237" ht="15.75" customHeight="1">
      <c r="A14237" s="35"/>
      <c r="C14237" s="442"/>
      <c r="P14237" s="235"/>
      <c r="AI14237" s="38"/>
    </row>
    <row r="14238" ht="15.75" customHeight="1">
      <c r="A14238" s="35"/>
      <c r="C14238" s="442"/>
      <c r="P14238" s="235"/>
      <c r="AI14238" s="38"/>
    </row>
    <row r="14239" ht="15.75" customHeight="1">
      <c r="A14239" s="35"/>
      <c r="C14239" s="442"/>
      <c r="P14239" s="235"/>
      <c r="AI14239" s="38"/>
    </row>
    <row r="14240" ht="15.75" customHeight="1">
      <c r="A14240" s="35"/>
      <c r="C14240" s="442"/>
      <c r="P14240" s="235"/>
      <c r="AI14240" s="38"/>
    </row>
    <row r="14241" ht="15.75" customHeight="1">
      <c r="A14241" s="35"/>
      <c r="C14241" s="442"/>
      <c r="P14241" s="235"/>
      <c r="AI14241" s="38"/>
    </row>
    <row r="14242" ht="15.75" customHeight="1">
      <c r="A14242" s="35"/>
      <c r="C14242" s="442"/>
      <c r="P14242" s="235"/>
      <c r="AI14242" s="38"/>
    </row>
    <row r="14243" ht="15.75" customHeight="1">
      <c r="A14243" s="35"/>
      <c r="C14243" s="442"/>
      <c r="P14243" s="235"/>
      <c r="AI14243" s="38"/>
    </row>
    <row r="14244" ht="15.75" customHeight="1">
      <c r="A14244" s="35"/>
      <c r="C14244" s="442"/>
      <c r="P14244" s="235"/>
      <c r="AI14244" s="38"/>
    </row>
    <row r="14245" ht="15.75" customHeight="1">
      <c r="A14245" s="35"/>
      <c r="C14245" s="442"/>
      <c r="P14245" s="235"/>
      <c r="AI14245" s="38"/>
    </row>
    <row r="14246" ht="15.75" customHeight="1">
      <c r="A14246" s="35"/>
      <c r="C14246" s="442"/>
      <c r="P14246" s="235"/>
      <c r="AI14246" s="38"/>
    </row>
    <row r="14247" ht="15.75" customHeight="1">
      <c r="A14247" s="35"/>
      <c r="C14247" s="442"/>
      <c r="P14247" s="235"/>
      <c r="AI14247" s="38"/>
    </row>
    <row r="14248" ht="15.75" customHeight="1">
      <c r="A14248" s="35"/>
      <c r="C14248" s="442"/>
      <c r="P14248" s="235"/>
      <c r="AI14248" s="38"/>
    </row>
    <row r="14249" ht="15.75" customHeight="1">
      <c r="A14249" s="35"/>
      <c r="C14249" s="442"/>
      <c r="P14249" s="235"/>
      <c r="AI14249" s="38"/>
    </row>
    <row r="14250" ht="15.75" customHeight="1">
      <c r="A14250" s="35"/>
      <c r="C14250" s="442"/>
      <c r="P14250" s="235"/>
      <c r="AI14250" s="38"/>
    </row>
    <row r="14251" ht="15.75" customHeight="1">
      <c r="A14251" s="35"/>
      <c r="C14251" s="442"/>
      <c r="P14251" s="235"/>
      <c r="AI14251" s="38"/>
    </row>
    <row r="14252" ht="15.75" customHeight="1">
      <c r="A14252" s="35"/>
      <c r="C14252" s="442"/>
      <c r="P14252" s="235"/>
      <c r="AI14252" s="38"/>
    </row>
    <row r="14253" ht="15.75" customHeight="1">
      <c r="A14253" s="35"/>
      <c r="C14253" s="442"/>
      <c r="P14253" s="235"/>
      <c r="AI14253" s="38"/>
    </row>
    <row r="14254" ht="15.75" customHeight="1">
      <c r="A14254" s="35"/>
      <c r="C14254" s="442"/>
      <c r="P14254" s="235"/>
      <c r="AI14254" s="38"/>
    </row>
    <row r="14255" ht="15.75" customHeight="1">
      <c r="A14255" s="35"/>
      <c r="C14255" s="442"/>
      <c r="P14255" s="235"/>
      <c r="AI14255" s="38"/>
    </row>
    <row r="14256" ht="15.75" customHeight="1">
      <c r="A14256" s="35"/>
      <c r="C14256" s="442"/>
      <c r="P14256" s="235"/>
      <c r="AI14256" s="38"/>
    </row>
    <row r="14257" ht="15.75" customHeight="1">
      <c r="A14257" s="35"/>
      <c r="C14257" s="442"/>
      <c r="P14257" s="235"/>
      <c r="AI14257" s="38"/>
    </row>
    <row r="14258" ht="15.75" customHeight="1">
      <c r="A14258" s="35"/>
      <c r="C14258" s="442"/>
      <c r="P14258" s="235"/>
      <c r="AI14258" s="38"/>
    </row>
    <row r="14259" ht="15.75" customHeight="1">
      <c r="A14259" s="35"/>
      <c r="C14259" s="442"/>
      <c r="P14259" s="235"/>
      <c r="AI14259" s="38"/>
    </row>
    <row r="14260" ht="15.75" customHeight="1">
      <c r="A14260" s="35"/>
      <c r="C14260" s="442"/>
      <c r="P14260" s="235"/>
      <c r="AI14260" s="38"/>
    </row>
    <row r="14261" ht="15.75" customHeight="1">
      <c r="A14261" s="35"/>
      <c r="C14261" s="442"/>
      <c r="P14261" s="235"/>
      <c r="AI14261" s="38"/>
    </row>
    <row r="14262" ht="15.75" customHeight="1">
      <c r="A14262" s="35"/>
      <c r="C14262" s="442"/>
      <c r="P14262" s="235"/>
      <c r="AI14262" s="38"/>
    </row>
    <row r="14263" ht="15.75" customHeight="1">
      <c r="A14263" s="35"/>
      <c r="C14263" s="442"/>
      <c r="P14263" s="235"/>
      <c r="AI14263" s="38"/>
    </row>
    <row r="14264" ht="15.75" customHeight="1">
      <c r="A14264" s="35"/>
      <c r="C14264" s="442"/>
      <c r="P14264" s="235"/>
      <c r="AI14264" s="38"/>
    </row>
    <row r="14265" ht="15.75" customHeight="1">
      <c r="A14265" s="35"/>
      <c r="C14265" s="442"/>
      <c r="P14265" s="235"/>
      <c r="AI14265" s="38"/>
    </row>
    <row r="14266" ht="15.75" customHeight="1">
      <c r="A14266" s="35"/>
      <c r="C14266" s="442"/>
      <c r="P14266" s="235"/>
      <c r="AI14266" s="38"/>
    </row>
    <row r="14267" ht="15.75" customHeight="1">
      <c r="A14267" s="35"/>
      <c r="C14267" s="442"/>
      <c r="P14267" s="235"/>
      <c r="AI14267" s="38"/>
    </row>
    <row r="14268" ht="15.75" customHeight="1">
      <c r="A14268" s="35"/>
      <c r="C14268" s="442"/>
      <c r="P14268" s="235"/>
      <c r="AI14268" s="38"/>
    </row>
    <row r="14269" ht="15.75" customHeight="1">
      <c r="A14269" s="35"/>
      <c r="C14269" s="442"/>
      <c r="P14269" s="235"/>
      <c r="AI14269" s="38"/>
    </row>
    <row r="14270" ht="15.75" customHeight="1">
      <c r="A14270" s="35"/>
      <c r="C14270" s="442"/>
      <c r="P14270" s="235"/>
      <c r="AI14270" s="38"/>
    </row>
    <row r="14271" ht="15.75" customHeight="1">
      <c r="A14271" s="35"/>
      <c r="C14271" s="442"/>
      <c r="P14271" s="235"/>
      <c r="AI14271" s="38"/>
    </row>
    <row r="14272" ht="15.75" customHeight="1">
      <c r="A14272" s="35"/>
      <c r="C14272" s="442"/>
      <c r="P14272" s="235"/>
      <c r="AI14272" s="38"/>
    </row>
    <row r="14273" ht="15.75" customHeight="1">
      <c r="A14273" s="35"/>
      <c r="C14273" s="442"/>
      <c r="P14273" s="235"/>
      <c r="AI14273" s="38"/>
    </row>
    <row r="14274" ht="15.75" customHeight="1">
      <c r="A14274" s="35"/>
      <c r="C14274" s="442"/>
      <c r="P14274" s="235"/>
      <c r="AI14274" s="38"/>
    </row>
    <row r="14275" ht="15.75" customHeight="1">
      <c r="A14275" s="35"/>
      <c r="C14275" s="442"/>
      <c r="P14275" s="235"/>
      <c r="AI14275" s="38"/>
    </row>
    <row r="14276" ht="15.75" customHeight="1">
      <c r="A14276" s="35"/>
      <c r="C14276" s="442"/>
      <c r="P14276" s="235"/>
      <c r="AI14276" s="38"/>
    </row>
    <row r="14277" ht="15.75" customHeight="1">
      <c r="A14277" s="35"/>
      <c r="C14277" s="442"/>
      <c r="P14277" s="235"/>
      <c r="AI14277" s="38"/>
    </row>
    <row r="14278" ht="15.75" customHeight="1">
      <c r="A14278" s="35"/>
      <c r="C14278" s="442"/>
      <c r="P14278" s="235"/>
      <c r="AI14278" s="38"/>
    </row>
    <row r="14279" ht="15.75" customHeight="1">
      <c r="A14279" s="35"/>
      <c r="C14279" s="442"/>
      <c r="P14279" s="235"/>
      <c r="AI14279" s="38"/>
    </row>
    <row r="14280" ht="15.75" customHeight="1">
      <c r="A14280" s="35"/>
      <c r="C14280" s="442"/>
      <c r="P14280" s="235"/>
      <c r="AI14280" s="38"/>
    </row>
    <row r="14281" ht="15.75" customHeight="1">
      <c r="A14281" s="35"/>
      <c r="C14281" s="442"/>
      <c r="P14281" s="235"/>
      <c r="AI14281" s="38"/>
    </row>
    <row r="14282" ht="15.75" customHeight="1">
      <c r="A14282" s="35"/>
      <c r="C14282" s="442"/>
      <c r="P14282" s="235"/>
      <c r="AI14282" s="38"/>
    </row>
    <row r="14283" ht="15.75" customHeight="1">
      <c r="A14283" s="35"/>
      <c r="C14283" s="442"/>
      <c r="P14283" s="235"/>
      <c r="AI14283" s="38"/>
    </row>
    <row r="14284" ht="15.75" customHeight="1">
      <c r="A14284" s="35"/>
      <c r="C14284" s="442"/>
      <c r="P14284" s="235"/>
      <c r="AI14284" s="38"/>
    </row>
    <row r="14285" ht="15.75" customHeight="1">
      <c r="A14285" s="35"/>
      <c r="C14285" s="442"/>
      <c r="P14285" s="235"/>
      <c r="AI14285" s="38"/>
    </row>
    <row r="14286" ht="15.75" customHeight="1">
      <c r="A14286" s="35"/>
      <c r="C14286" s="442"/>
      <c r="P14286" s="235"/>
      <c r="AI14286" s="38"/>
    </row>
    <row r="14287" ht="15.75" customHeight="1">
      <c r="A14287" s="35"/>
      <c r="C14287" s="442"/>
      <c r="P14287" s="235"/>
      <c r="AI14287" s="38"/>
    </row>
    <row r="14288" ht="15.75" customHeight="1">
      <c r="A14288" s="35"/>
      <c r="C14288" s="442"/>
      <c r="P14288" s="235"/>
      <c r="AI14288" s="38"/>
    </row>
    <row r="14289" ht="15.75" customHeight="1">
      <c r="A14289" s="35"/>
      <c r="C14289" s="442"/>
      <c r="P14289" s="235"/>
      <c r="AI14289" s="38"/>
    </row>
    <row r="14290" ht="15.75" customHeight="1">
      <c r="A14290" s="35"/>
      <c r="C14290" s="442"/>
      <c r="P14290" s="235"/>
      <c r="AI14290" s="38"/>
    </row>
    <row r="14291" ht="15.75" customHeight="1">
      <c r="A14291" s="35"/>
      <c r="C14291" s="442"/>
      <c r="P14291" s="235"/>
      <c r="AI14291" s="38"/>
    </row>
    <row r="14292" ht="15.75" customHeight="1">
      <c r="A14292" s="35"/>
      <c r="C14292" s="442"/>
      <c r="P14292" s="235"/>
      <c r="AI14292" s="38"/>
    </row>
    <row r="14293" ht="15.75" customHeight="1">
      <c r="A14293" s="35"/>
      <c r="C14293" s="442"/>
      <c r="P14293" s="235"/>
      <c r="AI14293" s="38"/>
    </row>
    <row r="14294" ht="15.75" customHeight="1">
      <c r="A14294" s="35"/>
      <c r="C14294" s="442"/>
      <c r="P14294" s="235"/>
      <c r="AI14294" s="38"/>
    </row>
    <row r="14295" ht="15.75" customHeight="1">
      <c r="A14295" s="35"/>
      <c r="C14295" s="442"/>
      <c r="P14295" s="235"/>
      <c r="AI14295" s="38"/>
    </row>
    <row r="14296" ht="15.75" customHeight="1">
      <c r="A14296" s="35"/>
      <c r="C14296" s="442"/>
      <c r="P14296" s="235"/>
      <c r="AI14296" s="38"/>
    </row>
    <row r="14297" ht="15.75" customHeight="1">
      <c r="A14297" s="35"/>
      <c r="C14297" s="442"/>
      <c r="P14297" s="235"/>
      <c r="AI14297" s="38"/>
    </row>
    <row r="14298" ht="15.75" customHeight="1">
      <c r="A14298" s="35"/>
      <c r="C14298" s="442"/>
      <c r="P14298" s="235"/>
      <c r="AI14298" s="38"/>
    </row>
    <row r="14299" ht="15.75" customHeight="1">
      <c r="A14299" s="35"/>
      <c r="C14299" s="442"/>
      <c r="P14299" s="235"/>
      <c r="AI14299" s="38"/>
    </row>
    <row r="14300" ht="15.75" customHeight="1">
      <c r="A14300" s="35"/>
      <c r="C14300" s="442"/>
      <c r="P14300" s="235"/>
      <c r="AI14300" s="38"/>
    </row>
    <row r="14301" ht="15.75" customHeight="1">
      <c r="A14301" s="35"/>
      <c r="C14301" s="442"/>
      <c r="P14301" s="235"/>
      <c r="AI14301" s="38"/>
    </row>
    <row r="14302" ht="15.75" customHeight="1">
      <c r="A14302" s="35"/>
      <c r="C14302" s="442"/>
      <c r="P14302" s="235"/>
      <c r="AI14302" s="38"/>
    </row>
    <row r="14303" ht="15.75" customHeight="1">
      <c r="A14303" s="35"/>
      <c r="C14303" s="442"/>
      <c r="P14303" s="235"/>
      <c r="AI14303" s="38"/>
    </row>
    <row r="14304" ht="15.75" customHeight="1">
      <c r="A14304" s="35"/>
      <c r="C14304" s="442"/>
      <c r="P14304" s="235"/>
      <c r="AI14304" s="38"/>
    </row>
    <row r="14305" ht="15.75" customHeight="1">
      <c r="A14305" s="35"/>
      <c r="C14305" s="442"/>
      <c r="P14305" s="235"/>
      <c r="AI14305" s="38"/>
    </row>
    <row r="14306" ht="15.75" customHeight="1">
      <c r="A14306" s="35"/>
      <c r="C14306" s="442"/>
      <c r="P14306" s="235"/>
      <c r="AI14306" s="38"/>
    </row>
    <row r="14307" ht="15.75" customHeight="1">
      <c r="A14307" s="35"/>
      <c r="C14307" s="442"/>
      <c r="P14307" s="235"/>
      <c r="AI14307" s="38"/>
    </row>
    <row r="14308" ht="15.75" customHeight="1">
      <c r="A14308" s="35"/>
      <c r="C14308" s="442"/>
      <c r="P14308" s="235"/>
      <c r="AI14308" s="38"/>
    </row>
    <row r="14309" ht="15.75" customHeight="1">
      <c r="A14309" s="35"/>
      <c r="C14309" s="442"/>
      <c r="P14309" s="235"/>
      <c r="AI14309" s="38"/>
    </row>
    <row r="14310" ht="15.75" customHeight="1">
      <c r="A14310" s="35"/>
      <c r="C14310" s="442"/>
      <c r="P14310" s="235"/>
      <c r="AI14310" s="38"/>
    </row>
    <row r="14311" ht="15.75" customHeight="1">
      <c r="A14311" s="35"/>
      <c r="C14311" s="442"/>
      <c r="P14311" s="235"/>
      <c r="AI14311" s="38"/>
    </row>
    <row r="14312" ht="15.75" customHeight="1">
      <c r="A14312" s="35"/>
      <c r="C14312" s="442"/>
      <c r="P14312" s="235"/>
      <c r="AI14312" s="38"/>
    </row>
    <row r="14313" ht="15.75" customHeight="1">
      <c r="A14313" s="35"/>
      <c r="C14313" s="442"/>
      <c r="P14313" s="235"/>
      <c r="AI14313" s="38"/>
    </row>
    <row r="14314" ht="15.75" customHeight="1">
      <c r="A14314" s="35"/>
      <c r="C14314" s="442"/>
      <c r="P14314" s="235"/>
      <c r="AI14314" s="38"/>
    </row>
    <row r="14315" ht="15.75" customHeight="1">
      <c r="A14315" s="35"/>
      <c r="C14315" s="442"/>
      <c r="P14315" s="235"/>
      <c r="AI14315" s="38"/>
    </row>
    <row r="14316" ht="15.75" customHeight="1">
      <c r="A14316" s="35"/>
      <c r="C14316" s="442"/>
      <c r="P14316" s="235"/>
      <c r="AI14316" s="38"/>
    </row>
    <row r="14317" ht="15.75" customHeight="1">
      <c r="A14317" s="35"/>
      <c r="C14317" s="442"/>
      <c r="P14317" s="235"/>
      <c r="AI14317" s="38"/>
    </row>
    <row r="14318" ht="15.75" customHeight="1">
      <c r="A14318" s="35"/>
      <c r="C14318" s="442"/>
      <c r="P14318" s="235"/>
      <c r="AI14318" s="38"/>
    </row>
    <row r="14319" ht="15.75" customHeight="1">
      <c r="A14319" s="35"/>
      <c r="C14319" s="442"/>
      <c r="P14319" s="235"/>
      <c r="AI14319" s="38"/>
    </row>
    <row r="14320" ht="15.75" customHeight="1">
      <c r="A14320" s="35"/>
      <c r="C14320" s="442"/>
      <c r="P14320" s="235"/>
      <c r="AI14320" s="38"/>
    </row>
    <row r="14321" ht="15.75" customHeight="1">
      <c r="A14321" s="35"/>
      <c r="C14321" s="442"/>
      <c r="P14321" s="235"/>
      <c r="AI14321" s="38"/>
    </row>
    <row r="14322" ht="15.75" customHeight="1">
      <c r="A14322" s="35"/>
      <c r="C14322" s="442"/>
      <c r="P14322" s="235"/>
      <c r="AI14322" s="38"/>
    </row>
    <row r="14323" ht="15.75" customHeight="1">
      <c r="A14323" s="35"/>
      <c r="C14323" s="442"/>
      <c r="P14323" s="235"/>
      <c r="AI14323" s="38"/>
    </row>
    <row r="14324" ht="15.75" customHeight="1">
      <c r="A14324" s="35"/>
      <c r="C14324" s="442"/>
      <c r="P14324" s="235"/>
      <c r="AI14324" s="38"/>
    </row>
    <row r="14325" ht="15.75" customHeight="1">
      <c r="A14325" s="35"/>
      <c r="C14325" s="442"/>
      <c r="P14325" s="235"/>
      <c r="AI14325" s="38"/>
    </row>
    <row r="14326" ht="15.75" customHeight="1">
      <c r="A14326" s="35"/>
      <c r="C14326" s="442"/>
      <c r="P14326" s="235"/>
      <c r="AI14326" s="38"/>
    </row>
    <row r="14327" ht="15.75" customHeight="1">
      <c r="A14327" s="35"/>
      <c r="C14327" s="442"/>
      <c r="P14327" s="235"/>
      <c r="AI14327" s="38"/>
    </row>
    <row r="14328" ht="15.75" customHeight="1">
      <c r="A14328" s="35"/>
      <c r="C14328" s="442"/>
      <c r="P14328" s="235"/>
      <c r="AI14328" s="38"/>
    </row>
    <row r="14329" ht="15.75" customHeight="1">
      <c r="A14329" s="35"/>
      <c r="C14329" s="442"/>
      <c r="P14329" s="235"/>
      <c r="AI14329" s="38"/>
    </row>
    <row r="14330" ht="15.75" customHeight="1">
      <c r="A14330" s="35"/>
      <c r="C14330" s="442"/>
      <c r="P14330" s="235"/>
      <c r="AI14330" s="38"/>
    </row>
    <row r="14331" ht="15.75" customHeight="1">
      <c r="A14331" s="35"/>
      <c r="C14331" s="442"/>
      <c r="P14331" s="235"/>
      <c r="AI14331" s="38"/>
    </row>
    <row r="14332" ht="15.75" customHeight="1">
      <c r="A14332" s="35"/>
      <c r="C14332" s="442"/>
      <c r="P14332" s="235"/>
      <c r="AI14332" s="38"/>
    </row>
    <row r="14333" ht="15.75" customHeight="1">
      <c r="A14333" s="35"/>
      <c r="C14333" s="442"/>
      <c r="P14333" s="235"/>
      <c r="AI14333" s="38"/>
    </row>
    <row r="14334" ht="15.75" customHeight="1">
      <c r="A14334" s="35"/>
      <c r="C14334" s="442"/>
      <c r="P14334" s="235"/>
      <c r="AI14334" s="38"/>
    </row>
    <row r="14335" ht="15.75" customHeight="1">
      <c r="A14335" s="35"/>
      <c r="C14335" s="442"/>
      <c r="P14335" s="235"/>
      <c r="AI14335" s="38"/>
    </row>
    <row r="14336" ht="15.75" customHeight="1">
      <c r="A14336" s="35"/>
      <c r="C14336" s="442"/>
      <c r="P14336" s="235"/>
      <c r="AI14336" s="38"/>
    </row>
    <row r="14337" ht="15.75" customHeight="1">
      <c r="A14337" s="35"/>
      <c r="C14337" s="442"/>
      <c r="P14337" s="235"/>
      <c r="AI14337" s="38"/>
    </row>
    <row r="14338" ht="15.75" customHeight="1">
      <c r="A14338" s="35"/>
      <c r="C14338" s="442"/>
      <c r="P14338" s="235"/>
      <c r="AI14338" s="38"/>
    </row>
    <row r="14339" ht="15.75" customHeight="1">
      <c r="A14339" s="35"/>
      <c r="C14339" s="442"/>
      <c r="P14339" s="235"/>
      <c r="AI14339" s="38"/>
    </row>
    <row r="14340" ht="15.75" customHeight="1">
      <c r="A14340" s="35"/>
      <c r="C14340" s="442"/>
      <c r="P14340" s="235"/>
      <c r="AI14340" s="38"/>
    </row>
    <row r="14341" ht="15.75" customHeight="1">
      <c r="A14341" s="35"/>
      <c r="C14341" s="442"/>
      <c r="P14341" s="235"/>
      <c r="AI14341" s="38"/>
    </row>
    <row r="14342" ht="15.75" customHeight="1">
      <c r="A14342" s="35"/>
      <c r="C14342" s="442"/>
      <c r="P14342" s="235"/>
      <c r="AI14342" s="38"/>
    </row>
    <row r="14343" ht="15.75" customHeight="1">
      <c r="A14343" s="35"/>
      <c r="C14343" s="442"/>
      <c r="P14343" s="235"/>
      <c r="AI14343" s="38"/>
    </row>
    <row r="14344" ht="15.75" customHeight="1">
      <c r="A14344" s="35"/>
      <c r="C14344" s="442"/>
      <c r="P14344" s="235"/>
      <c r="AI14344" s="38"/>
    </row>
    <row r="14345" ht="15.75" customHeight="1">
      <c r="A14345" s="35"/>
      <c r="C14345" s="442"/>
      <c r="P14345" s="235"/>
      <c r="AI14345" s="38"/>
    </row>
    <row r="14346" ht="15.75" customHeight="1">
      <c r="A14346" s="35"/>
      <c r="C14346" s="442"/>
      <c r="P14346" s="235"/>
      <c r="AI14346" s="38"/>
    </row>
    <row r="14347" ht="15.75" customHeight="1">
      <c r="A14347" s="35"/>
      <c r="C14347" s="442"/>
      <c r="P14347" s="235"/>
      <c r="AI14347" s="38"/>
    </row>
    <row r="14348" ht="15.75" customHeight="1">
      <c r="A14348" s="35"/>
      <c r="C14348" s="442"/>
      <c r="P14348" s="235"/>
      <c r="AI14348" s="38"/>
    </row>
    <row r="14349" ht="15.75" customHeight="1">
      <c r="A14349" s="35"/>
      <c r="C14349" s="442"/>
      <c r="P14349" s="235"/>
      <c r="AI14349" s="38"/>
    </row>
    <row r="14350" ht="15.75" customHeight="1">
      <c r="A14350" s="35"/>
      <c r="C14350" s="442"/>
      <c r="P14350" s="235"/>
      <c r="AI14350" s="38"/>
    </row>
    <row r="14351" ht="15.75" customHeight="1">
      <c r="A14351" s="35"/>
      <c r="C14351" s="442"/>
      <c r="P14351" s="235"/>
      <c r="AI14351" s="38"/>
    </row>
    <row r="14352" ht="15.75" customHeight="1">
      <c r="A14352" s="35"/>
      <c r="C14352" s="442"/>
      <c r="P14352" s="235"/>
      <c r="AI14352" s="38"/>
    </row>
    <row r="14353" ht="15.75" customHeight="1">
      <c r="A14353" s="35"/>
      <c r="C14353" s="442"/>
      <c r="P14353" s="235"/>
      <c r="AI14353" s="38"/>
    </row>
    <row r="14354" ht="15.75" customHeight="1">
      <c r="A14354" s="35"/>
      <c r="C14354" s="442"/>
      <c r="P14354" s="235"/>
      <c r="AI14354" s="38"/>
    </row>
    <row r="14355" ht="15.75" customHeight="1">
      <c r="A14355" s="35"/>
      <c r="C14355" s="442"/>
      <c r="P14355" s="235"/>
      <c r="AI14355" s="38"/>
    </row>
    <row r="14356" ht="15.75" customHeight="1">
      <c r="A14356" s="35"/>
      <c r="C14356" s="442"/>
      <c r="P14356" s="235"/>
      <c r="AI14356" s="38"/>
    </row>
    <row r="14357" ht="15.75" customHeight="1">
      <c r="A14357" s="35"/>
      <c r="C14357" s="442"/>
      <c r="P14357" s="235"/>
      <c r="AI14357" s="38"/>
    </row>
    <row r="14358" ht="15.75" customHeight="1">
      <c r="A14358" s="35"/>
      <c r="C14358" s="442"/>
      <c r="P14358" s="235"/>
      <c r="AI14358" s="38"/>
    </row>
    <row r="14359" ht="15.75" customHeight="1">
      <c r="A14359" s="35"/>
      <c r="C14359" s="442"/>
      <c r="P14359" s="235"/>
      <c r="AI14359" s="38"/>
    </row>
    <row r="14360" ht="15.75" customHeight="1">
      <c r="A14360" s="35"/>
      <c r="C14360" s="442"/>
      <c r="P14360" s="235"/>
      <c r="AI14360" s="38"/>
    </row>
    <row r="14361" ht="15.75" customHeight="1">
      <c r="A14361" s="35"/>
      <c r="C14361" s="442"/>
      <c r="P14361" s="235"/>
      <c r="AI14361" s="38"/>
    </row>
    <row r="14362" ht="15.75" customHeight="1">
      <c r="A14362" s="35"/>
      <c r="C14362" s="442"/>
      <c r="P14362" s="235"/>
      <c r="AI14362" s="38"/>
    </row>
    <row r="14363" ht="15.75" customHeight="1">
      <c r="A14363" s="35"/>
      <c r="C14363" s="442"/>
      <c r="P14363" s="235"/>
      <c r="AI14363" s="38"/>
    </row>
    <row r="14364" ht="15.75" customHeight="1">
      <c r="A14364" s="35"/>
      <c r="C14364" s="442"/>
      <c r="P14364" s="235"/>
      <c r="AI14364" s="38"/>
    </row>
    <row r="14365" ht="15.75" customHeight="1">
      <c r="A14365" s="35"/>
      <c r="C14365" s="442"/>
      <c r="P14365" s="235"/>
      <c r="AI14365" s="38"/>
    </row>
    <row r="14366" ht="15.75" customHeight="1">
      <c r="A14366" s="35"/>
      <c r="C14366" s="442"/>
      <c r="P14366" s="235"/>
      <c r="AI14366" s="38"/>
    </row>
    <row r="14367" ht="15.75" customHeight="1">
      <c r="A14367" s="35"/>
      <c r="C14367" s="442"/>
      <c r="P14367" s="235"/>
      <c r="AI14367" s="38"/>
    </row>
    <row r="14368" ht="15.75" customHeight="1">
      <c r="A14368" s="35"/>
      <c r="C14368" s="442"/>
      <c r="P14368" s="235"/>
      <c r="AI14368" s="38"/>
    </row>
    <row r="14369" ht="15.75" customHeight="1">
      <c r="A14369" s="35"/>
      <c r="C14369" s="442"/>
      <c r="P14369" s="235"/>
      <c r="AI14369" s="38"/>
    </row>
    <row r="14370" ht="15.75" customHeight="1">
      <c r="A14370" s="35"/>
      <c r="C14370" s="442"/>
      <c r="P14370" s="235"/>
      <c r="AI14370" s="38"/>
    </row>
    <row r="14371" ht="15.75" customHeight="1">
      <c r="A14371" s="35"/>
      <c r="C14371" s="442"/>
      <c r="P14371" s="235"/>
      <c r="AI14371" s="38"/>
    </row>
    <row r="14372" ht="15.75" customHeight="1">
      <c r="A14372" s="35"/>
      <c r="C14372" s="442"/>
      <c r="P14372" s="235"/>
      <c r="AI14372" s="38"/>
    </row>
    <row r="14373" ht="15.75" customHeight="1">
      <c r="A14373" s="35"/>
      <c r="C14373" s="442"/>
      <c r="P14373" s="235"/>
      <c r="AI14373" s="38"/>
    </row>
    <row r="14374" ht="15.75" customHeight="1">
      <c r="A14374" s="35"/>
      <c r="C14374" s="442"/>
      <c r="P14374" s="235"/>
      <c r="AI14374" s="38"/>
    </row>
    <row r="14375" ht="15.75" customHeight="1">
      <c r="A14375" s="35"/>
      <c r="C14375" s="442"/>
      <c r="P14375" s="235"/>
      <c r="AI14375" s="38"/>
    </row>
    <row r="14376" ht="15.75" customHeight="1">
      <c r="A14376" s="35"/>
      <c r="C14376" s="442"/>
      <c r="P14376" s="235"/>
      <c r="AI14376" s="38"/>
    </row>
    <row r="14377" ht="15.75" customHeight="1">
      <c r="A14377" s="35"/>
      <c r="C14377" s="442"/>
      <c r="P14377" s="235"/>
      <c r="AI14377" s="38"/>
    </row>
    <row r="14378" ht="15.75" customHeight="1">
      <c r="A14378" s="35"/>
      <c r="C14378" s="442"/>
      <c r="P14378" s="235"/>
      <c r="AI14378" s="38"/>
    </row>
    <row r="14379" ht="15.75" customHeight="1">
      <c r="A14379" s="35"/>
      <c r="C14379" s="442"/>
      <c r="P14379" s="235"/>
      <c r="AI14379" s="38"/>
    </row>
    <row r="14380" ht="15.75" customHeight="1">
      <c r="A14380" s="35"/>
      <c r="C14380" s="442"/>
      <c r="P14380" s="235"/>
      <c r="AI14380" s="38"/>
    </row>
    <row r="14381" ht="15.75" customHeight="1">
      <c r="A14381" s="35"/>
      <c r="C14381" s="442"/>
      <c r="P14381" s="235"/>
      <c r="AI14381" s="38"/>
    </row>
    <row r="14382" ht="15.75" customHeight="1">
      <c r="A14382" s="35"/>
      <c r="C14382" s="442"/>
      <c r="P14382" s="235"/>
      <c r="AI14382" s="38"/>
    </row>
    <row r="14383" ht="15.75" customHeight="1">
      <c r="A14383" s="35"/>
      <c r="C14383" s="442"/>
      <c r="P14383" s="235"/>
      <c r="AI14383" s="38"/>
    </row>
    <row r="14384" ht="15.75" customHeight="1">
      <c r="A14384" s="35"/>
      <c r="C14384" s="442"/>
      <c r="P14384" s="235"/>
      <c r="AI14384" s="38"/>
    </row>
    <row r="14385" ht="15.75" customHeight="1">
      <c r="A14385" s="35"/>
      <c r="C14385" s="442"/>
      <c r="P14385" s="235"/>
      <c r="AI14385" s="38"/>
    </row>
    <row r="14386" ht="15.75" customHeight="1">
      <c r="A14386" s="35"/>
      <c r="C14386" s="442"/>
      <c r="P14386" s="235"/>
      <c r="AI14386" s="38"/>
    </row>
    <row r="14387" ht="15.75" customHeight="1">
      <c r="A14387" s="35"/>
      <c r="C14387" s="442"/>
      <c r="P14387" s="235"/>
      <c r="AI14387" s="38"/>
    </row>
    <row r="14388" ht="15.75" customHeight="1">
      <c r="A14388" s="35"/>
      <c r="C14388" s="442"/>
      <c r="P14388" s="235"/>
      <c r="AI14388" s="38"/>
    </row>
    <row r="14389" ht="15.75" customHeight="1">
      <c r="A14389" s="35"/>
      <c r="C14389" s="442"/>
      <c r="P14389" s="235"/>
      <c r="AI14389" s="38"/>
    </row>
    <row r="14390" ht="15.75" customHeight="1">
      <c r="A14390" s="35"/>
      <c r="C14390" s="442"/>
      <c r="P14390" s="235"/>
      <c r="AI14390" s="38"/>
    </row>
    <row r="14391" ht="15.75" customHeight="1">
      <c r="A14391" s="35"/>
      <c r="C14391" s="442"/>
      <c r="P14391" s="235"/>
      <c r="AI14391" s="38"/>
    </row>
    <row r="14392" ht="15.75" customHeight="1">
      <c r="A14392" s="35"/>
      <c r="C14392" s="442"/>
      <c r="P14392" s="235"/>
      <c r="AI14392" s="38"/>
    </row>
    <row r="14393" ht="15.75" customHeight="1">
      <c r="A14393" s="35"/>
      <c r="C14393" s="442"/>
      <c r="P14393" s="235"/>
      <c r="AI14393" s="38"/>
    </row>
    <row r="14394" ht="15.75" customHeight="1">
      <c r="A14394" s="35"/>
      <c r="C14394" s="442"/>
      <c r="P14394" s="235"/>
      <c r="AI14394" s="38"/>
    </row>
    <row r="14395" ht="15.75" customHeight="1">
      <c r="A14395" s="35"/>
      <c r="C14395" s="442"/>
      <c r="P14395" s="235"/>
      <c r="AI14395" s="38"/>
    </row>
    <row r="14396" ht="15.75" customHeight="1">
      <c r="A14396" s="35"/>
      <c r="C14396" s="442"/>
      <c r="P14396" s="235"/>
      <c r="AI14396" s="38"/>
    </row>
    <row r="14397" ht="15.75" customHeight="1">
      <c r="A14397" s="35"/>
      <c r="C14397" s="442"/>
      <c r="P14397" s="235"/>
      <c r="AI14397" s="38"/>
    </row>
    <row r="14398" ht="15.75" customHeight="1">
      <c r="A14398" s="35"/>
      <c r="C14398" s="442"/>
      <c r="P14398" s="235"/>
      <c r="AI14398" s="38"/>
    </row>
    <row r="14399" ht="15.75" customHeight="1">
      <c r="A14399" s="35"/>
      <c r="C14399" s="442"/>
      <c r="P14399" s="235"/>
      <c r="AI14399" s="38"/>
    </row>
    <row r="14400" ht="15.75" customHeight="1">
      <c r="A14400" s="35"/>
      <c r="C14400" s="442"/>
      <c r="P14400" s="235"/>
      <c r="AI14400" s="38"/>
    </row>
    <row r="14401" ht="15.75" customHeight="1">
      <c r="A14401" s="35"/>
      <c r="C14401" s="442"/>
      <c r="P14401" s="235"/>
      <c r="AI14401" s="38"/>
    </row>
    <row r="14402" ht="15.75" customHeight="1">
      <c r="A14402" s="35"/>
      <c r="C14402" s="442"/>
      <c r="P14402" s="235"/>
      <c r="AI14402" s="38"/>
    </row>
    <row r="14403" ht="15.75" customHeight="1">
      <c r="A14403" s="35"/>
      <c r="C14403" s="442"/>
      <c r="P14403" s="235"/>
      <c r="AI14403" s="38"/>
    </row>
    <row r="14404" ht="15.75" customHeight="1">
      <c r="A14404" s="35"/>
      <c r="C14404" s="442"/>
      <c r="P14404" s="235"/>
      <c r="AI14404" s="38"/>
    </row>
    <row r="14405" ht="15.75" customHeight="1">
      <c r="A14405" s="35"/>
      <c r="C14405" s="442"/>
      <c r="P14405" s="235"/>
      <c r="AI14405" s="38"/>
    </row>
    <row r="14406" ht="15.75" customHeight="1">
      <c r="A14406" s="35"/>
      <c r="C14406" s="442"/>
      <c r="P14406" s="235"/>
      <c r="AI14406" s="38"/>
    </row>
    <row r="14407" ht="15.75" customHeight="1">
      <c r="A14407" s="35"/>
      <c r="C14407" s="442"/>
      <c r="P14407" s="235"/>
      <c r="AI14407" s="38"/>
    </row>
    <row r="14408" ht="15.75" customHeight="1">
      <c r="A14408" s="35"/>
      <c r="C14408" s="442"/>
      <c r="P14408" s="235"/>
      <c r="AI14408" s="38"/>
    </row>
    <row r="14409" ht="15.75" customHeight="1">
      <c r="A14409" s="35"/>
      <c r="C14409" s="442"/>
      <c r="P14409" s="235"/>
      <c r="AI14409" s="38"/>
    </row>
    <row r="14410" ht="15.75" customHeight="1">
      <c r="A14410" s="35"/>
      <c r="C14410" s="442"/>
      <c r="P14410" s="235"/>
      <c r="AI14410" s="38"/>
    </row>
    <row r="14411" ht="15.75" customHeight="1">
      <c r="A14411" s="35"/>
      <c r="C14411" s="442"/>
      <c r="P14411" s="235"/>
      <c r="AI14411" s="38"/>
    </row>
    <row r="14412" ht="15.75" customHeight="1">
      <c r="A14412" s="35"/>
      <c r="C14412" s="442"/>
      <c r="P14412" s="235"/>
      <c r="AI14412" s="38"/>
    </row>
    <row r="14413" ht="15.75" customHeight="1">
      <c r="A14413" s="35"/>
      <c r="C14413" s="442"/>
      <c r="P14413" s="235"/>
      <c r="AI14413" s="38"/>
    </row>
    <row r="14414" ht="15.75" customHeight="1">
      <c r="A14414" s="35"/>
      <c r="C14414" s="442"/>
      <c r="P14414" s="235"/>
      <c r="AI14414" s="38"/>
    </row>
    <row r="14415" ht="15.75" customHeight="1">
      <c r="A14415" s="35"/>
      <c r="C14415" s="442"/>
      <c r="P14415" s="235"/>
      <c r="AI14415" s="38"/>
    </row>
    <row r="14416" ht="15.75" customHeight="1">
      <c r="A14416" s="35"/>
      <c r="C14416" s="442"/>
      <c r="P14416" s="235"/>
      <c r="AI14416" s="38"/>
    </row>
    <row r="14417" ht="15.75" customHeight="1">
      <c r="A14417" s="35"/>
      <c r="C14417" s="442"/>
      <c r="P14417" s="235"/>
      <c r="AI14417" s="38"/>
    </row>
    <row r="14418" ht="15.75" customHeight="1">
      <c r="A14418" s="35"/>
      <c r="C14418" s="442"/>
      <c r="P14418" s="235"/>
      <c r="AI14418" s="38"/>
    </row>
    <row r="14419" ht="15.75" customHeight="1">
      <c r="A14419" s="35"/>
      <c r="C14419" s="442"/>
      <c r="P14419" s="235"/>
      <c r="AI14419" s="38"/>
    </row>
    <row r="14420" ht="15.75" customHeight="1">
      <c r="A14420" s="35"/>
      <c r="C14420" s="442"/>
      <c r="P14420" s="235"/>
      <c r="AI14420" s="38"/>
    </row>
    <row r="14421" ht="15.75" customHeight="1">
      <c r="A14421" s="35"/>
      <c r="C14421" s="442"/>
      <c r="P14421" s="235"/>
      <c r="AI14421" s="38"/>
    </row>
    <row r="14422" ht="15.75" customHeight="1">
      <c r="A14422" s="35"/>
      <c r="C14422" s="442"/>
      <c r="P14422" s="235"/>
      <c r="AI14422" s="38"/>
    </row>
    <row r="14423" ht="15.75" customHeight="1">
      <c r="A14423" s="35"/>
      <c r="C14423" s="442"/>
      <c r="P14423" s="235"/>
      <c r="AI14423" s="38"/>
    </row>
    <row r="14424" ht="15.75" customHeight="1">
      <c r="A14424" s="35"/>
      <c r="C14424" s="442"/>
      <c r="P14424" s="235"/>
      <c r="AI14424" s="38"/>
    </row>
    <row r="14425" ht="15.75" customHeight="1">
      <c r="A14425" s="35"/>
      <c r="C14425" s="442"/>
      <c r="P14425" s="235"/>
      <c r="AI14425" s="38"/>
    </row>
    <row r="14426" ht="15.75" customHeight="1">
      <c r="A14426" s="35"/>
      <c r="C14426" s="442"/>
      <c r="P14426" s="235"/>
      <c r="AI14426" s="38"/>
    </row>
    <row r="14427" ht="15.75" customHeight="1">
      <c r="A14427" s="35"/>
      <c r="C14427" s="442"/>
      <c r="P14427" s="235"/>
      <c r="AI14427" s="38"/>
    </row>
    <row r="14428" ht="15.75" customHeight="1">
      <c r="A14428" s="35"/>
      <c r="C14428" s="442"/>
      <c r="P14428" s="235"/>
      <c r="AI14428" s="38"/>
    </row>
    <row r="14429" ht="15.75" customHeight="1">
      <c r="A14429" s="35"/>
      <c r="C14429" s="442"/>
      <c r="P14429" s="235"/>
      <c r="AI14429" s="38"/>
    </row>
    <row r="14430" ht="15.75" customHeight="1">
      <c r="A14430" s="35"/>
      <c r="C14430" s="442"/>
      <c r="P14430" s="235"/>
      <c r="AI14430" s="38"/>
    </row>
    <row r="14431" ht="15.75" customHeight="1">
      <c r="A14431" s="35"/>
      <c r="C14431" s="442"/>
      <c r="P14431" s="235"/>
      <c r="AI14431" s="38"/>
    </row>
    <row r="14432" ht="15.75" customHeight="1">
      <c r="A14432" s="35"/>
      <c r="C14432" s="442"/>
      <c r="P14432" s="235"/>
      <c r="AI14432" s="38"/>
    </row>
    <row r="14433" ht="15.75" customHeight="1">
      <c r="A14433" s="35"/>
      <c r="C14433" s="442"/>
      <c r="P14433" s="235"/>
      <c r="AI14433" s="38"/>
    </row>
    <row r="14434" ht="15.75" customHeight="1">
      <c r="A14434" s="35"/>
      <c r="C14434" s="442"/>
      <c r="P14434" s="235"/>
      <c r="AI14434" s="38"/>
    </row>
    <row r="14435" ht="15.75" customHeight="1">
      <c r="A14435" s="35"/>
      <c r="C14435" s="442"/>
      <c r="P14435" s="235"/>
      <c r="AI14435" s="38"/>
    </row>
    <row r="14436" ht="15.75" customHeight="1">
      <c r="A14436" s="35"/>
      <c r="C14436" s="442"/>
      <c r="P14436" s="235"/>
      <c r="AI14436" s="38"/>
    </row>
    <row r="14437" ht="15.75" customHeight="1">
      <c r="A14437" s="35"/>
      <c r="C14437" s="442"/>
      <c r="P14437" s="235"/>
      <c r="AI14437" s="38"/>
    </row>
    <row r="14438" ht="15.75" customHeight="1">
      <c r="A14438" s="35"/>
      <c r="C14438" s="442"/>
      <c r="P14438" s="235"/>
      <c r="AI14438" s="38"/>
    </row>
    <row r="14439" ht="15.75" customHeight="1">
      <c r="A14439" s="35"/>
      <c r="C14439" s="442"/>
      <c r="P14439" s="235"/>
      <c r="AI14439" s="38"/>
    </row>
    <row r="14440" ht="15.75" customHeight="1">
      <c r="A14440" s="35"/>
      <c r="C14440" s="442"/>
      <c r="P14440" s="235"/>
      <c r="AI14440" s="38"/>
    </row>
    <row r="14441" ht="15.75" customHeight="1">
      <c r="A14441" s="35"/>
      <c r="C14441" s="442"/>
      <c r="P14441" s="235"/>
      <c r="AI14441" s="38"/>
    </row>
    <row r="14442" ht="15.75" customHeight="1">
      <c r="A14442" s="35"/>
      <c r="C14442" s="442"/>
      <c r="P14442" s="235"/>
      <c r="AI14442" s="38"/>
    </row>
    <row r="14443" ht="15.75" customHeight="1">
      <c r="A14443" s="35"/>
      <c r="C14443" s="442"/>
      <c r="P14443" s="235"/>
      <c r="AI14443" s="38"/>
    </row>
    <row r="14444" ht="15.75" customHeight="1">
      <c r="A14444" s="35"/>
      <c r="C14444" s="442"/>
      <c r="P14444" s="235"/>
      <c r="AI14444" s="38"/>
    </row>
    <row r="14445" ht="15.75" customHeight="1">
      <c r="A14445" s="35"/>
      <c r="C14445" s="442"/>
      <c r="P14445" s="235"/>
      <c r="AI14445" s="38"/>
    </row>
    <row r="14446" ht="15.75" customHeight="1">
      <c r="A14446" s="35"/>
      <c r="C14446" s="442"/>
      <c r="P14446" s="235"/>
      <c r="AI14446" s="38"/>
    </row>
    <row r="14447" ht="15.75" customHeight="1">
      <c r="A14447" s="35"/>
      <c r="C14447" s="442"/>
      <c r="P14447" s="235"/>
      <c r="AI14447" s="38"/>
    </row>
    <row r="14448" ht="15.75" customHeight="1">
      <c r="A14448" s="35"/>
      <c r="C14448" s="442"/>
      <c r="P14448" s="235"/>
      <c r="AI14448" s="38"/>
    </row>
    <row r="14449" ht="15.75" customHeight="1">
      <c r="A14449" s="35"/>
      <c r="C14449" s="442"/>
      <c r="P14449" s="235"/>
      <c r="AI14449" s="38"/>
    </row>
    <row r="14450" ht="15.75" customHeight="1">
      <c r="A14450" s="35"/>
      <c r="C14450" s="442"/>
      <c r="P14450" s="235"/>
      <c r="AI14450" s="38"/>
    </row>
    <row r="14451" ht="15.75" customHeight="1">
      <c r="A14451" s="35"/>
      <c r="C14451" s="442"/>
      <c r="P14451" s="235"/>
      <c r="AI14451" s="38"/>
    </row>
    <row r="14452" ht="15.75" customHeight="1">
      <c r="A14452" s="35"/>
      <c r="C14452" s="442"/>
      <c r="P14452" s="235"/>
      <c r="AI14452" s="38"/>
    </row>
    <row r="14453" ht="15.75" customHeight="1">
      <c r="A14453" s="35"/>
      <c r="C14453" s="442"/>
      <c r="P14453" s="235"/>
      <c r="AI14453" s="38"/>
    </row>
    <row r="14454" ht="15.75" customHeight="1">
      <c r="A14454" s="35"/>
      <c r="C14454" s="442"/>
      <c r="P14454" s="235"/>
      <c r="AI14454" s="38"/>
    </row>
    <row r="14455" ht="15.75" customHeight="1">
      <c r="A14455" s="35"/>
      <c r="C14455" s="442"/>
      <c r="P14455" s="235"/>
      <c r="AI14455" s="38"/>
    </row>
    <row r="14456" ht="15.75" customHeight="1">
      <c r="A14456" s="35"/>
      <c r="C14456" s="442"/>
      <c r="P14456" s="235"/>
      <c r="AI14456" s="38"/>
    </row>
    <row r="14457" ht="15.75" customHeight="1">
      <c r="A14457" s="35"/>
      <c r="C14457" s="442"/>
      <c r="P14457" s="235"/>
      <c r="AI14457" s="38"/>
    </row>
    <row r="14458" ht="15.75" customHeight="1">
      <c r="A14458" s="35"/>
      <c r="C14458" s="442"/>
      <c r="P14458" s="235"/>
      <c r="AI14458" s="38"/>
    </row>
    <row r="14459" ht="15.75" customHeight="1">
      <c r="A14459" s="35"/>
      <c r="C14459" s="442"/>
      <c r="P14459" s="235"/>
      <c r="AI14459" s="38"/>
    </row>
    <row r="14460" ht="15.75" customHeight="1">
      <c r="A14460" s="35"/>
      <c r="C14460" s="442"/>
      <c r="P14460" s="235"/>
      <c r="AI14460" s="38"/>
    </row>
    <row r="14461" ht="15.75" customHeight="1">
      <c r="A14461" s="35"/>
      <c r="C14461" s="442"/>
      <c r="P14461" s="235"/>
      <c r="AI14461" s="38"/>
    </row>
    <row r="14462" ht="15.75" customHeight="1">
      <c r="A14462" s="35"/>
      <c r="C14462" s="442"/>
      <c r="P14462" s="235"/>
      <c r="AI14462" s="38"/>
    </row>
    <row r="14463" ht="15.75" customHeight="1">
      <c r="A14463" s="35"/>
      <c r="C14463" s="442"/>
      <c r="P14463" s="235"/>
      <c r="AI14463" s="38"/>
    </row>
    <row r="14464" ht="15.75" customHeight="1">
      <c r="A14464" s="35"/>
      <c r="C14464" s="442"/>
      <c r="P14464" s="235"/>
      <c r="AI14464" s="38"/>
    </row>
    <row r="14465" ht="15.75" customHeight="1">
      <c r="A14465" s="35"/>
      <c r="C14465" s="442"/>
      <c r="P14465" s="235"/>
      <c r="AI14465" s="38"/>
    </row>
    <row r="14466" ht="15.75" customHeight="1">
      <c r="A14466" s="35"/>
      <c r="C14466" s="442"/>
      <c r="P14466" s="235"/>
      <c r="AI14466" s="38"/>
    </row>
    <row r="14467" ht="15.75" customHeight="1">
      <c r="A14467" s="35"/>
      <c r="C14467" s="442"/>
      <c r="P14467" s="235"/>
      <c r="AI14467" s="38"/>
    </row>
    <row r="14468" ht="15.75" customHeight="1">
      <c r="A14468" s="35"/>
      <c r="C14468" s="442"/>
      <c r="P14468" s="235"/>
      <c r="AI14468" s="38"/>
    </row>
    <row r="14469" ht="15.75" customHeight="1">
      <c r="A14469" s="35"/>
      <c r="C14469" s="442"/>
      <c r="P14469" s="235"/>
      <c r="AI14469" s="38"/>
    </row>
    <row r="14470" ht="15.75" customHeight="1">
      <c r="A14470" s="35"/>
      <c r="C14470" s="442"/>
      <c r="P14470" s="235"/>
      <c r="AI14470" s="38"/>
    </row>
    <row r="14471" ht="15.75" customHeight="1">
      <c r="A14471" s="35"/>
      <c r="C14471" s="442"/>
      <c r="P14471" s="235"/>
      <c r="AI14471" s="38"/>
    </row>
    <row r="14472" ht="15.75" customHeight="1">
      <c r="A14472" s="35"/>
      <c r="C14472" s="442"/>
      <c r="P14472" s="235"/>
      <c r="AI14472" s="38"/>
    </row>
    <row r="14473" ht="15.75" customHeight="1">
      <c r="A14473" s="35"/>
      <c r="C14473" s="442"/>
      <c r="P14473" s="235"/>
      <c r="AI14473" s="38"/>
    </row>
    <row r="14474" ht="15.75" customHeight="1">
      <c r="A14474" s="35"/>
      <c r="C14474" s="442"/>
      <c r="P14474" s="235"/>
      <c r="AI14474" s="38"/>
    </row>
    <row r="14475" ht="15.75" customHeight="1">
      <c r="A14475" s="35"/>
      <c r="C14475" s="442"/>
      <c r="P14475" s="235"/>
      <c r="AI14475" s="38"/>
    </row>
    <row r="14476" ht="15.75" customHeight="1">
      <c r="A14476" s="35"/>
      <c r="C14476" s="442"/>
      <c r="P14476" s="235"/>
      <c r="AI14476" s="38"/>
    </row>
    <row r="14477" ht="15.75" customHeight="1">
      <c r="A14477" s="35"/>
      <c r="C14477" s="442"/>
      <c r="P14477" s="235"/>
      <c r="AI14477" s="38"/>
    </row>
    <row r="14478" ht="15.75" customHeight="1">
      <c r="A14478" s="35"/>
      <c r="C14478" s="442"/>
      <c r="P14478" s="235"/>
      <c r="AI14478" s="38"/>
    </row>
    <row r="14479" ht="15.75" customHeight="1">
      <c r="A14479" s="35"/>
      <c r="C14479" s="442"/>
      <c r="P14479" s="235"/>
      <c r="AI14479" s="38"/>
    </row>
    <row r="14480" ht="15.75" customHeight="1">
      <c r="A14480" s="35"/>
      <c r="C14480" s="442"/>
      <c r="P14480" s="235"/>
      <c r="AI14480" s="38"/>
    </row>
    <row r="14481" ht="15.75" customHeight="1">
      <c r="A14481" s="35"/>
      <c r="C14481" s="442"/>
      <c r="P14481" s="235"/>
      <c r="AI14481" s="38"/>
    </row>
    <row r="14482" ht="15.75" customHeight="1">
      <c r="A14482" s="35"/>
      <c r="C14482" s="442"/>
      <c r="P14482" s="235"/>
      <c r="AI14482" s="38"/>
    </row>
    <row r="14483" ht="15.75" customHeight="1">
      <c r="A14483" s="35"/>
      <c r="C14483" s="442"/>
      <c r="P14483" s="235"/>
      <c r="AI14483" s="38"/>
    </row>
    <row r="14484" ht="15.75" customHeight="1">
      <c r="A14484" s="35"/>
      <c r="C14484" s="442"/>
      <c r="P14484" s="235"/>
      <c r="AI14484" s="38"/>
    </row>
    <row r="14485" ht="15.75" customHeight="1">
      <c r="A14485" s="35"/>
      <c r="C14485" s="442"/>
      <c r="P14485" s="235"/>
      <c r="AI14485" s="38"/>
    </row>
    <row r="14486" ht="15.75" customHeight="1">
      <c r="A14486" s="35"/>
      <c r="C14486" s="442"/>
      <c r="P14486" s="235"/>
      <c r="AI14486" s="38"/>
    </row>
    <row r="14487" ht="15.75" customHeight="1">
      <c r="A14487" s="35"/>
      <c r="C14487" s="442"/>
      <c r="P14487" s="235"/>
      <c r="AI14487" s="38"/>
    </row>
    <row r="14488" ht="15.75" customHeight="1">
      <c r="A14488" s="35"/>
      <c r="C14488" s="442"/>
      <c r="P14488" s="235"/>
      <c r="AI14488" s="38"/>
    </row>
    <row r="14489" ht="15.75" customHeight="1">
      <c r="A14489" s="35"/>
      <c r="C14489" s="442"/>
      <c r="P14489" s="235"/>
      <c r="AI14489" s="38"/>
    </row>
    <row r="14490" ht="15.75" customHeight="1">
      <c r="A14490" s="35"/>
      <c r="C14490" s="442"/>
      <c r="P14490" s="235"/>
      <c r="AI14490" s="38"/>
    </row>
    <row r="14491" ht="15.75" customHeight="1">
      <c r="A14491" s="35"/>
      <c r="C14491" s="442"/>
      <c r="P14491" s="235"/>
      <c r="AI14491" s="38"/>
    </row>
    <row r="14492" ht="15.75" customHeight="1">
      <c r="A14492" s="35"/>
      <c r="C14492" s="442"/>
      <c r="P14492" s="235"/>
      <c r="AI14492" s="38"/>
    </row>
    <row r="14493" ht="15.75" customHeight="1">
      <c r="A14493" s="35"/>
      <c r="C14493" s="442"/>
      <c r="P14493" s="235"/>
      <c r="AI14493" s="38"/>
    </row>
    <row r="14494" ht="15.75" customHeight="1">
      <c r="A14494" s="35"/>
      <c r="C14494" s="442"/>
      <c r="P14494" s="235"/>
      <c r="AI14494" s="38"/>
    </row>
    <row r="14495" ht="15.75" customHeight="1">
      <c r="A14495" s="35"/>
      <c r="C14495" s="442"/>
      <c r="P14495" s="235"/>
      <c r="AI14495" s="38"/>
    </row>
    <row r="14496" ht="15.75" customHeight="1">
      <c r="A14496" s="35"/>
      <c r="C14496" s="442"/>
      <c r="P14496" s="235"/>
      <c r="AI14496" s="38"/>
    </row>
    <row r="14497" ht="15.75" customHeight="1">
      <c r="A14497" s="35"/>
      <c r="C14497" s="442"/>
      <c r="P14497" s="235"/>
      <c r="AI14497" s="38"/>
    </row>
    <row r="14498" ht="15.75" customHeight="1">
      <c r="A14498" s="35"/>
      <c r="C14498" s="442"/>
      <c r="P14498" s="235"/>
      <c r="AI14498" s="38"/>
    </row>
    <row r="14499" ht="15.75" customHeight="1">
      <c r="A14499" s="35"/>
      <c r="C14499" s="442"/>
      <c r="P14499" s="235"/>
      <c r="AI14499" s="38"/>
    </row>
    <row r="14500" ht="15.75" customHeight="1">
      <c r="A14500" s="35"/>
      <c r="C14500" s="442"/>
      <c r="P14500" s="235"/>
      <c r="AI14500" s="38"/>
    </row>
    <row r="14501" ht="15.75" customHeight="1">
      <c r="A14501" s="35"/>
      <c r="C14501" s="442"/>
      <c r="P14501" s="235"/>
      <c r="AI14501" s="38"/>
    </row>
    <row r="14502" ht="15.75" customHeight="1">
      <c r="A14502" s="35"/>
      <c r="C14502" s="442"/>
      <c r="P14502" s="235"/>
      <c r="AI14502" s="38"/>
    </row>
    <row r="14503" ht="15.75" customHeight="1">
      <c r="A14503" s="35"/>
      <c r="C14503" s="442"/>
      <c r="P14503" s="235"/>
      <c r="AI14503" s="38"/>
    </row>
    <row r="14504" ht="15.75" customHeight="1">
      <c r="A14504" s="35"/>
      <c r="C14504" s="442"/>
      <c r="P14504" s="235"/>
      <c r="AI14504" s="38"/>
    </row>
    <row r="14505" ht="15.75" customHeight="1">
      <c r="A14505" s="35"/>
      <c r="C14505" s="442"/>
      <c r="P14505" s="235"/>
      <c r="AI14505" s="38"/>
    </row>
    <row r="14506" ht="15.75" customHeight="1">
      <c r="A14506" s="35"/>
      <c r="C14506" s="442"/>
      <c r="P14506" s="235"/>
      <c r="AI14506" s="38"/>
    </row>
    <row r="14507" ht="15.75" customHeight="1">
      <c r="A14507" s="35"/>
      <c r="C14507" s="442"/>
      <c r="P14507" s="235"/>
      <c r="AI14507" s="38"/>
    </row>
    <row r="14508" ht="15.75" customHeight="1">
      <c r="A14508" s="35"/>
      <c r="C14508" s="442"/>
      <c r="P14508" s="235"/>
      <c r="AI14508" s="38"/>
    </row>
    <row r="14509" ht="15.75" customHeight="1">
      <c r="A14509" s="35"/>
      <c r="C14509" s="442"/>
      <c r="P14509" s="235"/>
      <c r="AI14509" s="38"/>
    </row>
    <row r="14510" ht="15.75" customHeight="1">
      <c r="A14510" s="35"/>
      <c r="C14510" s="442"/>
      <c r="P14510" s="235"/>
      <c r="AI14510" s="38"/>
    </row>
    <row r="14511" ht="15.75" customHeight="1">
      <c r="A14511" s="35"/>
      <c r="C14511" s="442"/>
      <c r="P14511" s="235"/>
      <c r="AI14511" s="38"/>
    </row>
    <row r="14512" ht="15.75" customHeight="1">
      <c r="A14512" s="35"/>
      <c r="C14512" s="442"/>
      <c r="P14512" s="235"/>
      <c r="AI14512" s="38"/>
    </row>
    <row r="14513" ht="15.75" customHeight="1">
      <c r="A14513" s="35"/>
      <c r="C14513" s="442"/>
      <c r="P14513" s="235"/>
      <c r="AI14513" s="38"/>
    </row>
    <row r="14514" ht="15.75" customHeight="1">
      <c r="A14514" s="35"/>
      <c r="C14514" s="442"/>
      <c r="P14514" s="235"/>
      <c r="AI14514" s="38"/>
    </row>
    <row r="14515" ht="15.75" customHeight="1">
      <c r="A14515" s="35"/>
      <c r="C14515" s="442"/>
      <c r="P14515" s="235"/>
      <c r="AI14515" s="38"/>
    </row>
    <row r="14516" ht="15.75" customHeight="1">
      <c r="A14516" s="35"/>
      <c r="C14516" s="442"/>
      <c r="P14516" s="235"/>
      <c r="AI14516" s="38"/>
    </row>
    <row r="14517" ht="15.75" customHeight="1">
      <c r="A14517" s="35"/>
      <c r="C14517" s="442"/>
      <c r="P14517" s="235"/>
      <c r="AI14517" s="38"/>
    </row>
    <row r="14518" ht="15.75" customHeight="1">
      <c r="A14518" s="35"/>
      <c r="C14518" s="442"/>
      <c r="P14518" s="235"/>
      <c r="AI14518" s="38"/>
    </row>
    <row r="14519" ht="15.75" customHeight="1">
      <c r="A14519" s="35"/>
      <c r="C14519" s="442"/>
      <c r="P14519" s="235"/>
      <c r="AI14519" s="38"/>
    </row>
    <row r="14520" ht="15.75" customHeight="1">
      <c r="A14520" s="35"/>
      <c r="C14520" s="442"/>
      <c r="P14520" s="235"/>
      <c r="AI14520" s="38"/>
    </row>
    <row r="14521" ht="15.75" customHeight="1">
      <c r="A14521" s="35"/>
      <c r="C14521" s="442"/>
      <c r="P14521" s="235"/>
      <c r="AI14521" s="38"/>
    </row>
    <row r="14522" ht="15.75" customHeight="1">
      <c r="A14522" s="35"/>
      <c r="C14522" s="442"/>
      <c r="P14522" s="235"/>
      <c r="AI14522" s="38"/>
    </row>
    <row r="14523" ht="15.75" customHeight="1">
      <c r="A14523" s="35"/>
      <c r="C14523" s="442"/>
      <c r="P14523" s="235"/>
      <c r="AI14523" s="38"/>
    </row>
    <row r="14524" ht="15.75" customHeight="1">
      <c r="A14524" s="35"/>
      <c r="C14524" s="442"/>
      <c r="P14524" s="235"/>
      <c r="AI14524" s="38"/>
    </row>
    <row r="14525" ht="15.75" customHeight="1">
      <c r="A14525" s="35"/>
      <c r="C14525" s="442"/>
      <c r="P14525" s="235"/>
      <c r="AI14525" s="38"/>
    </row>
    <row r="14526" ht="15.75" customHeight="1">
      <c r="A14526" s="35"/>
      <c r="C14526" s="442"/>
      <c r="P14526" s="235"/>
      <c r="AI14526" s="38"/>
    </row>
    <row r="14527" ht="15.75" customHeight="1">
      <c r="A14527" s="35"/>
      <c r="C14527" s="442"/>
      <c r="P14527" s="235"/>
      <c r="AI14527" s="38"/>
    </row>
    <row r="14528" ht="15.75" customHeight="1">
      <c r="A14528" s="35"/>
      <c r="C14528" s="442"/>
      <c r="P14528" s="235"/>
      <c r="AI14528" s="38"/>
    </row>
    <row r="14529" ht="15.75" customHeight="1">
      <c r="A14529" s="35"/>
      <c r="C14529" s="442"/>
      <c r="P14529" s="235"/>
      <c r="AI14529" s="38"/>
    </row>
    <row r="14530" ht="15.75" customHeight="1">
      <c r="A14530" s="35"/>
      <c r="C14530" s="442"/>
      <c r="P14530" s="235"/>
      <c r="AI14530" s="38"/>
    </row>
    <row r="14531" ht="15.75" customHeight="1">
      <c r="A14531" s="35"/>
      <c r="C14531" s="442"/>
      <c r="P14531" s="235"/>
      <c r="AI14531" s="38"/>
    </row>
    <row r="14532" ht="15.75" customHeight="1">
      <c r="A14532" s="35"/>
      <c r="C14532" s="442"/>
      <c r="P14532" s="235"/>
      <c r="AI14532" s="38"/>
    </row>
    <row r="14533" ht="15.75" customHeight="1">
      <c r="A14533" s="35"/>
      <c r="C14533" s="442"/>
      <c r="P14533" s="235"/>
      <c r="AI14533" s="38"/>
    </row>
    <row r="14534" ht="15.75" customHeight="1">
      <c r="A14534" s="35"/>
      <c r="C14534" s="442"/>
      <c r="P14534" s="235"/>
      <c r="AI14534" s="38"/>
    </row>
    <row r="14535" ht="15.75" customHeight="1">
      <c r="A14535" s="35"/>
      <c r="C14535" s="442"/>
      <c r="P14535" s="235"/>
      <c r="AI14535" s="38"/>
    </row>
    <row r="14536" ht="15.75" customHeight="1">
      <c r="A14536" s="35"/>
      <c r="C14536" s="442"/>
      <c r="P14536" s="235"/>
      <c r="AI14536" s="38"/>
    </row>
    <row r="14537" ht="15.75" customHeight="1">
      <c r="A14537" s="35"/>
      <c r="C14537" s="442"/>
      <c r="P14537" s="235"/>
      <c r="AI14537" s="38"/>
    </row>
    <row r="14538" ht="15.75" customHeight="1">
      <c r="A14538" s="35"/>
      <c r="C14538" s="442"/>
      <c r="P14538" s="235"/>
      <c r="AI14538" s="38"/>
    </row>
    <row r="14539" ht="15.75" customHeight="1">
      <c r="A14539" s="35"/>
      <c r="C14539" s="442"/>
      <c r="P14539" s="235"/>
      <c r="AI14539" s="38"/>
    </row>
    <row r="14540" ht="15.75" customHeight="1">
      <c r="A14540" s="35"/>
      <c r="C14540" s="442"/>
      <c r="P14540" s="235"/>
      <c r="AI14540" s="38"/>
    </row>
    <row r="14541" ht="15.75" customHeight="1">
      <c r="A14541" s="35"/>
      <c r="C14541" s="442"/>
      <c r="P14541" s="235"/>
      <c r="AI14541" s="38"/>
    </row>
    <row r="14542" ht="15.75" customHeight="1">
      <c r="A14542" s="35"/>
      <c r="C14542" s="442"/>
      <c r="P14542" s="235"/>
      <c r="AI14542" s="38"/>
    </row>
    <row r="14543" ht="15.75" customHeight="1">
      <c r="A14543" s="35"/>
      <c r="C14543" s="442"/>
      <c r="P14543" s="235"/>
      <c r="AI14543" s="38"/>
    </row>
    <row r="14544" ht="15.75" customHeight="1">
      <c r="A14544" s="35"/>
      <c r="C14544" s="442"/>
      <c r="P14544" s="235"/>
      <c r="AI14544" s="38"/>
    </row>
    <row r="14545" ht="15.75" customHeight="1">
      <c r="A14545" s="35"/>
      <c r="C14545" s="442"/>
      <c r="P14545" s="235"/>
      <c r="AI14545" s="38"/>
    </row>
    <row r="14546" ht="15.75" customHeight="1">
      <c r="A14546" s="35"/>
      <c r="C14546" s="442"/>
      <c r="P14546" s="235"/>
      <c r="AI14546" s="38"/>
    </row>
    <row r="14547" ht="15.75" customHeight="1">
      <c r="A14547" s="35"/>
      <c r="C14547" s="442"/>
      <c r="P14547" s="235"/>
      <c r="AI14547" s="38"/>
    </row>
    <row r="14548" ht="15.75" customHeight="1">
      <c r="A14548" s="35"/>
      <c r="C14548" s="442"/>
      <c r="P14548" s="235"/>
      <c r="AI14548" s="38"/>
    </row>
    <row r="14549" ht="15.75" customHeight="1">
      <c r="A14549" s="35"/>
      <c r="C14549" s="442"/>
      <c r="P14549" s="235"/>
      <c r="AI14549" s="38"/>
    </row>
    <row r="14550" ht="15.75" customHeight="1">
      <c r="A14550" s="35"/>
      <c r="C14550" s="442"/>
      <c r="P14550" s="235"/>
      <c r="AI14550" s="38"/>
    </row>
    <row r="14551" ht="15.75" customHeight="1">
      <c r="A14551" s="35"/>
      <c r="C14551" s="442"/>
      <c r="P14551" s="235"/>
      <c r="AI14551" s="38"/>
    </row>
    <row r="14552" ht="15.75" customHeight="1">
      <c r="A14552" s="35"/>
      <c r="C14552" s="442"/>
      <c r="P14552" s="235"/>
      <c r="AI14552" s="38"/>
    </row>
    <row r="14553" ht="15.75" customHeight="1">
      <c r="A14553" s="35"/>
      <c r="C14553" s="442"/>
      <c r="P14553" s="235"/>
      <c r="AI14553" s="38"/>
    </row>
    <row r="14554" ht="15.75" customHeight="1">
      <c r="A14554" s="35"/>
      <c r="C14554" s="442"/>
      <c r="P14554" s="235"/>
      <c r="AI14554" s="38"/>
    </row>
    <row r="14555" ht="15.75" customHeight="1">
      <c r="A14555" s="35"/>
      <c r="C14555" s="442"/>
      <c r="P14555" s="235"/>
      <c r="AI14555" s="38"/>
    </row>
    <row r="14556" ht="15.75" customHeight="1">
      <c r="A14556" s="35"/>
      <c r="C14556" s="442"/>
      <c r="P14556" s="235"/>
      <c r="AI14556" s="38"/>
    </row>
    <row r="14557" ht="15.75" customHeight="1">
      <c r="A14557" s="35"/>
      <c r="C14557" s="442"/>
      <c r="P14557" s="235"/>
      <c r="AI14557" s="38"/>
    </row>
    <row r="14558" ht="15.75" customHeight="1">
      <c r="A14558" s="35"/>
      <c r="C14558" s="442"/>
      <c r="P14558" s="235"/>
      <c r="AI14558" s="38"/>
    </row>
    <row r="14559" ht="15.75" customHeight="1">
      <c r="A14559" s="35"/>
      <c r="C14559" s="442"/>
      <c r="P14559" s="235"/>
      <c r="AI14559" s="38"/>
    </row>
    <row r="14560" ht="15.75" customHeight="1">
      <c r="A14560" s="35"/>
      <c r="C14560" s="442"/>
      <c r="P14560" s="235"/>
      <c r="AI14560" s="38"/>
    </row>
    <row r="14561" ht="15.75" customHeight="1">
      <c r="A14561" s="35"/>
      <c r="C14561" s="442"/>
      <c r="P14561" s="235"/>
      <c r="AI14561" s="38"/>
    </row>
    <row r="14562" ht="15.75" customHeight="1">
      <c r="A14562" s="35"/>
      <c r="C14562" s="442"/>
      <c r="P14562" s="235"/>
      <c r="AI14562" s="38"/>
    </row>
    <row r="14563" ht="15.75" customHeight="1">
      <c r="A14563" s="35"/>
      <c r="C14563" s="442"/>
      <c r="P14563" s="235"/>
      <c r="AI14563" s="38"/>
    </row>
    <row r="14564" ht="15.75" customHeight="1">
      <c r="A14564" s="35"/>
      <c r="C14564" s="442"/>
      <c r="P14564" s="235"/>
      <c r="AI14564" s="38"/>
    </row>
    <row r="14565" ht="15.75" customHeight="1">
      <c r="A14565" s="35"/>
      <c r="C14565" s="442"/>
      <c r="P14565" s="235"/>
      <c r="AI14565" s="38"/>
    </row>
    <row r="14566" ht="15.75" customHeight="1">
      <c r="A14566" s="35"/>
      <c r="C14566" s="442"/>
      <c r="P14566" s="235"/>
      <c r="AI14566" s="38"/>
    </row>
    <row r="14567" ht="15.75" customHeight="1">
      <c r="A14567" s="35"/>
      <c r="C14567" s="442"/>
      <c r="P14567" s="235"/>
      <c r="AI14567" s="38"/>
    </row>
    <row r="14568" ht="15.75" customHeight="1">
      <c r="A14568" s="35"/>
      <c r="C14568" s="442"/>
      <c r="P14568" s="235"/>
      <c r="AI14568" s="38"/>
    </row>
    <row r="14569" ht="15.75" customHeight="1">
      <c r="A14569" s="35"/>
      <c r="C14569" s="442"/>
      <c r="P14569" s="235"/>
      <c r="AI14569" s="38"/>
    </row>
    <row r="14570" ht="15.75" customHeight="1">
      <c r="A14570" s="35"/>
      <c r="C14570" s="442"/>
      <c r="P14570" s="235"/>
      <c r="AI14570" s="38"/>
    </row>
    <row r="14571" ht="15.75" customHeight="1">
      <c r="A14571" s="35"/>
      <c r="C14571" s="442"/>
      <c r="P14571" s="235"/>
      <c r="AI14571" s="38"/>
    </row>
    <row r="14572" ht="15.75" customHeight="1">
      <c r="A14572" s="35"/>
      <c r="C14572" s="442"/>
      <c r="P14572" s="235"/>
      <c r="AI14572" s="38"/>
    </row>
    <row r="14573" ht="15.75" customHeight="1">
      <c r="A14573" s="35"/>
      <c r="C14573" s="442"/>
      <c r="P14573" s="235"/>
      <c r="AI14573" s="38"/>
    </row>
    <row r="14574" ht="15.75" customHeight="1">
      <c r="A14574" s="35"/>
      <c r="C14574" s="442"/>
      <c r="P14574" s="235"/>
      <c r="AI14574" s="38"/>
    </row>
    <row r="14575" ht="15.75" customHeight="1">
      <c r="A14575" s="35"/>
      <c r="C14575" s="442"/>
      <c r="P14575" s="235"/>
      <c r="AI14575" s="38"/>
    </row>
    <row r="14576" ht="15.75" customHeight="1">
      <c r="A14576" s="35"/>
      <c r="C14576" s="442"/>
      <c r="P14576" s="235"/>
      <c r="AI14576" s="38"/>
    </row>
    <row r="14577" ht="15.75" customHeight="1">
      <c r="A14577" s="35"/>
      <c r="C14577" s="442"/>
      <c r="P14577" s="235"/>
      <c r="AI14577" s="38"/>
    </row>
    <row r="14578" ht="15.75" customHeight="1">
      <c r="A14578" s="35"/>
      <c r="C14578" s="442"/>
      <c r="P14578" s="235"/>
      <c r="AI14578" s="38"/>
    </row>
    <row r="14579" ht="15.75" customHeight="1">
      <c r="A14579" s="35"/>
      <c r="C14579" s="442"/>
      <c r="P14579" s="235"/>
      <c r="AI14579" s="38"/>
    </row>
    <row r="14580" ht="15.75" customHeight="1">
      <c r="A14580" s="35"/>
      <c r="C14580" s="442"/>
      <c r="P14580" s="235"/>
      <c r="AI14580" s="38"/>
    </row>
    <row r="14581" ht="15.75" customHeight="1">
      <c r="A14581" s="35"/>
      <c r="C14581" s="442"/>
      <c r="P14581" s="235"/>
      <c r="AI14581" s="38"/>
    </row>
    <row r="14582" ht="15.75" customHeight="1">
      <c r="A14582" s="35"/>
      <c r="C14582" s="442"/>
      <c r="P14582" s="235"/>
      <c r="AI14582" s="38"/>
    </row>
    <row r="14583" ht="15.75" customHeight="1">
      <c r="A14583" s="35"/>
      <c r="C14583" s="442"/>
      <c r="P14583" s="235"/>
      <c r="AI14583" s="38"/>
    </row>
    <row r="14584" ht="15.75" customHeight="1">
      <c r="A14584" s="35"/>
      <c r="C14584" s="442"/>
      <c r="P14584" s="235"/>
      <c r="AI14584" s="38"/>
    </row>
    <row r="14585" ht="15.75" customHeight="1">
      <c r="A14585" s="35"/>
      <c r="C14585" s="442"/>
      <c r="P14585" s="235"/>
      <c r="AI14585" s="38"/>
    </row>
    <row r="14586" ht="15.75" customHeight="1">
      <c r="A14586" s="35"/>
      <c r="C14586" s="442"/>
      <c r="P14586" s="235"/>
      <c r="AI14586" s="38"/>
    </row>
    <row r="14587" ht="15.75" customHeight="1">
      <c r="A14587" s="35"/>
      <c r="C14587" s="442"/>
      <c r="P14587" s="235"/>
      <c r="AI14587" s="38"/>
    </row>
    <row r="14588" ht="15.75" customHeight="1">
      <c r="A14588" s="35"/>
      <c r="C14588" s="442"/>
      <c r="P14588" s="235"/>
      <c r="AI14588" s="38"/>
    </row>
    <row r="14589" ht="15.75" customHeight="1">
      <c r="A14589" s="35"/>
      <c r="C14589" s="442"/>
      <c r="P14589" s="235"/>
      <c r="AI14589" s="38"/>
    </row>
    <row r="14590" ht="15.75" customHeight="1">
      <c r="A14590" s="35"/>
      <c r="C14590" s="442"/>
      <c r="P14590" s="235"/>
      <c r="AI14590" s="38"/>
    </row>
    <row r="14591" ht="15.75" customHeight="1">
      <c r="A14591" s="35"/>
      <c r="C14591" s="442"/>
      <c r="P14591" s="235"/>
      <c r="AI14591" s="38"/>
    </row>
    <row r="14592" ht="15.75" customHeight="1">
      <c r="A14592" s="35"/>
      <c r="C14592" s="442"/>
      <c r="P14592" s="235"/>
      <c r="AI14592" s="38"/>
    </row>
    <row r="14593" ht="15.75" customHeight="1">
      <c r="A14593" s="35"/>
      <c r="C14593" s="442"/>
      <c r="P14593" s="235"/>
      <c r="AI14593" s="38"/>
    </row>
    <row r="14594" ht="15.75" customHeight="1">
      <c r="A14594" s="35"/>
      <c r="C14594" s="442"/>
      <c r="P14594" s="235"/>
      <c r="AI14594" s="38"/>
    </row>
    <row r="14595" ht="15.75" customHeight="1">
      <c r="A14595" s="35"/>
      <c r="C14595" s="442"/>
      <c r="P14595" s="235"/>
      <c r="AI14595" s="38"/>
    </row>
    <row r="14596" ht="15.75" customHeight="1">
      <c r="A14596" s="35"/>
      <c r="C14596" s="442"/>
      <c r="P14596" s="235"/>
      <c r="AI14596" s="38"/>
    </row>
    <row r="14597" ht="15.75" customHeight="1">
      <c r="A14597" s="35"/>
      <c r="C14597" s="442"/>
      <c r="P14597" s="235"/>
      <c r="AI14597" s="38"/>
    </row>
    <row r="14598" ht="15.75" customHeight="1">
      <c r="A14598" s="35"/>
      <c r="C14598" s="442"/>
      <c r="P14598" s="235"/>
      <c r="AI14598" s="38"/>
    </row>
    <row r="14599" ht="15.75" customHeight="1">
      <c r="A14599" s="35"/>
      <c r="C14599" s="442"/>
      <c r="P14599" s="235"/>
      <c r="AI14599" s="38"/>
    </row>
    <row r="14600" ht="15.75" customHeight="1">
      <c r="A14600" s="35"/>
      <c r="C14600" s="442"/>
      <c r="P14600" s="235"/>
      <c r="AI14600" s="38"/>
    </row>
    <row r="14601" ht="15.75" customHeight="1">
      <c r="A14601" s="35"/>
      <c r="C14601" s="442"/>
      <c r="P14601" s="235"/>
      <c r="AI14601" s="38"/>
    </row>
    <row r="14602" ht="15.75" customHeight="1">
      <c r="A14602" s="35"/>
      <c r="C14602" s="442"/>
      <c r="P14602" s="235"/>
      <c r="AI14602" s="38"/>
    </row>
    <row r="14603" ht="15.75" customHeight="1">
      <c r="A14603" s="35"/>
      <c r="C14603" s="442"/>
      <c r="P14603" s="235"/>
      <c r="AI14603" s="38"/>
    </row>
    <row r="14604" ht="15.75" customHeight="1">
      <c r="A14604" s="35"/>
      <c r="C14604" s="442"/>
      <c r="P14604" s="235"/>
      <c r="AI14604" s="38"/>
    </row>
    <row r="14605" ht="15.75" customHeight="1">
      <c r="A14605" s="35"/>
      <c r="C14605" s="442"/>
      <c r="P14605" s="235"/>
      <c r="AI14605" s="38"/>
    </row>
    <row r="14606" ht="15.75" customHeight="1">
      <c r="A14606" s="35"/>
      <c r="C14606" s="442"/>
      <c r="P14606" s="235"/>
      <c r="AI14606" s="38"/>
    </row>
    <row r="14607" ht="15.75" customHeight="1">
      <c r="A14607" s="35"/>
      <c r="C14607" s="442"/>
      <c r="P14607" s="235"/>
      <c r="AI14607" s="38"/>
    </row>
    <row r="14608" ht="15.75" customHeight="1">
      <c r="A14608" s="35"/>
      <c r="C14608" s="442"/>
      <c r="P14608" s="235"/>
      <c r="AI14608" s="38"/>
    </row>
    <row r="14609" ht="15.75" customHeight="1">
      <c r="A14609" s="35"/>
      <c r="C14609" s="442"/>
      <c r="P14609" s="235"/>
      <c r="AI14609" s="38"/>
    </row>
    <row r="14610" ht="15.75" customHeight="1">
      <c r="A14610" s="35"/>
      <c r="C14610" s="442"/>
      <c r="P14610" s="235"/>
      <c r="AI14610" s="38"/>
    </row>
    <row r="14611" ht="15.75" customHeight="1">
      <c r="A14611" s="35"/>
      <c r="C14611" s="442"/>
      <c r="P14611" s="235"/>
      <c r="AI14611" s="38"/>
    </row>
    <row r="14612" ht="15.75" customHeight="1">
      <c r="A14612" s="35"/>
      <c r="C14612" s="442"/>
      <c r="P14612" s="235"/>
      <c r="AI14612" s="38"/>
    </row>
    <row r="14613" ht="15.75" customHeight="1">
      <c r="A14613" s="35"/>
      <c r="C14613" s="442"/>
      <c r="P14613" s="235"/>
      <c r="AI14613" s="38"/>
    </row>
    <row r="14614" ht="15.75" customHeight="1">
      <c r="A14614" s="35"/>
      <c r="C14614" s="442"/>
      <c r="P14614" s="235"/>
      <c r="AI14614" s="38"/>
    </row>
    <row r="14615" ht="15.75" customHeight="1">
      <c r="A14615" s="35"/>
      <c r="C14615" s="442"/>
      <c r="P14615" s="235"/>
      <c r="AI14615" s="38"/>
    </row>
    <row r="14616" ht="15.75" customHeight="1">
      <c r="A14616" s="35"/>
      <c r="C14616" s="442"/>
      <c r="P14616" s="235"/>
      <c r="AI14616" s="38"/>
    </row>
    <row r="14617" ht="15.75" customHeight="1">
      <c r="A14617" s="35"/>
      <c r="C14617" s="442"/>
      <c r="P14617" s="235"/>
      <c r="AI14617" s="38"/>
    </row>
    <row r="14618" ht="15.75" customHeight="1">
      <c r="A14618" s="35"/>
      <c r="C14618" s="442"/>
      <c r="P14618" s="235"/>
      <c r="AI14618" s="38"/>
    </row>
    <row r="14619" ht="15.75" customHeight="1">
      <c r="A14619" s="35"/>
      <c r="C14619" s="442"/>
      <c r="P14619" s="235"/>
      <c r="AI14619" s="38"/>
    </row>
    <row r="14620" ht="15.75" customHeight="1">
      <c r="A14620" s="35"/>
      <c r="C14620" s="442"/>
      <c r="P14620" s="235"/>
      <c r="AI14620" s="38"/>
    </row>
    <row r="14621" ht="15.75" customHeight="1">
      <c r="A14621" s="35"/>
      <c r="C14621" s="442"/>
      <c r="P14621" s="235"/>
      <c r="AI14621" s="38"/>
    </row>
    <row r="14622" ht="15.75" customHeight="1">
      <c r="A14622" s="35"/>
      <c r="C14622" s="442"/>
      <c r="P14622" s="235"/>
      <c r="AI14622" s="38"/>
    </row>
    <row r="14623" ht="15.75" customHeight="1">
      <c r="A14623" s="35"/>
      <c r="C14623" s="442"/>
      <c r="P14623" s="235"/>
      <c r="AI14623" s="38"/>
    </row>
    <row r="14624" ht="15.75" customHeight="1">
      <c r="A14624" s="35"/>
      <c r="C14624" s="442"/>
      <c r="P14624" s="235"/>
      <c r="AI14624" s="38"/>
    </row>
    <row r="14625" ht="15.75" customHeight="1">
      <c r="A14625" s="35"/>
      <c r="C14625" s="442"/>
      <c r="P14625" s="235"/>
      <c r="AI14625" s="38"/>
    </row>
    <row r="14626" ht="15.75" customHeight="1">
      <c r="A14626" s="35"/>
      <c r="C14626" s="442"/>
      <c r="P14626" s="235"/>
      <c r="AI14626" s="38"/>
    </row>
    <row r="14627" ht="15.75" customHeight="1">
      <c r="A14627" s="35"/>
      <c r="C14627" s="442"/>
      <c r="P14627" s="235"/>
      <c r="AI14627" s="38"/>
    </row>
    <row r="14628" ht="15.75" customHeight="1">
      <c r="A14628" s="35"/>
      <c r="C14628" s="442"/>
      <c r="P14628" s="235"/>
      <c r="AI14628" s="38"/>
    </row>
    <row r="14629" ht="15.75" customHeight="1">
      <c r="A14629" s="35"/>
      <c r="C14629" s="442"/>
      <c r="P14629" s="235"/>
      <c r="AI14629" s="38"/>
    </row>
    <row r="14630" ht="15.75" customHeight="1">
      <c r="A14630" s="35"/>
      <c r="C14630" s="442"/>
      <c r="P14630" s="235"/>
      <c r="AI14630" s="38"/>
    </row>
    <row r="14631" ht="15.75" customHeight="1">
      <c r="A14631" s="35"/>
      <c r="C14631" s="442"/>
      <c r="P14631" s="235"/>
      <c r="AI14631" s="38"/>
    </row>
    <row r="14632" ht="15.75" customHeight="1">
      <c r="A14632" s="35"/>
      <c r="C14632" s="442"/>
      <c r="P14632" s="235"/>
      <c r="AI14632" s="38"/>
    </row>
    <row r="14633" ht="15.75" customHeight="1">
      <c r="A14633" s="35"/>
      <c r="C14633" s="442"/>
      <c r="P14633" s="235"/>
      <c r="AI14633" s="38"/>
    </row>
    <row r="14634" ht="15.75" customHeight="1">
      <c r="A14634" s="35"/>
      <c r="C14634" s="442"/>
      <c r="P14634" s="235"/>
      <c r="AI14634" s="38"/>
    </row>
    <row r="14635" ht="15.75" customHeight="1">
      <c r="A14635" s="35"/>
      <c r="C14635" s="442"/>
      <c r="P14635" s="235"/>
      <c r="AI14635" s="38"/>
    </row>
    <row r="14636" ht="15.75" customHeight="1">
      <c r="A14636" s="35"/>
      <c r="C14636" s="442"/>
      <c r="P14636" s="235"/>
      <c r="AI14636" s="38"/>
    </row>
    <row r="14637" ht="15.75" customHeight="1">
      <c r="A14637" s="35"/>
      <c r="C14637" s="442"/>
      <c r="P14637" s="235"/>
      <c r="AI14637" s="38"/>
    </row>
    <row r="14638" ht="15.75" customHeight="1">
      <c r="A14638" s="35"/>
      <c r="C14638" s="442"/>
      <c r="P14638" s="235"/>
      <c r="AI14638" s="38"/>
    </row>
    <row r="14639" ht="15.75" customHeight="1">
      <c r="A14639" s="35"/>
      <c r="C14639" s="442"/>
      <c r="P14639" s="235"/>
      <c r="AI14639" s="38"/>
    </row>
    <row r="14640" ht="15.75" customHeight="1">
      <c r="A14640" s="35"/>
      <c r="C14640" s="442"/>
      <c r="P14640" s="235"/>
      <c r="AI14640" s="38"/>
    </row>
    <row r="14641" ht="15.75" customHeight="1">
      <c r="A14641" s="35"/>
      <c r="C14641" s="442"/>
      <c r="P14641" s="235"/>
      <c r="AI14641" s="38"/>
    </row>
    <row r="14642" ht="15.75" customHeight="1">
      <c r="A14642" s="35"/>
      <c r="C14642" s="442"/>
      <c r="P14642" s="235"/>
      <c r="AI14642" s="38"/>
    </row>
    <row r="14643" ht="15.75" customHeight="1">
      <c r="A14643" s="35"/>
      <c r="C14643" s="442"/>
      <c r="P14643" s="235"/>
      <c r="AI14643" s="38"/>
    </row>
    <row r="14644" ht="15.75" customHeight="1">
      <c r="A14644" s="35"/>
      <c r="C14644" s="442"/>
      <c r="P14644" s="235"/>
      <c r="AI14644" s="38"/>
    </row>
    <row r="14645" ht="15.75" customHeight="1">
      <c r="A14645" s="35"/>
      <c r="C14645" s="442"/>
      <c r="P14645" s="235"/>
      <c r="AI14645" s="38"/>
    </row>
    <row r="14646" ht="15.75" customHeight="1">
      <c r="A14646" s="35"/>
      <c r="C14646" s="442"/>
      <c r="P14646" s="235"/>
      <c r="AI14646" s="38"/>
    </row>
    <row r="14647" ht="15.75" customHeight="1">
      <c r="A14647" s="35"/>
      <c r="C14647" s="442"/>
      <c r="P14647" s="235"/>
      <c r="AI14647" s="38"/>
    </row>
    <row r="14648" ht="15.75" customHeight="1">
      <c r="A14648" s="35"/>
      <c r="C14648" s="442"/>
      <c r="P14648" s="235"/>
      <c r="AI14648" s="38"/>
    </row>
    <row r="14649" ht="15.75" customHeight="1">
      <c r="A14649" s="35"/>
      <c r="C14649" s="442"/>
      <c r="P14649" s="235"/>
      <c r="AI14649" s="38"/>
    </row>
    <row r="14650" ht="15.75" customHeight="1">
      <c r="A14650" s="35"/>
      <c r="C14650" s="442"/>
      <c r="P14650" s="235"/>
      <c r="AI14650" s="38"/>
    </row>
    <row r="14651" ht="15.75" customHeight="1">
      <c r="A14651" s="35"/>
      <c r="C14651" s="442"/>
      <c r="P14651" s="235"/>
      <c r="AI14651" s="38"/>
    </row>
    <row r="14652" ht="15.75" customHeight="1">
      <c r="A14652" s="35"/>
      <c r="C14652" s="442"/>
      <c r="P14652" s="235"/>
      <c r="AI14652" s="38"/>
    </row>
    <row r="14653" ht="15.75" customHeight="1">
      <c r="A14653" s="35"/>
      <c r="C14653" s="442"/>
      <c r="P14653" s="235"/>
      <c r="AI14653" s="38"/>
    </row>
    <row r="14654" ht="15.75" customHeight="1">
      <c r="A14654" s="35"/>
      <c r="C14654" s="442"/>
      <c r="P14654" s="235"/>
      <c r="AI14654" s="38"/>
    </row>
    <row r="14655" ht="15.75" customHeight="1">
      <c r="A14655" s="35"/>
      <c r="C14655" s="442"/>
      <c r="P14655" s="235"/>
      <c r="AI14655" s="38"/>
    </row>
    <row r="14656" ht="15.75" customHeight="1">
      <c r="A14656" s="35"/>
      <c r="C14656" s="442"/>
      <c r="P14656" s="235"/>
      <c r="AI14656" s="38"/>
    </row>
    <row r="14657" ht="15.75" customHeight="1">
      <c r="A14657" s="35"/>
      <c r="C14657" s="442"/>
      <c r="P14657" s="235"/>
      <c r="AI14657" s="38"/>
    </row>
    <row r="14658" ht="15.75" customHeight="1">
      <c r="A14658" s="35"/>
      <c r="C14658" s="442"/>
      <c r="P14658" s="235"/>
      <c r="AI14658" s="38"/>
    </row>
    <row r="14659" ht="15.75" customHeight="1">
      <c r="A14659" s="35"/>
      <c r="C14659" s="442"/>
      <c r="P14659" s="235"/>
      <c r="AI14659" s="38"/>
    </row>
    <row r="14660" ht="15.75" customHeight="1">
      <c r="A14660" s="35"/>
      <c r="C14660" s="442"/>
      <c r="P14660" s="235"/>
      <c r="AI14660" s="38"/>
    </row>
    <row r="14661" ht="15.75" customHeight="1">
      <c r="A14661" s="35"/>
      <c r="C14661" s="442"/>
      <c r="P14661" s="235"/>
      <c r="AI14661" s="38"/>
    </row>
    <row r="14662" ht="15.75" customHeight="1">
      <c r="A14662" s="35"/>
      <c r="C14662" s="442"/>
      <c r="P14662" s="235"/>
      <c r="AI14662" s="38"/>
    </row>
    <row r="14663" ht="15.75" customHeight="1">
      <c r="A14663" s="35"/>
      <c r="C14663" s="442"/>
      <c r="P14663" s="235"/>
      <c r="AI14663" s="38"/>
    </row>
    <row r="14664" ht="15.75" customHeight="1">
      <c r="A14664" s="35"/>
      <c r="C14664" s="442"/>
      <c r="P14664" s="235"/>
      <c r="AI14664" s="38"/>
    </row>
    <row r="14665" ht="15.75" customHeight="1">
      <c r="A14665" s="35"/>
      <c r="C14665" s="442"/>
      <c r="P14665" s="235"/>
      <c r="AI14665" s="38"/>
    </row>
    <row r="14666" ht="15.75" customHeight="1">
      <c r="A14666" s="35"/>
      <c r="C14666" s="442"/>
      <c r="P14666" s="235"/>
      <c r="AI14666" s="38"/>
    </row>
    <row r="14667" ht="15.75" customHeight="1">
      <c r="A14667" s="35"/>
      <c r="C14667" s="442"/>
      <c r="P14667" s="235"/>
      <c r="AI14667" s="38"/>
    </row>
    <row r="14668" ht="15.75" customHeight="1">
      <c r="A14668" s="35"/>
      <c r="C14668" s="442"/>
      <c r="P14668" s="235"/>
      <c r="AI14668" s="38"/>
    </row>
    <row r="14669" ht="15.75" customHeight="1">
      <c r="A14669" s="35"/>
      <c r="C14669" s="442"/>
      <c r="P14669" s="235"/>
      <c r="AI14669" s="38"/>
    </row>
    <row r="14670" ht="15.75" customHeight="1">
      <c r="A14670" s="35"/>
      <c r="C14670" s="442"/>
      <c r="P14670" s="235"/>
      <c r="AI14670" s="38"/>
    </row>
    <row r="14671" ht="15.75" customHeight="1">
      <c r="A14671" s="35"/>
      <c r="C14671" s="442"/>
      <c r="P14671" s="235"/>
      <c r="AI14671" s="38"/>
    </row>
    <row r="14672" ht="15.75" customHeight="1">
      <c r="A14672" s="35"/>
      <c r="C14672" s="442"/>
      <c r="P14672" s="235"/>
      <c r="AI14672" s="38"/>
    </row>
    <row r="14673" ht="15.75" customHeight="1">
      <c r="A14673" s="35"/>
      <c r="C14673" s="442"/>
      <c r="P14673" s="235"/>
      <c r="AI14673" s="38"/>
    </row>
    <row r="14674" ht="15.75" customHeight="1">
      <c r="A14674" s="35"/>
      <c r="C14674" s="442"/>
      <c r="P14674" s="235"/>
      <c r="AI14674" s="38"/>
    </row>
    <row r="14675" ht="15.75" customHeight="1">
      <c r="A14675" s="35"/>
      <c r="C14675" s="442"/>
      <c r="P14675" s="235"/>
      <c r="AI14675" s="38"/>
    </row>
    <row r="14676" ht="15.75" customHeight="1">
      <c r="A14676" s="35"/>
      <c r="C14676" s="442"/>
      <c r="P14676" s="235"/>
      <c r="AI14676" s="38"/>
    </row>
    <row r="14677" ht="15.75" customHeight="1">
      <c r="A14677" s="35"/>
      <c r="C14677" s="442"/>
      <c r="P14677" s="235"/>
      <c r="AI14677" s="38"/>
    </row>
    <row r="14678" ht="15.75" customHeight="1">
      <c r="A14678" s="35"/>
      <c r="C14678" s="442"/>
      <c r="P14678" s="235"/>
      <c r="AI14678" s="38"/>
    </row>
    <row r="14679" ht="15.75" customHeight="1">
      <c r="A14679" s="35"/>
      <c r="C14679" s="442"/>
      <c r="P14679" s="235"/>
      <c r="AI14679" s="38"/>
    </row>
    <row r="14680" ht="15.75" customHeight="1">
      <c r="A14680" s="35"/>
      <c r="C14680" s="442"/>
      <c r="P14680" s="235"/>
      <c r="AI14680" s="38"/>
    </row>
    <row r="14681" ht="15.75" customHeight="1">
      <c r="A14681" s="35"/>
      <c r="C14681" s="442"/>
      <c r="P14681" s="235"/>
      <c r="AI14681" s="38"/>
    </row>
    <row r="14682" ht="15.75" customHeight="1">
      <c r="A14682" s="35"/>
      <c r="C14682" s="442"/>
      <c r="P14682" s="235"/>
      <c r="AI14682" s="38"/>
    </row>
    <row r="14683" ht="15.75" customHeight="1">
      <c r="A14683" s="35"/>
      <c r="C14683" s="442"/>
      <c r="P14683" s="235"/>
      <c r="AI14683" s="38"/>
    </row>
    <row r="14684" ht="15.75" customHeight="1">
      <c r="A14684" s="35"/>
      <c r="C14684" s="442"/>
      <c r="P14684" s="235"/>
      <c r="AI14684" s="38"/>
    </row>
    <row r="14685" ht="15.75" customHeight="1">
      <c r="A14685" s="35"/>
      <c r="C14685" s="442"/>
      <c r="P14685" s="235"/>
      <c r="AI14685" s="38"/>
    </row>
    <row r="14686" ht="15.75" customHeight="1">
      <c r="A14686" s="35"/>
      <c r="C14686" s="442"/>
      <c r="P14686" s="235"/>
      <c r="AI14686" s="38"/>
    </row>
    <row r="14687" ht="15.75" customHeight="1">
      <c r="A14687" s="35"/>
      <c r="C14687" s="442"/>
      <c r="P14687" s="235"/>
      <c r="AI14687" s="38"/>
    </row>
    <row r="14688" ht="15.75" customHeight="1">
      <c r="A14688" s="35"/>
      <c r="C14688" s="442"/>
      <c r="P14688" s="235"/>
      <c r="AI14688" s="38"/>
    </row>
    <row r="14689" ht="15.75" customHeight="1">
      <c r="A14689" s="35"/>
      <c r="C14689" s="442"/>
      <c r="P14689" s="235"/>
      <c r="AI14689" s="38"/>
    </row>
    <row r="14690" ht="15.75" customHeight="1">
      <c r="A14690" s="35"/>
      <c r="C14690" s="442"/>
      <c r="P14690" s="235"/>
      <c r="AI14690" s="38"/>
    </row>
    <row r="14691" ht="15.75" customHeight="1">
      <c r="A14691" s="35"/>
      <c r="C14691" s="442"/>
      <c r="P14691" s="235"/>
      <c r="AI14691" s="38"/>
    </row>
    <row r="14692" ht="15.75" customHeight="1">
      <c r="A14692" s="35"/>
      <c r="C14692" s="442"/>
      <c r="P14692" s="235"/>
      <c r="AI14692" s="38"/>
    </row>
    <row r="14693" ht="15.75" customHeight="1">
      <c r="A14693" s="35"/>
      <c r="C14693" s="442"/>
      <c r="P14693" s="235"/>
      <c r="AI14693" s="38"/>
    </row>
    <row r="14694" ht="15.75" customHeight="1">
      <c r="A14694" s="35"/>
      <c r="C14694" s="442"/>
      <c r="P14694" s="235"/>
      <c r="AI14694" s="38"/>
    </row>
    <row r="14695" ht="15.75" customHeight="1">
      <c r="A14695" s="35"/>
      <c r="C14695" s="442"/>
      <c r="P14695" s="235"/>
      <c r="AI14695" s="38"/>
    </row>
    <row r="14696" ht="15.75" customHeight="1">
      <c r="A14696" s="35"/>
      <c r="C14696" s="442"/>
      <c r="P14696" s="235"/>
      <c r="AI14696" s="38"/>
    </row>
    <row r="14697" ht="15.75" customHeight="1">
      <c r="A14697" s="35"/>
      <c r="C14697" s="442"/>
      <c r="P14697" s="235"/>
      <c r="AI14697" s="38"/>
    </row>
    <row r="14698" ht="15.75" customHeight="1">
      <c r="A14698" s="35"/>
      <c r="C14698" s="442"/>
      <c r="P14698" s="235"/>
      <c r="AI14698" s="38"/>
    </row>
    <row r="14699" ht="15.75" customHeight="1">
      <c r="A14699" s="35"/>
      <c r="C14699" s="442"/>
      <c r="P14699" s="235"/>
      <c r="AI14699" s="38"/>
    </row>
    <row r="14700" ht="15.75" customHeight="1">
      <c r="A14700" s="35"/>
      <c r="C14700" s="442"/>
      <c r="P14700" s="235"/>
      <c r="AI14700" s="38"/>
    </row>
    <row r="14701" ht="15.75" customHeight="1">
      <c r="A14701" s="35"/>
      <c r="C14701" s="442"/>
      <c r="P14701" s="235"/>
      <c r="AI14701" s="38"/>
    </row>
    <row r="14702" ht="15.75" customHeight="1">
      <c r="A14702" s="35"/>
      <c r="C14702" s="442"/>
      <c r="P14702" s="235"/>
      <c r="AI14702" s="38"/>
    </row>
    <row r="14703" ht="15.75" customHeight="1">
      <c r="A14703" s="35"/>
      <c r="C14703" s="442"/>
      <c r="P14703" s="235"/>
      <c r="AI14703" s="38"/>
    </row>
    <row r="14704" ht="15.75" customHeight="1">
      <c r="A14704" s="35"/>
      <c r="C14704" s="442"/>
      <c r="P14704" s="235"/>
      <c r="AI14704" s="38"/>
    </row>
    <row r="14705" ht="15.75" customHeight="1">
      <c r="A14705" s="35"/>
      <c r="C14705" s="442"/>
      <c r="P14705" s="235"/>
      <c r="AI14705" s="38"/>
    </row>
    <row r="14706" ht="15.75" customHeight="1">
      <c r="A14706" s="35"/>
      <c r="C14706" s="442"/>
      <c r="P14706" s="235"/>
      <c r="AI14706" s="38"/>
    </row>
    <row r="14707" ht="15.75" customHeight="1">
      <c r="A14707" s="35"/>
      <c r="C14707" s="442"/>
      <c r="P14707" s="235"/>
      <c r="AI14707" s="38"/>
    </row>
    <row r="14708" ht="15.75" customHeight="1">
      <c r="A14708" s="35"/>
      <c r="C14708" s="442"/>
      <c r="P14708" s="235"/>
      <c r="AI14708" s="38"/>
    </row>
    <row r="14709" ht="15.75" customHeight="1">
      <c r="A14709" s="35"/>
      <c r="C14709" s="442"/>
      <c r="P14709" s="235"/>
      <c r="AI14709" s="38"/>
    </row>
    <row r="14710" ht="15.75" customHeight="1">
      <c r="A14710" s="35"/>
      <c r="C14710" s="442"/>
      <c r="P14710" s="235"/>
      <c r="AI14710" s="38"/>
    </row>
    <row r="14711" ht="15.75" customHeight="1">
      <c r="A14711" s="35"/>
      <c r="C14711" s="442"/>
      <c r="P14711" s="235"/>
      <c r="AI14711" s="38"/>
    </row>
    <row r="14712" ht="15.75" customHeight="1">
      <c r="A14712" s="35"/>
      <c r="C14712" s="442"/>
      <c r="P14712" s="235"/>
      <c r="AI14712" s="38"/>
    </row>
    <row r="14713" ht="15.75" customHeight="1">
      <c r="A14713" s="35"/>
      <c r="C14713" s="442"/>
      <c r="P14713" s="235"/>
      <c r="AI14713" s="38"/>
    </row>
    <row r="14714" ht="15.75" customHeight="1">
      <c r="A14714" s="35"/>
      <c r="C14714" s="442"/>
      <c r="P14714" s="235"/>
      <c r="AI14714" s="38"/>
    </row>
    <row r="14715" ht="15.75" customHeight="1">
      <c r="A14715" s="35"/>
      <c r="C14715" s="442"/>
      <c r="P14715" s="235"/>
      <c r="AI14715" s="38"/>
    </row>
    <row r="14716" ht="15.75" customHeight="1">
      <c r="A14716" s="35"/>
      <c r="C14716" s="442"/>
      <c r="P14716" s="235"/>
      <c r="AI14716" s="38"/>
    </row>
    <row r="14717" ht="15.75" customHeight="1">
      <c r="A14717" s="35"/>
      <c r="C14717" s="442"/>
      <c r="P14717" s="235"/>
      <c r="AI14717" s="38"/>
    </row>
    <row r="14718" ht="15.75" customHeight="1">
      <c r="A14718" s="35"/>
      <c r="C14718" s="442"/>
      <c r="P14718" s="235"/>
      <c r="AI14718" s="38"/>
    </row>
    <row r="14719" ht="15.75" customHeight="1">
      <c r="A14719" s="35"/>
      <c r="C14719" s="442"/>
      <c r="P14719" s="235"/>
      <c r="AI14719" s="38"/>
    </row>
    <row r="14720" ht="15.75" customHeight="1">
      <c r="A14720" s="35"/>
      <c r="C14720" s="442"/>
      <c r="P14720" s="235"/>
      <c r="AI14720" s="38"/>
    </row>
    <row r="14721" ht="15.75" customHeight="1">
      <c r="A14721" s="35"/>
      <c r="C14721" s="442"/>
      <c r="P14721" s="235"/>
      <c r="AI14721" s="38"/>
    </row>
    <row r="14722" ht="15.75" customHeight="1">
      <c r="A14722" s="35"/>
      <c r="C14722" s="442"/>
      <c r="P14722" s="235"/>
      <c r="AI14722" s="38"/>
    </row>
    <row r="14723" ht="15.75" customHeight="1">
      <c r="A14723" s="35"/>
      <c r="C14723" s="442"/>
      <c r="P14723" s="235"/>
      <c r="AI14723" s="38"/>
    </row>
    <row r="14724" ht="15.75" customHeight="1">
      <c r="A14724" s="35"/>
      <c r="C14724" s="442"/>
      <c r="P14724" s="235"/>
      <c r="AI14724" s="38"/>
    </row>
    <row r="14725" ht="15.75" customHeight="1">
      <c r="A14725" s="35"/>
      <c r="C14725" s="442"/>
      <c r="P14725" s="235"/>
      <c r="AI14725" s="38"/>
    </row>
    <row r="14726" ht="15.75" customHeight="1">
      <c r="A14726" s="35"/>
      <c r="C14726" s="442"/>
      <c r="P14726" s="235"/>
      <c r="AI14726" s="38"/>
    </row>
    <row r="14727" ht="15.75" customHeight="1">
      <c r="A14727" s="35"/>
      <c r="C14727" s="442"/>
      <c r="P14727" s="235"/>
      <c r="AI14727" s="38"/>
    </row>
    <row r="14728" ht="15.75" customHeight="1">
      <c r="A14728" s="35"/>
      <c r="C14728" s="442"/>
      <c r="P14728" s="235"/>
      <c r="AI14728" s="38"/>
    </row>
    <row r="14729" ht="15.75" customHeight="1">
      <c r="A14729" s="35"/>
      <c r="C14729" s="442"/>
      <c r="P14729" s="235"/>
      <c r="AI14729" s="38"/>
    </row>
    <row r="14730" ht="15.75" customHeight="1">
      <c r="A14730" s="35"/>
      <c r="C14730" s="442"/>
      <c r="P14730" s="235"/>
      <c r="AI14730" s="38"/>
    </row>
    <row r="14731" ht="15.75" customHeight="1">
      <c r="A14731" s="35"/>
      <c r="C14731" s="442"/>
      <c r="P14731" s="235"/>
      <c r="AI14731" s="38"/>
    </row>
    <row r="14732" ht="15.75" customHeight="1">
      <c r="A14732" s="35"/>
      <c r="C14732" s="442"/>
      <c r="P14732" s="235"/>
      <c r="AI14732" s="38"/>
    </row>
    <row r="14733" ht="15.75" customHeight="1">
      <c r="A14733" s="35"/>
      <c r="C14733" s="442"/>
      <c r="P14733" s="235"/>
      <c r="AI14733" s="38"/>
    </row>
    <row r="14734" ht="15.75" customHeight="1">
      <c r="A14734" s="35"/>
      <c r="C14734" s="442"/>
      <c r="P14734" s="235"/>
      <c r="AI14734" s="38"/>
    </row>
    <row r="14735" ht="15.75" customHeight="1">
      <c r="A14735" s="35"/>
      <c r="C14735" s="442"/>
      <c r="P14735" s="235"/>
      <c r="AI14735" s="38"/>
    </row>
    <row r="14736" ht="15.75" customHeight="1">
      <c r="A14736" s="35"/>
      <c r="C14736" s="442"/>
      <c r="P14736" s="235"/>
      <c r="AI14736" s="38"/>
    </row>
    <row r="14737" ht="15.75" customHeight="1">
      <c r="A14737" s="35"/>
      <c r="C14737" s="442"/>
      <c r="P14737" s="235"/>
      <c r="AI14737" s="38"/>
    </row>
    <row r="14738" ht="15.75" customHeight="1">
      <c r="A14738" s="35"/>
      <c r="C14738" s="442"/>
      <c r="P14738" s="235"/>
      <c r="AI14738" s="38"/>
    </row>
    <row r="14739" ht="15.75" customHeight="1">
      <c r="A14739" s="35"/>
      <c r="C14739" s="442"/>
      <c r="P14739" s="235"/>
      <c r="AI14739" s="38"/>
    </row>
    <row r="14740" ht="15.75" customHeight="1">
      <c r="A14740" s="35"/>
      <c r="C14740" s="442"/>
      <c r="P14740" s="235"/>
      <c r="AI14740" s="38"/>
    </row>
    <row r="14741" ht="15.75" customHeight="1">
      <c r="A14741" s="35"/>
      <c r="C14741" s="442"/>
      <c r="P14741" s="235"/>
      <c r="AI14741" s="38"/>
    </row>
    <row r="14742" ht="15.75" customHeight="1">
      <c r="A14742" s="35"/>
      <c r="C14742" s="442"/>
      <c r="P14742" s="235"/>
      <c r="AI14742" s="38"/>
    </row>
    <row r="14743" ht="15.75" customHeight="1">
      <c r="A14743" s="35"/>
      <c r="C14743" s="442"/>
      <c r="P14743" s="235"/>
      <c r="AI14743" s="38"/>
    </row>
    <row r="14744" ht="15.75" customHeight="1">
      <c r="A14744" s="35"/>
      <c r="C14744" s="442"/>
      <c r="P14744" s="235"/>
      <c r="AI14744" s="38"/>
    </row>
    <row r="14745" ht="15.75" customHeight="1">
      <c r="A14745" s="35"/>
      <c r="C14745" s="442"/>
      <c r="P14745" s="235"/>
      <c r="AI14745" s="38"/>
    </row>
    <row r="14746" ht="15.75" customHeight="1">
      <c r="A14746" s="35"/>
      <c r="C14746" s="442"/>
      <c r="P14746" s="235"/>
      <c r="AI14746" s="38"/>
    </row>
    <row r="14747" ht="15.75" customHeight="1">
      <c r="A14747" s="35"/>
      <c r="C14747" s="442"/>
      <c r="P14747" s="235"/>
      <c r="AI14747" s="38"/>
    </row>
    <row r="14748" ht="15.75" customHeight="1">
      <c r="A14748" s="35"/>
      <c r="C14748" s="442"/>
      <c r="P14748" s="235"/>
      <c r="AI14748" s="38"/>
    </row>
    <row r="14749" ht="15.75" customHeight="1">
      <c r="A14749" s="35"/>
      <c r="C14749" s="442"/>
      <c r="P14749" s="235"/>
      <c r="AI14749" s="38"/>
    </row>
    <row r="14750" ht="15.75" customHeight="1">
      <c r="A14750" s="35"/>
      <c r="C14750" s="442"/>
      <c r="P14750" s="235"/>
      <c r="AI14750" s="38"/>
    </row>
    <row r="14751" ht="15.75" customHeight="1">
      <c r="A14751" s="35"/>
      <c r="C14751" s="442"/>
      <c r="P14751" s="235"/>
      <c r="AI14751" s="38"/>
    </row>
    <row r="14752" ht="15.75" customHeight="1">
      <c r="A14752" s="35"/>
      <c r="C14752" s="442"/>
      <c r="P14752" s="235"/>
      <c r="AI14752" s="38"/>
    </row>
    <row r="14753" ht="15.75" customHeight="1">
      <c r="A14753" s="35"/>
      <c r="C14753" s="442"/>
      <c r="P14753" s="235"/>
      <c r="AI14753" s="38"/>
    </row>
    <row r="14754" ht="15.75" customHeight="1">
      <c r="A14754" s="35"/>
      <c r="C14754" s="442"/>
      <c r="P14754" s="235"/>
      <c r="AI14754" s="38"/>
    </row>
    <row r="14755" ht="15.75" customHeight="1">
      <c r="A14755" s="35"/>
      <c r="C14755" s="442"/>
      <c r="P14755" s="235"/>
      <c r="AI14755" s="38"/>
    </row>
    <row r="14756" ht="15.75" customHeight="1">
      <c r="A14756" s="35"/>
      <c r="C14756" s="442"/>
      <c r="P14756" s="235"/>
      <c r="AI14756" s="38"/>
    </row>
    <row r="14757" ht="15.75" customHeight="1">
      <c r="A14757" s="35"/>
      <c r="C14757" s="442"/>
      <c r="P14757" s="235"/>
      <c r="AI14757" s="38"/>
    </row>
    <row r="14758" ht="15.75" customHeight="1">
      <c r="A14758" s="35"/>
      <c r="C14758" s="442"/>
      <c r="P14758" s="235"/>
      <c r="AI14758" s="38"/>
    </row>
    <row r="14759" ht="15.75" customHeight="1">
      <c r="A14759" s="35"/>
      <c r="C14759" s="442"/>
      <c r="P14759" s="235"/>
      <c r="AI14759" s="38"/>
    </row>
    <row r="14760" ht="15.75" customHeight="1">
      <c r="A14760" s="35"/>
      <c r="C14760" s="442"/>
      <c r="P14760" s="235"/>
      <c r="AI14760" s="38"/>
    </row>
    <row r="14761" ht="15.75" customHeight="1">
      <c r="A14761" s="35"/>
      <c r="C14761" s="442"/>
      <c r="P14761" s="235"/>
      <c r="AI14761" s="38"/>
    </row>
    <row r="14762" ht="15.75" customHeight="1">
      <c r="A14762" s="35"/>
      <c r="C14762" s="442"/>
      <c r="P14762" s="235"/>
      <c r="AI14762" s="38"/>
    </row>
    <row r="14763" ht="15.75" customHeight="1">
      <c r="A14763" s="35"/>
      <c r="C14763" s="442"/>
      <c r="P14763" s="235"/>
      <c r="AI14763" s="38"/>
    </row>
    <row r="14764" ht="15.75" customHeight="1">
      <c r="A14764" s="35"/>
      <c r="C14764" s="442"/>
      <c r="P14764" s="235"/>
      <c r="AI14764" s="38"/>
    </row>
    <row r="14765" ht="15.75" customHeight="1">
      <c r="A14765" s="35"/>
      <c r="C14765" s="442"/>
      <c r="P14765" s="235"/>
      <c r="AI14765" s="38"/>
    </row>
    <row r="14766" ht="15.75" customHeight="1">
      <c r="A14766" s="35"/>
      <c r="C14766" s="442"/>
      <c r="P14766" s="235"/>
      <c r="AI14766" s="38"/>
    </row>
    <row r="14767" ht="15.75" customHeight="1">
      <c r="A14767" s="35"/>
      <c r="C14767" s="442"/>
      <c r="P14767" s="235"/>
      <c r="AI14767" s="38"/>
    </row>
    <row r="14768" ht="15.75" customHeight="1">
      <c r="A14768" s="35"/>
      <c r="C14768" s="442"/>
      <c r="P14768" s="235"/>
      <c r="AI14768" s="38"/>
    </row>
    <row r="14769" ht="15.75" customHeight="1">
      <c r="A14769" s="35"/>
      <c r="C14769" s="442"/>
      <c r="P14769" s="235"/>
      <c r="AI14769" s="38"/>
    </row>
    <row r="14770" ht="15.75" customHeight="1">
      <c r="A14770" s="35"/>
      <c r="C14770" s="442"/>
      <c r="P14770" s="235"/>
      <c r="AI14770" s="38"/>
    </row>
    <row r="14771" ht="15.75" customHeight="1">
      <c r="A14771" s="35"/>
      <c r="C14771" s="442"/>
      <c r="P14771" s="235"/>
      <c r="AI14771" s="38"/>
    </row>
    <row r="14772" ht="15.75" customHeight="1">
      <c r="A14772" s="35"/>
      <c r="C14772" s="442"/>
      <c r="P14772" s="235"/>
      <c r="AI14772" s="38"/>
    </row>
    <row r="14773" ht="15.75" customHeight="1">
      <c r="A14773" s="35"/>
      <c r="C14773" s="442"/>
      <c r="P14773" s="235"/>
      <c r="AI14773" s="38"/>
    </row>
    <row r="14774" ht="15.75" customHeight="1">
      <c r="A14774" s="35"/>
      <c r="C14774" s="442"/>
      <c r="P14774" s="235"/>
      <c r="AI14774" s="38"/>
    </row>
    <row r="14775" ht="15.75" customHeight="1">
      <c r="A14775" s="35"/>
      <c r="C14775" s="442"/>
      <c r="P14775" s="235"/>
      <c r="AI14775" s="38"/>
    </row>
    <row r="14776" ht="15.75" customHeight="1">
      <c r="A14776" s="35"/>
      <c r="C14776" s="442"/>
      <c r="P14776" s="235"/>
      <c r="AI14776" s="38"/>
    </row>
    <row r="14777" ht="15.75" customHeight="1">
      <c r="A14777" s="35"/>
      <c r="C14777" s="442"/>
      <c r="P14777" s="235"/>
      <c r="AI14777" s="38"/>
    </row>
    <row r="14778" ht="15.75" customHeight="1">
      <c r="A14778" s="35"/>
      <c r="C14778" s="442"/>
      <c r="P14778" s="235"/>
      <c r="AI14778" s="38"/>
    </row>
    <row r="14779" ht="15.75" customHeight="1">
      <c r="A14779" s="35"/>
      <c r="C14779" s="442"/>
      <c r="P14779" s="235"/>
      <c r="AI14779" s="38"/>
    </row>
    <row r="14780" ht="15.75" customHeight="1">
      <c r="A14780" s="35"/>
      <c r="C14780" s="442"/>
      <c r="P14780" s="235"/>
      <c r="AI14780" s="38"/>
    </row>
    <row r="14781" ht="15.75" customHeight="1">
      <c r="A14781" s="35"/>
      <c r="C14781" s="442"/>
      <c r="P14781" s="235"/>
      <c r="AI14781" s="38"/>
    </row>
    <row r="14782" ht="15.75" customHeight="1">
      <c r="A14782" s="35"/>
      <c r="C14782" s="442"/>
      <c r="P14782" s="235"/>
      <c r="AI14782" s="38"/>
    </row>
    <row r="14783" ht="15.75" customHeight="1">
      <c r="A14783" s="35"/>
      <c r="C14783" s="442"/>
      <c r="P14783" s="235"/>
      <c r="AI14783" s="38"/>
    </row>
    <row r="14784" ht="15.75" customHeight="1">
      <c r="A14784" s="35"/>
      <c r="C14784" s="442"/>
      <c r="P14784" s="235"/>
      <c r="AI14784" s="38"/>
    </row>
    <row r="14785" ht="15.75" customHeight="1">
      <c r="A14785" s="35"/>
      <c r="C14785" s="442"/>
      <c r="P14785" s="235"/>
      <c r="AI14785" s="38"/>
    </row>
    <row r="14786" ht="15.75" customHeight="1">
      <c r="A14786" s="35"/>
      <c r="C14786" s="442"/>
      <c r="P14786" s="235"/>
      <c r="AI14786" s="38"/>
    </row>
    <row r="14787" ht="15.75" customHeight="1">
      <c r="A14787" s="35"/>
      <c r="C14787" s="442"/>
      <c r="P14787" s="235"/>
      <c r="AI14787" s="38"/>
    </row>
    <row r="14788" ht="15.75" customHeight="1">
      <c r="A14788" s="35"/>
      <c r="C14788" s="442"/>
      <c r="P14788" s="235"/>
      <c r="AI14788" s="38"/>
    </row>
    <row r="14789" ht="15.75" customHeight="1">
      <c r="A14789" s="35"/>
      <c r="C14789" s="442"/>
      <c r="P14789" s="235"/>
      <c r="AI14789" s="38"/>
    </row>
    <row r="14790" ht="15.75" customHeight="1">
      <c r="A14790" s="35"/>
      <c r="C14790" s="442"/>
      <c r="P14790" s="235"/>
      <c r="AI14790" s="38"/>
    </row>
    <row r="14791" ht="15.75" customHeight="1">
      <c r="A14791" s="35"/>
      <c r="C14791" s="442"/>
      <c r="P14791" s="235"/>
      <c r="AI14791" s="38"/>
    </row>
    <row r="14792" ht="15.75" customHeight="1">
      <c r="A14792" s="35"/>
      <c r="C14792" s="442"/>
      <c r="P14792" s="235"/>
      <c r="AI14792" s="38"/>
    </row>
    <row r="14793" ht="15.75" customHeight="1">
      <c r="A14793" s="35"/>
      <c r="C14793" s="442"/>
      <c r="P14793" s="235"/>
      <c r="AI14793" s="38"/>
    </row>
    <row r="14794" ht="15.75" customHeight="1">
      <c r="A14794" s="35"/>
      <c r="C14794" s="442"/>
      <c r="P14794" s="235"/>
      <c r="AI14794" s="38"/>
    </row>
    <row r="14795" ht="15.75" customHeight="1">
      <c r="A14795" s="35"/>
      <c r="C14795" s="442"/>
      <c r="P14795" s="235"/>
      <c r="AI14795" s="38"/>
    </row>
    <row r="14796" ht="15.75" customHeight="1">
      <c r="A14796" s="35"/>
      <c r="C14796" s="442"/>
      <c r="P14796" s="235"/>
      <c r="AI14796" s="38"/>
    </row>
    <row r="14797" ht="15.75" customHeight="1">
      <c r="A14797" s="35"/>
      <c r="C14797" s="442"/>
      <c r="P14797" s="235"/>
      <c r="AI14797" s="38"/>
    </row>
    <row r="14798" ht="15.75" customHeight="1">
      <c r="A14798" s="35"/>
      <c r="C14798" s="442"/>
      <c r="P14798" s="235"/>
      <c r="AI14798" s="38"/>
    </row>
    <row r="14799" ht="15.75" customHeight="1">
      <c r="A14799" s="35"/>
      <c r="C14799" s="442"/>
      <c r="P14799" s="235"/>
      <c r="AI14799" s="38"/>
    </row>
    <row r="14800" ht="15.75" customHeight="1">
      <c r="A14800" s="35"/>
      <c r="C14800" s="442"/>
      <c r="P14800" s="235"/>
      <c r="AI14800" s="38"/>
    </row>
    <row r="14801" ht="15.75" customHeight="1">
      <c r="A14801" s="35"/>
      <c r="C14801" s="442"/>
      <c r="P14801" s="235"/>
      <c r="AI14801" s="38"/>
    </row>
    <row r="14802" ht="15.75" customHeight="1">
      <c r="A14802" s="35"/>
      <c r="C14802" s="442"/>
      <c r="P14802" s="235"/>
      <c r="AI14802" s="38"/>
    </row>
    <row r="14803" ht="15.75" customHeight="1">
      <c r="A14803" s="35"/>
      <c r="C14803" s="442"/>
      <c r="P14803" s="235"/>
      <c r="AI14803" s="38"/>
    </row>
    <row r="14804" ht="15.75" customHeight="1">
      <c r="A14804" s="35"/>
      <c r="C14804" s="442"/>
      <c r="P14804" s="235"/>
      <c r="AI14804" s="38"/>
    </row>
    <row r="14805" ht="15.75" customHeight="1">
      <c r="A14805" s="35"/>
      <c r="C14805" s="442"/>
      <c r="P14805" s="235"/>
      <c r="AI14805" s="38"/>
    </row>
    <row r="14806" ht="15.75" customHeight="1">
      <c r="A14806" s="35"/>
      <c r="C14806" s="442"/>
      <c r="P14806" s="235"/>
      <c r="AI14806" s="38"/>
    </row>
    <row r="14807" ht="15.75" customHeight="1">
      <c r="A14807" s="35"/>
      <c r="C14807" s="442"/>
      <c r="P14807" s="235"/>
      <c r="AI14807" s="38"/>
    </row>
    <row r="14808" ht="15.75" customHeight="1">
      <c r="A14808" s="35"/>
      <c r="C14808" s="442"/>
      <c r="P14808" s="235"/>
      <c r="AI14808" s="38"/>
    </row>
    <row r="14809" ht="15.75" customHeight="1">
      <c r="A14809" s="35"/>
      <c r="C14809" s="442"/>
      <c r="P14809" s="235"/>
      <c r="AI14809" s="38"/>
    </row>
    <row r="14810" ht="15.75" customHeight="1">
      <c r="A14810" s="35"/>
      <c r="C14810" s="442"/>
      <c r="P14810" s="235"/>
      <c r="AI14810" s="38"/>
    </row>
    <row r="14811" ht="15.75" customHeight="1">
      <c r="A14811" s="35"/>
      <c r="C14811" s="442"/>
      <c r="P14811" s="235"/>
      <c r="AI14811" s="38"/>
    </row>
    <row r="14812" ht="15.75" customHeight="1">
      <c r="A14812" s="35"/>
      <c r="C14812" s="442"/>
      <c r="P14812" s="235"/>
      <c r="AI14812" s="38"/>
    </row>
    <row r="14813" ht="15.75" customHeight="1">
      <c r="A14813" s="35"/>
      <c r="C14813" s="442"/>
      <c r="P14813" s="235"/>
      <c r="AI14813" s="38"/>
    </row>
    <row r="14814" ht="15.75" customHeight="1">
      <c r="A14814" s="35"/>
      <c r="C14814" s="442"/>
      <c r="P14814" s="235"/>
      <c r="AI14814" s="38"/>
    </row>
    <row r="14815" ht="15.75" customHeight="1">
      <c r="A14815" s="35"/>
      <c r="C14815" s="442"/>
      <c r="P14815" s="235"/>
      <c r="AI14815" s="38"/>
    </row>
    <row r="14816" ht="15.75" customHeight="1">
      <c r="A14816" s="35"/>
      <c r="C14816" s="442"/>
      <c r="P14816" s="235"/>
      <c r="AI14816" s="38"/>
    </row>
    <row r="14817" ht="15.75" customHeight="1">
      <c r="A14817" s="35"/>
      <c r="C14817" s="442"/>
      <c r="P14817" s="235"/>
      <c r="AI14817" s="38"/>
    </row>
    <row r="14818" ht="15.75" customHeight="1">
      <c r="A14818" s="35"/>
      <c r="C14818" s="442"/>
      <c r="P14818" s="235"/>
      <c r="AI14818" s="38"/>
    </row>
    <row r="14819" ht="15.75" customHeight="1">
      <c r="A14819" s="35"/>
      <c r="C14819" s="442"/>
      <c r="P14819" s="235"/>
      <c r="AI14819" s="38"/>
    </row>
    <row r="14820" ht="15.75" customHeight="1">
      <c r="A14820" s="35"/>
      <c r="C14820" s="442"/>
      <c r="P14820" s="235"/>
      <c r="AI14820" s="38"/>
    </row>
    <row r="14821" ht="15.75" customHeight="1">
      <c r="A14821" s="35"/>
      <c r="C14821" s="442"/>
      <c r="P14821" s="235"/>
      <c r="AI14821" s="38"/>
    </row>
    <row r="14822" ht="15.75" customHeight="1">
      <c r="A14822" s="35"/>
      <c r="C14822" s="442"/>
      <c r="P14822" s="235"/>
      <c r="AI14822" s="38"/>
    </row>
    <row r="14823" ht="15.75" customHeight="1">
      <c r="A14823" s="35"/>
      <c r="C14823" s="442"/>
      <c r="P14823" s="235"/>
      <c r="AI14823" s="38"/>
    </row>
    <row r="14824" ht="15.75" customHeight="1">
      <c r="A14824" s="35"/>
      <c r="C14824" s="442"/>
      <c r="P14824" s="235"/>
      <c r="AI14824" s="38"/>
    </row>
    <row r="14825" ht="15.75" customHeight="1">
      <c r="A14825" s="35"/>
      <c r="C14825" s="442"/>
      <c r="P14825" s="235"/>
      <c r="AI14825" s="38"/>
    </row>
    <row r="14826" ht="15.75" customHeight="1">
      <c r="A14826" s="35"/>
      <c r="C14826" s="442"/>
      <c r="P14826" s="235"/>
      <c r="AI14826" s="38"/>
    </row>
    <row r="14827" ht="15.75" customHeight="1">
      <c r="A14827" s="35"/>
      <c r="C14827" s="442"/>
      <c r="P14827" s="235"/>
      <c r="AI14827" s="38"/>
    </row>
    <row r="14828" ht="15.75" customHeight="1">
      <c r="A14828" s="35"/>
      <c r="C14828" s="442"/>
      <c r="P14828" s="235"/>
      <c r="AI14828" s="38"/>
    </row>
    <row r="14829" ht="15.75" customHeight="1">
      <c r="A14829" s="35"/>
      <c r="C14829" s="442"/>
      <c r="P14829" s="235"/>
      <c r="AI14829" s="38"/>
    </row>
    <row r="14830" ht="15.75" customHeight="1">
      <c r="A14830" s="35"/>
      <c r="C14830" s="442"/>
      <c r="P14830" s="235"/>
      <c r="AI14830" s="38"/>
    </row>
    <row r="14831" ht="15.75" customHeight="1">
      <c r="A14831" s="35"/>
      <c r="C14831" s="442"/>
      <c r="P14831" s="235"/>
      <c r="AI14831" s="38"/>
    </row>
    <row r="14832" ht="15.75" customHeight="1">
      <c r="A14832" s="35"/>
      <c r="C14832" s="442"/>
      <c r="P14832" s="235"/>
      <c r="AI14832" s="38"/>
    </row>
    <row r="14833" ht="15.75" customHeight="1">
      <c r="A14833" s="35"/>
      <c r="C14833" s="442"/>
      <c r="P14833" s="235"/>
      <c r="AI14833" s="38"/>
    </row>
    <row r="14834" ht="15.75" customHeight="1">
      <c r="A14834" s="35"/>
      <c r="C14834" s="442"/>
      <c r="P14834" s="235"/>
      <c r="AI14834" s="38"/>
    </row>
    <row r="14835" ht="15.75" customHeight="1">
      <c r="A14835" s="35"/>
      <c r="C14835" s="442"/>
      <c r="P14835" s="235"/>
      <c r="AI14835" s="38"/>
    </row>
    <row r="14836" ht="15.75" customHeight="1">
      <c r="A14836" s="35"/>
      <c r="C14836" s="442"/>
      <c r="P14836" s="235"/>
      <c r="AI14836" s="38"/>
    </row>
    <row r="14837" ht="15.75" customHeight="1">
      <c r="A14837" s="35"/>
      <c r="C14837" s="442"/>
      <c r="P14837" s="235"/>
      <c r="AI14837" s="38"/>
    </row>
    <row r="14838" ht="15.75" customHeight="1">
      <c r="A14838" s="35"/>
      <c r="C14838" s="442"/>
      <c r="P14838" s="235"/>
      <c r="AI14838" s="38"/>
    </row>
    <row r="14839" ht="15.75" customHeight="1">
      <c r="A14839" s="35"/>
      <c r="C14839" s="442"/>
      <c r="P14839" s="235"/>
      <c r="AI14839" s="38"/>
    </row>
    <row r="14840" ht="15.75" customHeight="1">
      <c r="A14840" s="35"/>
      <c r="C14840" s="442"/>
      <c r="P14840" s="235"/>
      <c r="AI14840" s="38"/>
    </row>
    <row r="14841" ht="15.75" customHeight="1">
      <c r="A14841" s="35"/>
      <c r="C14841" s="442"/>
      <c r="P14841" s="235"/>
      <c r="AI14841" s="38"/>
    </row>
    <row r="14842" ht="15.75" customHeight="1">
      <c r="A14842" s="35"/>
      <c r="C14842" s="442"/>
      <c r="P14842" s="235"/>
      <c r="AI14842" s="38"/>
    </row>
    <row r="14843" ht="15.75" customHeight="1">
      <c r="A14843" s="35"/>
      <c r="C14843" s="442"/>
      <c r="P14843" s="235"/>
      <c r="AI14843" s="38"/>
    </row>
    <row r="14844" ht="15.75" customHeight="1">
      <c r="A14844" s="35"/>
      <c r="C14844" s="442"/>
      <c r="P14844" s="235"/>
      <c r="AI14844" s="38"/>
    </row>
    <row r="14845" ht="15.75" customHeight="1">
      <c r="A14845" s="35"/>
      <c r="C14845" s="442"/>
      <c r="P14845" s="235"/>
      <c r="AI14845" s="38"/>
    </row>
    <row r="14846" ht="15.75" customHeight="1">
      <c r="A14846" s="35"/>
      <c r="C14846" s="442"/>
      <c r="P14846" s="235"/>
      <c r="AI14846" s="38"/>
    </row>
    <row r="14847" ht="15.75" customHeight="1">
      <c r="A14847" s="35"/>
      <c r="C14847" s="442"/>
      <c r="P14847" s="235"/>
      <c r="AI14847" s="38"/>
    </row>
    <row r="14848" ht="15.75" customHeight="1">
      <c r="A14848" s="35"/>
      <c r="C14848" s="442"/>
      <c r="P14848" s="235"/>
      <c r="AI14848" s="38"/>
    </row>
    <row r="14849" ht="15.75" customHeight="1">
      <c r="A14849" s="35"/>
      <c r="C14849" s="442"/>
      <c r="P14849" s="235"/>
      <c r="AI14849" s="38"/>
    </row>
    <row r="14850" ht="15.75" customHeight="1">
      <c r="A14850" s="35"/>
      <c r="C14850" s="442"/>
      <c r="P14850" s="235"/>
      <c r="AI14850" s="38"/>
    </row>
    <row r="14851" ht="15.75" customHeight="1">
      <c r="A14851" s="35"/>
      <c r="C14851" s="442"/>
      <c r="P14851" s="235"/>
      <c r="AI14851" s="38"/>
    </row>
    <row r="14852" ht="15.75" customHeight="1">
      <c r="A14852" s="35"/>
      <c r="C14852" s="442"/>
      <c r="P14852" s="235"/>
      <c r="AI14852" s="38"/>
    </row>
    <row r="14853" ht="15.75" customHeight="1">
      <c r="A14853" s="35"/>
      <c r="C14853" s="442"/>
      <c r="P14853" s="235"/>
      <c r="AI14853" s="38"/>
    </row>
    <row r="14854" ht="15.75" customHeight="1">
      <c r="A14854" s="35"/>
      <c r="C14854" s="442"/>
      <c r="P14854" s="235"/>
      <c r="AI14854" s="38"/>
    </row>
    <row r="14855" ht="15.75" customHeight="1">
      <c r="A14855" s="35"/>
      <c r="C14855" s="442"/>
      <c r="P14855" s="235"/>
      <c r="AI14855" s="38"/>
    </row>
    <row r="14856" ht="15.75" customHeight="1">
      <c r="A14856" s="35"/>
      <c r="C14856" s="442"/>
      <c r="P14856" s="235"/>
      <c r="AI14856" s="38"/>
    </row>
    <row r="14857" ht="15.75" customHeight="1">
      <c r="A14857" s="35"/>
      <c r="C14857" s="442"/>
      <c r="P14857" s="235"/>
      <c r="AI14857" s="38"/>
    </row>
    <row r="14858" ht="15.75" customHeight="1">
      <c r="A14858" s="35"/>
      <c r="C14858" s="442"/>
      <c r="P14858" s="235"/>
      <c r="AI14858" s="38"/>
    </row>
    <row r="14859" ht="15.75" customHeight="1">
      <c r="A14859" s="35"/>
      <c r="C14859" s="442"/>
      <c r="P14859" s="235"/>
      <c r="AI14859" s="38"/>
    </row>
    <row r="14860" ht="15.75" customHeight="1">
      <c r="A14860" s="35"/>
      <c r="C14860" s="442"/>
      <c r="P14860" s="235"/>
      <c r="AI14860" s="38"/>
    </row>
    <row r="14861" ht="15.75" customHeight="1">
      <c r="A14861" s="35"/>
      <c r="C14861" s="442"/>
      <c r="P14861" s="235"/>
      <c r="AI14861" s="38"/>
    </row>
    <row r="14862" ht="15.75" customHeight="1">
      <c r="A14862" s="35"/>
      <c r="C14862" s="442"/>
      <c r="P14862" s="235"/>
      <c r="AI14862" s="38"/>
    </row>
    <row r="14863" ht="15.75" customHeight="1">
      <c r="A14863" s="35"/>
      <c r="C14863" s="442"/>
      <c r="P14863" s="235"/>
      <c r="AI14863" s="38"/>
    </row>
    <row r="14864" ht="15.75" customHeight="1">
      <c r="A14864" s="35"/>
      <c r="C14864" s="442"/>
      <c r="P14864" s="235"/>
      <c r="AI14864" s="38"/>
    </row>
    <row r="14865" ht="15.75" customHeight="1">
      <c r="A14865" s="35"/>
      <c r="C14865" s="442"/>
      <c r="P14865" s="235"/>
      <c r="AI14865" s="38"/>
    </row>
    <row r="14866" ht="15.75" customHeight="1">
      <c r="A14866" s="35"/>
      <c r="C14866" s="442"/>
      <c r="P14866" s="235"/>
      <c r="AI14866" s="38"/>
    </row>
    <row r="14867" ht="15.75" customHeight="1">
      <c r="A14867" s="35"/>
      <c r="C14867" s="442"/>
      <c r="P14867" s="235"/>
      <c r="AI14867" s="38"/>
    </row>
    <row r="14868" ht="15.75" customHeight="1">
      <c r="A14868" s="35"/>
      <c r="C14868" s="442"/>
      <c r="P14868" s="235"/>
      <c r="AI14868" s="38"/>
    </row>
    <row r="14869" ht="15.75" customHeight="1">
      <c r="A14869" s="35"/>
      <c r="C14869" s="442"/>
      <c r="P14869" s="235"/>
      <c r="AI14869" s="38"/>
    </row>
    <row r="14870" ht="15.75" customHeight="1">
      <c r="A14870" s="35"/>
      <c r="C14870" s="442"/>
      <c r="P14870" s="235"/>
      <c r="AI14870" s="38"/>
    </row>
    <row r="14871" ht="15.75" customHeight="1">
      <c r="A14871" s="35"/>
      <c r="C14871" s="442"/>
      <c r="P14871" s="235"/>
      <c r="AI14871" s="38"/>
    </row>
    <row r="14872" ht="15.75" customHeight="1">
      <c r="A14872" s="35"/>
      <c r="C14872" s="442"/>
      <c r="P14872" s="235"/>
      <c r="AI14872" s="38"/>
    </row>
    <row r="14873" ht="15.75" customHeight="1">
      <c r="A14873" s="35"/>
      <c r="C14873" s="442"/>
      <c r="P14873" s="235"/>
      <c r="AI14873" s="38"/>
    </row>
    <row r="14874" ht="15.75" customHeight="1">
      <c r="A14874" s="35"/>
      <c r="C14874" s="442"/>
      <c r="P14874" s="235"/>
      <c r="AI14874" s="38"/>
    </row>
    <row r="14875" ht="15.75" customHeight="1">
      <c r="A14875" s="35"/>
      <c r="C14875" s="442"/>
      <c r="P14875" s="235"/>
      <c r="AI14875" s="38"/>
    </row>
    <row r="14876" ht="15.75" customHeight="1">
      <c r="A14876" s="35"/>
      <c r="C14876" s="442"/>
      <c r="P14876" s="235"/>
      <c r="AI14876" s="38"/>
    </row>
    <row r="14877" ht="15.75" customHeight="1">
      <c r="A14877" s="35"/>
      <c r="C14877" s="442"/>
      <c r="P14877" s="235"/>
      <c r="AI14877" s="38"/>
    </row>
    <row r="14878" ht="15.75" customHeight="1">
      <c r="A14878" s="35"/>
      <c r="C14878" s="442"/>
      <c r="P14878" s="235"/>
      <c r="AI14878" s="38"/>
    </row>
    <row r="14879" ht="15.75" customHeight="1">
      <c r="A14879" s="35"/>
      <c r="C14879" s="442"/>
      <c r="P14879" s="235"/>
      <c r="AI14879" s="38"/>
    </row>
    <row r="14880" ht="15.75" customHeight="1">
      <c r="A14880" s="35"/>
      <c r="C14880" s="442"/>
      <c r="P14880" s="235"/>
      <c r="AI14880" s="38"/>
    </row>
    <row r="14881" ht="15.75" customHeight="1">
      <c r="A14881" s="35"/>
      <c r="C14881" s="442"/>
      <c r="P14881" s="235"/>
      <c r="AI14881" s="38"/>
    </row>
    <row r="14882" ht="15.75" customHeight="1">
      <c r="A14882" s="35"/>
      <c r="C14882" s="442"/>
      <c r="P14882" s="235"/>
      <c r="AI14882" s="38"/>
    </row>
    <row r="14883" ht="15.75" customHeight="1">
      <c r="A14883" s="35"/>
      <c r="C14883" s="442"/>
      <c r="P14883" s="235"/>
      <c r="AI14883" s="38"/>
    </row>
    <row r="14884" ht="15.75" customHeight="1">
      <c r="A14884" s="35"/>
      <c r="C14884" s="442"/>
      <c r="P14884" s="235"/>
      <c r="AI14884" s="38"/>
    </row>
    <row r="14885" ht="15.75" customHeight="1">
      <c r="A14885" s="35"/>
      <c r="C14885" s="442"/>
      <c r="P14885" s="235"/>
      <c r="AI14885" s="38"/>
    </row>
    <row r="14886" ht="15.75" customHeight="1">
      <c r="A14886" s="35"/>
      <c r="C14886" s="442"/>
      <c r="P14886" s="235"/>
      <c r="AI14886" s="38"/>
    </row>
    <row r="14887" ht="15.75" customHeight="1">
      <c r="A14887" s="35"/>
      <c r="C14887" s="442"/>
      <c r="P14887" s="235"/>
      <c r="AI14887" s="38"/>
    </row>
    <row r="14888" ht="15.75" customHeight="1">
      <c r="A14888" s="35"/>
      <c r="C14888" s="442"/>
      <c r="P14888" s="235"/>
      <c r="AI14888" s="38"/>
    </row>
    <row r="14889" ht="15.75" customHeight="1">
      <c r="A14889" s="35"/>
      <c r="C14889" s="442"/>
      <c r="P14889" s="235"/>
      <c r="AI14889" s="38"/>
    </row>
    <row r="14890" ht="15.75" customHeight="1">
      <c r="A14890" s="35"/>
      <c r="C14890" s="442"/>
      <c r="P14890" s="235"/>
      <c r="AI14890" s="38"/>
    </row>
    <row r="14891" ht="15.75" customHeight="1">
      <c r="A14891" s="35"/>
      <c r="C14891" s="442"/>
      <c r="P14891" s="235"/>
      <c r="AI14891" s="38"/>
    </row>
    <row r="14892" ht="15.75" customHeight="1">
      <c r="A14892" s="35"/>
      <c r="C14892" s="442"/>
      <c r="P14892" s="235"/>
      <c r="AI14892" s="38"/>
    </row>
    <row r="14893" ht="15.75" customHeight="1">
      <c r="A14893" s="35"/>
      <c r="C14893" s="442"/>
      <c r="P14893" s="235"/>
      <c r="AI14893" s="38"/>
    </row>
    <row r="14894" ht="15.75" customHeight="1">
      <c r="A14894" s="35"/>
      <c r="C14894" s="442"/>
      <c r="P14894" s="235"/>
      <c r="AI14894" s="38"/>
    </row>
    <row r="14895" ht="15.75" customHeight="1">
      <c r="A14895" s="35"/>
      <c r="C14895" s="442"/>
      <c r="P14895" s="235"/>
      <c r="AI14895" s="38"/>
    </row>
    <row r="14896" ht="15.75" customHeight="1">
      <c r="A14896" s="35"/>
      <c r="C14896" s="442"/>
      <c r="P14896" s="235"/>
      <c r="AI14896" s="38"/>
    </row>
    <row r="14897" ht="15.75" customHeight="1">
      <c r="A14897" s="35"/>
      <c r="C14897" s="442"/>
      <c r="P14897" s="235"/>
      <c r="AI14897" s="38"/>
    </row>
    <row r="14898" ht="15.75" customHeight="1">
      <c r="A14898" s="35"/>
      <c r="C14898" s="442"/>
      <c r="P14898" s="235"/>
      <c r="AI14898" s="38"/>
    </row>
    <row r="14899" ht="15.75" customHeight="1">
      <c r="A14899" s="35"/>
      <c r="C14899" s="442"/>
      <c r="P14899" s="235"/>
      <c r="AI14899" s="38"/>
    </row>
    <row r="14900" ht="15.75" customHeight="1">
      <c r="A14900" s="35"/>
      <c r="C14900" s="442"/>
      <c r="P14900" s="235"/>
      <c r="AI14900" s="38"/>
    </row>
    <row r="14901" ht="15.75" customHeight="1">
      <c r="A14901" s="35"/>
      <c r="C14901" s="442"/>
      <c r="P14901" s="235"/>
      <c r="AI14901" s="38"/>
    </row>
    <row r="14902" ht="15.75" customHeight="1">
      <c r="A14902" s="35"/>
      <c r="C14902" s="442"/>
      <c r="P14902" s="235"/>
      <c r="AI14902" s="38"/>
    </row>
    <row r="14903" ht="15.75" customHeight="1">
      <c r="A14903" s="35"/>
      <c r="C14903" s="442"/>
      <c r="P14903" s="235"/>
      <c r="AI14903" s="38"/>
    </row>
    <row r="14904" ht="15.75" customHeight="1">
      <c r="A14904" s="35"/>
      <c r="C14904" s="442"/>
      <c r="P14904" s="235"/>
      <c r="AI14904" s="38"/>
    </row>
    <row r="14905" ht="15.75" customHeight="1">
      <c r="A14905" s="35"/>
      <c r="C14905" s="442"/>
      <c r="P14905" s="235"/>
      <c r="AI14905" s="38"/>
    </row>
    <row r="14906" ht="15.75" customHeight="1">
      <c r="A14906" s="35"/>
      <c r="C14906" s="442"/>
      <c r="P14906" s="235"/>
      <c r="AI14906" s="38"/>
    </row>
    <row r="14907" ht="15.75" customHeight="1">
      <c r="A14907" s="35"/>
      <c r="C14907" s="442"/>
      <c r="P14907" s="235"/>
      <c r="AI14907" s="38"/>
    </row>
    <row r="14908" ht="15.75" customHeight="1">
      <c r="A14908" s="35"/>
      <c r="C14908" s="442"/>
      <c r="P14908" s="235"/>
      <c r="AI14908" s="38"/>
    </row>
    <row r="14909" ht="15.75" customHeight="1">
      <c r="A14909" s="35"/>
      <c r="C14909" s="442"/>
      <c r="P14909" s="235"/>
      <c r="AI14909" s="38"/>
    </row>
    <row r="14910" ht="15.75" customHeight="1">
      <c r="A14910" s="35"/>
      <c r="C14910" s="442"/>
      <c r="P14910" s="235"/>
      <c r="AI14910" s="38"/>
    </row>
    <row r="14911" ht="15.75" customHeight="1">
      <c r="A14911" s="35"/>
      <c r="C14911" s="442"/>
      <c r="P14911" s="235"/>
      <c r="AI14911" s="38"/>
    </row>
    <row r="14912" ht="15.75" customHeight="1">
      <c r="A14912" s="35"/>
      <c r="C14912" s="442"/>
      <c r="P14912" s="235"/>
      <c r="AI14912" s="38"/>
    </row>
    <row r="14913" ht="15.75" customHeight="1">
      <c r="A14913" s="35"/>
      <c r="C14913" s="442"/>
      <c r="P14913" s="235"/>
      <c r="AI14913" s="38"/>
    </row>
    <row r="14914" ht="15.75" customHeight="1">
      <c r="A14914" s="35"/>
      <c r="C14914" s="442"/>
      <c r="P14914" s="235"/>
      <c r="AI14914" s="38"/>
    </row>
    <row r="14915" ht="15.75" customHeight="1">
      <c r="A14915" s="35"/>
      <c r="C14915" s="442"/>
      <c r="P14915" s="235"/>
      <c r="AI14915" s="38"/>
    </row>
    <row r="14916" ht="15.75" customHeight="1">
      <c r="A14916" s="35"/>
      <c r="C14916" s="442"/>
      <c r="P14916" s="235"/>
      <c r="AI14916" s="38"/>
    </row>
    <row r="14917" ht="15.75" customHeight="1">
      <c r="A14917" s="35"/>
      <c r="C14917" s="442"/>
      <c r="P14917" s="235"/>
      <c r="AI14917" s="38"/>
    </row>
    <row r="14918" ht="15.75" customHeight="1">
      <c r="A14918" s="35"/>
      <c r="C14918" s="442"/>
      <c r="P14918" s="235"/>
      <c r="AI14918" s="38"/>
    </row>
    <row r="14919" ht="15.75" customHeight="1">
      <c r="A14919" s="35"/>
      <c r="C14919" s="442"/>
      <c r="P14919" s="235"/>
      <c r="AI14919" s="38"/>
    </row>
    <row r="14920" ht="15.75" customHeight="1">
      <c r="A14920" s="35"/>
      <c r="C14920" s="442"/>
      <c r="P14920" s="235"/>
      <c r="AI14920" s="38"/>
    </row>
    <row r="14921" ht="15.75" customHeight="1">
      <c r="A14921" s="35"/>
      <c r="C14921" s="442"/>
      <c r="P14921" s="235"/>
      <c r="AI14921" s="38"/>
    </row>
    <row r="14922" ht="15.75" customHeight="1">
      <c r="A14922" s="35"/>
      <c r="C14922" s="442"/>
      <c r="P14922" s="235"/>
      <c r="AI14922" s="38"/>
    </row>
    <row r="14923" ht="15.75" customHeight="1">
      <c r="A14923" s="35"/>
      <c r="C14923" s="442"/>
      <c r="P14923" s="235"/>
      <c r="AI14923" s="38"/>
    </row>
    <row r="14924" ht="15.75" customHeight="1">
      <c r="A14924" s="35"/>
      <c r="C14924" s="442"/>
      <c r="P14924" s="235"/>
      <c r="AI14924" s="38"/>
    </row>
    <row r="14925" ht="15.75" customHeight="1">
      <c r="A14925" s="35"/>
      <c r="C14925" s="442"/>
      <c r="P14925" s="235"/>
      <c r="AI14925" s="38"/>
    </row>
    <row r="14926" ht="15.75" customHeight="1">
      <c r="A14926" s="35"/>
      <c r="C14926" s="442"/>
      <c r="P14926" s="235"/>
      <c r="AI14926" s="38"/>
    </row>
    <row r="14927" ht="15.75" customHeight="1">
      <c r="A14927" s="35"/>
      <c r="C14927" s="442"/>
      <c r="P14927" s="235"/>
      <c r="AI14927" s="38"/>
    </row>
    <row r="14928" ht="15.75" customHeight="1">
      <c r="A14928" s="35"/>
      <c r="C14928" s="442"/>
      <c r="P14928" s="235"/>
      <c r="AI14928" s="38"/>
    </row>
    <row r="14929" ht="15.75" customHeight="1">
      <c r="A14929" s="35"/>
      <c r="C14929" s="442"/>
      <c r="P14929" s="235"/>
      <c r="AI14929" s="38"/>
    </row>
    <row r="14930" ht="15.75" customHeight="1">
      <c r="A14930" s="35"/>
      <c r="C14930" s="442"/>
      <c r="P14930" s="235"/>
      <c r="AI14930" s="38"/>
    </row>
    <row r="14931" ht="15.75" customHeight="1">
      <c r="A14931" s="35"/>
      <c r="C14931" s="442"/>
      <c r="P14931" s="235"/>
      <c r="AI14931" s="38"/>
    </row>
    <row r="14932" ht="15.75" customHeight="1">
      <c r="A14932" s="35"/>
      <c r="C14932" s="442"/>
      <c r="P14932" s="235"/>
      <c r="AI14932" s="38"/>
    </row>
    <row r="14933" ht="15.75" customHeight="1">
      <c r="A14933" s="35"/>
      <c r="C14933" s="442"/>
      <c r="P14933" s="235"/>
      <c r="AI14933" s="38"/>
    </row>
    <row r="14934" ht="15.75" customHeight="1">
      <c r="A14934" s="35"/>
      <c r="C14934" s="442"/>
      <c r="P14934" s="235"/>
      <c r="AI14934" s="38"/>
    </row>
    <row r="14935" ht="15.75" customHeight="1">
      <c r="A14935" s="35"/>
      <c r="C14935" s="442"/>
      <c r="P14935" s="235"/>
      <c r="AI14935" s="38"/>
    </row>
    <row r="14936" ht="15.75" customHeight="1">
      <c r="A14936" s="35"/>
      <c r="C14936" s="442"/>
      <c r="P14936" s="235"/>
      <c r="AI14936" s="38"/>
    </row>
    <row r="14937" ht="15.75" customHeight="1">
      <c r="A14937" s="35"/>
      <c r="C14937" s="442"/>
      <c r="P14937" s="235"/>
      <c r="AI14937" s="38"/>
    </row>
    <row r="14938" ht="15.75" customHeight="1">
      <c r="A14938" s="35"/>
      <c r="C14938" s="442"/>
      <c r="P14938" s="235"/>
      <c r="AI14938" s="38"/>
    </row>
    <row r="14939" ht="15.75" customHeight="1">
      <c r="A14939" s="35"/>
      <c r="C14939" s="442"/>
      <c r="P14939" s="235"/>
      <c r="AI14939" s="38"/>
    </row>
    <row r="14940" ht="15.75" customHeight="1">
      <c r="A14940" s="35"/>
      <c r="C14940" s="442"/>
      <c r="P14940" s="235"/>
      <c r="AI14940" s="38"/>
    </row>
    <row r="14941" ht="15.75" customHeight="1">
      <c r="A14941" s="35"/>
      <c r="C14941" s="442"/>
      <c r="P14941" s="235"/>
      <c r="AI14941" s="38"/>
    </row>
    <row r="14942" ht="15.75" customHeight="1">
      <c r="A14942" s="35"/>
      <c r="C14942" s="442"/>
      <c r="P14942" s="235"/>
      <c r="AI14942" s="38"/>
    </row>
    <row r="14943" ht="15.75" customHeight="1">
      <c r="A14943" s="35"/>
      <c r="C14943" s="442"/>
      <c r="P14943" s="235"/>
      <c r="AI14943" s="38"/>
    </row>
    <row r="14944" ht="15.75" customHeight="1">
      <c r="A14944" s="35"/>
      <c r="C14944" s="442"/>
      <c r="P14944" s="235"/>
      <c r="AI14944" s="38"/>
    </row>
    <row r="14945" ht="15.75" customHeight="1">
      <c r="A14945" s="35"/>
      <c r="C14945" s="442"/>
      <c r="P14945" s="235"/>
      <c r="AI14945" s="38"/>
    </row>
    <row r="14946" ht="15.75" customHeight="1">
      <c r="A14946" s="35"/>
      <c r="C14946" s="442"/>
      <c r="P14946" s="235"/>
      <c r="AI14946" s="38"/>
    </row>
    <row r="14947" ht="15.75" customHeight="1">
      <c r="A14947" s="35"/>
      <c r="C14947" s="442"/>
      <c r="P14947" s="235"/>
      <c r="AI14947" s="38"/>
    </row>
    <row r="14948" ht="15.75" customHeight="1">
      <c r="A14948" s="35"/>
      <c r="C14948" s="442"/>
      <c r="P14948" s="235"/>
      <c r="AI14948" s="38"/>
    </row>
    <row r="14949" ht="15.75" customHeight="1">
      <c r="A14949" s="35"/>
      <c r="C14949" s="442"/>
      <c r="P14949" s="235"/>
      <c r="AI14949" s="38"/>
    </row>
    <row r="14950" ht="15.75" customHeight="1">
      <c r="A14950" s="35"/>
      <c r="C14950" s="442"/>
      <c r="P14950" s="235"/>
      <c r="AI14950" s="38"/>
    </row>
    <row r="14951" ht="15.75" customHeight="1">
      <c r="A14951" s="35"/>
      <c r="C14951" s="442"/>
      <c r="P14951" s="235"/>
      <c r="AI14951" s="38"/>
    </row>
    <row r="14952" ht="15.75" customHeight="1">
      <c r="A14952" s="35"/>
      <c r="C14952" s="442"/>
      <c r="P14952" s="235"/>
      <c r="AI14952" s="38"/>
    </row>
    <row r="14953" ht="15.75" customHeight="1">
      <c r="A14953" s="35"/>
      <c r="C14953" s="442"/>
      <c r="P14953" s="235"/>
      <c r="AI14953" s="38"/>
    </row>
    <row r="14954" ht="15.75" customHeight="1">
      <c r="A14954" s="35"/>
      <c r="C14954" s="442"/>
      <c r="P14954" s="235"/>
      <c r="AI14954" s="38"/>
    </row>
    <row r="14955" ht="15.75" customHeight="1">
      <c r="A14955" s="35"/>
      <c r="C14955" s="442"/>
      <c r="P14955" s="235"/>
      <c r="AI14955" s="38"/>
    </row>
    <row r="14956" ht="15.75" customHeight="1">
      <c r="A14956" s="35"/>
      <c r="C14956" s="442"/>
      <c r="P14956" s="235"/>
      <c r="AI14956" s="38"/>
    </row>
    <row r="14957" ht="15.75" customHeight="1">
      <c r="A14957" s="35"/>
      <c r="C14957" s="442"/>
      <c r="P14957" s="235"/>
      <c r="AI14957" s="38"/>
    </row>
    <row r="14958" ht="15.75" customHeight="1">
      <c r="A14958" s="35"/>
      <c r="C14958" s="442"/>
      <c r="P14958" s="235"/>
      <c r="AI14958" s="38"/>
    </row>
    <row r="14959" ht="15.75" customHeight="1">
      <c r="A14959" s="35"/>
      <c r="C14959" s="442"/>
      <c r="P14959" s="235"/>
      <c r="AI14959" s="38"/>
    </row>
    <row r="14960" ht="15.75" customHeight="1">
      <c r="A14960" s="35"/>
      <c r="C14960" s="442"/>
      <c r="P14960" s="235"/>
      <c r="AI14960" s="38"/>
    </row>
    <row r="14961" ht="15.75" customHeight="1">
      <c r="A14961" s="35"/>
      <c r="C14961" s="442"/>
      <c r="P14961" s="235"/>
      <c r="AI14961" s="38"/>
    </row>
    <row r="14962" ht="15.75" customHeight="1">
      <c r="A14962" s="35"/>
      <c r="C14962" s="442"/>
      <c r="P14962" s="235"/>
      <c r="AI14962" s="38"/>
    </row>
    <row r="14963" ht="15.75" customHeight="1">
      <c r="A14963" s="35"/>
      <c r="C14963" s="442"/>
      <c r="P14963" s="235"/>
      <c r="AI14963" s="38"/>
    </row>
    <row r="14964" ht="15.75" customHeight="1">
      <c r="A14964" s="35"/>
      <c r="C14964" s="442"/>
      <c r="P14964" s="235"/>
      <c r="AI14964" s="38"/>
    </row>
    <row r="14965" ht="15.75" customHeight="1">
      <c r="A14965" s="35"/>
      <c r="C14965" s="442"/>
      <c r="P14965" s="235"/>
      <c r="AI14965" s="38"/>
    </row>
    <row r="14966" ht="15.75" customHeight="1">
      <c r="A14966" s="35"/>
      <c r="C14966" s="442"/>
      <c r="P14966" s="235"/>
      <c r="AI14966" s="38"/>
    </row>
    <row r="14967" ht="15.75" customHeight="1">
      <c r="A14967" s="35"/>
      <c r="C14967" s="442"/>
      <c r="P14967" s="235"/>
      <c r="AI14967" s="38"/>
    </row>
    <row r="14968" ht="15.75" customHeight="1">
      <c r="A14968" s="35"/>
      <c r="C14968" s="442"/>
      <c r="P14968" s="235"/>
      <c r="AI14968" s="38"/>
    </row>
    <row r="14969" ht="15.75" customHeight="1">
      <c r="A14969" s="35"/>
      <c r="C14969" s="442"/>
      <c r="P14969" s="235"/>
      <c r="AI14969" s="38"/>
    </row>
    <row r="14970" ht="15.75" customHeight="1">
      <c r="A14970" s="35"/>
      <c r="C14970" s="442"/>
      <c r="P14970" s="235"/>
      <c r="AI14970" s="38"/>
    </row>
    <row r="14971" ht="15.75" customHeight="1">
      <c r="A14971" s="35"/>
      <c r="C14971" s="442"/>
      <c r="P14971" s="235"/>
      <c r="AI14971" s="38"/>
    </row>
    <row r="14972" ht="15.75" customHeight="1">
      <c r="A14972" s="35"/>
      <c r="C14972" s="442"/>
      <c r="P14972" s="235"/>
      <c r="AI14972" s="38"/>
    </row>
    <row r="14973" ht="15.75" customHeight="1">
      <c r="A14973" s="35"/>
      <c r="C14973" s="442"/>
      <c r="P14973" s="235"/>
      <c r="AI14973" s="38"/>
    </row>
    <row r="14974" ht="15.75" customHeight="1">
      <c r="A14974" s="35"/>
      <c r="C14974" s="442"/>
      <c r="P14974" s="235"/>
      <c r="AI14974" s="38"/>
    </row>
    <row r="14975" ht="15.75" customHeight="1">
      <c r="A14975" s="35"/>
      <c r="C14975" s="442"/>
      <c r="P14975" s="235"/>
      <c r="AI14975" s="38"/>
    </row>
    <row r="14976" ht="15.75" customHeight="1">
      <c r="A14976" s="35"/>
      <c r="C14976" s="442"/>
      <c r="P14976" s="235"/>
      <c r="AI14976" s="38"/>
    </row>
    <row r="14977" ht="15.75" customHeight="1">
      <c r="A14977" s="35"/>
      <c r="C14977" s="442"/>
      <c r="P14977" s="235"/>
      <c r="AI14977" s="38"/>
    </row>
    <row r="14978" ht="15.75" customHeight="1">
      <c r="A14978" s="35"/>
      <c r="C14978" s="442"/>
      <c r="P14978" s="235"/>
      <c r="AI14978" s="38"/>
    </row>
    <row r="14979" ht="15.75" customHeight="1">
      <c r="A14979" s="35"/>
      <c r="C14979" s="442"/>
      <c r="P14979" s="235"/>
      <c r="AI14979" s="38"/>
    </row>
    <row r="14980" ht="15.75" customHeight="1">
      <c r="A14980" s="35"/>
      <c r="C14980" s="442"/>
      <c r="P14980" s="235"/>
      <c r="AI14980" s="38"/>
    </row>
    <row r="14981" ht="15.75" customHeight="1">
      <c r="A14981" s="35"/>
      <c r="C14981" s="442"/>
      <c r="P14981" s="235"/>
      <c r="AI14981" s="38"/>
    </row>
    <row r="14982" ht="15.75" customHeight="1">
      <c r="A14982" s="35"/>
      <c r="C14982" s="442"/>
      <c r="P14982" s="235"/>
      <c r="AI14982" s="38"/>
    </row>
    <row r="14983" ht="15.75" customHeight="1">
      <c r="A14983" s="35"/>
      <c r="C14983" s="442"/>
      <c r="P14983" s="235"/>
      <c r="AI14983" s="38"/>
    </row>
    <row r="14984" ht="15.75" customHeight="1">
      <c r="A14984" s="35"/>
      <c r="C14984" s="442"/>
      <c r="P14984" s="235"/>
      <c r="AI14984" s="38"/>
    </row>
    <row r="14985" ht="15.75" customHeight="1">
      <c r="A14985" s="35"/>
      <c r="C14985" s="442"/>
      <c r="P14985" s="235"/>
      <c r="AI14985" s="38"/>
    </row>
    <row r="14986" ht="15.75" customHeight="1">
      <c r="A14986" s="35"/>
      <c r="C14986" s="442"/>
      <c r="P14986" s="235"/>
      <c r="AI14986" s="38"/>
    </row>
    <row r="14987" ht="15.75" customHeight="1">
      <c r="A14987" s="35"/>
      <c r="C14987" s="442"/>
      <c r="P14987" s="235"/>
      <c r="AI14987" s="38"/>
    </row>
    <row r="14988" ht="15.75" customHeight="1">
      <c r="A14988" s="35"/>
      <c r="C14988" s="442"/>
      <c r="P14988" s="235"/>
      <c r="AI14988" s="38"/>
    </row>
    <row r="14989" ht="15.75" customHeight="1">
      <c r="A14989" s="35"/>
      <c r="C14989" s="442"/>
      <c r="P14989" s="235"/>
      <c r="AI14989" s="38"/>
    </row>
    <row r="14990" ht="15.75" customHeight="1">
      <c r="A14990" s="35"/>
      <c r="C14990" s="442"/>
      <c r="P14990" s="235"/>
      <c r="AI14990" s="38"/>
    </row>
    <row r="14991" ht="15.75" customHeight="1">
      <c r="A14991" s="35"/>
      <c r="C14991" s="442"/>
      <c r="P14991" s="235"/>
      <c r="AI14991" s="38"/>
    </row>
    <row r="14992" ht="15.75" customHeight="1">
      <c r="A14992" s="35"/>
      <c r="C14992" s="442"/>
      <c r="P14992" s="235"/>
      <c r="AI14992" s="38"/>
    </row>
    <row r="14993" ht="15.75" customHeight="1">
      <c r="A14993" s="35"/>
      <c r="C14993" s="442"/>
      <c r="P14993" s="235"/>
      <c r="AI14993" s="38"/>
    </row>
    <row r="14994" ht="15.75" customHeight="1">
      <c r="A14994" s="35"/>
      <c r="C14994" s="442"/>
      <c r="P14994" s="235"/>
      <c r="AI14994" s="38"/>
    </row>
    <row r="14995" ht="15.75" customHeight="1">
      <c r="A14995" s="35"/>
      <c r="C14995" s="442"/>
      <c r="P14995" s="235"/>
      <c r="AI14995" s="38"/>
    </row>
    <row r="14996" ht="15.75" customHeight="1">
      <c r="A14996" s="35"/>
      <c r="C14996" s="442"/>
      <c r="P14996" s="235"/>
      <c r="AI14996" s="38"/>
    </row>
    <row r="14997" ht="15.75" customHeight="1">
      <c r="A14997" s="35"/>
      <c r="C14997" s="442"/>
      <c r="P14997" s="235"/>
      <c r="AI14997" s="38"/>
    </row>
    <row r="14998" ht="15.75" customHeight="1">
      <c r="A14998" s="35"/>
      <c r="C14998" s="442"/>
      <c r="P14998" s="235"/>
      <c r="AI14998" s="38"/>
    </row>
    <row r="14999" ht="15.75" customHeight="1">
      <c r="A14999" s="35"/>
      <c r="C14999" s="442"/>
      <c r="P14999" s="235"/>
      <c r="AI14999" s="38"/>
    </row>
    <row r="15000" ht="15.75" customHeight="1">
      <c r="A15000" s="35"/>
      <c r="C15000" s="442"/>
      <c r="P15000" s="235"/>
      <c r="AI15000" s="38"/>
    </row>
    <row r="15001" ht="15.75" customHeight="1">
      <c r="A15001" s="35"/>
      <c r="C15001" s="442"/>
      <c r="P15001" s="235"/>
      <c r="AI15001" s="38"/>
    </row>
    <row r="15002" ht="15.75" customHeight="1">
      <c r="A15002" s="35"/>
      <c r="C15002" s="442"/>
      <c r="P15002" s="235"/>
      <c r="AI15002" s="38"/>
    </row>
    <row r="15003" ht="15.75" customHeight="1">
      <c r="A15003" s="35"/>
      <c r="C15003" s="442"/>
      <c r="P15003" s="235"/>
      <c r="AI15003" s="38"/>
    </row>
    <row r="15004" ht="15.75" customHeight="1">
      <c r="A15004" s="35"/>
      <c r="C15004" s="442"/>
      <c r="P15004" s="235"/>
      <c r="AI15004" s="38"/>
    </row>
    <row r="15005" ht="15.75" customHeight="1">
      <c r="A15005" s="35"/>
      <c r="C15005" s="442"/>
      <c r="P15005" s="235"/>
      <c r="AI15005" s="38"/>
    </row>
    <row r="15006" ht="15.75" customHeight="1">
      <c r="A15006" s="35"/>
      <c r="C15006" s="442"/>
      <c r="P15006" s="235"/>
      <c r="AI15006" s="38"/>
    </row>
    <row r="15007" ht="15.75" customHeight="1">
      <c r="A15007" s="35"/>
      <c r="C15007" s="442"/>
      <c r="P15007" s="235"/>
      <c r="AI15007" s="38"/>
    </row>
    <row r="15008" ht="15.75" customHeight="1">
      <c r="A15008" s="35"/>
      <c r="C15008" s="442"/>
      <c r="P15008" s="235"/>
      <c r="AI15008" s="38"/>
    </row>
    <row r="15009" ht="15.75" customHeight="1">
      <c r="A15009" s="35"/>
      <c r="C15009" s="442"/>
      <c r="P15009" s="235"/>
      <c r="AI15009" s="38"/>
    </row>
    <row r="15010" ht="15.75" customHeight="1">
      <c r="A15010" s="35"/>
      <c r="C15010" s="442"/>
      <c r="P15010" s="235"/>
      <c r="AI15010" s="38"/>
    </row>
    <row r="15011" ht="15.75" customHeight="1">
      <c r="A15011" s="35"/>
      <c r="C15011" s="442"/>
      <c r="P15011" s="235"/>
      <c r="AI15011" s="38"/>
    </row>
    <row r="15012" ht="15.75" customHeight="1">
      <c r="A15012" s="35"/>
      <c r="C15012" s="442"/>
      <c r="P15012" s="235"/>
      <c r="AI15012" s="38"/>
    </row>
    <row r="15013" ht="15.75" customHeight="1">
      <c r="A15013" s="35"/>
      <c r="C15013" s="442"/>
      <c r="P15013" s="235"/>
      <c r="AI15013" s="38"/>
    </row>
    <row r="15014" ht="15.75" customHeight="1">
      <c r="A15014" s="35"/>
      <c r="C15014" s="442"/>
      <c r="P15014" s="235"/>
      <c r="AI15014" s="38"/>
    </row>
    <row r="15015" ht="15.75" customHeight="1">
      <c r="A15015" s="35"/>
      <c r="C15015" s="442"/>
      <c r="P15015" s="235"/>
      <c r="AI15015" s="38"/>
    </row>
    <row r="15016" ht="15.75" customHeight="1">
      <c r="A15016" s="35"/>
      <c r="C15016" s="442"/>
      <c r="P15016" s="235"/>
      <c r="AI15016" s="38"/>
    </row>
    <row r="15017" ht="15.75" customHeight="1">
      <c r="A15017" s="35"/>
      <c r="C15017" s="442"/>
      <c r="P15017" s="235"/>
      <c r="AI15017" s="38"/>
    </row>
    <row r="15018" ht="15.75" customHeight="1">
      <c r="A15018" s="35"/>
      <c r="C15018" s="442"/>
      <c r="P15018" s="235"/>
      <c r="AI15018" s="38"/>
    </row>
    <row r="15019" ht="15.75" customHeight="1">
      <c r="A15019" s="35"/>
      <c r="C15019" s="442"/>
      <c r="P15019" s="235"/>
      <c r="AI15019" s="38"/>
    </row>
    <row r="15020" ht="15.75" customHeight="1">
      <c r="A15020" s="35"/>
      <c r="C15020" s="442"/>
      <c r="P15020" s="235"/>
      <c r="AI15020" s="38"/>
    </row>
    <row r="15021" ht="15.75" customHeight="1">
      <c r="A15021" s="35"/>
      <c r="C15021" s="442"/>
      <c r="P15021" s="235"/>
      <c r="AI15021" s="38"/>
    </row>
    <row r="15022" ht="15.75" customHeight="1">
      <c r="A15022" s="35"/>
      <c r="C15022" s="442"/>
      <c r="P15022" s="235"/>
      <c r="AI15022" s="38"/>
    </row>
    <row r="15023" ht="15.75" customHeight="1">
      <c r="A15023" s="35"/>
      <c r="C15023" s="442"/>
      <c r="P15023" s="235"/>
      <c r="AI15023" s="38"/>
    </row>
    <row r="15024" ht="15.75" customHeight="1">
      <c r="A15024" s="35"/>
      <c r="C15024" s="442"/>
      <c r="P15024" s="235"/>
      <c r="AI15024" s="38"/>
    </row>
    <row r="15025" ht="15.75" customHeight="1">
      <c r="A15025" s="35"/>
      <c r="C15025" s="442"/>
      <c r="P15025" s="235"/>
      <c r="AI15025" s="38"/>
    </row>
    <row r="15026" ht="15.75" customHeight="1">
      <c r="A15026" s="35"/>
      <c r="C15026" s="442"/>
      <c r="P15026" s="235"/>
      <c r="AI15026" s="38"/>
    </row>
    <row r="15027" ht="15.75" customHeight="1">
      <c r="A15027" s="35"/>
      <c r="C15027" s="442"/>
      <c r="P15027" s="235"/>
      <c r="AI15027" s="38"/>
    </row>
    <row r="15028" ht="15.75" customHeight="1">
      <c r="A15028" s="35"/>
      <c r="C15028" s="442"/>
      <c r="P15028" s="235"/>
      <c r="AI15028" s="38"/>
    </row>
    <row r="15029" ht="15.75" customHeight="1">
      <c r="A15029" s="35"/>
      <c r="C15029" s="442"/>
      <c r="P15029" s="235"/>
      <c r="AI15029" s="38"/>
    </row>
    <row r="15030" ht="15.75" customHeight="1">
      <c r="A15030" s="35"/>
      <c r="C15030" s="442"/>
      <c r="P15030" s="235"/>
      <c r="AI15030" s="38"/>
    </row>
    <row r="15031" ht="15.75" customHeight="1">
      <c r="A15031" s="35"/>
      <c r="C15031" s="442"/>
      <c r="P15031" s="235"/>
      <c r="AI15031" s="38"/>
    </row>
    <row r="15032" ht="15.75" customHeight="1">
      <c r="A15032" s="35"/>
      <c r="C15032" s="442"/>
      <c r="P15032" s="235"/>
      <c r="AI15032" s="38"/>
    </row>
    <row r="15033" ht="15.75" customHeight="1">
      <c r="A15033" s="35"/>
      <c r="C15033" s="442"/>
      <c r="P15033" s="235"/>
      <c r="AI15033" s="38"/>
    </row>
    <row r="15034" ht="15.75" customHeight="1">
      <c r="A15034" s="35"/>
      <c r="C15034" s="442"/>
      <c r="P15034" s="235"/>
      <c r="AI15034" s="38"/>
    </row>
    <row r="15035" ht="15.75" customHeight="1">
      <c r="A15035" s="35"/>
      <c r="C15035" s="442"/>
      <c r="P15035" s="235"/>
      <c r="AI15035" s="38"/>
    </row>
    <row r="15036" ht="15.75" customHeight="1">
      <c r="A15036" s="35"/>
      <c r="C15036" s="442"/>
      <c r="P15036" s="235"/>
      <c r="AI15036" s="38"/>
    </row>
    <row r="15037" ht="15.75" customHeight="1">
      <c r="A15037" s="35"/>
      <c r="C15037" s="442"/>
      <c r="P15037" s="235"/>
      <c r="AI15037" s="38"/>
    </row>
    <row r="15038" ht="15.75" customHeight="1">
      <c r="A15038" s="35"/>
      <c r="C15038" s="442"/>
      <c r="P15038" s="235"/>
      <c r="AI15038" s="38"/>
    </row>
    <row r="15039" ht="15.75" customHeight="1">
      <c r="A15039" s="35"/>
      <c r="C15039" s="442"/>
      <c r="P15039" s="235"/>
      <c r="AI15039" s="38"/>
    </row>
    <row r="15040" ht="15.75" customHeight="1">
      <c r="A15040" s="35"/>
      <c r="C15040" s="442"/>
      <c r="P15040" s="235"/>
      <c r="AI15040" s="38"/>
    </row>
    <row r="15041" ht="15.75" customHeight="1">
      <c r="A15041" s="35"/>
      <c r="C15041" s="442"/>
      <c r="P15041" s="235"/>
      <c r="AI15041" s="38"/>
    </row>
    <row r="15042" ht="15.75" customHeight="1">
      <c r="A15042" s="35"/>
      <c r="C15042" s="442"/>
      <c r="P15042" s="235"/>
      <c r="AI15042" s="38"/>
    </row>
    <row r="15043" ht="15.75" customHeight="1">
      <c r="A15043" s="35"/>
      <c r="C15043" s="442"/>
      <c r="P15043" s="235"/>
      <c r="AI15043" s="38"/>
    </row>
    <row r="15044" ht="15.75" customHeight="1">
      <c r="A15044" s="35"/>
      <c r="C15044" s="442"/>
      <c r="P15044" s="235"/>
      <c r="AI15044" s="38"/>
    </row>
    <row r="15045" ht="15.75" customHeight="1">
      <c r="A15045" s="35"/>
      <c r="C15045" s="442"/>
      <c r="P15045" s="235"/>
      <c r="AI15045" s="38"/>
    </row>
    <row r="15046" ht="15.75" customHeight="1">
      <c r="A15046" s="35"/>
      <c r="C15046" s="442"/>
      <c r="P15046" s="235"/>
      <c r="AI15046" s="38"/>
    </row>
    <row r="15047" ht="15.75" customHeight="1">
      <c r="A15047" s="35"/>
      <c r="C15047" s="442"/>
      <c r="P15047" s="235"/>
      <c r="AI15047" s="38"/>
    </row>
    <row r="15048" ht="15.75" customHeight="1">
      <c r="A15048" s="35"/>
      <c r="C15048" s="442"/>
      <c r="P15048" s="235"/>
      <c r="AI15048" s="38"/>
    </row>
    <row r="15049" ht="15.75" customHeight="1">
      <c r="A15049" s="35"/>
      <c r="C15049" s="442"/>
      <c r="P15049" s="235"/>
      <c r="AI15049" s="38"/>
    </row>
    <row r="15050" ht="15.75" customHeight="1">
      <c r="A15050" s="35"/>
      <c r="C15050" s="442"/>
      <c r="P15050" s="235"/>
      <c r="AI15050" s="38"/>
    </row>
    <row r="15051" ht="15.75" customHeight="1">
      <c r="A15051" s="35"/>
      <c r="C15051" s="442"/>
      <c r="P15051" s="235"/>
      <c r="AI15051" s="38"/>
    </row>
    <row r="15052" ht="15.75" customHeight="1">
      <c r="A15052" s="35"/>
      <c r="C15052" s="442"/>
      <c r="P15052" s="235"/>
      <c r="AI15052" s="38"/>
    </row>
    <row r="15053" ht="15.75" customHeight="1">
      <c r="A15053" s="35"/>
      <c r="C15053" s="442"/>
      <c r="P15053" s="235"/>
      <c r="AI15053" s="38"/>
    </row>
    <row r="15054" ht="15.75" customHeight="1">
      <c r="A15054" s="35"/>
      <c r="C15054" s="442"/>
      <c r="P15054" s="235"/>
      <c r="AI15054" s="38"/>
    </row>
    <row r="15055" ht="15.75" customHeight="1">
      <c r="A15055" s="35"/>
      <c r="C15055" s="442"/>
      <c r="P15055" s="235"/>
      <c r="AI15055" s="38"/>
    </row>
    <row r="15056" ht="15.75" customHeight="1">
      <c r="A15056" s="35"/>
      <c r="C15056" s="442"/>
      <c r="P15056" s="235"/>
      <c r="AI15056" s="38"/>
    </row>
    <row r="15057" ht="15.75" customHeight="1">
      <c r="A15057" s="35"/>
      <c r="C15057" s="442"/>
      <c r="P15057" s="235"/>
      <c r="AI15057" s="38"/>
    </row>
    <row r="15058" ht="15.75" customHeight="1">
      <c r="A15058" s="35"/>
      <c r="C15058" s="442"/>
      <c r="P15058" s="235"/>
      <c r="AI15058" s="38"/>
    </row>
    <row r="15059" ht="15.75" customHeight="1">
      <c r="A15059" s="35"/>
      <c r="C15059" s="442"/>
      <c r="P15059" s="235"/>
      <c r="AI15059" s="38"/>
    </row>
    <row r="15060" ht="15.75" customHeight="1">
      <c r="A15060" s="35"/>
      <c r="C15060" s="442"/>
      <c r="P15060" s="235"/>
      <c r="AI15060" s="38"/>
    </row>
    <row r="15061" ht="15.75" customHeight="1">
      <c r="A15061" s="35"/>
      <c r="C15061" s="442"/>
      <c r="P15061" s="235"/>
      <c r="AI15061" s="38"/>
    </row>
    <row r="15062" ht="15.75" customHeight="1">
      <c r="A15062" s="35"/>
      <c r="C15062" s="442"/>
      <c r="P15062" s="235"/>
      <c r="AI15062" s="38"/>
    </row>
    <row r="15063" ht="15.75" customHeight="1">
      <c r="A15063" s="35"/>
      <c r="C15063" s="442"/>
      <c r="P15063" s="235"/>
      <c r="AI15063" s="38"/>
    </row>
    <row r="15064" ht="15.75" customHeight="1">
      <c r="A15064" s="35"/>
      <c r="C15064" s="442"/>
      <c r="P15064" s="235"/>
      <c r="AI15064" s="38"/>
    </row>
    <row r="15065" ht="15.75" customHeight="1">
      <c r="A15065" s="35"/>
      <c r="C15065" s="442"/>
      <c r="P15065" s="235"/>
      <c r="AI15065" s="38"/>
    </row>
    <row r="15066" ht="15.75" customHeight="1">
      <c r="A15066" s="35"/>
      <c r="C15066" s="442"/>
      <c r="P15066" s="235"/>
      <c r="AI15066" s="38"/>
    </row>
    <row r="15067" ht="15.75" customHeight="1">
      <c r="A15067" s="35"/>
      <c r="C15067" s="442"/>
      <c r="P15067" s="235"/>
      <c r="AI15067" s="38"/>
    </row>
    <row r="15068" ht="15.75" customHeight="1">
      <c r="A15068" s="35"/>
      <c r="C15068" s="442"/>
      <c r="P15068" s="235"/>
      <c r="AI15068" s="38"/>
    </row>
    <row r="15069" ht="15.75" customHeight="1">
      <c r="A15069" s="35"/>
      <c r="C15069" s="442"/>
      <c r="P15069" s="235"/>
      <c r="AI15069" s="38"/>
    </row>
    <row r="15070" ht="15.75" customHeight="1">
      <c r="A15070" s="35"/>
      <c r="C15070" s="442"/>
      <c r="P15070" s="235"/>
      <c r="AI15070" s="38"/>
    </row>
    <row r="15071" ht="15.75" customHeight="1">
      <c r="A15071" s="35"/>
      <c r="C15071" s="442"/>
      <c r="P15071" s="235"/>
      <c r="AI15071" s="38"/>
    </row>
    <row r="15072" ht="15.75" customHeight="1">
      <c r="A15072" s="35"/>
      <c r="C15072" s="442"/>
      <c r="P15072" s="235"/>
      <c r="AI15072" s="38"/>
    </row>
    <row r="15073" ht="15.75" customHeight="1">
      <c r="A15073" s="35"/>
      <c r="C15073" s="442"/>
      <c r="P15073" s="235"/>
      <c r="AI15073" s="38"/>
    </row>
    <row r="15074" ht="15.75" customHeight="1">
      <c r="A15074" s="35"/>
      <c r="C15074" s="442"/>
      <c r="P15074" s="235"/>
      <c r="AI15074" s="38"/>
    </row>
    <row r="15075" ht="15.75" customHeight="1">
      <c r="A15075" s="35"/>
      <c r="C15075" s="442"/>
      <c r="P15075" s="235"/>
      <c r="AI15075" s="38"/>
    </row>
    <row r="15076" ht="15.75" customHeight="1">
      <c r="A15076" s="35"/>
      <c r="C15076" s="442"/>
      <c r="P15076" s="235"/>
      <c r="AI15076" s="38"/>
    </row>
    <row r="15077" ht="15.75" customHeight="1">
      <c r="A15077" s="35"/>
      <c r="C15077" s="442"/>
      <c r="P15077" s="235"/>
      <c r="AI15077" s="38"/>
    </row>
    <row r="15078" ht="15.75" customHeight="1">
      <c r="A15078" s="35"/>
      <c r="C15078" s="442"/>
      <c r="P15078" s="235"/>
      <c r="AI15078" s="38"/>
    </row>
    <row r="15079" ht="15.75" customHeight="1">
      <c r="A15079" s="35"/>
      <c r="C15079" s="442"/>
      <c r="P15079" s="235"/>
      <c r="AI15079" s="38"/>
    </row>
    <row r="15080" ht="15.75" customHeight="1">
      <c r="A15080" s="35"/>
      <c r="C15080" s="442"/>
      <c r="P15080" s="235"/>
      <c r="AI15080" s="38"/>
    </row>
    <row r="15081" ht="15.75" customHeight="1">
      <c r="A15081" s="35"/>
      <c r="C15081" s="442"/>
      <c r="P15081" s="235"/>
      <c r="AI15081" s="38"/>
    </row>
    <row r="15082" ht="15.75" customHeight="1">
      <c r="A15082" s="35"/>
      <c r="C15082" s="442"/>
      <c r="P15082" s="235"/>
      <c r="AI15082" s="38"/>
    </row>
    <row r="15083" ht="15.75" customHeight="1">
      <c r="A15083" s="35"/>
      <c r="C15083" s="442"/>
      <c r="P15083" s="235"/>
      <c r="AI15083" s="38"/>
    </row>
    <row r="15084" ht="15.75" customHeight="1">
      <c r="A15084" s="35"/>
      <c r="C15084" s="442"/>
      <c r="P15084" s="235"/>
      <c r="AI15084" s="38"/>
    </row>
    <row r="15085" ht="15.75" customHeight="1">
      <c r="A15085" s="35"/>
      <c r="C15085" s="442"/>
      <c r="P15085" s="235"/>
      <c r="AI15085" s="38"/>
    </row>
    <row r="15086" ht="15.75" customHeight="1">
      <c r="A15086" s="35"/>
      <c r="C15086" s="442"/>
      <c r="P15086" s="235"/>
      <c r="AI15086" s="38"/>
    </row>
    <row r="15087" ht="15.75" customHeight="1">
      <c r="A15087" s="35"/>
      <c r="C15087" s="442"/>
      <c r="P15087" s="235"/>
      <c r="AI15087" s="38"/>
    </row>
    <row r="15088" ht="15.75" customHeight="1">
      <c r="A15088" s="35"/>
      <c r="C15088" s="442"/>
      <c r="P15088" s="235"/>
      <c r="AI15088" s="38"/>
    </row>
    <row r="15089" ht="15.75" customHeight="1">
      <c r="A15089" s="35"/>
      <c r="C15089" s="442"/>
      <c r="P15089" s="235"/>
      <c r="AI15089" s="38"/>
    </row>
    <row r="15090" ht="15.75" customHeight="1">
      <c r="A15090" s="35"/>
      <c r="C15090" s="442"/>
      <c r="P15090" s="235"/>
      <c r="AI15090" s="38"/>
    </row>
    <row r="15091" ht="15.75" customHeight="1">
      <c r="A15091" s="35"/>
      <c r="C15091" s="442"/>
      <c r="P15091" s="235"/>
      <c r="AI15091" s="38"/>
    </row>
    <row r="15092" ht="15.75" customHeight="1">
      <c r="A15092" s="35"/>
      <c r="C15092" s="442"/>
      <c r="P15092" s="235"/>
      <c r="AI15092" s="38"/>
    </row>
    <row r="15093" ht="15.75" customHeight="1">
      <c r="A15093" s="35"/>
      <c r="C15093" s="442"/>
      <c r="P15093" s="235"/>
      <c r="AI15093" s="38"/>
    </row>
    <row r="15094" ht="15.75" customHeight="1">
      <c r="A15094" s="35"/>
      <c r="C15094" s="442"/>
      <c r="P15094" s="235"/>
      <c r="AI15094" s="38"/>
    </row>
    <row r="15095" ht="15.75" customHeight="1">
      <c r="A15095" s="35"/>
      <c r="C15095" s="442"/>
      <c r="P15095" s="235"/>
      <c r="AI15095" s="38"/>
    </row>
    <row r="15096" ht="15.75" customHeight="1">
      <c r="A15096" s="35"/>
      <c r="C15096" s="442"/>
      <c r="P15096" s="235"/>
      <c r="AI15096" s="38"/>
    </row>
    <row r="15097" ht="15.75" customHeight="1">
      <c r="A15097" s="35"/>
      <c r="C15097" s="442"/>
      <c r="P15097" s="235"/>
      <c r="AI15097" s="38"/>
    </row>
    <row r="15098" ht="15.75" customHeight="1">
      <c r="A15098" s="35"/>
      <c r="C15098" s="442"/>
      <c r="P15098" s="235"/>
      <c r="AI15098" s="38"/>
    </row>
    <row r="15099" ht="15.75" customHeight="1">
      <c r="A15099" s="35"/>
      <c r="C15099" s="442"/>
      <c r="P15099" s="235"/>
      <c r="AI15099" s="38"/>
    </row>
    <row r="15100" ht="15.75" customHeight="1">
      <c r="A15100" s="35"/>
      <c r="C15100" s="442"/>
      <c r="P15100" s="235"/>
      <c r="AI15100" s="38"/>
    </row>
    <row r="15101" ht="15.75" customHeight="1">
      <c r="A15101" s="35"/>
      <c r="C15101" s="442"/>
      <c r="P15101" s="235"/>
      <c r="AI15101" s="38"/>
    </row>
    <row r="15102" ht="15.75" customHeight="1">
      <c r="A15102" s="35"/>
      <c r="C15102" s="442"/>
      <c r="P15102" s="235"/>
      <c r="AI15102" s="38"/>
    </row>
    <row r="15103" ht="15.75" customHeight="1">
      <c r="A15103" s="35"/>
      <c r="C15103" s="442"/>
      <c r="P15103" s="235"/>
      <c r="AI15103" s="38"/>
    </row>
    <row r="15104" ht="15.75" customHeight="1">
      <c r="A15104" s="35"/>
      <c r="C15104" s="442"/>
      <c r="P15104" s="235"/>
      <c r="AI15104" s="38"/>
    </row>
    <row r="15105" ht="15.75" customHeight="1">
      <c r="A15105" s="35"/>
      <c r="C15105" s="442"/>
      <c r="P15105" s="235"/>
      <c r="AI15105" s="38"/>
    </row>
    <row r="15106" ht="15.75" customHeight="1">
      <c r="A15106" s="35"/>
      <c r="C15106" s="442"/>
      <c r="P15106" s="235"/>
      <c r="AI15106" s="38"/>
    </row>
    <row r="15107" ht="15.75" customHeight="1">
      <c r="A15107" s="35"/>
      <c r="C15107" s="442"/>
      <c r="P15107" s="235"/>
      <c r="AI15107" s="38"/>
    </row>
    <row r="15108" ht="15.75" customHeight="1">
      <c r="A15108" s="35"/>
      <c r="C15108" s="442"/>
      <c r="P15108" s="235"/>
      <c r="AI15108" s="38"/>
    </row>
    <row r="15109" ht="15.75" customHeight="1">
      <c r="A15109" s="35"/>
      <c r="C15109" s="442"/>
      <c r="P15109" s="235"/>
      <c r="AI15109" s="38"/>
    </row>
    <row r="15110" ht="15.75" customHeight="1">
      <c r="A15110" s="35"/>
      <c r="C15110" s="442"/>
      <c r="P15110" s="235"/>
      <c r="AI15110" s="38"/>
    </row>
    <row r="15111" ht="15.75" customHeight="1">
      <c r="A15111" s="35"/>
      <c r="C15111" s="442"/>
      <c r="P15111" s="235"/>
      <c r="AI15111" s="38"/>
    </row>
    <row r="15112" ht="15.75" customHeight="1">
      <c r="A15112" s="35"/>
      <c r="C15112" s="442"/>
      <c r="P15112" s="235"/>
      <c r="AI15112" s="38"/>
    </row>
    <row r="15113" ht="15.75" customHeight="1">
      <c r="A15113" s="35"/>
      <c r="C15113" s="442"/>
      <c r="P15113" s="235"/>
      <c r="AI15113" s="38"/>
    </row>
    <row r="15114" ht="15.75" customHeight="1">
      <c r="A15114" s="35"/>
      <c r="C15114" s="442"/>
      <c r="P15114" s="235"/>
      <c r="AI15114" s="38"/>
    </row>
    <row r="15115" ht="15.75" customHeight="1">
      <c r="A15115" s="35"/>
      <c r="C15115" s="442"/>
      <c r="P15115" s="235"/>
      <c r="AI15115" s="38"/>
    </row>
    <row r="15116" ht="15.75" customHeight="1">
      <c r="A15116" s="35"/>
      <c r="C15116" s="442"/>
      <c r="P15116" s="235"/>
      <c r="AI15116" s="38"/>
    </row>
    <row r="15117" ht="15.75" customHeight="1">
      <c r="A15117" s="35"/>
      <c r="C15117" s="442"/>
      <c r="P15117" s="235"/>
      <c r="AI15117" s="38"/>
    </row>
    <row r="15118" ht="15.75" customHeight="1">
      <c r="A15118" s="35"/>
      <c r="C15118" s="442"/>
      <c r="P15118" s="235"/>
      <c r="AI15118" s="38"/>
    </row>
    <row r="15119" ht="15.75" customHeight="1">
      <c r="A15119" s="35"/>
      <c r="C15119" s="442"/>
      <c r="P15119" s="235"/>
      <c r="AI15119" s="38"/>
    </row>
    <row r="15120" ht="15.75" customHeight="1">
      <c r="A15120" s="35"/>
      <c r="C15120" s="442"/>
      <c r="P15120" s="235"/>
      <c r="AI15120" s="38"/>
    </row>
    <row r="15121" ht="15.75" customHeight="1">
      <c r="A15121" s="35"/>
      <c r="C15121" s="442"/>
      <c r="P15121" s="235"/>
      <c r="AI15121" s="38"/>
    </row>
    <row r="15122" ht="15.75" customHeight="1">
      <c r="A15122" s="35"/>
      <c r="C15122" s="442"/>
      <c r="P15122" s="235"/>
      <c r="AI15122" s="38"/>
    </row>
    <row r="15123" ht="15.75" customHeight="1">
      <c r="A15123" s="35"/>
      <c r="C15123" s="442"/>
      <c r="P15123" s="235"/>
      <c r="AI15123" s="38"/>
    </row>
    <row r="15124" ht="15.75" customHeight="1">
      <c r="A15124" s="35"/>
      <c r="C15124" s="442"/>
      <c r="P15124" s="235"/>
      <c r="AI15124" s="38"/>
    </row>
    <row r="15125" ht="15.75" customHeight="1">
      <c r="A15125" s="35"/>
      <c r="C15125" s="442"/>
      <c r="P15125" s="235"/>
      <c r="AI15125" s="38"/>
    </row>
    <row r="15126" ht="15.75" customHeight="1">
      <c r="A15126" s="35"/>
      <c r="C15126" s="442"/>
      <c r="P15126" s="235"/>
      <c r="AI15126" s="38"/>
    </row>
    <row r="15127" ht="15.75" customHeight="1">
      <c r="A15127" s="35"/>
      <c r="C15127" s="442"/>
      <c r="P15127" s="235"/>
      <c r="AI15127" s="38"/>
    </row>
    <row r="15128" ht="15.75" customHeight="1">
      <c r="A15128" s="35"/>
      <c r="C15128" s="442"/>
      <c r="P15128" s="235"/>
      <c r="AI15128" s="38"/>
    </row>
    <row r="15129" ht="15.75" customHeight="1">
      <c r="A15129" s="35"/>
      <c r="C15129" s="442"/>
      <c r="P15129" s="235"/>
      <c r="AI15129" s="38"/>
    </row>
    <row r="15130" ht="15.75" customHeight="1">
      <c r="A15130" s="35"/>
      <c r="C15130" s="442"/>
      <c r="P15130" s="235"/>
      <c r="AI15130" s="38"/>
    </row>
    <row r="15131" ht="15.75" customHeight="1">
      <c r="A15131" s="35"/>
      <c r="C15131" s="442"/>
      <c r="P15131" s="235"/>
      <c r="AI15131" s="38"/>
    </row>
    <row r="15132" ht="15.75" customHeight="1">
      <c r="A15132" s="35"/>
      <c r="C15132" s="442"/>
      <c r="P15132" s="235"/>
      <c r="AI15132" s="38"/>
    </row>
    <row r="15133" ht="15.75" customHeight="1">
      <c r="A15133" s="35"/>
      <c r="C15133" s="442"/>
      <c r="P15133" s="235"/>
      <c r="AI15133" s="38"/>
    </row>
    <row r="15134" ht="15.75" customHeight="1">
      <c r="A15134" s="35"/>
      <c r="C15134" s="442"/>
      <c r="P15134" s="235"/>
      <c r="AI15134" s="38"/>
    </row>
    <row r="15135" ht="15.75" customHeight="1">
      <c r="A15135" s="35"/>
      <c r="C15135" s="442"/>
      <c r="P15135" s="235"/>
      <c r="AI15135" s="38"/>
    </row>
    <row r="15136" ht="15.75" customHeight="1">
      <c r="A15136" s="35"/>
      <c r="C15136" s="442"/>
      <c r="P15136" s="235"/>
      <c r="AI15136" s="38"/>
    </row>
    <row r="15137" ht="15.75" customHeight="1">
      <c r="A15137" s="35"/>
      <c r="C15137" s="442"/>
      <c r="P15137" s="235"/>
      <c r="AI15137" s="38"/>
    </row>
    <row r="15138" ht="15.75" customHeight="1">
      <c r="A15138" s="35"/>
      <c r="C15138" s="442"/>
      <c r="P15138" s="235"/>
      <c r="AI15138" s="38"/>
    </row>
    <row r="15139" ht="15.75" customHeight="1">
      <c r="A15139" s="35"/>
      <c r="C15139" s="442"/>
      <c r="P15139" s="235"/>
      <c r="AI15139" s="38"/>
    </row>
    <row r="15140" ht="15.75" customHeight="1">
      <c r="A15140" s="35"/>
      <c r="C15140" s="442"/>
      <c r="P15140" s="235"/>
      <c r="AI15140" s="38"/>
    </row>
    <row r="15141" ht="15.75" customHeight="1">
      <c r="A15141" s="35"/>
      <c r="C15141" s="442"/>
      <c r="P15141" s="235"/>
      <c r="AI15141" s="38"/>
    </row>
    <row r="15142" ht="15.75" customHeight="1">
      <c r="A15142" s="35"/>
      <c r="C15142" s="442"/>
      <c r="P15142" s="235"/>
      <c r="AI15142" s="38"/>
    </row>
    <row r="15143" ht="15.75" customHeight="1">
      <c r="A15143" s="35"/>
      <c r="C15143" s="442"/>
      <c r="P15143" s="235"/>
      <c r="AI15143" s="38"/>
    </row>
    <row r="15144" ht="15.75" customHeight="1">
      <c r="A15144" s="35"/>
      <c r="C15144" s="442"/>
      <c r="P15144" s="235"/>
      <c r="AI15144" s="38"/>
    </row>
    <row r="15145" ht="15.75" customHeight="1">
      <c r="A15145" s="35"/>
      <c r="C15145" s="442"/>
      <c r="P15145" s="235"/>
      <c r="AI15145" s="38"/>
    </row>
    <row r="15146" ht="15.75" customHeight="1">
      <c r="A15146" s="35"/>
      <c r="C15146" s="442"/>
      <c r="P15146" s="235"/>
      <c r="AI15146" s="38"/>
    </row>
    <row r="15147" ht="15.75" customHeight="1">
      <c r="A15147" s="35"/>
      <c r="C15147" s="442"/>
      <c r="P15147" s="235"/>
      <c r="AI15147" s="38"/>
    </row>
    <row r="15148" ht="15.75" customHeight="1">
      <c r="A15148" s="35"/>
      <c r="C15148" s="442"/>
      <c r="P15148" s="235"/>
      <c r="AI15148" s="38"/>
    </row>
    <row r="15149" ht="15.75" customHeight="1">
      <c r="A15149" s="35"/>
      <c r="C15149" s="442"/>
      <c r="P15149" s="235"/>
      <c r="AI15149" s="38"/>
    </row>
    <row r="15150" ht="15.75" customHeight="1">
      <c r="A15150" s="35"/>
      <c r="C15150" s="442"/>
      <c r="P15150" s="235"/>
      <c r="AI15150" s="38"/>
    </row>
    <row r="15151" ht="15.75" customHeight="1">
      <c r="A15151" s="35"/>
      <c r="C15151" s="442"/>
      <c r="P15151" s="235"/>
      <c r="AI15151" s="38"/>
    </row>
    <row r="15152" ht="15.75" customHeight="1">
      <c r="A15152" s="35"/>
      <c r="C15152" s="442"/>
      <c r="P15152" s="235"/>
      <c r="AI15152" s="38"/>
    </row>
    <row r="15153" ht="15.75" customHeight="1">
      <c r="A15153" s="35"/>
      <c r="C15153" s="442"/>
      <c r="P15153" s="235"/>
      <c r="AI15153" s="38"/>
    </row>
    <row r="15154" ht="15.75" customHeight="1">
      <c r="A15154" s="35"/>
      <c r="C15154" s="442"/>
      <c r="P15154" s="235"/>
      <c r="AI15154" s="38"/>
    </row>
    <row r="15155" ht="15.75" customHeight="1">
      <c r="A15155" s="35"/>
      <c r="C15155" s="442"/>
      <c r="P15155" s="235"/>
      <c r="AI15155" s="38"/>
    </row>
    <row r="15156" ht="15.75" customHeight="1">
      <c r="A15156" s="35"/>
      <c r="C15156" s="442"/>
      <c r="P15156" s="235"/>
      <c r="AI15156" s="38"/>
    </row>
    <row r="15157" ht="15.75" customHeight="1">
      <c r="A15157" s="35"/>
      <c r="C15157" s="442"/>
      <c r="P15157" s="235"/>
      <c r="AI15157" s="38"/>
    </row>
    <row r="15158" ht="15.75" customHeight="1">
      <c r="A15158" s="35"/>
      <c r="C15158" s="442"/>
      <c r="P15158" s="235"/>
      <c r="AI15158" s="38"/>
    </row>
    <row r="15159" ht="15.75" customHeight="1">
      <c r="A15159" s="35"/>
      <c r="C15159" s="442"/>
      <c r="P15159" s="235"/>
      <c r="AI15159" s="38"/>
    </row>
    <row r="15160" ht="15.75" customHeight="1">
      <c r="A15160" s="35"/>
      <c r="C15160" s="442"/>
      <c r="P15160" s="235"/>
      <c r="AI15160" s="38"/>
    </row>
    <row r="15161" ht="15.75" customHeight="1">
      <c r="A15161" s="35"/>
      <c r="C15161" s="442"/>
      <c r="P15161" s="235"/>
      <c r="AI15161" s="38"/>
    </row>
    <row r="15162" ht="15.75" customHeight="1">
      <c r="A15162" s="35"/>
      <c r="C15162" s="442"/>
      <c r="P15162" s="235"/>
      <c r="AI15162" s="38"/>
    </row>
    <row r="15163" ht="15.75" customHeight="1">
      <c r="A15163" s="35"/>
      <c r="C15163" s="442"/>
      <c r="P15163" s="235"/>
      <c r="AI15163" s="38"/>
    </row>
    <row r="15164" ht="15.75" customHeight="1">
      <c r="A15164" s="35"/>
      <c r="C15164" s="442"/>
      <c r="P15164" s="235"/>
      <c r="AI15164" s="38"/>
    </row>
    <row r="15165" ht="15.75" customHeight="1">
      <c r="A15165" s="35"/>
      <c r="C15165" s="442"/>
      <c r="P15165" s="235"/>
      <c r="AI15165" s="38"/>
    </row>
    <row r="15166" ht="15.75" customHeight="1">
      <c r="A15166" s="35"/>
      <c r="C15166" s="442"/>
      <c r="P15166" s="235"/>
      <c r="AI15166" s="38"/>
    </row>
    <row r="15167" ht="15.75" customHeight="1">
      <c r="A15167" s="35"/>
      <c r="C15167" s="442"/>
      <c r="P15167" s="235"/>
      <c r="AI15167" s="38"/>
    </row>
    <row r="15168" ht="15.75" customHeight="1">
      <c r="A15168" s="35"/>
      <c r="C15168" s="442"/>
      <c r="P15168" s="235"/>
      <c r="AI15168" s="38"/>
    </row>
    <row r="15169" ht="15.75" customHeight="1">
      <c r="A15169" s="35"/>
      <c r="C15169" s="442"/>
      <c r="P15169" s="235"/>
      <c r="AI15169" s="38"/>
    </row>
    <row r="15170" ht="15.75" customHeight="1">
      <c r="A15170" s="35"/>
      <c r="C15170" s="442"/>
      <c r="P15170" s="235"/>
      <c r="AI15170" s="38"/>
    </row>
    <row r="15171" ht="15.75" customHeight="1">
      <c r="A15171" s="35"/>
      <c r="C15171" s="442"/>
      <c r="P15171" s="235"/>
      <c r="AI15171" s="38"/>
    </row>
    <row r="15172" ht="15.75" customHeight="1">
      <c r="A15172" s="35"/>
      <c r="C15172" s="442"/>
      <c r="P15172" s="235"/>
      <c r="AI15172" s="38"/>
    </row>
    <row r="15173" ht="15.75" customHeight="1">
      <c r="A15173" s="35"/>
      <c r="C15173" s="442"/>
      <c r="P15173" s="235"/>
      <c r="AI15173" s="38"/>
    </row>
    <row r="15174" ht="15.75" customHeight="1">
      <c r="A15174" s="35"/>
      <c r="C15174" s="442"/>
      <c r="P15174" s="235"/>
      <c r="AI15174" s="38"/>
    </row>
    <row r="15175" ht="15.75" customHeight="1">
      <c r="A15175" s="35"/>
      <c r="C15175" s="442"/>
      <c r="P15175" s="235"/>
      <c r="AI15175" s="38"/>
    </row>
    <row r="15176" ht="15.75" customHeight="1">
      <c r="A15176" s="35"/>
      <c r="C15176" s="442"/>
      <c r="P15176" s="235"/>
      <c r="AI15176" s="38"/>
    </row>
    <row r="15177" ht="15.75" customHeight="1">
      <c r="A15177" s="35"/>
      <c r="C15177" s="442"/>
      <c r="P15177" s="235"/>
      <c r="AI15177" s="38"/>
    </row>
    <row r="15178" ht="15.75" customHeight="1">
      <c r="A15178" s="35"/>
      <c r="C15178" s="442"/>
      <c r="P15178" s="235"/>
      <c r="AI15178" s="38"/>
    </row>
    <row r="15179" ht="15.75" customHeight="1">
      <c r="A15179" s="35"/>
      <c r="C15179" s="442"/>
      <c r="P15179" s="235"/>
      <c r="AI15179" s="38"/>
    </row>
    <row r="15180" ht="15.75" customHeight="1">
      <c r="A15180" s="35"/>
      <c r="C15180" s="442"/>
      <c r="P15180" s="235"/>
      <c r="AI15180" s="38"/>
    </row>
    <row r="15181" ht="15.75" customHeight="1">
      <c r="A15181" s="35"/>
      <c r="C15181" s="442"/>
      <c r="P15181" s="235"/>
      <c r="AI15181" s="38"/>
    </row>
    <row r="15182" ht="15.75" customHeight="1">
      <c r="A15182" s="35"/>
      <c r="C15182" s="442"/>
      <c r="P15182" s="235"/>
      <c r="AI15182" s="38"/>
    </row>
    <row r="15183" ht="15.75" customHeight="1">
      <c r="A15183" s="35"/>
      <c r="C15183" s="442"/>
      <c r="P15183" s="235"/>
      <c r="AI15183" s="38"/>
    </row>
    <row r="15184" ht="15.75" customHeight="1">
      <c r="A15184" s="35"/>
      <c r="C15184" s="442"/>
      <c r="P15184" s="235"/>
      <c r="AI15184" s="38"/>
    </row>
    <row r="15185" ht="15.75" customHeight="1">
      <c r="A15185" s="35"/>
      <c r="C15185" s="442"/>
      <c r="P15185" s="235"/>
      <c r="AI15185" s="38"/>
    </row>
    <row r="15186" ht="15.75" customHeight="1">
      <c r="A15186" s="35"/>
      <c r="C15186" s="442"/>
      <c r="P15186" s="235"/>
      <c r="AI15186" s="38"/>
    </row>
    <row r="15187" ht="15.75" customHeight="1">
      <c r="A15187" s="35"/>
      <c r="C15187" s="442"/>
      <c r="P15187" s="235"/>
      <c r="AI15187" s="38"/>
    </row>
    <row r="15188" ht="15.75" customHeight="1">
      <c r="A15188" s="35"/>
      <c r="C15188" s="442"/>
      <c r="P15188" s="235"/>
      <c r="AI15188" s="38"/>
    </row>
    <row r="15189" ht="15.75" customHeight="1">
      <c r="A15189" s="35"/>
      <c r="C15189" s="442"/>
      <c r="P15189" s="235"/>
      <c r="AI15189" s="38"/>
    </row>
    <row r="15190" ht="15.75" customHeight="1">
      <c r="A15190" s="35"/>
      <c r="C15190" s="442"/>
      <c r="P15190" s="235"/>
      <c r="AI15190" s="38"/>
    </row>
    <row r="15191" ht="15.75" customHeight="1">
      <c r="A15191" s="35"/>
      <c r="C15191" s="442"/>
      <c r="P15191" s="235"/>
      <c r="AI15191" s="38"/>
    </row>
    <row r="15192" ht="15.75" customHeight="1">
      <c r="A15192" s="35"/>
      <c r="C15192" s="442"/>
      <c r="P15192" s="235"/>
      <c r="AI15192" s="38"/>
    </row>
    <row r="15193" ht="15.75" customHeight="1">
      <c r="A15193" s="35"/>
      <c r="C15193" s="442"/>
      <c r="P15193" s="235"/>
      <c r="AI15193" s="38"/>
    </row>
    <row r="15194" ht="15.75" customHeight="1">
      <c r="A15194" s="35"/>
      <c r="C15194" s="442"/>
      <c r="P15194" s="235"/>
      <c r="AI15194" s="38"/>
    </row>
    <row r="15195" ht="15.75" customHeight="1">
      <c r="A15195" s="35"/>
      <c r="C15195" s="442"/>
      <c r="P15195" s="235"/>
      <c r="AI15195" s="38"/>
    </row>
    <row r="15196" ht="15.75" customHeight="1">
      <c r="A15196" s="35"/>
      <c r="C15196" s="442"/>
      <c r="P15196" s="235"/>
      <c r="AI15196" s="38"/>
    </row>
    <row r="15197" ht="15.75" customHeight="1">
      <c r="A15197" s="35"/>
      <c r="C15197" s="442"/>
      <c r="P15197" s="235"/>
      <c r="AI15197" s="38"/>
    </row>
    <row r="15198" ht="15.75" customHeight="1">
      <c r="A15198" s="35"/>
      <c r="C15198" s="442"/>
      <c r="P15198" s="235"/>
      <c r="AI15198" s="38"/>
    </row>
    <row r="15199" ht="15.75" customHeight="1">
      <c r="A15199" s="35"/>
      <c r="C15199" s="442"/>
      <c r="P15199" s="235"/>
      <c r="AI15199" s="38"/>
    </row>
    <row r="15200" ht="15.75" customHeight="1">
      <c r="A15200" s="35"/>
      <c r="C15200" s="442"/>
      <c r="P15200" s="235"/>
      <c r="AI15200" s="38"/>
    </row>
    <row r="15201" ht="15.75" customHeight="1">
      <c r="A15201" s="35"/>
      <c r="C15201" s="442"/>
      <c r="P15201" s="235"/>
      <c r="AI15201" s="38"/>
    </row>
    <row r="15202" ht="15.75" customHeight="1">
      <c r="A15202" s="35"/>
      <c r="C15202" s="442"/>
      <c r="P15202" s="235"/>
      <c r="AI15202" s="38"/>
    </row>
    <row r="15203" ht="15.75" customHeight="1">
      <c r="A15203" s="35"/>
      <c r="C15203" s="442"/>
      <c r="P15203" s="235"/>
      <c r="AI15203" s="38"/>
    </row>
    <row r="15204" ht="15.75" customHeight="1">
      <c r="A15204" s="35"/>
      <c r="C15204" s="442"/>
      <c r="P15204" s="235"/>
      <c r="AI15204" s="38"/>
    </row>
    <row r="15205" ht="15.75" customHeight="1">
      <c r="A15205" s="35"/>
      <c r="C15205" s="442"/>
      <c r="P15205" s="235"/>
      <c r="AI15205" s="38"/>
    </row>
    <row r="15206" ht="15.75" customHeight="1">
      <c r="A15206" s="35"/>
      <c r="C15206" s="442"/>
      <c r="P15206" s="235"/>
      <c r="AI15206" s="38"/>
    </row>
    <row r="15207" ht="15.75" customHeight="1">
      <c r="A15207" s="35"/>
      <c r="C15207" s="442"/>
      <c r="P15207" s="235"/>
      <c r="AI15207" s="38"/>
    </row>
    <row r="15208" ht="15.75" customHeight="1">
      <c r="A15208" s="35"/>
      <c r="C15208" s="442"/>
      <c r="P15208" s="235"/>
      <c r="AI15208" s="38"/>
    </row>
    <row r="15209" ht="15.75" customHeight="1">
      <c r="A15209" s="35"/>
      <c r="C15209" s="442"/>
      <c r="P15209" s="235"/>
      <c r="AI15209" s="38"/>
    </row>
    <row r="15210" ht="15.75" customHeight="1">
      <c r="A15210" s="35"/>
      <c r="C15210" s="442"/>
      <c r="P15210" s="235"/>
      <c r="AI15210" s="38"/>
    </row>
    <row r="15211" ht="15.75" customHeight="1">
      <c r="A15211" s="35"/>
      <c r="C15211" s="442"/>
      <c r="P15211" s="235"/>
      <c r="AI15211" s="38"/>
    </row>
    <row r="15212" ht="15.75" customHeight="1">
      <c r="A15212" s="35"/>
      <c r="C15212" s="442"/>
      <c r="P15212" s="235"/>
      <c r="AI15212" s="38"/>
    </row>
    <row r="15213" ht="15.75" customHeight="1">
      <c r="A15213" s="35"/>
      <c r="C15213" s="442"/>
      <c r="P15213" s="235"/>
      <c r="AI15213" s="38"/>
    </row>
    <row r="15214" ht="15.75" customHeight="1">
      <c r="A15214" s="35"/>
      <c r="C15214" s="442"/>
      <c r="P15214" s="235"/>
      <c r="AI15214" s="38"/>
    </row>
    <row r="15215" ht="15.75" customHeight="1">
      <c r="A15215" s="35"/>
      <c r="C15215" s="442"/>
      <c r="P15215" s="235"/>
      <c r="AI15215" s="38"/>
    </row>
    <row r="15216" ht="15.75" customHeight="1">
      <c r="A15216" s="35"/>
      <c r="C15216" s="442"/>
      <c r="P15216" s="235"/>
      <c r="AI15216" s="38"/>
    </row>
    <row r="15217" ht="15.75" customHeight="1">
      <c r="A15217" s="35"/>
      <c r="C15217" s="442"/>
      <c r="P15217" s="235"/>
      <c r="AI15217" s="38"/>
    </row>
    <row r="15218" ht="15.75" customHeight="1">
      <c r="A15218" s="35"/>
      <c r="C15218" s="442"/>
      <c r="P15218" s="235"/>
      <c r="AI15218" s="38"/>
    </row>
    <row r="15219" ht="15.75" customHeight="1">
      <c r="A15219" s="35"/>
      <c r="C15219" s="442"/>
      <c r="P15219" s="235"/>
      <c r="AI15219" s="38"/>
    </row>
    <row r="15220" ht="15.75" customHeight="1">
      <c r="A15220" s="35"/>
      <c r="C15220" s="442"/>
      <c r="P15220" s="235"/>
      <c r="AI15220" s="38"/>
    </row>
    <row r="15221" ht="15.75" customHeight="1">
      <c r="A15221" s="35"/>
      <c r="C15221" s="442"/>
      <c r="P15221" s="235"/>
      <c r="AI15221" s="38"/>
    </row>
    <row r="15222" ht="15.75" customHeight="1">
      <c r="A15222" s="35"/>
      <c r="C15222" s="442"/>
      <c r="P15222" s="235"/>
      <c r="AI15222" s="38"/>
    </row>
    <row r="15223" ht="15.75" customHeight="1">
      <c r="A15223" s="35"/>
      <c r="C15223" s="442"/>
      <c r="P15223" s="235"/>
      <c r="AI15223" s="38"/>
    </row>
    <row r="15224" ht="15.75" customHeight="1">
      <c r="A15224" s="35"/>
      <c r="C15224" s="442"/>
      <c r="P15224" s="235"/>
      <c r="AI15224" s="38"/>
    </row>
    <row r="15225" ht="15.75" customHeight="1">
      <c r="A15225" s="35"/>
      <c r="C15225" s="442"/>
      <c r="P15225" s="235"/>
      <c r="AI15225" s="38"/>
    </row>
    <row r="15226" ht="15.75" customHeight="1">
      <c r="A15226" s="35"/>
      <c r="C15226" s="442"/>
      <c r="P15226" s="235"/>
      <c r="AI15226" s="38"/>
    </row>
    <row r="15227" ht="15.75" customHeight="1">
      <c r="A15227" s="35"/>
      <c r="C15227" s="442"/>
      <c r="P15227" s="235"/>
      <c r="AI15227" s="38"/>
    </row>
    <row r="15228" ht="15.75" customHeight="1">
      <c r="A15228" s="35"/>
      <c r="C15228" s="442"/>
      <c r="P15228" s="235"/>
      <c r="AI15228" s="38"/>
    </row>
    <row r="15229" ht="15.75" customHeight="1">
      <c r="A15229" s="35"/>
      <c r="C15229" s="442"/>
      <c r="P15229" s="235"/>
      <c r="AI15229" s="38"/>
    </row>
    <row r="15230" ht="15.75" customHeight="1">
      <c r="A15230" s="35"/>
      <c r="C15230" s="442"/>
      <c r="P15230" s="235"/>
      <c r="AI15230" s="38"/>
    </row>
    <row r="15231" ht="15.75" customHeight="1">
      <c r="A15231" s="35"/>
      <c r="C15231" s="442"/>
      <c r="P15231" s="235"/>
      <c r="AI15231" s="38"/>
    </row>
    <row r="15232" ht="15.75" customHeight="1">
      <c r="A15232" s="35"/>
      <c r="C15232" s="442"/>
      <c r="P15232" s="235"/>
      <c r="AI15232" s="38"/>
    </row>
    <row r="15233" ht="15.75" customHeight="1">
      <c r="A15233" s="35"/>
      <c r="C15233" s="442"/>
      <c r="P15233" s="235"/>
      <c r="AI15233" s="38"/>
    </row>
    <row r="15234" ht="15.75" customHeight="1">
      <c r="A15234" s="35"/>
      <c r="C15234" s="442"/>
      <c r="P15234" s="235"/>
      <c r="AI15234" s="38"/>
    </row>
    <row r="15235" ht="15.75" customHeight="1">
      <c r="A15235" s="35"/>
      <c r="C15235" s="442"/>
      <c r="P15235" s="235"/>
      <c r="AI15235" s="38"/>
    </row>
    <row r="15236" ht="15.75" customHeight="1">
      <c r="A15236" s="35"/>
      <c r="C15236" s="442"/>
      <c r="P15236" s="235"/>
      <c r="AI15236" s="38"/>
    </row>
    <row r="15237" ht="15.75" customHeight="1">
      <c r="A15237" s="35"/>
      <c r="C15237" s="442"/>
      <c r="P15237" s="235"/>
      <c r="AI15237" s="38"/>
    </row>
    <row r="15238" ht="15.75" customHeight="1">
      <c r="A15238" s="35"/>
      <c r="C15238" s="442"/>
      <c r="P15238" s="235"/>
      <c r="AI15238" s="38"/>
    </row>
    <row r="15239" ht="15.75" customHeight="1">
      <c r="A15239" s="35"/>
      <c r="C15239" s="442"/>
      <c r="P15239" s="235"/>
      <c r="AI15239" s="38"/>
    </row>
    <row r="15240" ht="15.75" customHeight="1">
      <c r="A15240" s="35"/>
      <c r="C15240" s="442"/>
      <c r="P15240" s="235"/>
      <c r="AI15240" s="38"/>
    </row>
    <row r="15241" ht="15.75" customHeight="1">
      <c r="A15241" s="35"/>
      <c r="C15241" s="442"/>
      <c r="P15241" s="235"/>
      <c r="AI15241" s="38"/>
    </row>
    <row r="15242" ht="15.75" customHeight="1">
      <c r="A15242" s="35"/>
      <c r="C15242" s="442"/>
      <c r="P15242" s="235"/>
      <c r="AI15242" s="38"/>
    </row>
    <row r="15243" ht="15.75" customHeight="1">
      <c r="A15243" s="35"/>
      <c r="C15243" s="442"/>
      <c r="P15243" s="235"/>
      <c r="AI15243" s="38"/>
    </row>
    <row r="15244" ht="15.75" customHeight="1">
      <c r="A15244" s="35"/>
      <c r="C15244" s="442"/>
      <c r="P15244" s="235"/>
      <c r="AI15244" s="38"/>
    </row>
    <row r="15245" ht="15.75" customHeight="1">
      <c r="A15245" s="35"/>
      <c r="C15245" s="442"/>
      <c r="P15245" s="235"/>
      <c r="AI15245" s="38"/>
    </row>
    <row r="15246" ht="15.75" customHeight="1">
      <c r="A15246" s="35"/>
      <c r="C15246" s="442"/>
      <c r="P15246" s="235"/>
      <c r="AI15246" s="38"/>
    </row>
    <row r="15247" ht="15.75" customHeight="1">
      <c r="A15247" s="35"/>
      <c r="C15247" s="442"/>
      <c r="P15247" s="235"/>
      <c r="AI15247" s="38"/>
    </row>
    <row r="15248" ht="15.75" customHeight="1">
      <c r="A15248" s="35"/>
      <c r="C15248" s="442"/>
      <c r="P15248" s="235"/>
      <c r="AI15248" s="38"/>
    </row>
    <row r="15249" ht="15.75" customHeight="1">
      <c r="A15249" s="35"/>
      <c r="C15249" s="442"/>
      <c r="P15249" s="235"/>
      <c r="AI15249" s="38"/>
    </row>
    <row r="15250" ht="15.75" customHeight="1">
      <c r="A15250" s="35"/>
      <c r="C15250" s="442"/>
      <c r="P15250" s="235"/>
      <c r="AI15250" s="38"/>
    </row>
    <row r="15251" ht="15.75" customHeight="1">
      <c r="A15251" s="35"/>
      <c r="C15251" s="442"/>
      <c r="P15251" s="235"/>
      <c r="AI15251" s="38"/>
    </row>
    <row r="15252" ht="15.75" customHeight="1">
      <c r="A15252" s="35"/>
      <c r="C15252" s="442"/>
      <c r="P15252" s="235"/>
      <c r="AI15252" s="38"/>
    </row>
    <row r="15253" ht="15.75" customHeight="1">
      <c r="A15253" s="35"/>
      <c r="C15253" s="442"/>
      <c r="P15253" s="235"/>
      <c r="AI15253" s="38"/>
    </row>
    <row r="15254" ht="15.75" customHeight="1">
      <c r="A15254" s="35"/>
      <c r="C15254" s="442"/>
      <c r="P15254" s="235"/>
      <c r="AI15254" s="38"/>
    </row>
    <row r="15255" ht="15.75" customHeight="1">
      <c r="A15255" s="35"/>
      <c r="C15255" s="442"/>
      <c r="P15255" s="235"/>
      <c r="AI15255" s="38"/>
    </row>
    <row r="15256" ht="15.75" customHeight="1">
      <c r="A15256" s="35"/>
      <c r="C15256" s="442"/>
      <c r="P15256" s="235"/>
      <c r="AI15256" s="38"/>
    </row>
    <row r="15257" ht="15.75" customHeight="1">
      <c r="A15257" s="35"/>
      <c r="C15257" s="442"/>
      <c r="P15257" s="235"/>
      <c r="AI15257" s="38"/>
    </row>
    <row r="15258" ht="15.75" customHeight="1">
      <c r="A15258" s="35"/>
      <c r="C15258" s="442"/>
      <c r="P15258" s="235"/>
      <c r="AI15258" s="38"/>
    </row>
    <row r="15259" ht="15.75" customHeight="1">
      <c r="A15259" s="35"/>
      <c r="C15259" s="442"/>
      <c r="P15259" s="235"/>
      <c r="AI15259" s="38"/>
    </row>
    <row r="15260" ht="15.75" customHeight="1">
      <c r="A15260" s="35"/>
      <c r="C15260" s="442"/>
      <c r="P15260" s="235"/>
      <c r="AI15260" s="38"/>
    </row>
    <row r="15261" ht="15.75" customHeight="1">
      <c r="A15261" s="35"/>
      <c r="C15261" s="442"/>
      <c r="P15261" s="235"/>
      <c r="AI15261" s="38"/>
    </row>
    <row r="15262" ht="15.75" customHeight="1">
      <c r="A15262" s="35"/>
      <c r="C15262" s="442"/>
      <c r="P15262" s="235"/>
      <c r="AI15262" s="38"/>
    </row>
    <row r="15263" ht="15.75" customHeight="1">
      <c r="A15263" s="35"/>
      <c r="C15263" s="442"/>
      <c r="P15263" s="235"/>
      <c r="AI15263" s="38"/>
    </row>
    <row r="15264" ht="15.75" customHeight="1">
      <c r="A15264" s="35"/>
      <c r="C15264" s="442"/>
      <c r="P15264" s="235"/>
      <c r="AI15264" s="38"/>
    </row>
    <row r="15265" ht="15.75" customHeight="1">
      <c r="A15265" s="35"/>
      <c r="C15265" s="442"/>
      <c r="P15265" s="235"/>
      <c r="AI15265" s="38"/>
    </row>
    <row r="15266" ht="15.75" customHeight="1">
      <c r="A15266" s="35"/>
      <c r="C15266" s="442"/>
      <c r="P15266" s="235"/>
      <c r="AI15266" s="38"/>
    </row>
    <row r="15267" ht="15.75" customHeight="1">
      <c r="A15267" s="35"/>
      <c r="C15267" s="442"/>
      <c r="P15267" s="235"/>
      <c r="AI15267" s="38"/>
    </row>
    <row r="15268" ht="15.75" customHeight="1">
      <c r="A15268" s="35"/>
      <c r="C15268" s="442"/>
      <c r="P15268" s="235"/>
      <c r="AI15268" s="38"/>
    </row>
    <row r="15269" ht="15.75" customHeight="1">
      <c r="A15269" s="35"/>
      <c r="C15269" s="442"/>
      <c r="P15269" s="235"/>
      <c r="AI15269" s="38"/>
    </row>
    <row r="15270" ht="15.75" customHeight="1">
      <c r="A15270" s="35"/>
      <c r="C15270" s="442"/>
      <c r="P15270" s="235"/>
      <c r="AI15270" s="38"/>
    </row>
    <row r="15271" ht="15.75" customHeight="1">
      <c r="A15271" s="35"/>
      <c r="C15271" s="442"/>
      <c r="P15271" s="235"/>
      <c r="AI15271" s="38"/>
    </row>
    <row r="15272" ht="15.75" customHeight="1">
      <c r="A15272" s="35"/>
      <c r="C15272" s="442"/>
      <c r="P15272" s="235"/>
      <c r="AI15272" s="38"/>
    </row>
    <row r="15273" ht="15.75" customHeight="1">
      <c r="A15273" s="35"/>
      <c r="C15273" s="442"/>
      <c r="P15273" s="235"/>
      <c r="AI15273" s="38"/>
    </row>
    <row r="15274" ht="15.75" customHeight="1">
      <c r="A15274" s="35"/>
      <c r="C15274" s="442"/>
      <c r="P15274" s="235"/>
      <c r="AI15274" s="38"/>
    </row>
    <row r="15275" ht="15.75" customHeight="1">
      <c r="A15275" s="35"/>
      <c r="C15275" s="442"/>
      <c r="P15275" s="235"/>
      <c r="AI15275" s="38"/>
    </row>
    <row r="15276" ht="15.75" customHeight="1">
      <c r="A15276" s="35"/>
      <c r="C15276" s="442"/>
      <c r="P15276" s="235"/>
      <c r="AI15276" s="38"/>
    </row>
    <row r="15277" ht="15.75" customHeight="1">
      <c r="A15277" s="35"/>
      <c r="C15277" s="442"/>
      <c r="P15277" s="235"/>
      <c r="AI15277" s="38"/>
    </row>
    <row r="15278" ht="15.75" customHeight="1">
      <c r="A15278" s="35"/>
      <c r="C15278" s="442"/>
      <c r="P15278" s="235"/>
      <c r="AI15278" s="38"/>
    </row>
    <row r="15279" ht="15.75" customHeight="1">
      <c r="A15279" s="35"/>
      <c r="C15279" s="442"/>
      <c r="P15279" s="235"/>
      <c r="AI15279" s="38"/>
    </row>
    <row r="15280" ht="15.75" customHeight="1">
      <c r="A15280" s="35"/>
      <c r="C15280" s="442"/>
      <c r="P15280" s="235"/>
      <c r="AI15280" s="38"/>
    </row>
    <row r="15281" ht="15.75" customHeight="1">
      <c r="A15281" s="35"/>
      <c r="C15281" s="442"/>
      <c r="P15281" s="235"/>
      <c r="AI15281" s="38"/>
    </row>
    <row r="15282" ht="15.75" customHeight="1">
      <c r="A15282" s="35"/>
      <c r="C15282" s="442"/>
      <c r="P15282" s="235"/>
      <c r="AI15282" s="38"/>
    </row>
    <row r="15283" ht="15.75" customHeight="1">
      <c r="A15283" s="35"/>
      <c r="C15283" s="442"/>
      <c r="P15283" s="235"/>
      <c r="AI15283" s="38"/>
    </row>
    <row r="15284" ht="15.75" customHeight="1">
      <c r="A15284" s="35"/>
      <c r="C15284" s="442"/>
      <c r="P15284" s="235"/>
      <c r="AI15284" s="38"/>
    </row>
    <row r="15285" ht="15.75" customHeight="1">
      <c r="A15285" s="35"/>
      <c r="C15285" s="442"/>
      <c r="P15285" s="235"/>
      <c r="AI15285" s="38"/>
    </row>
    <row r="15286" ht="15.75" customHeight="1">
      <c r="A15286" s="35"/>
      <c r="C15286" s="442"/>
      <c r="P15286" s="235"/>
      <c r="AI15286" s="38"/>
    </row>
    <row r="15287" ht="15.75" customHeight="1">
      <c r="A15287" s="35"/>
      <c r="C15287" s="442"/>
      <c r="P15287" s="235"/>
      <c r="AI15287" s="38"/>
    </row>
    <row r="15288" ht="15.75" customHeight="1">
      <c r="A15288" s="35"/>
      <c r="C15288" s="442"/>
      <c r="P15288" s="235"/>
      <c r="AI15288" s="38"/>
    </row>
    <row r="15289" ht="15.75" customHeight="1">
      <c r="A15289" s="35"/>
      <c r="C15289" s="442"/>
      <c r="P15289" s="235"/>
      <c r="AI15289" s="38"/>
    </row>
    <row r="15290" ht="15.75" customHeight="1">
      <c r="A15290" s="35"/>
      <c r="C15290" s="442"/>
      <c r="P15290" s="235"/>
      <c r="AI15290" s="38"/>
    </row>
    <row r="15291" ht="15.75" customHeight="1">
      <c r="A15291" s="35"/>
      <c r="C15291" s="442"/>
      <c r="P15291" s="235"/>
      <c r="AI15291" s="38"/>
    </row>
    <row r="15292" ht="15.75" customHeight="1">
      <c r="A15292" s="35"/>
      <c r="C15292" s="442"/>
      <c r="P15292" s="235"/>
      <c r="AI15292" s="38"/>
    </row>
    <row r="15293" ht="15.75" customHeight="1">
      <c r="A15293" s="35"/>
      <c r="C15293" s="442"/>
      <c r="P15293" s="235"/>
      <c r="AI15293" s="38"/>
    </row>
    <row r="15294" ht="15.75" customHeight="1">
      <c r="A15294" s="35"/>
      <c r="C15294" s="442"/>
      <c r="P15294" s="235"/>
      <c r="AI15294" s="38"/>
    </row>
    <row r="15295" ht="15.75" customHeight="1">
      <c r="A15295" s="35"/>
      <c r="C15295" s="442"/>
      <c r="P15295" s="235"/>
      <c r="AI15295" s="38"/>
    </row>
    <row r="15296" ht="15.75" customHeight="1">
      <c r="A15296" s="35"/>
      <c r="C15296" s="442"/>
      <c r="P15296" s="235"/>
      <c r="AI15296" s="38"/>
    </row>
    <row r="15297" ht="15.75" customHeight="1">
      <c r="A15297" s="35"/>
      <c r="C15297" s="442"/>
      <c r="P15297" s="235"/>
      <c r="AI15297" s="38"/>
    </row>
    <row r="15298" ht="15.75" customHeight="1">
      <c r="A15298" s="35"/>
      <c r="C15298" s="442"/>
      <c r="P15298" s="235"/>
      <c r="AI15298" s="38"/>
    </row>
    <row r="15299" ht="15.75" customHeight="1">
      <c r="A15299" s="35"/>
      <c r="C15299" s="442"/>
      <c r="P15299" s="235"/>
      <c r="AI15299" s="38"/>
    </row>
    <row r="15300" ht="15.75" customHeight="1">
      <c r="A15300" s="35"/>
      <c r="C15300" s="442"/>
      <c r="P15300" s="235"/>
      <c r="AI15300" s="38"/>
    </row>
    <row r="15301" ht="15.75" customHeight="1">
      <c r="A15301" s="35"/>
      <c r="C15301" s="442"/>
      <c r="P15301" s="235"/>
      <c r="AI15301" s="38"/>
    </row>
    <row r="15302" ht="15.75" customHeight="1">
      <c r="A15302" s="35"/>
      <c r="C15302" s="442"/>
      <c r="P15302" s="235"/>
      <c r="AI15302" s="38"/>
    </row>
    <row r="15303" ht="15.75" customHeight="1">
      <c r="A15303" s="35"/>
      <c r="C15303" s="442"/>
      <c r="P15303" s="235"/>
      <c r="AI15303" s="38"/>
    </row>
    <row r="15304" ht="15.75" customHeight="1">
      <c r="A15304" s="35"/>
      <c r="C15304" s="442"/>
      <c r="P15304" s="235"/>
      <c r="AI15304" s="38"/>
    </row>
    <row r="15305" ht="15.75" customHeight="1">
      <c r="A15305" s="35"/>
      <c r="C15305" s="442"/>
      <c r="P15305" s="235"/>
      <c r="AI15305" s="38"/>
    </row>
    <row r="15306" ht="15.75" customHeight="1">
      <c r="A15306" s="35"/>
      <c r="C15306" s="442"/>
      <c r="P15306" s="235"/>
      <c r="AI15306" s="38"/>
    </row>
    <row r="15307" ht="15.75" customHeight="1">
      <c r="A15307" s="35"/>
      <c r="C15307" s="442"/>
      <c r="P15307" s="235"/>
      <c r="AI15307" s="38"/>
    </row>
    <row r="15308" ht="15.75" customHeight="1">
      <c r="A15308" s="35"/>
      <c r="C15308" s="442"/>
      <c r="P15308" s="235"/>
      <c r="AI15308" s="38"/>
    </row>
    <row r="15309" ht="15.75" customHeight="1">
      <c r="A15309" s="35"/>
      <c r="C15309" s="442"/>
      <c r="P15309" s="235"/>
      <c r="AI15309" s="38"/>
    </row>
    <row r="15310" ht="15.75" customHeight="1">
      <c r="A15310" s="35"/>
      <c r="C15310" s="442"/>
      <c r="P15310" s="235"/>
      <c r="AI15310" s="38"/>
    </row>
    <row r="15311" ht="15.75" customHeight="1">
      <c r="A15311" s="35"/>
      <c r="C15311" s="442"/>
      <c r="P15311" s="235"/>
      <c r="AI15311" s="38"/>
    </row>
    <row r="15312" ht="15.75" customHeight="1">
      <c r="A15312" s="35"/>
      <c r="C15312" s="442"/>
      <c r="P15312" s="235"/>
      <c r="AI15312" s="38"/>
    </row>
    <row r="15313" ht="15.75" customHeight="1">
      <c r="A15313" s="35"/>
      <c r="C15313" s="442"/>
      <c r="P15313" s="235"/>
      <c r="AI15313" s="38"/>
    </row>
    <row r="15314" ht="15.75" customHeight="1">
      <c r="A15314" s="35"/>
      <c r="C15314" s="442"/>
      <c r="P15314" s="235"/>
      <c r="AI15314" s="38"/>
    </row>
    <row r="15315" ht="15.75" customHeight="1">
      <c r="A15315" s="35"/>
      <c r="C15315" s="442"/>
      <c r="P15315" s="235"/>
      <c r="AI15315" s="38"/>
    </row>
    <row r="15316" ht="15.75" customHeight="1">
      <c r="A15316" s="35"/>
      <c r="C15316" s="442"/>
      <c r="P15316" s="235"/>
      <c r="AI15316" s="38"/>
    </row>
    <row r="15317" ht="15.75" customHeight="1">
      <c r="A15317" s="35"/>
      <c r="C15317" s="442"/>
      <c r="P15317" s="235"/>
      <c r="AI15317" s="38"/>
    </row>
    <row r="15318" ht="15.75" customHeight="1">
      <c r="A15318" s="35"/>
      <c r="C15318" s="442"/>
      <c r="P15318" s="235"/>
      <c r="AI15318" s="38"/>
    </row>
    <row r="15319" ht="15.75" customHeight="1">
      <c r="A15319" s="35"/>
      <c r="C15319" s="442"/>
      <c r="P15319" s="235"/>
      <c r="AI15319" s="38"/>
    </row>
    <row r="15320" ht="15.75" customHeight="1">
      <c r="A15320" s="35"/>
      <c r="C15320" s="442"/>
      <c r="P15320" s="235"/>
      <c r="AI15320" s="38"/>
    </row>
    <row r="15321" ht="15.75" customHeight="1">
      <c r="A15321" s="35"/>
      <c r="C15321" s="442"/>
      <c r="P15321" s="235"/>
      <c r="AI15321" s="38"/>
    </row>
    <row r="15322" ht="15.75" customHeight="1">
      <c r="A15322" s="35"/>
      <c r="C15322" s="442"/>
      <c r="P15322" s="235"/>
      <c r="AI15322" s="38"/>
    </row>
    <row r="15323" ht="15.75" customHeight="1">
      <c r="A15323" s="35"/>
      <c r="C15323" s="442"/>
      <c r="P15323" s="235"/>
      <c r="AI15323" s="38"/>
    </row>
    <row r="15324" ht="15.75" customHeight="1">
      <c r="A15324" s="35"/>
      <c r="C15324" s="442"/>
      <c r="P15324" s="235"/>
      <c r="AI15324" s="38"/>
    </row>
    <row r="15325" ht="15.75" customHeight="1">
      <c r="A15325" s="35"/>
      <c r="C15325" s="442"/>
      <c r="P15325" s="235"/>
      <c r="AI15325" s="38"/>
    </row>
    <row r="15326" ht="15.75" customHeight="1">
      <c r="A15326" s="35"/>
      <c r="C15326" s="442"/>
      <c r="P15326" s="235"/>
      <c r="AI15326" s="38"/>
    </row>
    <row r="15327" ht="15.75" customHeight="1">
      <c r="A15327" s="35"/>
      <c r="C15327" s="442"/>
      <c r="P15327" s="235"/>
      <c r="AI15327" s="38"/>
    </row>
    <row r="15328" ht="15.75" customHeight="1">
      <c r="A15328" s="35"/>
      <c r="C15328" s="442"/>
      <c r="P15328" s="235"/>
      <c r="AI15328" s="38"/>
    </row>
    <row r="15329" ht="15.75" customHeight="1">
      <c r="A15329" s="35"/>
      <c r="C15329" s="442"/>
      <c r="P15329" s="235"/>
      <c r="AI15329" s="38"/>
    </row>
    <row r="15330" ht="15.75" customHeight="1">
      <c r="A15330" s="35"/>
      <c r="C15330" s="442"/>
      <c r="P15330" s="235"/>
      <c r="AI15330" s="38"/>
    </row>
    <row r="15331" ht="15.75" customHeight="1">
      <c r="A15331" s="35"/>
      <c r="C15331" s="442"/>
      <c r="P15331" s="235"/>
      <c r="AI15331" s="38"/>
    </row>
    <row r="15332" ht="15.75" customHeight="1">
      <c r="A15332" s="35"/>
      <c r="C15332" s="442"/>
      <c r="P15332" s="235"/>
      <c r="AI15332" s="38"/>
    </row>
    <row r="15333" ht="15.75" customHeight="1">
      <c r="A15333" s="35"/>
      <c r="C15333" s="442"/>
      <c r="P15333" s="235"/>
      <c r="AI15333" s="38"/>
    </row>
    <row r="15334" ht="15.75" customHeight="1">
      <c r="A15334" s="35"/>
      <c r="C15334" s="442"/>
      <c r="P15334" s="235"/>
      <c r="AI15334" s="38"/>
    </row>
    <row r="15335" ht="15.75" customHeight="1">
      <c r="A15335" s="35"/>
      <c r="C15335" s="442"/>
      <c r="P15335" s="235"/>
      <c r="AI15335" s="38"/>
    </row>
    <row r="15336" ht="15.75" customHeight="1">
      <c r="A15336" s="35"/>
      <c r="C15336" s="442"/>
      <c r="P15336" s="235"/>
      <c r="AI15336" s="38"/>
    </row>
    <row r="15337" ht="15.75" customHeight="1">
      <c r="A15337" s="35"/>
      <c r="C15337" s="442"/>
      <c r="P15337" s="235"/>
      <c r="AI15337" s="38"/>
    </row>
    <row r="15338" ht="15.75" customHeight="1">
      <c r="A15338" s="35"/>
      <c r="C15338" s="442"/>
      <c r="P15338" s="235"/>
      <c r="AI15338" s="38"/>
    </row>
    <row r="15339" ht="15.75" customHeight="1">
      <c r="A15339" s="35"/>
      <c r="C15339" s="442"/>
      <c r="P15339" s="235"/>
      <c r="AI15339" s="38"/>
    </row>
    <row r="15340" ht="15.75" customHeight="1">
      <c r="A15340" s="35"/>
      <c r="C15340" s="442"/>
      <c r="P15340" s="235"/>
      <c r="AI15340" s="38"/>
    </row>
    <row r="15341" ht="15.75" customHeight="1">
      <c r="A15341" s="35"/>
      <c r="C15341" s="442"/>
      <c r="P15341" s="235"/>
      <c r="AI15341" s="38"/>
    </row>
    <row r="15342" ht="15.75" customHeight="1">
      <c r="A15342" s="35"/>
      <c r="C15342" s="442"/>
      <c r="P15342" s="235"/>
      <c r="AI15342" s="38"/>
    </row>
    <row r="15343" ht="15.75" customHeight="1">
      <c r="A15343" s="35"/>
      <c r="C15343" s="442"/>
      <c r="P15343" s="235"/>
      <c r="AI15343" s="38"/>
    </row>
    <row r="15344" ht="15.75" customHeight="1">
      <c r="A15344" s="35"/>
      <c r="C15344" s="442"/>
      <c r="P15344" s="235"/>
      <c r="AI15344" s="38"/>
    </row>
    <row r="15345" ht="15.75" customHeight="1">
      <c r="A15345" s="35"/>
      <c r="C15345" s="442"/>
      <c r="P15345" s="235"/>
      <c r="AI15345" s="38"/>
    </row>
    <row r="15346" ht="15.75" customHeight="1">
      <c r="A15346" s="35"/>
      <c r="C15346" s="442"/>
      <c r="P15346" s="235"/>
      <c r="AI15346" s="38"/>
    </row>
    <row r="15347" ht="15.75" customHeight="1">
      <c r="A15347" s="35"/>
      <c r="C15347" s="442"/>
      <c r="P15347" s="235"/>
      <c r="AI15347" s="38"/>
    </row>
    <row r="15348" ht="15.75" customHeight="1">
      <c r="A15348" s="35"/>
      <c r="C15348" s="442"/>
      <c r="P15348" s="235"/>
      <c r="AI15348" s="38"/>
    </row>
    <row r="15349" ht="15.75" customHeight="1">
      <c r="A15349" s="35"/>
      <c r="C15349" s="442"/>
      <c r="P15349" s="235"/>
      <c r="AI15349" s="38"/>
    </row>
    <row r="15350" ht="15.75" customHeight="1">
      <c r="A15350" s="35"/>
      <c r="C15350" s="442"/>
      <c r="P15350" s="235"/>
      <c r="AI15350" s="38"/>
    </row>
    <row r="15351" ht="15.75" customHeight="1">
      <c r="A15351" s="35"/>
      <c r="C15351" s="442"/>
      <c r="P15351" s="235"/>
      <c r="AI15351" s="38"/>
    </row>
    <row r="15352" ht="15.75" customHeight="1">
      <c r="A15352" s="35"/>
      <c r="C15352" s="442"/>
      <c r="P15352" s="235"/>
      <c r="AI15352" s="38"/>
    </row>
    <row r="15353" ht="15.75" customHeight="1">
      <c r="A15353" s="35"/>
      <c r="C15353" s="442"/>
      <c r="P15353" s="235"/>
      <c r="AI15353" s="38"/>
    </row>
    <row r="15354" ht="15.75" customHeight="1">
      <c r="A15354" s="35"/>
      <c r="C15354" s="442"/>
      <c r="P15354" s="235"/>
      <c r="AI15354" s="38"/>
    </row>
    <row r="15355" ht="15.75" customHeight="1">
      <c r="A15355" s="35"/>
      <c r="C15355" s="442"/>
      <c r="P15355" s="235"/>
      <c r="AI15355" s="38"/>
    </row>
    <row r="15356" ht="15.75" customHeight="1">
      <c r="A15356" s="35"/>
      <c r="C15356" s="442"/>
      <c r="P15356" s="235"/>
      <c r="AI15356" s="38"/>
    </row>
    <row r="15357" ht="15.75" customHeight="1">
      <c r="A15357" s="35"/>
      <c r="C15357" s="442"/>
      <c r="P15357" s="235"/>
      <c r="AI15357" s="38"/>
    </row>
    <row r="15358" ht="15.75" customHeight="1">
      <c r="A15358" s="35"/>
      <c r="C15358" s="442"/>
      <c r="P15358" s="235"/>
      <c r="AI15358" s="38"/>
    </row>
    <row r="15359" ht="15.75" customHeight="1">
      <c r="A15359" s="35"/>
      <c r="C15359" s="442"/>
      <c r="P15359" s="235"/>
      <c r="AI15359" s="38"/>
    </row>
    <row r="15360" ht="15.75" customHeight="1">
      <c r="A15360" s="35"/>
      <c r="C15360" s="442"/>
      <c r="P15360" s="235"/>
      <c r="AI15360" s="38"/>
    </row>
    <row r="15361" ht="15.75" customHeight="1">
      <c r="A15361" s="35"/>
      <c r="C15361" s="442"/>
      <c r="P15361" s="235"/>
      <c r="AI15361" s="38"/>
    </row>
    <row r="15362" ht="15.75" customHeight="1">
      <c r="A15362" s="35"/>
      <c r="C15362" s="442"/>
      <c r="P15362" s="235"/>
      <c r="AI15362" s="38"/>
    </row>
    <row r="15363" ht="15.75" customHeight="1">
      <c r="A15363" s="35"/>
      <c r="C15363" s="442"/>
      <c r="P15363" s="235"/>
      <c r="AI15363" s="38"/>
    </row>
    <row r="15364" ht="15.75" customHeight="1">
      <c r="A15364" s="35"/>
      <c r="C15364" s="442"/>
      <c r="P15364" s="235"/>
      <c r="AI15364" s="38"/>
    </row>
    <row r="15365" ht="15.75" customHeight="1">
      <c r="A15365" s="35"/>
      <c r="C15365" s="442"/>
      <c r="P15365" s="235"/>
      <c r="AI15365" s="38"/>
    </row>
    <row r="15366" ht="15.75" customHeight="1">
      <c r="A15366" s="35"/>
      <c r="C15366" s="442"/>
      <c r="P15366" s="235"/>
      <c r="AI15366" s="38"/>
    </row>
    <row r="15367" ht="15.75" customHeight="1">
      <c r="A15367" s="35"/>
      <c r="C15367" s="442"/>
      <c r="P15367" s="235"/>
      <c r="AI15367" s="38"/>
    </row>
    <row r="15368" ht="15.75" customHeight="1">
      <c r="A15368" s="35"/>
      <c r="C15368" s="442"/>
      <c r="P15368" s="235"/>
      <c r="AI15368" s="38"/>
    </row>
    <row r="15369" ht="15.75" customHeight="1">
      <c r="A15369" s="35"/>
      <c r="C15369" s="442"/>
      <c r="P15369" s="235"/>
      <c r="AI15369" s="38"/>
    </row>
    <row r="15370" ht="15.75" customHeight="1">
      <c r="A15370" s="35"/>
      <c r="C15370" s="442"/>
      <c r="P15370" s="235"/>
      <c r="AI15370" s="38"/>
    </row>
    <row r="15371" ht="15.75" customHeight="1">
      <c r="A15371" s="35"/>
      <c r="C15371" s="442"/>
      <c r="P15371" s="235"/>
      <c r="AI15371" s="38"/>
    </row>
    <row r="15372" ht="15.75" customHeight="1">
      <c r="A15372" s="35"/>
      <c r="C15372" s="442"/>
      <c r="P15372" s="235"/>
      <c r="AI15372" s="38"/>
    </row>
    <row r="15373" ht="15.75" customHeight="1">
      <c r="A15373" s="35"/>
      <c r="C15373" s="442"/>
      <c r="P15373" s="235"/>
      <c r="AI15373" s="38"/>
    </row>
    <row r="15374" ht="15.75" customHeight="1">
      <c r="A15374" s="35"/>
      <c r="C15374" s="442"/>
      <c r="P15374" s="235"/>
      <c r="AI15374" s="38"/>
    </row>
    <row r="15375" ht="15.75" customHeight="1">
      <c r="A15375" s="35"/>
      <c r="C15375" s="442"/>
      <c r="P15375" s="235"/>
      <c r="AI15375" s="38"/>
    </row>
    <row r="15376" ht="15.75" customHeight="1">
      <c r="A15376" s="35"/>
      <c r="C15376" s="442"/>
      <c r="P15376" s="235"/>
      <c r="AI15376" s="38"/>
    </row>
    <row r="15377" ht="15.75" customHeight="1">
      <c r="A15377" s="35"/>
      <c r="C15377" s="442"/>
      <c r="P15377" s="235"/>
      <c r="AI15377" s="38"/>
    </row>
    <row r="15378" ht="15.75" customHeight="1">
      <c r="A15378" s="35"/>
      <c r="C15378" s="442"/>
      <c r="P15378" s="235"/>
      <c r="AI15378" s="38"/>
    </row>
    <row r="15379" ht="15.75" customHeight="1">
      <c r="A15379" s="35"/>
      <c r="C15379" s="442"/>
      <c r="P15379" s="235"/>
      <c r="AI15379" s="38"/>
    </row>
    <row r="15380" ht="15.75" customHeight="1">
      <c r="A15380" s="35"/>
      <c r="C15380" s="442"/>
      <c r="P15380" s="235"/>
      <c r="AI15380" s="38"/>
    </row>
    <row r="15381" ht="15.75" customHeight="1">
      <c r="A15381" s="35"/>
      <c r="C15381" s="442"/>
      <c r="P15381" s="235"/>
      <c r="AI15381" s="38"/>
    </row>
    <row r="15382" ht="15.75" customHeight="1">
      <c r="A15382" s="35"/>
      <c r="C15382" s="442"/>
      <c r="P15382" s="235"/>
      <c r="AI15382" s="38"/>
    </row>
    <row r="15383" ht="15.75" customHeight="1">
      <c r="A15383" s="35"/>
      <c r="C15383" s="442"/>
      <c r="P15383" s="235"/>
      <c r="AI15383" s="38"/>
    </row>
    <row r="15384" ht="15.75" customHeight="1">
      <c r="A15384" s="35"/>
      <c r="C15384" s="442"/>
      <c r="P15384" s="235"/>
      <c r="AI15384" s="38"/>
    </row>
    <row r="15385" ht="15.75" customHeight="1">
      <c r="A15385" s="35"/>
      <c r="C15385" s="442"/>
      <c r="P15385" s="235"/>
      <c r="AI15385" s="38"/>
    </row>
    <row r="15386" ht="15.75" customHeight="1">
      <c r="A15386" s="35"/>
      <c r="C15386" s="442"/>
      <c r="P15386" s="235"/>
      <c r="AI15386" s="38"/>
    </row>
    <row r="15387" ht="15.75" customHeight="1">
      <c r="A15387" s="35"/>
      <c r="C15387" s="442"/>
      <c r="P15387" s="235"/>
      <c r="AI15387" s="38"/>
    </row>
    <row r="15388" ht="15.75" customHeight="1">
      <c r="A15388" s="35"/>
      <c r="C15388" s="442"/>
      <c r="P15388" s="235"/>
      <c r="AI15388" s="38"/>
    </row>
    <row r="15389" ht="15.75" customHeight="1">
      <c r="A15389" s="35"/>
      <c r="C15389" s="442"/>
      <c r="P15389" s="235"/>
      <c r="AI15389" s="38"/>
    </row>
    <row r="15390" ht="15.75" customHeight="1">
      <c r="A15390" s="35"/>
      <c r="C15390" s="442"/>
      <c r="P15390" s="235"/>
      <c r="AI15390" s="38"/>
    </row>
    <row r="15391" ht="15.75" customHeight="1">
      <c r="A15391" s="35"/>
      <c r="C15391" s="442"/>
      <c r="P15391" s="235"/>
      <c r="AI15391" s="38"/>
    </row>
    <row r="15392" ht="15.75" customHeight="1">
      <c r="A15392" s="35"/>
      <c r="C15392" s="442"/>
      <c r="P15392" s="235"/>
      <c r="AI15392" s="38"/>
    </row>
    <row r="15393" ht="15.75" customHeight="1">
      <c r="A15393" s="35"/>
      <c r="C15393" s="442"/>
      <c r="P15393" s="235"/>
      <c r="AI15393" s="38"/>
    </row>
    <row r="15394" ht="15.75" customHeight="1">
      <c r="A15394" s="35"/>
      <c r="C15394" s="442"/>
      <c r="P15394" s="235"/>
      <c r="AI15394" s="38"/>
    </row>
    <row r="15395" ht="15.75" customHeight="1">
      <c r="A15395" s="35"/>
      <c r="C15395" s="442"/>
      <c r="P15395" s="235"/>
      <c r="AI15395" s="38"/>
    </row>
    <row r="15396" ht="15.75" customHeight="1">
      <c r="A15396" s="35"/>
      <c r="C15396" s="442"/>
      <c r="P15396" s="235"/>
      <c r="AI15396" s="38"/>
    </row>
    <row r="15397" ht="15.75" customHeight="1">
      <c r="A15397" s="35"/>
      <c r="C15397" s="442"/>
      <c r="P15397" s="235"/>
      <c r="AI15397" s="38"/>
    </row>
    <row r="15398" ht="15.75" customHeight="1">
      <c r="A15398" s="35"/>
      <c r="C15398" s="442"/>
      <c r="P15398" s="235"/>
      <c r="AI15398" s="38"/>
    </row>
    <row r="15399" ht="15.75" customHeight="1">
      <c r="A15399" s="35"/>
      <c r="C15399" s="442"/>
      <c r="P15399" s="235"/>
      <c r="AI15399" s="38"/>
    </row>
    <row r="15400" ht="15.75" customHeight="1">
      <c r="A15400" s="35"/>
      <c r="C15400" s="442"/>
      <c r="P15400" s="235"/>
      <c r="AI15400" s="38"/>
    </row>
    <row r="15401" ht="15.75" customHeight="1">
      <c r="A15401" s="35"/>
      <c r="C15401" s="442"/>
      <c r="P15401" s="235"/>
      <c r="AI15401" s="38"/>
    </row>
    <row r="15402" ht="15.75" customHeight="1">
      <c r="A15402" s="35"/>
      <c r="C15402" s="442"/>
      <c r="P15402" s="235"/>
      <c r="AI15402" s="38"/>
    </row>
    <row r="15403" ht="15.75" customHeight="1">
      <c r="A15403" s="35"/>
      <c r="C15403" s="442"/>
      <c r="P15403" s="235"/>
      <c r="AI15403" s="38"/>
    </row>
    <row r="15404" ht="15.75" customHeight="1">
      <c r="A15404" s="35"/>
      <c r="C15404" s="442"/>
      <c r="P15404" s="235"/>
      <c r="AI15404" s="38"/>
    </row>
    <row r="15405" ht="15.75" customHeight="1">
      <c r="A15405" s="35"/>
      <c r="C15405" s="442"/>
      <c r="P15405" s="235"/>
      <c r="AI15405" s="38"/>
    </row>
    <row r="15406" ht="15.75" customHeight="1">
      <c r="A15406" s="35"/>
      <c r="C15406" s="442"/>
      <c r="P15406" s="235"/>
      <c r="AI15406" s="38"/>
    </row>
    <row r="15407" ht="15.75" customHeight="1">
      <c r="A15407" s="35"/>
      <c r="C15407" s="442"/>
      <c r="P15407" s="235"/>
      <c r="AI15407" s="38"/>
    </row>
    <row r="15408" ht="15.75" customHeight="1">
      <c r="A15408" s="35"/>
      <c r="C15408" s="442"/>
      <c r="P15408" s="235"/>
      <c r="AI15408" s="38"/>
    </row>
    <row r="15409" ht="15.75" customHeight="1">
      <c r="A15409" s="35"/>
      <c r="C15409" s="442"/>
      <c r="P15409" s="235"/>
      <c r="AI15409" s="38"/>
    </row>
    <row r="15410" ht="15.75" customHeight="1">
      <c r="A15410" s="35"/>
      <c r="C15410" s="442"/>
      <c r="P15410" s="235"/>
      <c r="AI15410" s="38"/>
    </row>
    <row r="15411" ht="15.75" customHeight="1">
      <c r="A15411" s="35"/>
      <c r="C15411" s="442"/>
      <c r="P15411" s="235"/>
      <c r="AI15411" s="38"/>
    </row>
    <row r="15412" ht="15.75" customHeight="1">
      <c r="A15412" s="35"/>
      <c r="C15412" s="442"/>
      <c r="P15412" s="235"/>
      <c r="AI15412" s="38"/>
    </row>
    <row r="15413" ht="15.75" customHeight="1">
      <c r="A15413" s="35"/>
      <c r="C15413" s="442"/>
      <c r="P15413" s="235"/>
      <c r="AI15413" s="38"/>
    </row>
    <row r="15414" ht="15.75" customHeight="1">
      <c r="A15414" s="35"/>
      <c r="C15414" s="442"/>
      <c r="P15414" s="235"/>
      <c r="AI15414" s="38"/>
    </row>
    <row r="15415" ht="15.75" customHeight="1">
      <c r="A15415" s="35"/>
      <c r="C15415" s="442"/>
      <c r="P15415" s="235"/>
      <c r="AI15415" s="38"/>
    </row>
    <row r="15416" ht="15.75" customHeight="1">
      <c r="A15416" s="35"/>
      <c r="C15416" s="442"/>
      <c r="P15416" s="235"/>
      <c r="AI15416" s="38"/>
    </row>
    <row r="15417" ht="15.75" customHeight="1">
      <c r="A15417" s="35"/>
      <c r="C15417" s="442"/>
      <c r="P15417" s="235"/>
      <c r="AI15417" s="38"/>
    </row>
    <row r="15418" ht="15.75" customHeight="1">
      <c r="A15418" s="35"/>
      <c r="C15418" s="442"/>
      <c r="P15418" s="235"/>
      <c r="AI15418" s="38"/>
    </row>
    <row r="15419" ht="15.75" customHeight="1">
      <c r="A15419" s="35"/>
      <c r="C15419" s="442"/>
      <c r="P15419" s="235"/>
      <c r="AI15419" s="38"/>
    </row>
    <row r="15420" ht="15.75" customHeight="1">
      <c r="A15420" s="35"/>
      <c r="C15420" s="442"/>
      <c r="P15420" s="235"/>
      <c r="AI15420" s="38"/>
    </row>
    <row r="15421" ht="15.75" customHeight="1">
      <c r="A15421" s="35"/>
      <c r="C15421" s="442"/>
      <c r="P15421" s="235"/>
      <c r="AI15421" s="38"/>
    </row>
    <row r="15422" ht="15.75" customHeight="1">
      <c r="A15422" s="35"/>
      <c r="C15422" s="442"/>
      <c r="P15422" s="235"/>
      <c r="AI15422" s="38"/>
    </row>
    <row r="15423" ht="15.75" customHeight="1">
      <c r="A15423" s="35"/>
      <c r="C15423" s="442"/>
      <c r="P15423" s="235"/>
      <c r="AI15423" s="38"/>
    </row>
    <row r="15424" ht="15.75" customHeight="1">
      <c r="A15424" s="35"/>
      <c r="C15424" s="442"/>
      <c r="P15424" s="235"/>
      <c r="AI15424" s="38"/>
    </row>
    <row r="15425" ht="15.75" customHeight="1">
      <c r="A15425" s="35"/>
      <c r="C15425" s="442"/>
      <c r="P15425" s="235"/>
      <c r="AI15425" s="38"/>
    </row>
    <row r="15426" ht="15.75" customHeight="1">
      <c r="A15426" s="35"/>
      <c r="C15426" s="442"/>
      <c r="P15426" s="235"/>
      <c r="AI15426" s="38"/>
    </row>
    <row r="15427" ht="15.75" customHeight="1">
      <c r="A15427" s="35"/>
      <c r="C15427" s="442"/>
      <c r="P15427" s="235"/>
      <c r="AI15427" s="38"/>
    </row>
    <row r="15428" ht="15.75" customHeight="1">
      <c r="A15428" s="35"/>
      <c r="C15428" s="442"/>
      <c r="P15428" s="235"/>
      <c r="AI15428" s="38"/>
    </row>
    <row r="15429" ht="15.75" customHeight="1">
      <c r="A15429" s="35"/>
      <c r="C15429" s="442"/>
      <c r="P15429" s="235"/>
      <c r="AI15429" s="38"/>
    </row>
    <row r="15430" ht="15.75" customHeight="1">
      <c r="A15430" s="35"/>
      <c r="C15430" s="442"/>
      <c r="P15430" s="235"/>
      <c r="AI15430" s="38"/>
    </row>
    <row r="15431" ht="15.75" customHeight="1">
      <c r="A15431" s="35"/>
      <c r="C15431" s="442"/>
      <c r="P15431" s="235"/>
      <c r="AI15431" s="38"/>
    </row>
    <row r="15432" ht="15.75" customHeight="1">
      <c r="A15432" s="35"/>
      <c r="C15432" s="442"/>
      <c r="P15432" s="235"/>
      <c r="AI15432" s="38"/>
    </row>
    <row r="15433" ht="15.75" customHeight="1">
      <c r="A15433" s="35"/>
      <c r="C15433" s="442"/>
      <c r="P15433" s="235"/>
      <c r="AI15433" s="38"/>
    </row>
    <row r="15434" ht="15.75" customHeight="1">
      <c r="A15434" s="35"/>
      <c r="C15434" s="442"/>
      <c r="P15434" s="235"/>
      <c r="AI15434" s="38"/>
    </row>
    <row r="15435" ht="15.75" customHeight="1">
      <c r="A15435" s="35"/>
      <c r="C15435" s="442"/>
      <c r="P15435" s="235"/>
      <c r="AI15435" s="38"/>
    </row>
    <row r="15436" ht="15.75" customHeight="1">
      <c r="A15436" s="35"/>
      <c r="C15436" s="442"/>
      <c r="P15436" s="235"/>
      <c r="AI15436" s="38"/>
    </row>
    <row r="15437" ht="15.75" customHeight="1">
      <c r="A15437" s="35"/>
      <c r="C15437" s="442"/>
      <c r="P15437" s="235"/>
      <c r="AI15437" s="38"/>
    </row>
    <row r="15438" ht="15.75" customHeight="1">
      <c r="A15438" s="35"/>
      <c r="C15438" s="442"/>
      <c r="P15438" s="235"/>
      <c r="AI15438" s="38"/>
    </row>
    <row r="15439" ht="15.75" customHeight="1">
      <c r="A15439" s="35"/>
      <c r="C15439" s="442"/>
      <c r="P15439" s="235"/>
      <c r="AI15439" s="38"/>
    </row>
    <row r="15440" ht="15.75" customHeight="1">
      <c r="A15440" s="35"/>
      <c r="C15440" s="442"/>
      <c r="P15440" s="235"/>
      <c r="AI15440" s="38"/>
    </row>
    <row r="15441" ht="15.75" customHeight="1">
      <c r="A15441" s="35"/>
      <c r="C15441" s="442"/>
      <c r="P15441" s="235"/>
      <c r="AI15441" s="38"/>
    </row>
    <row r="15442" ht="15.75" customHeight="1">
      <c r="A15442" s="35"/>
      <c r="C15442" s="442"/>
      <c r="P15442" s="235"/>
      <c r="AI15442" s="38"/>
    </row>
    <row r="15443" ht="15.75" customHeight="1">
      <c r="A15443" s="35"/>
      <c r="C15443" s="442"/>
      <c r="P15443" s="235"/>
      <c r="AI15443" s="38"/>
    </row>
    <row r="15444" ht="15.75" customHeight="1">
      <c r="A15444" s="35"/>
      <c r="C15444" s="442"/>
      <c r="P15444" s="235"/>
      <c r="AI15444" s="38"/>
    </row>
    <row r="15445" ht="15.75" customHeight="1">
      <c r="A15445" s="35"/>
      <c r="C15445" s="442"/>
      <c r="P15445" s="235"/>
      <c r="AI15445" s="38"/>
    </row>
    <row r="15446" ht="15.75" customHeight="1">
      <c r="A15446" s="35"/>
      <c r="C15446" s="442"/>
      <c r="P15446" s="235"/>
      <c r="AI15446" s="38"/>
    </row>
    <row r="15447" ht="15.75" customHeight="1">
      <c r="A15447" s="35"/>
      <c r="C15447" s="442"/>
      <c r="P15447" s="235"/>
      <c r="AI15447" s="38"/>
    </row>
    <row r="15448" ht="15.75" customHeight="1">
      <c r="A15448" s="35"/>
      <c r="C15448" s="442"/>
      <c r="P15448" s="235"/>
      <c r="AI15448" s="38"/>
    </row>
    <row r="15449" ht="15.75" customHeight="1">
      <c r="A15449" s="35"/>
      <c r="C15449" s="442"/>
      <c r="P15449" s="235"/>
      <c r="AI15449" s="38"/>
    </row>
    <row r="15450" ht="15.75" customHeight="1">
      <c r="A15450" s="35"/>
      <c r="C15450" s="442"/>
      <c r="P15450" s="235"/>
      <c r="AI15450" s="38"/>
    </row>
    <row r="15451" ht="15.75" customHeight="1">
      <c r="A15451" s="35"/>
      <c r="C15451" s="442"/>
      <c r="P15451" s="235"/>
      <c r="AI15451" s="38"/>
    </row>
    <row r="15452" ht="15.75" customHeight="1">
      <c r="A15452" s="35"/>
      <c r="C15452" s="442"/>
      <c r="P15452" s="235"/>
      <c r="AI15452" s="38"/>
    </row>
    <row r="15453" ht="15.75" customHeight="1">
      <c r="A15453" s="35"/>
      <c r="C15453" s="442"/>
      <c r="P15453" s="235"/>
      <c r="AI15453" s="38"/>
    </row>
    <row r="15454" ht="15.75" customHeight="1">
      <c r="A15454" s="35"/>
      <c r="C15454" s="442"/>
      <c r="P15454" s="235"/>
      <c r="AI15454" s="38"/>
    </row>
    <row r="15455" ht="15.75" customHeight="1">
      <c r="A15455" s="35"/>
      <c r="C15455" s="442"/>
      <c r="P15455" s="235"/>
      <c r="AI15455" s="38"/>
    </row>
    <row r="15456" ht="15.75" customHeight="1">
      <c r="A15456" s="35"/>
      <c r="C15456" s="442"/>
      <c r="P15456" s="235"/>
      <c r="AI15456" s="38"/>
    </row>
    <row r="15457" ht="15.75" customHeight="1">
      <c r="A15457" s="35"/>
      <c r="C15457" s="442"/>
      <c r="P15457" s="235"/>
      <c r="AI15457" s="38"/>
    </row>
    <row r="15458" ht="15.75" customHeight="1">
      <c r="A15458" s="35"/>
      <c r="C15458" s="442"/>
      <c r="P15458" s="235"/>
      <c r="AI15458" s="38"/>
    </row>
    <row r="15459" ht="15.75" customHeight="1">
      <c r="A15459" s="35"/>
      <c r="C15459" s="442"/>
      <c r="P15459" s="235"/>
      <c r="AI15459" s="38"/>
    </row>
    <row r="15460" ht="15.75" customHeight="1">
      <c r="A15460" s="35"/>
      <c r="C15460" s="442"/>
      <c r="P15460" s="235"/>
      <c r="AI15460" s="38"/>
    </row>
    <row r="15461" ht="15.75" customHeight="1">
      <c r="A15461" s="35"/>
      <c r="C15461" s="442"/>
      <c r="P15461" s="235"/>
      <c r="AI15461" s="38"/>
    </row>
    <row r="15462" ht="15.75" customHeight="1">
      <c r="A15462" s="35"/>
      <c r="C15462" s="442"/>
      <c r="P15462" s="235"/>
      <c r="AI15462" s="38"/>
    </row>
    <row r="15463" ht="15.75" customHeight="1">
      <c r="A15463" s="35"/>
      <c r="C15463" s="442"/>
      <c r="P15463" s="235"/>
      <c r="AI15463" s="38"/>
    </row>
    <row r="15464" ht="15.75" customHeight="1">
      <c r="A15464" s="35"/>
      <c r="C15464" s="442"/>
      <c r="P15464" s="235"/>
      <c r="AI15464" s="38"/>
    </row>
    <row r="15465" ht="15.75" customHeight="1">
      <c r="A15465" s="35"/>
      <c r="C15465" s="442"/>
      <c r="P15465" s="235"/>
      <c r="AI15465" s="38"/>
    </row>
    <row r="15466" ht="15.75" customHeight="1">
      <c r="A15466" s="35"/>
      <c r="C15466" s="442"/>
      <c r="P15466" s="235"/>
      <c r="AI15466" s="38"/>
    </row>
    <row r="15467" ht="15.75" customHeight="1">
      <c r="A15467" s="35"/>
      <c r="C15467" s="442"/>
      <c r="P15467" s="235"/>
      <c r="AI15467" s="38"/>
    </row>
    <row r="15468" ht="15.75" customHeight="1">
      <c r="A15468" s="35"/>
      <c r="C15468" s="442"/>
      <c r="P15468" s="235"/>
      <c r="AI15468" s="38"/>
    </row>
    <row r="15469" ht="15.75" customHeight="1">
      <c r="A15469" s="35"/>
      <c r="C15469" s="442"/>
      <c r="P15469" s="235"/>
      <c r="AI15469" s="38"/>
    </row>
    <row r="15470" ht="15.75" customHeight="1">
      <c r="A15470" s="35"/>
      <c r="C15470" s="442"/>
      <c r="P15470" s="235"/>
      <c r="AI15470" s="38"/>
    </row>
    <row r="15471" ht="15.75" customHeight="1">
      <c r="A15471" s="35"/>
      <c r="C15471" s="442"/>
      <c r="P15471" s="235"/>
      <c r="AI15471" s="38"/>
    </row>
    <row r="15472" ht="15.75" customHeight="1">
      <c r="A15472" s="35"/>
      <c r="C15472" s="442"/>
      <c r="P15472" s="235"/>
      <c r="AI15472" s="38"/>
    </row>
    <row r="15473" ht="15.75" customHeight="1">
      <c r="A15473" s="35"/>
      <c r="C15473" s="442"/>
      <c r="P15473" s="235"/>
      <c r="AI15473" s="38"/>
    </row>
    <row r="15474" ht="15.75" customHeight="1">
      <c r="A15474" s="35"/>
      <c r="C15474" s="442"/>
      <c r="P15474" s="235"/>
      <c r="AI15474" s="38"/>
    </row>
    <row r="15475" ht="15.75" customHeight="1">
      <c r="A15475" s="35"/>
      <c r="C15475" s="442"/>
      <c r="P15475" s="235"/>
      <c r="AI15475" s="38"/>
    </row>
    <row r="15476" ht="15.75" customHeight="1">
      <c r="A15476" s="35"/>
      <c r="C15476" s="442"/>
      <c r="P15476" s="235"/>
      <c r="AI15476" s="38"/>
    </row>
    <row r="15477" ht="15.75" customHeight="1">
      <c r="A15477" s="35"/>
      <c r="C15477" s="442"/>
      <c r="P15477" s="235"/>
      <c r="AI15477" s="38"/>
    </row>
    <row r="15478" ht="15.75" customHeight="1">
      <c r="A15478" s="35"/>
      <c r="C15478" s="442"/>
      <c r="P15478" s="235"/>
      <c r="AI15478" s="38"/>
    </row>
    <row r="15479" ht="15.75" customHeight="1">
      <c r="A15479" s="35"/>
      <c r="C15479" s="442"/>
      <c r="P15479" s="235"/>
      <c r="AI15479" s="38"/>
    </row>
    <row r="15480" ht="15.75" customHeight="1">
      <c r="A15480" s="35"/>
      <c r="C15480" s="442"/>
      <c r="P15480" s="235"/>
      <c r="AI15480" s="38"/>
    </row>
    <row r="15481" ht="15.75" customHeight="1">
      <c r="A15481" s="35"/>
      <c r="C15481" s="442"/>
      <c r="P15481" s="235"/>
      <c r="AI15481" s="38"/>
    </row>
    <row r="15482" ht="15.75" customHeight="1">
      <c r="A15482" s="35"/>
      <c r="C15482" s="442"/>
      <c r="P15482" s="235"/>
      <c r="AI15482" s="38"/>
    </row>
    <row r="15483" ht="15.75" customHeight="1">
      <c r="A15483" s="35"/>
      <c r="C15483" s="442"/>
      <c r="P15483" s="235"/>
      <c r="AI15483" s="38"/>
    </row>
    <row r="15484" ht="15.75" customHeight="1">
      <c r="A15484" s="35"/>
      <c r="C15484" s="442"/>
      <c r="P15484" s="235"/>
      <c r="AI15484" s="38"/>
    </row>
    <row r="15485" ht="15.75" customHeight="1">
      <c r="A15485" s="35"/>
      <c r="C15485" s="442"/>
      <c r="P15485" s="235"/>
      <c r="AI15485" s="38"/>
    </row>
    <row r="15486" ht="15.75" customHeight="1">
      <c r="A15486" s="35"/>
      <c r="C15486" s="442"/>
      <c r="P15486" s="235"/>
      <c r="AI15486" s="38"/>
    </row>
    <row r="15487" ht="15.75" customHeight="1">
      <c r="A15487" s="35"/>
      <c r="C15487" s="442"/>
      <c r="P15487" s="235"/>
      <c r="AI15487" s="38"/>
    </row>
    <row r="15488" ht="15.75" customHeight="1">
      <c r="A15488" s="35"/>
      <c r="C15488" s="442"/>
      <c r="P15488" s="235"/>
      <c r="AI15488" s="38"/>
    </row>
    <row r="15489" ht="15.75" customHeight="1">
      <c r="A15489" s="35"/>
      <c r="C15489" s="442"/>
      <c r="P15489" s="235"/>
      <c r="AI15489" s="38"/>
    </row>
    <row r="15490" ht="15.75" customHeight="1">
      <c r="A15490" s="35"/>
      <c r="C15490" s="442"/>
      <c r="P15490" s="235"/>
      <c r="AI15490" s="38"/>
    </row>
    <row r="15491" ht="15.75" customHeight="1">
      <c r="A15491" s="35"/>
      <c r="C15491" s="442"/>
      <c r="P15491" s="235"/>
      <c r="AI15491" s="38"/>
    </row>
    <row r="15492" ht="15.75" customHeight="1">
      <c r="A15492" s="35"/>
      <c r="C15492" s="442"/>
      <c r="P15492" s="235"/>
      <c r="AI15492" s="38"/>
    </row>
    <row r="15493" ht="15.75" customHeight="1">
      <c r="A15493" s="35"/>
      <c r="C15493" s="442"/>
      <c r="P15493" s="235"/>
      <c r="AI15493" s="38"/>
    </row>
    <row r="15494" ht="15.75" customHeight="1">
      <c r="A15494" s="35"/>
      <c r="C15494" s="442"/>
      <c r="P15494" s="235"/>
      <c r="AI15494" s="38"/>
    </row>
    <row r="15495" ht="15.75" customHeight="1">
      <c r="A15495" s="35"/>
      <c r="C15495" s="442"/>
      <c r="P15495" s="235"/>
      <c r="AI15495" s="38"/>
    </row>
    <row r="15496" ht="15.75" customHeight="1">
      <c r="A15496" s="35"/>
      <c r="C15496" s="442"/>
      <c r="P15496" s="235"/>
      <c r="AI15496" s="38"/>
    </row>
    <row r="15497" ht="15.75" customHeight="1">
      <c r="A15497" s="35"/>
      <c r="C15497" s="442"/>
      <c r="P15497" s="235"/>
      <c r="AI15497" s="38"/>
    </row>
    <row r="15498" ht="15.75" customHeight="1">
      <c r="A15498" s="35"/>
      <c r="C15498" s="442"/>
      <c r="P15498" s="235"/>
      <c r="AI15498" s="38"/>
    </row>
    <row r="15499" ht="15.75" customHeight="1">
      <c r="A15499" s="35"/>
      <c r="C15499" s="442"/>
      <c r="P15499" s="235"/>
      <c r="AI15499" s="38"/>
    </row>
    <row r="15500" ht="15.75" customHeight="1">
      <c r="A15500" s="35"/>
      <c r="C15500" s="442"/>
      <c r="P15500" s="235"/>
      <c r="AI15500" s="38"/>
    </row>
    <row r="15501" ht="15.75" customHeight="1">
      <c r="A15501" s="35"/>
      <c r="C15501" s="442"/>
      <c r="P15501" s="235"/>
      <c r="AI15501" s="38"/>
    </row>
    <row r="15502" ht="15.75" customHeight="1">
      <c r="A15502" s="35"/>
      <c r="C15502" s="442"/>
      <c r="P15502" s="235"/>
      <c r="AI15502" s="38"/>
    </row>
    <row r="15503" ht="15.75" customHeight="1">
      <c r="A15503" s="35"/>
      <c r="C15503" s="442"/>
      <c r="P15503" s="235"/>
      <c r="AI15503" s="38"/>
    </row>
    <row r="15504" ht="15.75" customHeight="1">
      <c r="A15504" s="35"/>
      <c r="C15504" s="442"/>
      <c r="P15504" s="235"/>
      <c r="AI15504" s="38"/>
    </row>
    <row r="15505" ht="15.75" customHeight="1">
      <c r="A15505" s="35"/>
      <c r="C15505" s="442"/>
      <c r="P15505" s="235"/>
      <c r="AI15505" s="38"/>
    </row>
    <row r="15506" ht="15.75" customHeight="1">
      <c r="A15506" s="35"/>
      <c r="C15506" s="442"/>
      <c r="P15506" s="235"/>
      <c r="AI15506" s="38"/>
    </row>
    <row r="15507" ht="15.75" customHeight="1">
      <c r="A15507" s="35"/>
      <c r="C15507" s="442"/>
      <c r="P15507" s="235"/>
      <c r="AI15507" s="38"/>
    </row>
    <row r="15508" ht="15.75" customHeight="1">
      <c r="A15508" s="35"/>
      <c r="C15508" s="442"/>
      <c r="P15508" s="235"/>
      <c r="AI15508" s="38"/>
    </row>
    <row r="15509" ht="15.75" customHeight="1">
      <c r="A15509" s="35"/>
      <c r="C15509" s="442"/>
      <c r="P15509" s="235"/>
      <c r="AI15509" s="38"/>
    </row>
    <row r="15510" ht="15.75" customHeight="1">
      <c r="A15510" s="35"/>
      <c r="C15510" s="442"/>
      <c r="P15510" s="235"/>
      <c r="AI15510" s="38"/>
    </row>
    <row r="15511" ht="15.75" customHeight="1">
      <c r="A15511" s="35"/>
      <c r="C15511" s="442"/>
      <c r="P15511" s="235"/>
      <c r="AI15511" s="38"/>
    </row>
    <row r="15512" ht="15.75" customHeight="1">
      <c r="A15512" s="35"/>
      <c r="C15512" s="442"/>
      <c r="P15512" s="235"/>
      <c r="AI15512" s="38"/>
    </row>
    <row r="15513" ht="15.75" customHeight="1">
      <c r="A15513" s="35"/>
      <c r="C15513" s="442"/>
      <c r="P15513" s="235"/>
      <c r="AI15513" s="38"/>
    </row>
    <row r="15514" ht="15.75" customHeight="1">
      <c r="A15514" s="35"/>
      <c r="C15514" s="442"/>
      <c r="P15514" s="235"/>
      <c r="AI15514" s="38"/>
    </row>
    <row r="15515" ht="15.75" customHeight="1">
      <c r="A15515" s="35"/>
      <c r="C15515" s="442"/>
      <c r="P15515" s="235"/>
      <c r="AI15515" s="38"/>
    </row>
    <row r="15516" ht="15.75" customHeight="1">
      <c r="A15516" s="35"/>
      <c r="C15516" s="442"/>
      <c r="P15516" s="235"/>
      <c r="AI15516" s="38"/>
    </row>
    <row r="15517" ht="15.75" customHeight="1">
      <c r="A15517" s="35"/>
      <c r="C15517" s="442"/>
      <c r="P15517" s="235"/>
      <c r="AI15517" s="38"/>
    </row>
    <row r="15518" ht="15.75" customHeight="1">
      <c r="A15518" s="35"/>
      <c r="C15518" s="442"/>
      <c r="P15518" s="235"/>
      <c r="AI15518" s="38"/>
    </row>
    <row r="15519" ht="15.75" customHeight="1">
      <c r="A15519" s="35"/>
      <c r="C15519" s="442"/>
      <c r="P15519" s="235"/>
      <c r="AI15519" s="38"/>
    </row>
    <row r="15520" ht="15.75" customHeight="1">
      <c r="A15520" s="35"/>
      <c r="C15520" s="442"/>
      <c r="P15520" s="235"/>
      <c r="AI15520" s="38"/>
    </row>
    <row r="15521" ht="15.75" customHeight="1">
      <c r="A15521" s="35"/>
      <c r="C15521" s="442"/>
      <c r="P15521" s="235"/>
      <c r="AI15521" s="38"/>
    </row>
    <row r="15522" ht="15.75" customHeight="1">
      <c r="A15522" s="35"/>
      <c r="C15522" s="442"/>
      <c r="P15522" s="235"/>
      <c r="AI15522" s="38"/>
    </row>
    <row r="15523" ht="15.75" customHeight="1">
      <c r="A15523" s="35"/>
      <c r="C15523" s="442"/>
      <c r="P15523" s="235"/>
      <c r="AI15523" s="38"/>
    </row>
    <row r="15524" ht="15.75" customHeight="1">
      <c r="A15524" s="35"/>
      <c r="C15524" s="442"/>
      <c r="P15524" s="235"/>
      <c r="AI15524" s="38"/>
    </row>
    <row r="15525" ht="15.75" customHeight="1">
      <c r="A15525" s="35"/>
      <c r="C15525" s="442"/>
      <c r="P15525" s="235"/>
      <c r="AI15525" s="38"/>
    </row>
    <row r="15526" ht="15.75" customHeight="1">
      <c r="A15526" s="35"/>
      <c r="C15526" s="442"/>
      <c r="P15526" s="235"/>
      <c r="AI15526" s="38"/>
    </row>
    <row r="15527" ht="15.75" customHeight="1">
      <c r="A15527" s="35"/>
      <c r="C15527" s="442"/>
      <c r="P15527" s="235"/>
      <c r="AI15527" s="38"/>
    </row>
    <row r="15528" ht="15.75" customHeight="1">
      <c r="A15528" s="35"/>
      <c r="C15528" s="442"/>
      <c r="P15528" s="235"/>
      <c r="AI15528" s="38"/>
    </row>
    <row r="15529" ht="15.75" customHeight="1">
      <c r="A15529" s="35"/>
      <c r="C15529" s="442"/>
      <c r="P15529" s="235"/>
      <c r="AI15529" s="38"/>
    </row>
    <row r="15530" ht="15.75" customHeight="1">
      <c r="A15530" s="35"/>
      <c r="C15530" s="442"/>
      <c r="P15530" s="235"/>
      <c r="AI15530" s="38"/>
    </row>
    <row r="15531" ht="15.75" customHeight="1">
      <c r="A15531" s="35"/>
      <c r="C15531" s="442"/>
      <c r="P15531" s="235"/>
      <c r="AI15531" s="38"/>
    </row>
    <row r="15532" ht="15.75" customHeight="1">
      <c r="A15532" s="35"/>
      <c r="C15532" s="442"/>
      <c r="P15532" s="235"/>
      <c r="AI15532" s="38"/>
    </row>
    <row r="15533" ht="15.75" customHeight="1">
      <c r="A15533" s="35"/>
      <c r="C15533" s="442"/>
      <c r="P15533" s="235"/>
      <c r="AI15533" s="38"/>
    </row>
    <row r="15534" ht="15.75" customHeight="1">
      <c r="A15534" s="35"/>
      <c r="C15534" s="442"/>
      <c r="P15534" s="235"/>
      <c r="AI15534" s="38"/>
    </row>
    <row r="15535" ht="15.75" customHeight="1">
      <c r="A15535" s="35"/>
      <c r="C15535" s="442"/>
      <c r="P15535" s="235"/>
      <c r="AI15535" s="38"/>
    </row>
    <row r="15536" ht="15.75" customHeight="1">
      <c r="A15536" s="35"/>
      <c r="C15536" s="442"/>
      <c r="P15536" s="235"/>
      <c r="AI15536" s="38"/>
    </row>
    <row r="15537" ht="15.75" customHeight="1">
      <c r="A15537" s="35"/>
      <c r="C15537" s="442"/>
      <c r="P15537" s="235"/>
      <c r="AI15537" s="38"/>
    </row>
    <row r="15538" ht="15.75" customHeight="1">
      <c r="A15538" s="35"/>
      <c r="C15538" s="442"/>
      <c r="P15538" s="235"/>
      <c r="AI15538" s="38"/>
    </row>
    <row r="15539" ht="15.75" customHeight="1">
      <c r="A15539" s="35"/>
      <c r="C15539" s="442"/>
      <c r="P15539" s="235"/>
      <c r="AI15539" s="38"/>
    </row>
    <row r="15540" ht="15.75" customHeight="1">
      <c r="A15540" s="35"/>
      <c r="C15540" s="442"/>
      <c r="P15540" s="235"/>
      <c r="AI15540" s="38"/>
    </row>
    <row r="15541" ht="15.75" customHeight="1">
      <c r="A15541" s="35"/>
      <c r="C15541" s="442"/>
      <c r="P15541" s="235"/>
      <c r="AI15541" s="38"/>
    </row>
    <row r="15542" ht="15.75" customHeight="1">
      <c r="A15542" s="35"/>
      <c r="C15542" s="442"/>
      <c r="P15542" s="235"/>
      <c r="AI15542" s="38"/>
    </row>
    <row r="15543" ht="15.75" customHeight="1">
      <c r="A15543" s="35"/>
      <c r="C15543" s="442"/>
      <c r="P15543" s="235"/>
      <c r="AI15543" s="38"/>
    </row>
    <row r="15544" ht="15.75" customHeight="1">
      <c r="A15544" s="35"/>
      <c r="C15544" s="442"/>
      <c r="P15544" s="235"/>
      <c r="AI15544" s="38"/>
    </row>
    <row r="15545" ht="15.75" customHeight="1">
      <c r="A15545" s="35"/>
      <c r="C15545" s="442"/>
      <c r="P15545" s="235"/>
      <c r="AI15545" s="38"/>
    </row>
    <row r="15546" ht="15.75" customHeight="1">
      <c r="A15546" s="35"/>
      <c r="C15546" s="442"/>
      <c r="P15546" s="235"/>
      <c r="AI15546" s="38"/>
    </row>
    <row r="15547" ht="15.75" customHeight="1">
      <c r="A15547" s="35"/>
      <c r="C15547" s="442"/>
      <c r="P15547" s="235"/>
      <c r="AI15547" s="38"/>
    </row>
    <row r="15548" ht="15.75" customHeight="1">
      <c r="A15548" s="35"/>
      <c r="C15548" s="442"/>
      <c r="P15548" s="235"/>
      <c r="AI15548" s="38"/>
    </row>
    <row r="15549" ht="15.75" customHeight="1">
      <c r="A15549" s="35"/>
      <c r="C15549" s="442"/>
      <c r="P15549" s="235"/>
      <c r="AI15549" s="38"/>
    </row>
    <row r="15550" ht="15.75" customHeight="1">
      <c r="A15550" s="35"/>
      <c r="C15550" s="442"/>
      <c r="P15550" s="235"/>
      <c r="AI15550" s="38"/>
    </row>
    <row r="15551" ht="15.75" customHeight="1">
      <c r="A15551" s="35"/>
      <c r="C15551" s="442"/>
      <c r="P15551" s="235"/>
      <c r="AI15551" s="38"/>
    </row>
    <row r="15552" ht="15.75" customHeight="1">
      <c r="A15552" s="35"/>
      <c r="C15552" s="442"/>
      <c r="P15552" s="235"/>
      <c r="AI15552" s="38"/>
    </row>
    <row r="15553" ht="15.75" customHeight="1">
      <c r="A15553" s="35"/>
      <c r="C15553" s="442"/>
      <c r="P15553" s="235"/>
      <c r="AI15553" s="38"/>
    </row>
    <row r="15554" ht="15.75" customHeight="1">
      <c r="A15554" s="35"/>
      <c r="C15554" s="442"/>
      <c r="P15554" s="235"/>
      <c r="AI15554" s="38"/>
    </row>
    <row r="15555" ht="15.75" customHeight="1">
      <c r="A15555" s="35"/>
      <c r="C15555" s="442"/>
      <c r="P15555" s="235"/>
      <c r="AI15555" s="38"/>
    </row>
    <row r="15556" ht="15.75" customHeight="1">
      <c r="A15556" s="35"/>
      <c r="C15556" s="442"/>
      <c r="P15556" s="235"/>
      <c r="AI15556" s="38"/>
    </row>
    <row r="15557" ht="15.75" customHeight="1">
      <c r="A15557" s="35"/>
      <c r="C15557" s="442"/>
      <c r="P15557" s="235"/>
      <c r="AI15557" s="38"/>
    </row>
    <row r="15558" ht="15.75" customHeight="1">
      <c r="A15558" s="35"/>
      <c r="C15558" s="442"/>
      <c r="P15558" s="235"/>
      <c r="AI15558" s="38"/>
    </row>
    <row r="15559" ht="15.75" customHeight="1">
      <c r="A15559" s="35"/>
      <c r="C15559" s="442"/>
      <c r="P15559" s="235"/>
      <c r="AI15559" s="38"/>
    </row>
    <row r="15560" ht="15.75" customHeight="1">
      <c r="A15560" s="35"/>
      <c r="C15560" s="442"/>
      <c r="P15560" s="235"/>
      <c r="AI15560" s="38"/>
    </row>
    <row r="15561" ht="15.75" customHeight="1">
      <c r="A15561" s="35"/>
      <c r="C15561" s="442"/>
      <c r="P15561" s="235"/>
      <c r="AI15561" s="38"/>
    </row>
    <row r="15562" ht="15.75" customHeight="1">
      <c r="A15562" s="35"/>
      <c r="C15562" s="442"/>
      <c r="P15562" s="235"/>
      <c r="AI15562" s="38"/>
    </row>
    <row r="15563" ht="15.75" customHeight="1">
      <c r="A15563" s="35"/>
      <c r="C15563" s="442"/>
      <c r="P15563" s="235"/>
      <c r="AI15563" s="38"/>
    </row>
    <row r="15564" ht="15.75" customHeight="1">
      <c r="A15564" s="35"/>
      <c r="C15564" s="442"/>
      <c r="P15564" s="235"/>
      <c r="AI15564" s="38"/>
    </row>
    <row r="15565" ht="15.75" customHeight="1">
      <c r="A15565" s="35"/>
      <c r="C15565" s="442"/>
      <c r="P15565" s="235"/>
      <c r="AI15565" s="38"/>
    </row>
    <row r="15566" ht="15.75" customHeight="1">
      <c r="A15566" s="35"/>
      <c r="C15566" s="442"/>
      <c r="P15566" s="235"/>
      <c r="AI15566" s="38"/>
    </row>
    <row r="15567" ht="15.75" customHeight="1">
      <c r="A15567" s="35"/>
      <c r="C15567" s="442"/>
      <c r="P15567" s="235"/>
      <c r="AI15567" s="38"/>
    </row>
    <row r="15568" ht="15.75" customHeight="1">
      <c r="A15568" s="35"/>
      <c r="C15568" s="442"/>
      <c r="P15568" s="235"/>
      <c r="AI15568" s="38"/>
    </row>
    <row r="15569" ht="15.75" customHeight="1">
      <c r="A15569" s="35"/>
      <c r="C15569" s="442"/>
      <c r="P15569" s="235"/>
      <c r="AI15569" s="38"/>
    </row>
    <row r="15570" ht="15.75" customHeight="1">
      <c r="A15570" s="35"/>
      <c r="C15570" s="442"/>
      <c r="P15570" s="235"/>
      <c r="AI15570" s="38"/>
    </row>
    <row r="15571" ht="15.75" customHeight="1">
      <c r="A15571" s="35"/>
      <c r="C15571" s="442"/>
      <c r="P15571" s="235"/>
      <c r="AI15571" s="38"/>
    </row>
    <row r="15572" ht="15.75" customHeight="1">
      <c r="A15572" s="35"/>
      <c r="C15572" s="442"/>
      <c r="P15572" s="235"/>
      <c r="AI15572" s="38"/>
    </row>
    <row r="15573" ht="15.75" customHeight="1">
      <c r="A15573" s="35"/>
      <c r="C15573" s="442"/>
      <c r="P15573" s="235"/>
      <c r="AI15573" s="38"/>
    </row>
    <row r="15574" ht="15.75" customHeight="1">
      <c r="A15574" s="35"/>
      <c r="C15574" s="442"/>
      <c r="P15574" s="235"/>
      <c r="AI15574" s="38"/>
    </row>
    <row r="15575" ht="15.75" customHeight="1">
      <c r="A15575" s="35"/>
      <c r="C15575" s="442"/>
      <c r="P15575" s="235"/>
      <c r="AI15575" s="38"/>
    </row>
    <row r="15576" ht="15.75" customHeight="1">
      <c r="A15576" s="35"/>
      <c r="C15576" s="442"/>
      <c r="P15576" s="235"/>
      <c r="AI15576" s="38"/>
    </row>
    <row r="15577" ht="15.75" customHeight="1">
      <c r="A15577" s="35"/>
      <c r="C15577" s="442"/>
      <c r="P15577" s="235"/>
      <c r="AI15577" s="38"/>
    </row>
    <row r="15578" ht="15.75" customHeight="1">
      <c r="A15578" s="35"/>
      <c r="C15578" s="442"/>
      <c r="P15578" s="235"/>
      <c r="AI15578" s="38"/>
    </row>
    <row r="15579" ht="15.75" customHeight="1">
      <c r="A15579" s="35"/>
      <c r="C15579" s="442"/>
      <c r="P15579" s="235"/>
      <c r="AI15579" s="38"/>
    </row>
    <row r="15580" ht="15.75" customHeight="1">
      <c r="A15580" s="35"/>
      <c r="C15580" s="442"/>
      <c r="P15580" s="235"/>
      <c r="AI15580" s="38"/>
    </row>
    <row r="15581" ht="15.75" customHeight="1">
      <c r="A15581" s="35"/>
      <c r="C15581" s="442"/>
      <c r="P15581" s="235"/>
      <c r="AI15581" s="38"/>
    </row>
    <row r="15582" ht="15.75" customHeight="1">
      <c r="A15582" s="35"/>
      <c r="C15582" s="442"/>
      <c r="P15582" s="235"/>
      <c r="AI15582" s="38"/>
    </row>
    <row r="15583" ht="15.75" customHeight="1">
      <c r="A15583" s="35"/>
      <c r="C15583" s="442"/>
      <c r="P15583" s="235"/>
      <c r="AI15583" s="38"/>
    </row>
    <row r="15584" ht="15.75" customHeight="1">
      <c r="A15584" s="35"/>
      <c r="C15584" s="442"/>
      <c r="P15584" s="235"/>
      <c r="AI15584" s="38"/>
    </row>
    <row r="15585" ht="15.75" customHeight="1">
      <c r="A15585" s="35"/>
      <c r="C15585" s="442"/>
      <c r="P15585" s="235"/>
      <c r="AI15585" s="38"/>
    </row>
    <row r="15586" ht="15.75" customHeight="1">
      <c r="A15586" s="35"/>
      <c r="C15586" s="442"/>
      <c r="P15586" s="235"/>
      <c r="AI15586" s="38"/>
    </row>
    <row r="15587" ht="15.75" customHeight="1">
      <c r="A15587" s="35"/>
      <c r="C15587" s="442"/>
      <c r="P15587" s="235"/>
      <c r="AI15587" s="38"/>
    </row>
    <row r="15588" ht="15.75" customHeight="1">
      <c r="A15588" s="35"/>
      <c r="C15588" s="442"/>
      <c r="P15588" s="235"/>
      <c r="AI15588" s="38"/>
    </row>
    <row r="15589" ht="15.75" customHeight="1">
      <c r="A15589" s="35"/>
      <c r="C15589" s="442"/>
      <c r="P15589" s="235"/>
      <c r="AI15589" s="38"/>
    </row>
    <row r="15590" ht="15.75" customHeight="1">
      <c r="A15590" s="35"/>
      <c r="C15590" s="442"/>
      <c r="P15590" s="235"/>
      <c r="AI15590" s="38"/>
    </row>
    <row r="15591" ht="15.75" customHeight="1">
      <c r="A15591" s="35"/>
      <c r="C15591" s="442"/>
      <c r="P15591" s="235"/>
      <c r="AI15591" s="38"/>
    </row>
    <row r="15592" ht="15.75" customHeight="1">
      <c r="A15592" s="35"/>
      <c r="C15592" s="442"/>
      <c r="P15592" s="235"/>
      <c r="AI15592" s="38"/>
    </row>
    <row r="15593" ht="15.75" customHeight="1">
      <c r="A15593" s="35"/>
      <c r="C15593" s="442"/>
      <c r="P15593" s="235"/>
      <c r="AI15593" s="38"/>
    </row>
    <row r="15594" ht="15.75" customHeight="1">
      <c r="A15594" s="35"/>
      <c r="C15594" s="442"/>
      <c r="P15594" s="235"/>
      <c r="AI15594" s="38"/>
    </row>
    <row r="15595" ht="15.75" customHeight="1">
      <c r="A15595" s="35"/>
      <c r="C15595" s="442"/>
      <c r="P15595" s="235"/>
      <c r="AI15595" s="38"/>
    </row>
    <row r="15596" ht="15.75" customHeight="1">
      <c r="A15596" s="35"/>
      <c r="C15596" s="442"/>
      <c r="P15596" s="235"/>
      <c r="AI15596" s="38"/>
    </row>
    <row r="15597" ht="15.75" customHeight="1">
      <c r="A15597" s="35"/>
      <c r="C15597" s="442"/>
      <c r="P15597" s="235"/>
      <c r="AI15597" s="38"/>
    </row>
    <row r="15598" ht="15.75" customHeight="1">
      <c r="A15598" s="35"/>
      <c r="C15598" s="442"/>
      <c r="P15598" s="235"/>
      <c r="AI15598" s="38"/>
    </row>
    <row r="15599" ht="15.75" customHeight="1">
      <c r="A15599" s="35"/>
      <c r="C15599" s="442"/>
      <c r="P15599" s="235"/>
      <c r="AI15599" s="38"/>
    </row>
    <row r="15600" ht="15.75" customHeight="1">
      <c r="A15600" s="35"/>
      <c r="C15600" s="442"/>
      <c r="P15600" s="235"/>
      <c r="AI15600" s="38"/>
    </row>
    <row r="15601" ht="15.75" customHeight="1">
      <c r="A15601" s="35"/>
      <c r="C15601" s="442"/>
      <c r="P15601" s="235"/>
      <c r="AI15601" s="38"/>
    </row>
    <row r="15602" ht="15.75" customHeight="1">
      <c r="A15602" s="35"/>
      <c r="C15602" s="442"/>
      <c r="P15602" s="235"/>
      <c r="AI15602" s="38"/>
    </row>
    <row r="15603" ht="15.75" customHeight="1">
      <c r="A15603" s="35"/>
      <c r="C15603" s="442"/>
      <c r="P15603" s="235"/>
      <c r="AI15603" s="38"/>
    </row>
    <row r="15604" ht="15.75" customHeight="1">
      <c r="A15604" s="35"/>
      <c r="C15604" s="442"/>
      <c r="P15604" s="235"/>
      <c r="AI15604" s="38"/>
    </row>
    <row r="15605" ht="15.75" customHeight="1">
      <c r="A15605" s="35"/>
      <c r="C15605" s="442"/>
      <c r="P15605" s="235"/>
      <c r="AI15605" s="38"/>
    </row>
    <row r="15606" ht="15.75" customHeight="1">
      <c r="A15606" s="35"/>
      <c r="C15606" s="442"/>
      <c r="P15606" s="235"/>
      <c r="AI15606" s="38"/>
    </row>
    <row r="15607" ht="15.75" customHeight="1">
      <c r="A15607" s="35"/>
      <c r="C15607" s="442"/>
      <c r="P15607" s="235"/>
      <c r="AI15607" s="38"/>
    </row>
    <row r="15608" ht="15.75" customHeight="1">
      <c r="A15608" s="35"/>
      <c r="C15608" s="442"/>
      <c r="P15608" s="235"/>
      <c r="AI15608" s="38"/>
    </row>
    <row r="15609" ht="15.75" customHeight="1">
      <c r="A15609" s="35"/>
      <c r="C15609" s="442"/>
      <c r="P15609" s="235"/>
      <c r="AI15609" s="38"/>
    </row>
    <row r="15610" ht="15.75" customHeight="1">
      <c r="A15610" s="35"/>
      <c r="C15610" s="442"/>
      <c r="P15610" s="235"/>
      <c r="AI15610" s="38"/>
    </row>
    <row r="15611" ht="15.75" customHeight="1">
      <c r="A15611" s="35"/>
      <c r="C15611" s="442"/>
      <c r="P15611" s="235"/>
      <c r="AI15611" s="38"/>
    </row>
    <row r="15612" ht="15.75" customHeight="1">
      <c r="A15612" s="35"/>
      <c r="C15612" s="442"/>
      <c r="P15612" s="235"/>
      <c r="AI15612" s="38"/>
    </row>
    <row r="15613" ht="15.75" customHeight="1">
      <c r="A15613" s="35"/>
      <c r="C15613" s="442"/>
      <c r="P15613" s="235"/>
      <c r="AI15613" s="38"/>
    </row>
    <row r="15614" ht="15.75" customHeight="1">
      <c r="A15614" s="35"/>
      <c r="C15614" s="442"/>
      <c r="P15614" s="235"/>
      <c r="AI15614" s="38"/>
    </row>
    <row r="15615" ht="15.75" customHeight="1">
      <c r="A15615" s="35"/>
      <c r="C15615" s="442"/>
      <c r="P15615" s="235"/>
      <c r="AI15615" s="38"/>
    </row>
    <row r="15616" ht="15.75" customHeight="1">
      <c r="A15616" s="35"/>
      <c r="C15616" s="442"/>
      <c r="P15616" s="235"/>
      <c r="AI15616" s="38"/>
    </row>
    <row r="15617" ht="15.75" customHeight="1">
      <c r="A15617" s="35"/>
      <c r="C15617" s="442"/>
      <c r="P15617" s="235"/>
      <c r="AI15617" s="38"/>
    </row>
    <row r="15618" ht="15.75" customHeight="1">
      <c r="A15618" s="35"/>
      <c r="C15618" s="442"/>
      <c r="P15618" s="235"/>
      <c r="AI15618" s="38"/>
    </row>
    <row r="15619" ht="15.75" customHeight="1">
      <c r="A15619" s="35"/>
      <c r="C15619" s="442"/>
      <c r="P15619" s="235"/>
      <c r="AI15619" s="38"/>
    </row>
    <row r="15620" ht="15.75" customHeight="1">
      <c r="A15620" s="35"/>
      <c r="C15620" s="442"/>
      <c r="P15620" s="235"/>
      <c r="AI15620" s="38"/>
    </row>
    <row r="15621" ht="15.75" customHeight="1">
      <c r="A15621" s="35"/>
      <c r="C15621" s="442"/>
      <c r="P15621" s="235"/>
      <c r="AI15621" s="38"/>
    </row>
    <row r="15622" ht="15.75" customHeight="1">
      <c r="A15622" s="35"/>
      <c r="C15622" s="442"/>
      <c r="P15622" s="235"/>
      <c r="AI15622" s="38"/>
    </row>
    <row r="15623" ht="15.75" customHeight="1">
      <c r="A15623" s="35"/>
      <c r="C15623" s="442"/>
      <c r="P15623" s="235"/>
      <c r="AI15623" s="38"/>
    </row>
    <row r="15624" ht="15.75" customHeight="1">
      <c r="A15624" s="35"/>
      <c r="C15624" s="442"/>
      <c r="P15624" s="235"/>
      <c r="AI15624" s="38"/>
    </row>
    <row r="15625" ht="15.75" customHeight="1">
      <c r="A15625" s="35"/>
      <c r="C15625" s="442"/>
      <c r="P15625" s="235"/>
      <c r="AI15625" s="38"/>
    </row>
    <row r="15626" ht="15.75" customHeight="1">
      <c r="A15626" s="35"/>
      <c r="C15626" s="442"/>
      <c r="P15626" s="235"/>
      <c r="AI15626" s="38"/>
    </row>
    <row r="15627" ht="15.75" customHeight="1">
      <c r="A15627" s="35"/>
      <c r="C15627" s="442"/>
      <c r="P15627" s="235"/>
      <c r="AI15627" s="38"/>
    </row>
    <row r="15628" ht="15.75" customHeight="1">
      <c r="A15628" s="35"/>
      <c r="C15628" s="442"/>
      <c r="P15628" s="235"/>
      <c r="AI15628" s="38"/>
    </row>
    <row r="15629" ht="15.75" customHeight="1">
      <c r="A15629" s="35"/>
      <c r="C15629" s="442"/>
      <c r="P15629" s="235"/>
      <c r="AI15629" s="38"/>
    </row>
    <row r="15630" ht="15.75" customHeight="1">
      <c r="A15630" s="35"/>
      <c r="C15630" s="442"/>
      <c r="P15630" s="235"/>
      <c r="AI15630" s="38"/>
    </row>
    <row r="15631" ht="15.75" customHeight="1">
      <c r="A15631" s="35"/>
      <c r="C15631" s="442"/>
      <c r="P15631" s="235"/>
      <c r="AI15631" s="38"/>
    </row>
    <row r="15632" ht="15.75" customHeight="1">
      <c r="A15632" s="35"/>
      <c r="C15632" s="442"/>
      <c r="P15632" s="235"/>
      <c r="AI15632" s="38"/>
    </row>
    <row r="15633" ht="15.75" customHeight="1">
      <c r="A15633" s="35"/>
      <c r="C15633" s="442"/>
      <c r="P15633" s="235"/>
      <c r="AI15633" s="38"/>
    </row>
    <row r="15634" ht="15.75" customHeight="1">
      <c r="A15634" s="35"/>
      <c r="C15634" s="442"/>
      <c r="P15634" s="235"/>
      <c r="AI15634" s="38"/>
    </row>
    <row r="15635" ht="15.75" customHeight="1">
      <c r="A15635" s="35"/>
      <c r="C15635" s="442"/>
      <c r="P15635" s="235"/>
      <c r="AI15635" s="38"/>
    </row>
    <row r="15636" ht="15.75" customHeight="1">
      <c r="A15636" s="35"/>
      <c r="C15636" s="442"/>
      <c r="P15636" s="235"/>
      <c r="AI15636" s="38"/>
    </row>
    <row r="15637" ht="15.75" customHeight="1">
      <c r="A15637" s="35"/>
      <c r="C15637" s="442"/>
      <c r="P15637" s="235"/>
      <c r="AI15637" s="38"/>
    </row>
    <row r="15638" ht="15.75" customHeight="1">
      <c r="A15638" s="35"/>
      <c r="C15638" s="442"/>
      <c r="P15638" s="235"/>
      <c r="AI15638" s="38"/>
    </row>
    <row r="15639" ht="15.75" customHeight="1">
      <c r="A15639" s="35"/>
      <c r="C15639" s="442"/>
      <c r="P15639" s="235"/>
      <c r="AI15639" s="38"/>
    </row>
    <row r="15640" ht="15.75" customHeight="1">
      <c r="A15640" s="35"/>
      <c r="C15640" s="442"/>
      <c r="P15640" s="235"/>
      <c r="AI15640" s="38"/>
    </row>
    <row r="15641" ht="15.75" customHeight="1">
      <c r="A15641" s="35"/>
      <c r="C15641" s="442"/>
      <c r="P15641" s="235"/>
      <c r="AI15641" s="38"/>
    </row>
    <row r="15642" ht="15.75" customHeight="1">
      <c r="A15642" s="35"/>
      <c r="C15642" s="442"/>
      <c r="P15642" s="235"/>
      <c r="AI15642" s="38"/>
    </row>
    <row r="15643" ht="15.75" customHeight="1">
      <c r="A15643" s="35"/>
      <c r="C15643" s="442"/>
      <c r="P15643" s="235"/>
      <c r="AI15643" s="38"/>
    </row>
    <row r="15644" ht="15.75" customHeight="1">
      <c r="A15644" s="35"/>
      <c r="C15644" s="442"/>
      <c r="P15644" s="235"/>
      <c r="AI15644" s="38"/>
    </row>
    <row r="15645" ht="15.75" customHeight="1">
      <c r="A15645" s="35"/>
      <c r="C15645" s="442"/>
      <c r="P15645" s="235"/>
      <c r="AI15645" s="38"/>
    </row>
    <row r="15646" ht="15.75" customHeight="1">
      <c r="A15646" s="35"/>
      <c r="C15646" s="442"/>
      <c r="P15646" s="235"/>
      <c r="AI15646" s="38"/>
    </row>
    <row r="15647" ht="15.75" customHeight="1">
      <c r="A15647" s="35"/>
      <c r="C15647" s="442"/>
      <c r="P15647" s="235"/>
      <c r="AI15647" s="38"/>
    </row>
    <row r="15648" ht="15.75" customHeight="1">
      <c r="A15648" s="35"/>
      <c r="C15648" s="442"/>
      <c r="P15648" s="235"/>
      <c r="AI15648" s="38"/>
    </row>
    <row r="15649" ht="15.75" customHeight="1">
      <c r="A15649" s="35"/>
      <c r="C15649" s="442"/>
      <c r="P15649" s="235"/>
      <c r="AI15649" s="38"/>
    </row>
    <row r="15650" ht="15.75" customHeight="1">
      <c r="A15650" s="35"/>
      <c r="C15650" s="442"/>
      <c r="P15650" s="235"/>
      <c r="AI15650" s="38"/>
    </row>
    <row r="15651" ht="15.75" customHeight="1">
      <c r="A15651" s="35"/>
      <c r="C15651" s="442"/>
      <c r="P15651" s="235"/>
      <c r="AI15651" s="38"/>
    </row>
    <row r="15652" ht="15.75" customHeight="1">
      <c r="A15652" s="35"/>
      <c r="C15652" s="442"/>
      <c r="P15652" s="235"/>
      <c r="AI15652" s="38"/>
    </row>
    <row r="15653" ht="15.75" customHeight="1">
      <c r="A15653" s="35"/>
      <c r="C15653" s="442"/>
      <c r="P15653" s="235"/>
      <c r="AI15653" s="38"/>
    </row>
    <row r="15654" ht="15.75" customHeight="1">
      <c r="A15654" s="35"/>
      <c r="C15654" s="442"/>
      <c r="P15654" s="235"/>
      <c r="AI15654" s="38"/>
    </row>
    <row r="15655" ht="15.75" customHeight="1">
      <c r="A15655" s="35"/>
      <c r="C15655" s="442"/>
      <c r="P15655" s="235"/>
      <c r="AI15655" s="38"/>
    </row>
    <row r="15656" ht="15.75" customHeight="1">
      <c r="A15656" s="35"/>
      <c r="C15656" s="442"/>
      <c r="P15656" s="235"/>
      <c r="AI15656" s="38"/>
    </row>
    <row r="15657" ht="15.75" customHeight="1">
      <c r="A15657" s="35"/>
      <c r="C15657" s="442"/>
      <c r="P15657" s="235"/>
      <c r="AI15657" s="38"/>
    </row>
    <row r="15658" ht="15.75" customHeight="1">
      <c r="A15658" s="35"/>
      <c r="C15658" s="442"/>
      <c r="P15658" s="235"/>
      <c r="AI15658" s="38"/>
    </row>
    <row r="15659" ht="15.75" customHeight="1">
      <c r="A15659" s="35"/>
      <c r="C15659" s="442"/>
      <c r="P15659" s="235"/>
      <c r="AI15659" s="38"/>
    </row>
    <row r="15660" ht="15.75" customHeight="1">
      <c r="A15660" s="35"/>
      <c r="C15660" s="442"/>
      <c r="P15660" s="235"/>
      <c r="AI15660" s="38"/>
    </row>
    <row r="15661" ht="15.75" customHeight="1">
      <c r="A15661" s="35"/>
      <c r="C15661" s="442"/>
      <c r="P15661" s="235"/>
      <c r="AI15661" s="38"/>
    </row>
    <row r="15662" ht="15.75" customHeight="1">
      <c r="A15662" s="35"/>
      <c r="C15662" s="442"/>
      <c r="P15662" s="235"/>
      <c r="AI15662" s="38"/>
    </row>
    <row r="15663" ht="15.75" customHeight="1">
      <c r="A15663" s="35"/>
      <c r="C15663" s="442"/>
      <c r="P15663" s="235"/>
      <c r="AI15663" s="38"/>
    </row>
    <row r="15664" ht="15.75" customHeight="1">
      <c r="A15664" s="35"/>
      <c r="C15664" s="442"/>
      <c r="P15664" s="235"/>
      <c r="AI15664" s="38"/>
    </row>
    <row r="15665" ht="15.75" customHeight="1">
      <c r="A15665" s="35"/>
      <c r="C15665" s="442"/>
      <c r="P15665" s="235"/>
      <c r="AI15665" s="38"/>
    </row>
    <row r="15666" ht="15.75" customHeight="1">
      <c r="A15666" s="35"/>
      <c r="C15666" s="442"/>
      <c r="P15666" s="235"/>
      <c r="AI15666" s="38"/>
    </row>
    <row r="15667" ht="15.75" customHeight="1">
      <c r="A15667" s="35"/>
      <c r="C15667" s="442"/>
      <c r="P15667" s="235"/>
      <c r="AI15667" s="38"/>
    </row>
    <row r="15668" ht="15.75" customHeight="1">
      <c r="A15668" s="35"/>
      <c r="C15668" s="442"/>
      <c r="P15668" s="235"/>
      <c r="AI15668" s="38"/>
    </row>
    <row r="15669" ht="15.75" customHeight="1">
      <c r="A15669" s="35"/>
      <c r="C15669" s="442"/>
      <c r="P15669" s="235"/>
      <c r="AI15669" s="38"/>
    </row>
    <row r="15670" ht="15.75" customHeight="1">
      <c r="A15670" s="35"/>
      <c r="C15670" s="442"/>
      <c r="P15670" s="235"/>
      <c r="AI15670" s="38"/>
    </row>
    <row r="15671" ht="15.75" customHeight="1">
      <c r="A15671" s="35"/>
      <c r="C15671" s="442"/>
      <c r="P15671" s="235"/>
      <c r="AI15671" s="38"/>
    </row>
    <row r="15672" ht="15.75" customHeight="1">
      <c r="A15672" s="35"/>
      <c r="C15672" s="442"/>
      <c r="P15672" s="235"/>
      <c r="AI15672" s="38"/>
    </row>
    <row r="15673" ht="15.75" customHeight="1">
      <c r="A15673" s="35"/>
      <c r="C15673" s="442"/>
      <c r="P15673" s="235"/>
      <c r="AI15673" s="38"/>
    </row>
    <row r="15674" ht="15.75" customHeight="1">
      <c r="A15674" s="35"/>
      <c r="C15674" s="442"/>
      <c r="P15674" s="235"/>
      <c r="AI15674" s="38"/>
    </row>
    <row r="15675" ht="15.75" customHeight="1">
      <c r="A15675" s="35"/>
      <c r="C15675" s="442"/>
      <c r="P15675" s="235"/>
      <c r="AI15675" s="38"/>
    </row>
    <row r="15676" ht="15.75" customHeight="1">
      <c r="A15676" s="35"/>
      <c r="C15676" s="442"/>
      <c r="P15676" s="235"/>
      <c r="AI15676" s="38"/>
    </row>
    <row r="15677" ht="15.75" customHeight="1">
      <c r="A15677" s="35"/>
      <c r="C15677" s="442"/>
      <c r="P15677" s="235"/>
      <c r="AI15677" s="38"/>
    </row>
    <row r="15678" ht="15.75" customHeight="1">
      <c r="A15678" s="35"/>
      <c r="C15678" s="442"/>
      <c r="P15678" s="235"/>
      <c r="AI15678" s="38"/>
    </row>
    <row r="15679" ht="15.75" customHeight="1">
      <c r="A15679" s="35"/>
      <c r="C15679" s="442"/>
      <c r="P15679" s="235"/>
      <c r="AI15679" s="38"/>
    </row>
    <row r="15680" ht="15.75" customHeight="1">
      <c r="A15680" s="35"/>
      <c r="C15680" s="442"/>
      <c r="P15680" s="235"/>
      <c r="AI15680" s="38"/>
    </row>
    <row r="15681" ht="15.75" customHeight="1">
      <c r="A15681" s="35"/>
      <c r="C15681" s="442"/>
      <c r="P15681" s="235"/>
      <c r="AI15681" s="38"/>
    </row>
    <row r="15682" ht="15.75" customHeight="1">
      <c r="A15682" s="35"/>
      <c r="C15682" s="442"/>
      <c r="P15682" s="235"/>
      <c r="AI15682" s="38"/>
    </row>
    <row r="15683" ht="15.75" customHeight="1">
      <c r="A15683" s="35"/>
      <c r="C15683" s="442"/>
      <c r="P15683" s="235"/>
      <c r="AI15683" s="38"/>
    </row>
    <row r="15684" ht="15.75" customHeight="1">
      <c r="A15684" s="35"/>
      <c r="C15684" s="442"/>
      <c r="P15684" s="235"/>
      <c r="AI15684" s="38"/>
    </row>
    <row r="15685" ht="15.75" customHeight="1">
      <c r="A15685" s="35"/>
      <c r="C15685" s="442"/>
      <c r="P15685" s="235"/>
      <c r="AI15685" s="38"/>
    </row>
    <row r="15686" ht="15.75" customHeight="1">
      <c r="A15686" s="35"/>
      <c r="C15686" s="442"/>
      <c r="P15686" s="235"/>
      <c r="AI15686" s="38"/>
    </row>
    <row r="15687" ht="15.75" customHeight="1">
      <c r="A15687" s="35"/>
      <c r="C15687" s="442"/>
      <c r="P15687" s="235"/>
      <c r="AI15687" s="38"/>
    </row>
    <row r="15688" ht="15.75" customHeight="1">
      <c r="A15688" s="35"/>
      <c r="C15688" s="442"/>
      <c r="P15688" s="235"/>
      <c r="AI15688" s="38"/>
    </row>
    <row r="15689" ht="15.75" customHeight="1">
      <c r="A15689" s="35"/>
      <c r="C15689" s="442"/>
      <c r="P15689" s="235"/>
      <c r="AI15689" s="38"/>
    </row>
    <row r="15690" ht="15.75" customHeight="1">
      <c r="A15690" s="35"/>
      <c r="C15690" s="442"/>
      <c r="P15690" s="235"/>
      <c r="AI15690" s="38"/>
    </row>
    <row r="15691" ht="15.75" customHeight="1">
      <c r="A15691" s="35"/>
      <c r="C15691" s="442"/>
      <c r="P15691" s="235"/>
      <c r="AI15691" s="38"/>
    </row>
    <row r="15692" ht="15.75" customHeight="1">
      <c r="A15692" s="35"/>
      <c r="C15692" s="442"/>
      <c r="P15692" s="235"/>
      <c r="AI15692" s="38"/>
    </row>
    <row r="15693" ht="15.75" customHeight="1">
      <c r="A15693" s="35"/>
      <c r="C15693" s="442"/>
      <c r="P15693" s="235"/>
      <c r="AI15693" s="38"/>
    </row>
    <row r="15694" ht="15.75" customHeight="1">
      <c r="A15694" s="35"/>
      <c r="C15694" s="442"/>
      <c r="P15694" s="235"/>
      <c r="AI15694" s="38"/>
    </row>
    <row r="15695" ht="15.75" customHeight="1">
      <c r="A15695" s="35"/>
      <c r="C15695" s="442"/>
      <c r="P15695" s="235"/>
      <c r="AI15695" s="38"/>
    </row>
    <row r="15696" ht="15.75" customHeight="1">
      <c r="A15696" s="35"/>
      <c r="C15696" s="442"/>
      <c r="P15696" s="235"/>
      <c r="AI15696" s="38"/>
    </row>
    <row r="15697" ht="15.75" customHeight="1">
      <c r="A15697" s="35"/>
      <c r="C15697" s="442"/>
      <c r="P15697" s="235"/>
      <c r="AI15697" s="38"/>
    </row>
    <row r="15698" ht="15.75" customHeight="1">
      <c r="A15698" s="35"/>
      <c r="C15698" s="442"/>
      <c r="P15698" s="235"/>
      <c r="AI15698" s="38"/>
    </row>
    <row r="15699" ht="15.75" customHeight="1">
      <c r="A15699" s="35"/>
      <c r="C15699" s="442"/>
      <c r="P15699" s="235"/>
      <c r="AI15699" s="38"/>
    </row>
    <row r="15700" ht="15.75" customHeight="1">
      <c r="A15700" s="35"/>
      <c r="C15700" s="442"/>
      <c r="P15700" s="235"/>
      <c r="AI15700" s="38"/>
    </row>
    <row r="15701" ht="15.75" customHeight="1">
      <c r="A15701" s="35"/>
      <c r="C15701" s="442"/>
      <c r="P15701" s="235"/>
      <c r="AI15701" s="38"/>
    </row>
    <row r="15702" ht="15.75" customHeight="1">
      <c r="A15702" s="35"/>
      <c r="C15702" s="442"/>
      <c r="P15702" s="235"/>
      <c r="AI15702" s="38"/>
    </row>
    <row r="15703" ht="15.75" customHeight="1">
      <c r="A15703" s="35"/>
      <c r="C15703" s="442"/>
      <c r="P15703" s="235"/>
      <c r="AI15703" s="38"/>
    </row>
    <row r="15704" ht="15.75" customHeight="1">
      <c r="A15704" s="35"/>
      <c r="C15704" s="442"/>
      <c r="P15704" s="235"/>
      <c r="AI15704" s="38"/>
    </row>
    <row r="15705" ht="15.75" customHeight="1">
      <c r="A15705" s="35"/>
      <c r="C15705" s="442"/>
      <c r="P15705" s="235"/>
      <c r="AI15705" s="38"/>
    </row>
    <row r="15706" ht="15.75" customHeight="1">
      <c r="A15706" s="35"/>
      <c r="C15706" s="442"/>
      <c r="P15706" s="235"/>
      <c r="AI15706" s="38"/>
    </row>
    <row r="15707" ht="15.75" customHeight="1">
      <c r="A15707" s="35"/>
      <c r="C15707" s="442"/>
      <c r="P15707" s="235"/>
      <c r="AI15707" s="38"/>
    </row>
    <row r="15708" ht="15.75" customHeight="1">
      <c r="A15708" s="35"/>
      <c r="C15708" s="442"/>
      <c r="P15708" s="235"/>
      <c r="AI15708" s="38"/>
    </row>
    <row r="15709" ht="15.75" customHeight="1">
      <c r="A15709" s="35"/>
      <c r="C15709" s="442"/>
      <c r="P15709" s="235"/>
      <c r="AI15709" s="38"/>
    </row>
    <row r="15710" ht="15.75" customHeight="1">
      <c r="A15710" s="35"/>
      <c r="C15710" s="442"/>
      <c r="P15710" s="235"/>
      <c r="AI15710" s="38"/>
    </row>
    <row r="15711" ht="15.75" customHeight="1">
      <c r="A15711" s="35"/>
      <c r="C15711" s="442"/>
      <c r="P15711" s="235"/>
      <c r="AI15711" s="38"/>
    </row>
    <row r="15712" ht="15.75" customHeight="1">
      <c r="A15712" s="35"/>
      <c r="C15712" s="442"/>
      <c r="P15712" s="235"/>
      <c r="AI15712" s="38"/>
    </row>
    <row r="15713" ht="15.75" customHeight="1">
      <c r="A15713" s="35"/>
      <c r="C15713" s="442"/>
      <c r="P15713" s="235"/>
      <c r="AI15713" s="38"/>
    </row>
    <row r="15714" ht="15.75" customHeight="1">
      <c r="A15714" s="35"/>
      <c r="C15714" s="442"/>
      <c r="P15714" s="235"/>
      <c r="AI15714" s="38"/>
    </row>
    <row r="15715" ht="15.75" customHeight="1">
      <c r="A15715" s="35"/>
      <c r="C15715" s="442"/>
      <c r="P15715" s="235"/>
      <c r="AI15715" s="38"/>
    </row>
    <row r="15716" ht="15.75" customHeight="1">
      <c r="A15716" s="35"/>
      <c r="C15716" s="442"/>
      <c r="P15716" s="235"/>
      <c r="AI15716" s="38"/>
    </row>
    <row r="15717" ht="15.75" customHeight="1">
      <c r="A15717" s="35"/>
      <c r="C15717" s="442"/>
      <c r="P15717" s="235"/>
      <c r="AI15717" s="38"/>
    </row>
    <row r="15718" ht="15.75" customHeight="1">
      <c r="A15718" s="35"/>
      <c r="C15718" s="442"/>
      <c r="P15718" s="235"/>
      <c r="AI15718" s="38"/>
    </row>
    <row r="15719" ht="15.75" customHeight="1">
      <c r="A15719" s="35"/>
      <c r="C15719" s="442"/>
      <c r="P15719" s="235"/>
      <c r="AI15719" s="38"/>
    </row>
    <row r="15720" ht="15.75" customHeight="1">
      <c r="A15720" s="35"/>
      <c r="C15720" s="442"/>
      <c r="P15720" s="235"/>
      <c r="AI15720" s="38"/>
    </row>
    <row r="15721" ht="15.75" customHeight="1">
      <c r="A15721" s="35"/>
      <c r="C15721" s="442"/>
      <c r="P15721" s="235"/>
      <c r="AI15721" s="38"/>
    </row>
    <row r="15722" ht="15.75" customHeight="1">
      <c r="A15722" s="35"/>
      <c r="C15722" s="442"/>
      <c r="P15722" s="235"/>
      <c r="AI15722" s="38"/>
    </row>
    <row r="15723" ht="15.75" customHeight="1">
      <c r="A15723" s="35"/>
      <c r="C15723" s="442"/>
      <c r="P15723" s="235"/>
      <c r="AI15723" s="38"/>
    </row>
    <row r="15724" ht="15.75" customHeight="1">
      <c r="A15724" s="35"/>
      <c r="C15724" s="442"/>
      <c r="P15724" s="235"/>
      <c r="AI15724" s="38"/>
    </row>
    <row r="15725" ht="15.75" customHeight="1">
      <c r="A15725" s="35"/>
      <c r="C15725" s="442"/>
      <c r="P15725" s="235"/>
      <c r="AI15725" s="38"/>
    </row>
    <row r="15726" ht="15.75" customHeight="1">
      <c r="A15726" s="35"/>
      <c r="C15726" s="442"/>
      <c r="P15726" s="235"/>
      <c r="AI15726" s="38"/>
    </row>
    <row r="15727" ht="15.75" customHeight="1">
      <c r="A15727" s="35"/>
      <c r="C15727" s="442"/>
      <c r="P15727" s="235"/>
      <c r="AI15727" s="38"/>
    </row>
    <row r="15728" ht="15.75" customHeight="1">
      <c r="A15728" s="35"/>
      <c r="C15728" s="442"/>
      <c r="P15728" s="235"/>
      <c r="AI15728" s="38"/>
    </row>
    <row r="15729" ht="15.75" customHeight="1">
      <c r="A15729" s="35"/>
      <c r="C15729" s="442"/>
      <c r="P15729" s="235"/>
      <c r="AI15729" s="38"/>
    </row>
    <row r="15730" ht="15.75" customHeight="1">
      <c r="A15730" s="35"/>
      <c r="C15730" s="442"/>
      <c r="P15730" s="235"/>
      <c r="AI15730" s="38"/>
    </row>
    <row r="15731" ht="15.75" customHeight="1">
      <c r="A15731" s="35"/>
      <c r="C15731" s="442"/>
      <c r="P15731" s="235"/>
      <c r="AI15731" s="38"/>
    </row>
    <row r="15732" ht="15.75" customHeight="1">
      <c r="A15732" s="35"/>
      <c r="C15732" s="442"/>
      <c r="P15732" s="235"/>
      <c r="AI15732" s="38"/>
    </row>
    <row r="15733" ht="15.75" customHeight="1">
      <c r="A15733" s="35"/>
      <c r="C15733" s="442"/>
      <c r="P15733" s="235"/>
      <c r="AI15733" s="38"/>
    </row>
    <row r="15734" ht="15.75" customHeight="1">
      <c r="A15734" s="35"/>
      <c r="C15734" s="442"/>
      <c r="P15734" s="235"/>
      <c r="AI15734" s="38"/>
    </row>
    <row r="15735" ht="15.75" customHeight="1">
      <c r="A15735" s="35"/>
      <c r="C15735" s="442"/>
      <c r="P15735" s="235"/>
      <c r="AI15735" s="38"/>
    </row>
    <row r="15736" ht="15.75" customHeight="1">
      <c r="A15736" s="35"/>
      <c r="C15736" s="442"/>
      <c r="P15736" s="235"/>
      <c r="AI15736" s="38"/>
    </row>
    <row r="15737" ht="15.75" customHeight="1">
      <c r="A15737" s="35"/>
      <c r="C15737" s="442"/>
      <c r="P15737" s="235"/>
      <c r="AI15737" s="38"/>
    </row>
    <row r="15738" ht="15.75" customHeight="1">
      <c r="A15738" s="35"/>
      <c r="C15738" s="442"/>
      <c r="P15738" s="235"/>
      <c r="AI15738" s="38"/>
    </row>
    <row r="15739" ht="15.75" customHeight="1">
      <c r="A15739" s="35"/>
      <c r="C15739" s="442"/>
      <c r="P15739" s="235"/>
      <c r="AI15739" s="38"/>
    </row>
    <row r="15740" ht="15.75" customHeight="1">
      <c r="A15740" s="35"/>
      <c r="C15740" s="442"/>
      <c r="P15740" s="235"/>
      <c r="AI15740" s="38"/>
    </row>
    <row r="15741" ht="15.75" customHeight="1">
      <c r="A15741" s="35"/>
      <c r="C15741" s="442"/>
      <c r="P15741" s="235"/>
      <c r="AI15741" s="38"/>
    </row>
    <row r="15742" ht="15.75" customHeight="1">
      <c r="A15742" s="35"/>
      <c r="C15742" s="442"/>
      <c r="P15742" s="235"/>
      <c r="AI15742" s="38"/>
    </row>
    <row r="15743" ht="15.75" customHeight="1">
      <c r="A15743" s="35"/>
      <c r="C15743" s="442"/>
      <c r="P15743" s="235"/>
      <c r="AI15743" s="38"/>
    </row>
    <row r="15744" ht="15.75" customHeight="1">
      <c r="A15744" s="35"/>
      <c r="C15744" s="442"/>
      <c r="P15744" s="235"/>
      <c r="AI15744" s="38"/>
    </row>
    <row r="15745" ht="15.75" customHeight="1">
      <c r="A15745" s="35"/>
      <c r="C15745" s="442"/>
      <c r="P15745" s="235"/>
      <c r="AI15745" s="38"/>
    </row>
    <row r="15746" ht="15.75" customHeight="1">
      <c r="A15746" s="35"/>
      <c r="C15746" s="442"/>
      <c r="P15746" s="235"/>
      <c r="AI15746" s="38"/>
    </row>
    <row r="15747" ht="15.75" customHeight="1">
      <c r="A15747" s="35"/>
      <c r="C15747" s="442"/>
      <c r="P15747" s="235"/>
      <c r="AI15747" s="38"/>
    </row>
    <row r="15748" ht="15.75" customHeight="1">
      <c r="A15748" s="35"/>
      <c r="C15748" s="442"/>
      <c r="P15748" s="235"/>
      <c r="AI15748" s="38"/>
    </row>
    <row r="15749" ht="15.75" customHeight="1">
      <c r="A15749" s="35"/>
      <c r="C15749" s="442"/>
      <c r="P15749" s="235"/>
      <c r="AI15749" s="38"/>
    </row>
    <row r="15750" ht="15.75" customHeight="1">
      <c r="A15750" s="35"/>
      <c r="C15750" s="442"/>
      <c r="P15750" s="235"/>
      <c r="AI15750" s="38"/>
    </row>
    <row r="15751" ht="15.75" customHeight="1">
      <c r="A15751" s="35"/>
      <c r="C15751" s="442"/>
      <c r="P15751" s="235"/>
      <c r="AI15751" s="38"/>
    </row>
    <row r="15752" ht="15.75" customHeight="1">
      <c r="A15752" s="35"/>
      <c r="C15752" s="442"/>
      <c r="P15752" s="235"/>
      <c r="AI15752" s="38"/>
    </row>
    <row r="15753" ht="15.75" customHeight="1">
      <c r="A15753" s="35"/>
      <c r="C15753" s="442"/>
      <c r="P15753" s="235"/>
      <c r="AI15753" s="38"/>
    </row>
    <row r="15754" ht="15.75" customHeight="1">
      <c r="A15754" s="35"/>
      <c r="C15754" s="442"/>
      <c r="P15754" s="235"/>
      <c r="AI15754" s="38"/>
    </row>
    <row r="15755" ht="15.75" customHeight="1">
      <c r="A15755" s="35"/>
      <c r="C15755" s="442"/>
      <c r="P15755" s="235"/>
      <c r="AI15755" s="38"/>
    </row>
    <row r="15756" ht="15.75" customHeight="1">
      <c r="A15756" s="35"/>
      <c r="C15756" s="442"/>
      <c r="P15756" s="235"/>
      <c r="AI15756" s="38"/>
    </row>
    <row r="15757" ht="15.75" customHeight="1">
      <c r="A15757" s="35"/>
      <c r="C15757" s="442"/>
      <c r="P15757" s="235"/>
      <c r="AI15757" s="38"/>
    </row>
    <row r="15758" ht="15.75" customHeight="1">
      <c r="A15758" s="35"/>
      <c r="C15758" s="442"/>
      <c r="P15758" s="235"/>
      <c r="AI15758" s="38"/>
    </row>
    <row r="15759" ht="15.75" customHeight="1">
      <c r="A15759" s="35"/>
      <c r="C15759" s="442"/>
      <c r="P15759" s="235"/>
      <c r="AI15759" s="38"/>
    </row>
    <row r="15760" ht="15.75" customHeight="1">
      <c r="A15760" s="35"/>
      <c r="C15760" s="442"/>
      <c r="P15760" s="235"/>
      <c r="AI15760" s="38"/>
    </row>
    <row r="15761" ht="15.75" customHeight="1">
      <c r="A15761" s="35"/>
      <c r="C15761" s="442"/>
      <c r="P15761" s="235"/>
      <c r="AI15761" s="38"/>
    </row>
    <row r="15762" ht="15.75" customHeight="1">
      <c r="A15762" s="35"/>
      <c r="C15762" s="442"/>
      <c r="P15762" s="235"/>
      <c r="AI15762" s="38"/>
    </row>
    <row r="15763" ht="15.75" customHeight="1">
      <c r="A15763" s="35"/>
      <c r="C15763" s="442"/>
      <c r="P15763" s="235"/>
      <c r="AI15763" s="38"/>
    </row>
    <row r="15764" ht="15.75" customHeight="1">
      <c r="A15764" s="35"/>
      <c r="C15764" s="442"/>
      <c r="P15764" s="235"/>
      <c r="AI15764" s="38"/>
    </row>
    <row r="15765" ht="15.75" customHeight="1">
      <c r="A15765" s="35"/>
      <c r="C15765" s="442"/>
      <c r="P15765" s="235"/>
      <c r="AI15765" s="38"/>
    </row>
    <row r="15766" ht="15.75" customHeight="1">
      <c r="A15766" s="35"/>
      <c r="C15766" s="442"/>
      <c r="P15766" s="235"/>
      <c r="AI15766" s="38"/>
    </row>
    <row r="15767" ht="15.75" customHeight="1">
      <c r="A15767" s="35"/>
      <c r="C15767" s="442"/>
      <c r="P15767" s="235"/>
      <c r="AI15767" s="38"/>
    </row>
    <row r="15768" ht="15.75" customHeight="1">
      <c r="A15768" s="35"/>
      <c r="C15768" s="442"/>
      <c r="P15768" s="235"/>
      <c r="AI15768" s="38"/>
    </row>
    <row r="15769" ht="15.75" customHeight="1">
      <c r="A15769" s="35"/>
      <c r="C15769" s="442"/>
      <c r="P15769" s="235"/>
      <c r="AI15769" s="38"/>
    </row>
    <row r="15770" ht="15.75" customHeight="1">
      <c r="A15770" s="35"/>
      <c r="C15770" s="442"/>
      <c r="P15770" s="235"/>
      <c r="AI15770" s="38"/>
    </row>
    <row r="15771" ht="15.75" customHeight="1">
      <c r="A15771" s="35"/>
      <c r="C15771" s="442"/>
      <c r="P15771" s="235"/>
      <c r="AI15771" s="38"/>
    </row>
    <row r="15772" ht="15.75" customHeight="1">
      <c r="A15772" s="35"/>
      <c r="C15772" s="442"/>
      <c r="P15772" s="235"/>
      <c r="AI15772" s="38"/>
    </row>
    <row r="15773" ht="15.75" customHeight="1">
      <c r="A15773" s="35"/>
      <c r="C15773" s="442"/>
      <c r="P15773" s="235"/>
      <c r="AI15773" s="38"/>
    </row>
    <row r="15774" ht="15.75" customHeight="1">
      <c r="A15774" s="35"/>
      <c r="C15774" s="442"/>
      <c r="P15774" s="235"/>
      <c r="AI15774" s="38"/>
    </row>
    <row r="15775" ht="15.75" customHeight="1">
      <c r="A15775" s="35"/>
      <c r="C15775" s="442"/>
      <c r="P15775" s="235"/>
      <c r="AI15775" s="38"/>
    </row>
    <row r="15776" ht="15.75" customHeight="1">
      <c r="A15776" s="35"/>
      <c r="C15776" s="442"/>
      <c r="P15776" s="235"/>
      <c r="AI15776" s="38"/>
    </row>
    <row r="15777" ht="15.75" customHeight="1">
      <c r="A15777" s="35"/>
      <c r="C15777" s="442"/>
      <c r="P15777" s="235"/>
      <c r="AI15777" s="38"/>
    </row>
    <row r="15778" ht="15.75" customHeight="1">
      <c r="A15778" s="35"/>
      <c r="C15778" s="442"/>
      <c r="P15778" s="235"/>
      <c r="AI15778" s="38"/>
    </row>
    <row r="15779" ht="15.75" customHeight="1">
      <c r="A15779" s="35"/>
      <c r="C15779" s="442"/>
      <c r="P15779" s="235"/>
      <c r="AI15779" s="38"/>
    </row>
    <row r="15780" ht="15.75" customHeight="1">
      <c r="A15780" s="35"/>
      <c r="C15780" s="442"/>
      <c r="P15780" s="235"/>
      <c r="AI15780" s="38"/>
    </row>
    <row r="15781" ht="15.75" customHeight="1">
      <c r="A15781" s="35"/>
      <c r="C15781" s="442"/>
      <c r="P15781" s="235"/>
      <c r="AI15781" s="38"/>
    </row>
    <row r="15782" ht="15.75" customHeight="1">
      <c r="A15782" s="35"/>
      <c r="C15782" s="442"/>
      <c r="P15782" s="235"/>
      <c r="AI15782" s="38"/>
    </row>
    <row r="15783" ht="15.75" customHeight="1">
      <c r="A15783" s="35"/>
      <c r="C15783" s="442"/>
      <c r="P15783" s="235"/>
      <c r="AI15783" s="38"/>
    </row>
    <row r="15784" ht="15.75" customHeight="1">
      <c r="A15784" s="35"/>
      <c r="C15784" s="442"/>
      <c r="P15784" s="235"/>
      <c r="AI15784" s="38"/>
    </row>
    <row r="15785" ht="15.75" customHeight="1">
      <c r="A15785" s="35"/>
      <c r="C15785" s="442"/>
      <c r="P15785" s="235"/>
      <c r="AI15785" s="38"/>
    </row>
    <row r="15786" ht="15.75" customHeight="1">
      <c r="A15786" s="35"/>
      <c r="C15786" s="442"/>
      <c r="P15786" s="235"/>
      <c r="AI15786" s="38"/>
    </row>
    <row r="15787" ht="15.75" customHeight="1">
      <c r="A15787" s="35"/>
      <c r="C15787" s="442"/>
      <c r="P15787" s="235"/>
      <c r="AI15787" s="38"/>
    </row>
    <row r="15788" ht="15.75" customHeight="1">
      <c r="A15788" s="35"/>
      <c r="C15788" s="442"/>
      <c r="P15788" s="235"/>
      <c r="AI15788" s="38"/>
    </row>
    <row r="15789" ht="15.75" customHeight="1">
      <c r="A15789" s="35"/>
      <c r="C15789" s="442"/>
      <c r="P15789" s="235"/>
      <c r="AI15789" s="38"/>
    </row>
    <row r="15790" ht="15.75" customHeight="1">
      <c r="A15790" s="35"/>
      <c r="C15790" s="442"/>
      <c r="P15790" s="235"/>
      <c r="AI15790" s="38"/>
    </row>
    <row r="15791" ht="15.75" customHeight="1">
      <c r="A15791" s="35"/>
      <c r="C15791" s="442"/>
      <c r="P15791" s="235"/>
      <c r="AI15791" s="38"/>
    </row>
    <row r="15792" ht="15.75" customHeight="1">
      <c r="A15792" s="35"/>
      <c r="C15792" s="442"/>
      <c r="P15792" s="235"/>
      <c r="AI15792" s="38"/>
    </row>
    <row r="15793" ht="15.75" customHeight="1">
      <c r="A15793" s="35"/>
      <c r="C15793" s="442"/>
      <c r="P15793" s="235"/>
      <c r="AI15793" s="38"/>
    </row>
    <row r="15794" ht="15.75" customHeight="1">
      <c r="A15794" s="35"/>
      <c r="C15794" s="442"/>
      <c r="P15794" s="235"/>
      <c r="AI15794" s="38"/>
    </row>
    <row r="15795" ht="15.75" customHeight="1">
      <c r="A15795" s="35"/>
      <c r="C15795" s="442"/>
      <c r="P15795" s="235"/>
      <c r="AI15795" s="38"/>
    </row>
    <row r="15796" ht="15.75" customHeight="1">
      <c r="A15796" s="35"/>
      <c r="C15796" s="442"/>
      <c r="P15796" s="235"/>
      <c r="AI15796" s="38"/>
    </row>
    <row r="15797" ht="15.75" customHeight="1">
      <c r="A15797" s="35"/>
      <c r="C15797" s="442"/>
      <c r="P15797" s="235"/>
      <c r="AI15797" s="38"/>
    </row>
    <row r="15798" ht="15.75" customHeight="1">
      <c r="A15798" s="35"/>
      <c r="C15798" s="442"/>
      <c r="P15798" s="235"/>
      <c r="AI15798" s="38"/>
    </row>
    <row r="15799" ht="15.75" customHeight="1">
      <c r="A15799" s="35"/>
      <c r="C15799" s="442"/>
      <c r="P15799" s="235"/>
      <c r="AI15799" s="38"/>
    </row>
    <row r="15800" ht="15.75" customHeight="1">
      <c r="A15800" s="35"/>
      <c r="C15800" s="442"/>
      <c r="P15800" s="235"/>
      <c r="AI15800" s="38"/>
    </row>
    <row r="15801" ht="15.75" customHeight="1">
      <c r="A15801" s="35"/>
      <c r="C15801" s="442"/>
      <c r="P15801" s="235"/>
      <c r="AI15801" s="38"/>
    </row>
    <row r="15802" ht="15.75" customHeight="1">
      <c r="A15802" s="35"/>
      <c r="C15802" s="442"/>
      <c r="P15802" s="235"/>
      <c r="AI15802" s="38"/>
    </row>
    <row r="15803" ht="15.75" customHeight="1">
      <c r="A15803" s="35"/>
      <c r="C15803" s="442"/>
      <c r="P15803" s="235"/>
      <c r="AI15803" s="38"/>
    </row>
    <row r="15804" ht="15.75" customHeight="1">
      <c r="A15804" s="35"/>
      <c r="C15804" s="442"/>
      <c r="P15804" s="235"/>
      <c r="AI15804" s="38"/>
    </row>
    <row r="15805" ht="15.75" customHeight="1">
      <c r="A15805" s="35"/>
      <c r="C15805" s="442"/>
      <c r="P15805" s="235"/>
      <c r="AI15805" s="38"/>
    </row>
    <row r="15806" ht="15.75" customHeight="1">
      <c r="A15806" s="35"/>
      <c r="C15806" s="442"/>
      <c r="P15806" s="235"/>
      <c r="AI15806" s="38"/>
    </row>
    <row r="15807" ht="15.75" customHeight="1">
      <c r="A15807" s="35"/>
      <c r="C15807" s="442"/>
      <c r="P15807" s="235"/>
      <c r="AI15807" s="38"/>
    </row>
    <row r="15808" ht="15.75" customHeight="1">
      <c r="A15808" s="35"/>
      <c r="C15808" s="442"/>
      <c r="P15808" s="235"/>
      <c r="AI15808" s="38"/>
    </row>
    <row r="15809" ht="15.75" customHeight="1">
      <c r="A15809" s="35"/>
      <c r="C15809" s="442"/>
      <c r="P15809" s="235"/>
      <c r="AI15809" s="38"/>
    </row>
    <row r="15810" ht="15.75" customHeight="1">
      <c r="A15810" s="35"/>
      <c r="C15810" s="442"/>
      <c r="P15810" s="235"/>
      <c r="AI15810" s="38"/>
    </row>
    <row r="15811" ht="15.75" customHeight="1">
      <c r="A15811" s="35"/>
      <c r="C15811" s="442"/>
      <c r="P15811" s="235"/>
      <c r="AI15811" s="38"/>
    </row>
    <row r="15812" ht="15.75" customHeight="1">
      <c r="A15812" s="35"/>
      <c r="C15812" s="442"/>
      <c r="P15812" s="235"/>
      <c r="AI15812" s="38"/>
    </row>
    <row r="15813" ht="15.75" customHeight="1">
      <c r="A15813" s="35"/>
      <c r="C15813" s="442"/>
      <c r="P15813" s="235"/>
      <c r="AI15813" s="38"/>
    </row>
    <row r="15814" ht="15.75" customHeight="1">
      <c r="A15814" s="35"/>
      <c r="C15814" s="442"/>
      <c r="P15814" s="235"/>
      <c r="AI15814" s="38"/>
    </row>
    <row r="15815" ht="15.75" customHeight="1">
      <c r="A15815" s="35"/>
      <c r="C15815" s="442"/>
      <c r="P15815" s="235"/>
      <c r="AI15815" s="38"/>
    </row>
    <row r="15816" ht="15.75" customHeight="1">
      <c r="A15816" s="35"/>
      <c r="C15816" s="442"/>
      <c r="P15816" s="235"/>
      <c r="AI15816" s="38"/>
    </row>
    <row r="15817" ht="15.75" customHeight="1">
      <c r="A15817" s="35"/>
      <c r="C15817" s="442"/>
      <c r="P15817" s="235"/>
      <c r="AI15817" s="38"/>
    </row>
    <row r="15818" ht="15.75" customHeight="1">
      <c r="A15818" s="35"/>
      <c r="C15818" s="442"/>
      <c r="P15818" s="235"/>
      <c r="AI15818" s="38"/>
    </row>
    <row r="15819" ht="15.75" customHeight="1">
      <c r="A15819" s="35"/>
      <c r="C15819" s="442"/>
      <c r="P15819" s="235"/>
      <c r="AI15819" s="38"/>
    </row>
    <row r="15820" ht="15.75" customHeight="1">
      <c r="A15820" s="35"/>
      <c r="C15820" s="442"/>
      <c r="P15820" s="235"/>
      <c r="AI15820" s="38"/>
    </row>
    <row r="15821" ht="15.75" customHeight="1">
      <c r="A15821" s="35"/>
      <c r="C15821" s="442"/>
      <c r="P15821" s="235"/>
      <c r="AI15821" s="38"/>
    </row>
    <row r="15822" ht="15.75" customHeight="1">
      <c r="A15822" s="35"/>
      <c r="C15822" s="442"/>
      <c r="P15822" s="235"/>
      <c r="AI15822" s="38"/>
    </row>
    <row r="15823" ht="15.75" customHeight="1">
      <c r="A15823" s="35"/>
      <c r="C15823" s="442"/>
      <c r="P15823" s="235"/>
      <c r="AI15823" s="38"/>
    </row>
    <row r="15824" ht="15.75" customHeight="1">
      <c r="A15824" s="35"/>
      <c r="C15824" s="442"/>
      <c r="P15824" s="235"/>
      <c r="AI15824" s="38"/>
    </row>
    <row r="15825" ht="15.75" customHeight="1">
      <c r="A15825" s="35"/>
      <c r="C15825" s="442"/>
      <c r="P15825" s="235"/>
      <c r="AI15825" s="38"/>
    </row>
    <row r="15826" ht="15.75" customHeight="1">
      <c r="A15826" s="35"/>
      <c r="C15826" s="442"/>
      <c r="P15826" s="235"/>
      <c r="AI15826" s="38"/>
    </row>
    <row r="15827" ht="15.75" customHeight="1">
      <c r="A15827" s="35"/>
      <c r="C15827" s="442"/>
      <c r="P15827" s="235"/>
      <c r="AI15827" s="38"/>
    </row>
    <row r="15828" ht="15.75" customHeight="1">
      <c r="A15828" s="35"/>
      <c r="C15828" s="442"/>
      <c r="P15828" s="235"/>
      <c r="AI15828" s="38"/>
    </row>
    <row r="15829" ht="15.75" customHeight="1">
      <c r="A15829" s="35"/>
      <c r="C15829" s="442"/>
      <c r="P15829" s="235"/>
      <c r="AI15829" s="38"/>
    </row>
    <row r="15830" ht="15.75" customHeight="1">
      <c r="A15830" s="35"/>
      <c r="C15830" s="442"/>
      <c r="P15830" s="235"/>
      <c r="AI15830" s="38"/>
    </row>
    <row r="15831" ht="15.75" customHeight="1">
      <c r="A15831" s="35"/>
      <c r="C15831" s="442"/>
      <c r="P15831" s="235"/>
      <c r="AI15831" s="38"/>
    </row>
    <row r="15832" ht="15.75" customHeight="1">
      <c r="A15832" s="35"/>
      <c r="C15832" s="442"/>
      <c r="P15832" s="235"/>
      <c r="AI15832" s="38"/>
    </row>
    <row r="15833" ht="15.75" customHeight="1">
      <c r="A15833" s="35"/>
      <c r="C15833" s="442"/>
      <c r="P15833" s="235"/>
      <c r="AI15833" s="38"/>
    </row>
    <row r="15834" ht="15.75" customHeight="1">
      <c r="A15834" s="35"/>
      <c r="C15834" s="442"/>
      <c r="P15834" s="235"/>
      <c r="AI15834" s="38"/>
    </row>
    <row r="15835" ht="15.75" customHeight="1">
      <c r="A15835" s="35"/>
      <c r="C15835" s="442"/>
      <c r="P15835" s="235"/>
      <c r="AI15835" s="38"/>
    </row>
    <row r="15836" ht="15.75" customHeight="1">
      <c r="A15836" s="35"/>
      <c r="C15836" s="442"/>
      <c r="P15836" s="235"/>
      <c r="AI15836" s="38"/>
    </row>
    <row r="15837" ht="15.75" customHeight="1">
      <c r="A15837" s="35"/>
      <c r="C15837" s="442"/>
      <c r="P15837" s="235"/>
      <c r="AI15837" s="38"/>
    </row>
    <row r="15838" ht="15.75" customHeight="1">
      <c r="A15838" s="35"/>
      <c r="C15838" s="442"/>
      <c r="P15838" s="235"/>
      <c r="AI15838" s="38"/>
    </row>
    <row r="15839" ht="15.75" customHeight="1">
      <c r="A15839" s="35"/>
      <c r="C15839" s="442"/>
      <c r="P15839" s="235"/>
      <c r="AI15839" s="38"/>
    </row>
    <row r="15840" ht="15.75" customHeight="1">
      <c r="A15840" s="35"/>
      <c r="C15840" s="442"/>
      <c r="P15840" s="235"/>
      <c r="AI15840" s="38"/>
    </row>
    <row r="15841" ht="15.75" customHeight="1">
      <c r="A15841" s="35"/>
      <c r="C15841" s="442"/>
      <c r="P15841" s="235"/>
      <c r="AI15841" s="38"/>
    </row>
    <row r="15842" ht="15.75" customHeight="1">
      <c r="A15842" s="35"/>
      <c r="C15842" s="442"/>
      <c r="P15842" s="235"/>
      <c r="AI15842" s="38"/>
    </row>
    <row r="15843" ht="15.75" customHeight="1">
      <c r="A15843" s="35"/>
      <c r="C15843" s="442"/>
      <c r="P15843" s="235"/>
      <c r="AI15843" s="38"/>
    </row>
    <row r="15844" ht="15.75" customHeight="1">
      <c r="A15844" s="35"/>
      <c r="C15844" s="442"/>
      <c r="P15844" s="235"/>
      <c r="AI15844" s="38"/>
    </row>
    <row r="15845" ht="15.75" customHeight="1">
      <c r="A15845" s="35"/>
      <c r="C15845" s="442"/>
      <c r="P15845" s="235"/>
      <c r="AI15845" s="38"/>
    </row>
    <row r="15846" ht="15.75" customHeight="1">
      <c r="A15846" s="35"/>
      <c r="C15846" s="442"/>
      <c r="P15846" s="235"/>
      <c r="AI15846" s="38"/>
    </row>
    <row r="15847" ht="15.75" customHeight="1">
      <c r="A15847" s="35"/>
      <c r="C15847" s="442"/>
      <c r="P15847" s="235"/>
      <c r="AI15847" s="38"/>
    </row>
    <row r="15848" ht="15.75" customHeight="1">
      <c r="A15848" s="35"/>
      <c r="C15848" s="442"/>
      <c r="P15848" s="235"/>
      <c r="AI15848" s="38"/>
    </row>
    <row r="15849" ht="15.75" customHeight="1">
      <c r="A15849" s="35"/>
      <c r="C15849" s="442"/>
      <c r="P15849" s="235"/>
      <c r="AI15849" s="38"/>
    </row>
    <row r="15850" ht="15.75" customHeight="1">
      <c r="A15850" s="35"/>
      <c r="C15850" s="442"/>
      <c r="P15850" s="235"/>
      <c r="AI15850" s="38"/>
    </row>
    <row r="15851" ht="15.75" customHeight="1">
      <c r="A15851" s="35"/>
      <c r="C15851" s="442"/>
      <c r="P15851" s="235"/>
      <c r="AI15851" s="38"/>
    </row>
    <row r="15852" ht="15.75" customHeight="1">
      <c r="A15852" s="35"/>
      <c r="C15852" s="442"/>
      <c r="P15852" s="235"/>
      <c r="AI15852" s="38"/>
    </row>
    <row r="15853" ht="15.75" customHeight="1">
      <c r="A15853" s="35"/>
      <c r="C15853" s="442"/>
      <c r="P15853" s="235"/>
      <c r="AI15853" s="38"/>
    </row>
    <row r="15854" ht="15.75" customHeight="1">
      <c r="A15854" s="35"/>
      <c r="C15854" s="442"/>
      <c r="P15854" s="235"/>
      <c r="AI15854" s="38"/>
    </row>
    <row r="15855" ht="15.75" customHeight="1">
      <c r="A15855" s="35"/>
      <c r="C15855" s="442"/>
      <c r="P15855" s="235"/>
      <c r="AI15855" s="38"/>
    </row>
    <row r="15856" ht="15.75" customHeight="1">
      <c r="A15856" s="35"/>
      <c r="C15856" s="442"/>
      <c r="P15856" s="235"/>
      <c r="AI15856" s="38"/>
    </row>
    <row r="15857" ht="15.75" customHeight="1">
      <c r="A15857" s="35"/>
      <c r="C15857" s="442"/>
      <c r="P15857" s="235"/>
      <c r="AI15857" s="38"/>
    </row>
    <row r="15858" ht="15.75" customHeight="1">
      <c r="A15858" s="35"/>
      <c r="C15858" s="442"/>
      <c r="P15858" s="235"/>
      <c r="AI15858" s="38"/>
    </row>
    <row r="15859" ht="15.75" customHeight="1">
      <c r="A15859" s="35"/>
      <c r="C15859" s="442"/>
      <c r="P15859" s="235"/>
      <c r="AI15859" s="38"/>
    </row>
    <row r="15860" ht="15.75" customHeight="1">
      <c r="A15860" s="35"/>
      <c r="C15860" s="442"/>
      <c r="P15860" s="235"/>
      <c r="AI15860" s="38"/>
    </row>
    <row r="15861" ht="15.75" customHeight="1">
      <c r="A15861" s="35"/>
      <c r="C15861" s="442"/>
      <c r="P15861" s="235"/>
      <c r="AI15861" s="38"/>
    </row>
    <row r="15862" ht="15.75" customHeight="1">
      <c r="A15862" s="35"/>
      <c r="C15862" s="442"/>
      <c r="P15862" s="235"/>
      <c r="AI15862" s="38"/>
    </row>
    <row r="15863" ht="15.75" customHeight="1">
      <c r="A15863" s="35"/>
      <c r="C15863" s="442"/>
      <c r="P15863" s="235"/>
      <c r="AI15863" s="38"/>
    </row>
    <row r="15864" ht="15.75" customHeight="1">
      <c r="A15864" s="35"/>
      <c r="C15864" s="442"/>
      <c r="P15864" s="235"/>
      <c r="AI15864" s="38"/>
    </row>
    <row r="15865" ht="15.75" customHeight="1">
      <c r="A15865" s="35"/>
      <c r="C15865" s="442"/>
      <c r="P15865" s="235"/>
      <c r="AI15865" s="38"/>
    </row>
    <row r="15866" ht="15.75" customHeight="1">
      <c r="A15866" s="35"/>
      <c r="C15866" s="442"/>
      <c r="P15866" s="235"/>
      <c r="AI15866" s="38"/>
    </row>
    <row r="15867" ht="15.75" customHeight="1">
      <c r="A15867" s="35"/>
      <c r="C15867" s="442"/>
      <c r="P15867" s="235"/>
      <c r="AI15867" s="38"/>
    </row>
    <row r="15868" ht="15.75" customHeight="1">
      <c r="A15868" s="35"/>
      <c r="C15868" s="442"/>
      <c r="P15868" s="235"/>
      <c r="AI15868" s="38"/>
    </row>
    <row r="15869" ht="15.75" customHeight="1">
      <c r="A15869" s="35"/>
      <c r="C15869" s="442"/>
      <c r="P15869" s="235"/>
      <c r="AI15869" s="38"/>
    </row>
    <row r="15870" ht="15.75" customHeight="1">
      <c r="A15870" s="35"/>
      <c r="C15870" s="442"/>
      <c r="P15870" s="235"/>
      <c r="AI15870" s="38"/>
    </row>
    <row r="15871" ht="15.75" customHeight="1">
      <c r="A15871" s="35"/>
      <c r="C15871" s="442"/>
      <c r="P15871" s="235"/>
      <c r="AI15871" s="38"/>
    </row>
    <row r="15872" ht="15.75" customHeight="1">
      <c r="A15872" s="35"/>
      <c r="C15872" s="442"/>
      <c r="P15872" s="235"/>
      <c r="AI15872" s="38"/>
    </row>
    <row r="15873" ht="15.75" customHeight="1">
      <c r="A15873" s="35"/>
      <c r="C15873" s="442"/>
      <c r="P15873" s="235"/>
      <c r="AI15873" s="38"/>
    </row>
    <row r="15874" ht="15.75" customHeight="1">
      <c r="A15874" s="35"/>
      <c r="C15874" s="442"/>
      <c r="P15874" s="235"/>
      <c r="AI15874" s="38"/>
    </row>
    <row r="15875" ht="15.75" customHeight="1">
      <c r="A15875" s="35"/>
      <c r="C15875" s="442"/>
      <c r="P15875" s="235"/>
      <c r="AI15875" s="38"/>
    </row>
    <row r="15876" ht="15.75" customHeight="1">
      <c r="A15876" s="35"/>
      <c r="C15876" s="442"/>
      <c r="P15876" s="235"/>
      <c r="AI15876" s="38"/>
    </row>
    <row r="15877" ht="15.75" customHeight="1">
      <c r="A15877" s="35"/>
      <c r="C15877" s="442"/>
      <c r="P15877" s="235"/>
      <c r="AI15877" s="38"/>
    </row>
    <row r="15878" ht="15.75" customHeight="1">
      <c r="A15878" s="35"/>
      <c r="C15878" s="442"/>
      <c r="P15878" s="235"/>
      <c r="AI15878" s="38"/>
    </row>
    <row r="15879" ht="15.75" customHeight="1">
      <c r="A15879" s="35"/>
      <c r="C15879" s="442"/>
      <c r="P15879" s="235"/>
      <c r="AI15879" s="38"/>
    </row>
    <row r="15880" ht="15.75" customHeight="1">
      <c r="A15880" s="35"/>
      <c r="C15880" s="442"/>
      <c r="P15880" s="235"/>
      <c r="AI15880" s="38"/>
    </row>
    <row r="15881" ht="15.75" customHeight="1">
      <c r="A15881" s="35"/>
      <c r="C15881" s="442"/>
      <c r="P15881" s="235"/>
      <c r="AI15881" s="38"/>
    </row>
    <row r="15882" ht="15.75" customHeight="1">
      <c r="A15882" s="35"/>
      <c r="C15882" s="442"/>
      <c r="P15882" s="235"/>
      <c r="AI15882" s="38"/>
    </row>
    <row r="15883" ht="15.75" customHeight="1">
      <c r="A15883" s="35"/>
      <c r="C15883" s="442"/>
      <c r="P15883" s="235"/>
      <c r="AI15883" s="38"/>
    </row>
    <row r="15884" ht="15.75" customHeight="1">
      <c r="A15884" s="35"/>
      <c r="C15884" s="442"/>
      <c r="P15884" s="235"/>
      <c r="AI15884" s="38"/>
    </row>
    <row r="15885" ht="15.75" customHeight="1">
      <c r="A15885" s="35"/>
      <c r="C15885" s="442"/>
      <c r="P15885" s="235"/>
      <c r="AI15885" s="38"/>
    </row>
    <row r="15886" ht="15.75" customHeight="1">
      <c r="A15886" s="35"/>
      <c r="C15886" s="442"/>
      <c r="P15886" s="235"/>
      <c r="AI15886" s="38"/>
    </row>
    <row r="15887" ht="15.75" customHeight="1">
      <c r="A15887" s="35"/>
      <c r="C15887" s="442"/>
      <c r="P15887" s="235"/>
      <c r="AI15887" s="38"/>
    </row>
    <row r="15888" ht="15.75" customHeight="1">
      <c r="A15888" s="35"/>
      <c r="C15888" s="442"/>
      <c r="P15888" s="235"/>
      <c r="AI15888" s="38"/>
    </row>
    <row r="15889" ht="15.75" customHeight="1">
      <c r="A15889" s="35"/>
      <c r="C15889" s="442"/>
      <c r="P15889" s="235"/>
      <c r="AI15889" s="38"/>
    </row>
    <row r="15890" ht="15.75" customHeight="1">
      <c r="A15890" s="35"/>
      <c r="C15890" s="442"/>
      <c r="P15890" s="235"/>
      <c r="AI15890" s="38"/>
    </row>
    <row r="15891" ht="15.75" customHeight="1">
      <c r="A15891" s="35"/>
      <c r="C15891" s="442"/>
      <c r="P15891" s="235"/>
      <c r="AI15891" s="38"/>
    </row>
    <row r="15892" ht="15.75" customHeight="1">
      <c r="A15892" s="35"/>
      <c r="C15892" s="442"/>
      <c r="P15892" s="235"/>
      <c r="AI15892" s="38"/>
    </row>
    <row r="15893" ht="15.75" customHeight="1">
      <c r="A15893" s="35"/>
      <c r="C15893" s="442"/>
      <c r="P15893" s="235"/>
      <c r="AI15893" s="38"/>
    </row>
    <row r="15894" ht="15.75" customHeight="1">
      <c r="A15894" s="35"/>
      <c r="C15894" s="442"/>
      <c r="P15894" s="235"/>
      <c r="AI15894" s="38"/>
    </row>
    <row r="15895" ht="15.75" customHeight="1">
      <c r="A15895" s="35"/>
      <c r="C15895" s="442"/>
      <c r="P15895" s="235"/>
      <c r="AI15895" s="38"/>
    </row>
    <row r="15896" ht="15.75" customHeight="1">
      <c r="A15896" s="35"/>
      <c r="C15896" s="442"/>
      <c r="P15896" s="235"/>
      <c r="AI15896" s="38"/>
    </row>
    <row r="15897" ht="15.75" customHeight="1">
      <c r="A15897" s="35"/>
      <c r="C15897" s="442"/>
      <c r="P15897" s="235"/>
      <c r="AI15897" s="38"/>
    </row>
    <row r="15898" ht="15.75" customHeight="1">
      <c r="A15898" s="35"/>
      <c r="C15898" s="442"/>
      <c r="P15898" s="235"/>
      <c r="AI15898" s="38"/>
    </row>
    <row r="15899" ht="15.75" customHeight="1">
      <c r="A15899" s="35"/>
      <c r="C15899" s="442"/>
      <c r="P15899" s="235"/>
      <c r="AI15899" s="38"/>
    </row>
    <row r="15900" ht="15.75" customHeight="1">
      <c r="A15900" s="35"/>
      <c r="C15900" s="442"/>
      <c r="P15900" s="235"/>
      <c r="AI15900" s="38"/>
    </row>
    <row r="15901" ht="15.75" customHeight="1">
      <c r="A15901" s="35"/>
      <c r="C15901" s="442"/>
      <c r="P15901" s="235"/>
      <c r="AI15901" s="38"/>
    </row>
    <row r="15902" ht="15.75" customHeight="1">
      <c r="A15902" s="35"/>
      <c r="C15902" s="442"/>
      <c r="P15902" s="235"/>
      <c r="AI15902" s="38"/>
    </row>
    <row r="15903" ht="15.75" customHeight="1">
      <c r="A15903" s="35"/>
      <c r="C15903" s="442"/>
      <c r="P15903" s="235"/>
      <c r="AI15903" s="38"/>
    </row>
    <row r="15904" ht="15.75" customHeight="1">
      <c r="A15904" s="35"/>
      <c r="C15904" s="442"/>
      <c r="P15904" s="235"/>
      <c r="AI15904" s="38"/>
    </row>
    <row r="15905" ht="15.75" customHeight="1">
      <c r="A15905" s="35"/>
      <c r="C15905" s="442"/>
      <c r="P15905" s="235"/>
      <c r="AI15905" s="38"/>
    </row>
    <row r="15906" ht="15.75" customHeight="1">
      <c r="A15906" s="35"/>
      <c r="C15906" s="442"/>
      <c r="P15906" s="235"/>
      <c r="AI15906" s="38"/>
    </row>
    <row r="15907" ht="15.75" customHeight="1">
      <c r="A15907" s="35"/>
      <c r="C15907" s="442"/>
      <c r="P15907" s="235"/>
      <c r="AI15907" s="38"/>
    </row>
    <row r="15908" ht="15.75" customHeight="1">
      <c r="A15908" s="35"/>
      <c r="C15908" s="442"/>
      <c r="P15908" s="235"/>
      <c r="AI15908" s="38"/>
    </row>
    <row r="15909" ht="15.75" customHeight="1">
      <c r="A15909" s="35"/>
      <c r="C15909" s="442"/>
      <c r="P15909" s="235"/>
      <c r="AI15909" s="38"/>
    </row>
    <row r="15910" ht="15.75" customHeight="1">
      <c r="A15910" s="35"/>
      <c r="C15910" s="442"/>
      <c r="P15910" s="235"/>
      <c r="AI15910" s="38"/>
    </row>
    <row r="15911" ht="15.75" customHeight="1">
      <c r="A15911" s="35"/>
      <c r="C15911" s="442"/>
      <c r="P15911" s="235"/>
      <c r="AI15911" s="38"/>
    </row>
    <row r="15912" ht="15.75" customHeight="1">
      <c r="A15912" s="35"/>
      <c r="C15912" s="442"/>
      <c r="P15912" s="235"/>
      <c r="AI15912" s="38"/>
    </row>
    <row r="15913" ht="15.75" customHeight="1">
      <c r="A15913" s="35"/>
      <c r="C15913" s="442"/>
      <c r="P15913" s="235"/>
      <c r="AI15913" s="38"/>
    </row>
    <row r="15914" ht="15.75" customHeight="1">
      <c r="A15914" s="35"/>
      <c r="C15914" s="442"/>
      <c r="P15914" s="235"/>
      <c r="AI15914" s="38"/>
    </row>
    <row r="15915" ht="15.75" customHeight="1">
      <c r="A15915" s="35"/>
      <c r="C15915" s="442"/>
      <c r="P15915" s="235"/>
      <c r="AI15915" s="38"/>
    </row>
    <row r="15916" ht="15.75" customHeight="1">
      <c r="A15916" s="35"/>
      <c r="C15916" s="442"/>
      <c r="P15916" s="235"/>
      <c r="AI15916" s="38"/>
    </row>
    <row r="15917" ht="15.75" customHeight="1">
      <c r="A15917" s="35"/>
      <c r="C15917" s="442"/>
      <c r="P15917" s="235"/>
      <c r="AI15917" s="38"/>
    </row>
    <row r="15918" ht="15.75" customHeight="1">
      <c r="A15918" s="35"/>
      <c r="C15918" s="442"/>
      <c r="P15918" s="235"/>
      <c r="AI15918" s="38"/>
    </row>
    <row r="15919" ht="15.75" customHeight="1">
      <c r="A15919" s="35"/>
      <c r="C15919" s="442"/>
      <c r="P15919" s="235"/>
      <c r="AI15919" s="38"/>
    </row>
    <row r="15920" ht="15.75" customHeight="1">
      <c r="A15920" s="35"/>
      <c r="C15920" s="442"/>
      <c r="P15920" s="235"/>
      <c r="AI15920" s="38"/>
    </row>
    <row r="15921" ht="15.75" customHeight="1">
      <c r="A15921" s="35"/>
      <c r="C15921" s="442"/>
      <c r="P15921" s="235"/>
      <c r="AI15921" s="38"/>
    </row>
    <row r="15922" ht="15.75" customHeight="1">
      <c r="A15922" s="35"/>
      <c r="C15922" s="442"/>
      <c r="P15922" s="235"/>
      <c r="AI15922" s="38"/>
    </row>
    <row r="15923" ht="15.75" customHeight="1">
      <c r="A15923" s="35"/>
      <c r="C15923" s="442"/>
      <c r="P15923" s="235"/>
      <c r="AI15923" s="38"/>
    </row>
    <row r="15924" ht="15.75" customHeight="1">
      <c r="A15924" s="35"/>
      <c r="C15924" s="442"/>
      <c r="P15924" s="235"/>
      <c r="AI15924" s="38"/>
    </row>
    <row r="15925" ht="15.75" customHeight="1">
      <c r="A15925" s="35"/>
      <c r="C15925" s="442"/>
      <c r="P15925" s="235"/>
      <c r="AI15925" s="38"/>
    </row>
    <row r="15926" ht="15.75" customHeight="1">
      <c r="A15926" s="35"/>
      <c r="C15926" s="442"/>
      <c r="P15926" s="235"/>
      <c r="AI15926" s="38"/>
    </row>
    <row r="15927" ht="15.75" customHeight="1">
      <c r="A15927" s="35"/>
      <c r="C15927" s="442"/>
      <c r="P15927" s="235"/>
      <c r="AI15927" s="38"/>
    </row>
    <row r="15928" ht="15.75" customHeight="1">
      <c r="A15928" s="35"/>
      <c r="C15928" s="442"/>
      <c r="P15928" s="235"/>
      <c r="AI15928" s="38"/>
    </row>
    <row r="15929" ht="15.75" customHeight="1">
      <c r="A15929" s="35"/>
      <c r="C15929" s="442"/>
      <c r="P15929" s="235"/>
      <c r="AI15929" s="38"/>
    </row>
    <row r="15930" ht="15.75" customHeight="1">
      <c r="A15930" s="35"/>
      <c r="C15930" s="442"/>
      <c r="P15930" s="235"/>
      <c r="AI15930" s="38"/>
    </row>
    <row r="15931" ht="15.75" customHeight="1">
      <c r="A15931" s="35"/>
      <c r="C15931" s="442"/>
      <c r="P15931" s="235"/>
      <c r="AI15931" s="38"/>
    </row>
    <row r="15932" ht="15.75" customHeight="1">
      <c r="A15932" s="35"/>
      <c r="C15932" s="442"/>
      <c r="P15932" s="235"/>
      <c r="AI15932" s="38"/>
    </row>
    <row r="15933" ht="15.75" customHeight="1">
      <c r="A15933" s="35"/>
      <c r="C15933" s="442"/>
      <c r="P15933" s="235"/>
      <c r="AI15933" s="38"/>
    </row>
    <row r="15934" ht="15.75" customHeight="1">
      <c r="A15934" s="35"/>
      <c r="C15934" s="442"/>
      <c r="P15934" s="235"/>
      <c r="AI15934" s="38"/>
    </row>
    <row r="15935" ht="15.75" customHeight="1">
      <c r="A15935" s="35"/>
      <c r="C15935" s="442"/>
      <c r="P15935" s="235"/>
      <c r="AI15935" s="38"/>
    </row>
    <row r="15936" ht="15.75" customHeight="1">
      <c r="A15936" s="35"/>
      <c r="C15936" s="442"/>
      <c r="P15936" s="235"/>
      <c r="AI15936" s="38"/>
    </row>
    <row r="15937" ht="15.75" customHeight="1">
      <c r="A15937" s="35"/>
      <c r="C15937" s="442"/>
      <c r="P15937" s="235"/>
      <c r="AI15937" s="38"/>
    </row>
    <row r="15938" ht="15.75" customHeight="1">
      <c r="A15938" s="35"/>
      <c r="C15938" s="442"/>
      <c r="P15938" s="235"/>
      <c r="AI15938" s="38"/>
    </row>
    <row r="15939" ht="15.75" customHeight="1">
      <c r="A15939" s="35"/>
      <c r="C15939" s="442"/>
      <c r="P15939" s="235"/>
      <c r="AI15939" s="38"/>
    </row>
    <row r="15940" ht="15.75" customHeight="1">
      <c r="A15940" s="35"/>
      <c r="C15940" s="442"/>
      <c r="P15940" s="235"/>
      <c r="AI15940" s="38"/>
    </row>
    <row r="15941" ht="15.75" customHeight="1">
      <c r="A15941" s="35"/>
      <c r="C15941" s="442"/>
      <c r="P15941" s="235"/>
      <c r="AI15941" s="38"/>
    </row>
    <row r="15942" ht="15.75" customHeight="1">
      <c r="A15942" s="35"/>
      <c r="C15942" s="442"/>
      <c r="P15942" s="235"/>
      <c r="AI15942" s="38"/>
    </row>
    <row r="15943" ht="15.75" customHeight="1">
      <c r="A15943" s="35"/>
      <c r="C15943" s="442"/>
      <c r="P15943" s="235"/>
      <c r="AI15943" s="38"/>
    </row>
    <row r="15944" ht="15.75" customHeight="1">
      <c r="A15944" s="35"/>
      <c r="C15944" s="442"/>
      <c r="P15944" s="235"/>
      <c r="AI15944" s="38"/>
    </row>
    <row r="15945" ht="15.75" customHeight="1">
      <c r="A15945" s="35"/>
      <c r="C15945" s="442"/>
      <c r="P15945" s="235"/>
      <c r="AI15945" s="38"/>
    </row>
    <row r="15946" ht="15.75" customHeight="1">
      <c r="A15946" s="35"/>
      <c r="C15946" s="442"/>
      <c r="P15946" s="235"/>
      <c r="AI15946" s="38"/>
    </row>
    <row r="15947" ht="15.75" customHeight="1">
      <c r="A15947" s="35"/>
      <c r="C15947" s="442"/>
      <c r="P15947" s="235"/>
      <c r="AI15947" s="38"/>
    </row>
    <row r="15948" ht="15.75" customHeight="1">
      <c r="A15948" s="35"/>
      <c r="C15948" s="442"/>
      <c r="P15948" s="235"/>
      <c r="AI15948" s="38"/>
    </row>
    <row r="15949" ht="15.75" customHeight="1">
      <c r="A15949" s="35"/>
      <c r="C15949" s="442"/>
      <c r="P15949" s="235"/>
      <c r="AI15949" s="38"/>
    </row>
    <row r="15950" ht="15.75" customHeight="1">
      <c r="A15950" s="35"/>
      <c r="C15950" s="442"/>
      <c r="P15950" s="235"/>
      <c r="AI15950" s="38"/>
    </row>
    <row r="15951" ht="15.75" customHeight="1">
      <c r="A15951" s="35"/>
      <c r="C15951" s="442"/>
      <c r="P15951" s="235"/>
      <c r="AI15951" s="38"/>
    </row>
    <row r="15952" ht="15.75" customHeight="1">
      <c r="A15952" s="35"/>
      <c r="C15952" s="442"/>
      <c r="P15952" s="235"/>
      <c r="AI15952" s="38"/>
    </row>
    <row r="15953" ht="15.75" customHeight="1">
      <c r="A15953" s="35"/>
      <c r="C15953" s="442"/>
      <c r="P15953" s="235"/>
      <c r="AI15953" s="38"/>
    </row>
    <row r="15954" ht="15.75" customHeight="1">
      <c r="A15954" s="35"/>
      <c r="C15954" s="442"/>
      <c r="P15954" s="235"/>
      <c r="AI15954" s="38"/>
    </row>
    <row r="15955" ht="15.75" customHeight="1">
      <c r="A15955" s="35"/>
      <c r="C15955" s="442"/>
      <c r="P15955" s="235"/>
      <c r="AI15955" s="38"/>
    </row>
    <row r="15956" ht="15.75" customHeight="1">
      <c r="A15956" s="35"/>
      <c r="C15956" s="442"/>
      <c r="P15956" s="235"/>
      <c r="AI15956" s="38"/>
    </row>
    <row r="15957" ht="15.75" customHeight="1">
      <c r="A15957" s="35"/>
      <c r="C15957" s="442"/>
      <c r="P15957" s="235"/>
      <c r="AI15957" s="38"/>
    </row>
    <row r="15958" ht="15.75" customHeight="1">
      <c r="A15958" s="35"/>
      <c r="C15958" s="442"/>
      <c r="P15958" s="235"/>
      <c r="AI15958" s="38"/>
    </row>
    <row r="15959" ht="15.75" customHeight="1">
      <c r="A15959" s="35"/>
      <c r="C15959" s="442"/>
      <c r="P15959" s="235"/>
      <c r="AI15959" s="38"/>
    </row>
    <row r="15960" ht="15.75" customHeight="1">
      <c r="A15960" s="35"/>
      <c r="C15960" s="442"/>
      <c r="P15960" s="235"/>
      <c r="AI15960" s="38"/>
    </row>
    <row r="15961" ht="15.75" customHeight="1">
      <c r="A15961" s="35"/>
      <c r="C15961" s="442"/>
      <c r="P15961" s="235"/>
      <c r="AI15961" s="38"/>
    </row>
    <row r="15962" ht="15.75" customHeight="1">
      <c r="A15962" s="35"/>
      <c r="C15962" s="442"/>
      <c r="P15962" s="235"/>
      <c r="AI15962" s="38"/>
    </row>
    <row r="15963" ht="15.75" customHeight="1">
      <c r="A15963" s="35"/>
      <c r="C15963" s="442"/>
      <c r="P15963" s="235"/>
      <c r="AI15963" s="38"/>
    </row>
    <row r="15964" ht="15.75" customHeight="1">
      <c r="A15964" s="35"/>
      <c r="C15964" s="442"/>
      <c r="P15964" s="235"/>
      <c r="AI15964" s="38"/>
    </row>
    <row r="15965" ht="15.75" customHeight="1">
      <c r="A15965" s="35"/>
      <c r="C15965" s="442"/>
      <c r="P15965" s="235"/>
      <c r="AI15965" s="38"/>
    </row>
    <row r="15966" ht="15.75" customHeight="1">
      <c r="A15966" s="35"/>
      <c r="C15966" s="442"/>
      <c r="P15966" s="235"/>
      <c r="AI15966" s="38"/>
    </row>
    <row r="15967" ht="15.75" customHeight="1">
      <c r="A15967" s="35"/>
      <c r="C15967" s="442"/>
      <c r="P15967" s="235"/>
      <c r="AI15967" s="38"/>
    </row>
    <row r="15968" ht="15.75" customHeight="1">
      <c r="A15968" s="35"/>
      <c r="C15968" s="442"/>
      <c r="P15968" s="235"/>
      <c r="AI15968" s="38"/>
    </row>
    <row r="15969" ht="15.75" customHeight="1">
      <c r="A15969" s="35"/>
      <c r="C15969" s="442"/>
      <c r="P15969" s="235"/>
      <c r="AI15969" s="38"/>
    </row>
    <row r="15970" ht="15.75" customHeight="1">
      <c r="A15970" s="35"/>
      <c r="C15970" s="442"/>
      <c r="P15970" s="235"/>
      <c r="AI15970" s="38"/>
    </row>
    <row r="15971" ht="15.75" customHeight="1">
      <c r="A15971" s="35"/>
      <c r="C15971" s="442"/>
      <c r="P15971" s="235"/>
      <c r="AI15971" s="38"/>
    </row>
    <row r="15972" ht="15.75" customHeight="1">
      <c r="A15972" s="35"/>
      <c r="C15972" s="442"/>
      <c r="P15972" s="235"/>
      <c r="AI15972" s="38"/>
    </row>
    <row r="15973" ht="15.75" customHeight="1">
      <c r="A15973" s="35"/>
      <c r="C15973" s="442"/>
      <c r="P15973" s="235"/>
      <c r="AI15973" s="38"/>
    </row>
    <row r="15974" ht="15.75" customHeight="1">
      <c r="A15974" s="35"/>
      <c r="C15974" s="442"/>
      <c r="P15974" s="235"/>
      <c r="AI15974" s="38"/>
    </row>
    <row r="15975" ht="15.75" customHeight="1">
      <c r="A15975" s="35"/>
      <c r="C15975" s="442"/>
      <c r="P15975" s="235"/>
      <c r="AI15975" s="38"/>
    </row>
    <row r="15976" ht="15.75" customHeight="1">
      <c r="A15976" s="35"/>
      <c r="C15976" s="442"/>
      <c r="P15976" s="235"/>
      <c r="AI15976" s="38"/>
    </row>
    <row r="15977" ht="15.75" customHeight="1">
      <c r="A15977" s="35"/>
      <c r="C15977" s="442"/>
      <c r="P15977" s="235"/>
      <c r="AI15977" s="38"/>
    </row>
    <row r="15978" ht="15.75" customHeight="1">
      <c r="A15978" s="35"/>
      <c r="C15978" s="442"/>
      <c r="P15978" s="235"/>
      <c r="AI15978" s="38"/>
    </row>
    <row r="15979" ht="15.75" customHeight="1">
      <c r="A15979" s="35"/>
      <c r="C15979" s="442"/>
      <c r="P15979" s="235"/>
      <c r="AI15979" s="38"/>
    </row>
    <row r="15980" ht="15.75" customHeight="1">
      <c r="A15980" s="35"/>
      <c r="C15980" s="442"/>
      <c r="P15980" s="235"/>
      <c r="AI15980" s="38"/>
    </row>
    <row r="15981" ht="15.75" customHeight="1">
      <c r="A15981" s="35"/>
      <c r="C15981" s="442"/>
      <c r="P15981" s="235"/>
      <c r="AI15981" s="38"/>
    </row>
    <row r="15982" ht="15.75" customHeight="1">
      <c r="A15982" s="35"/>
      <c r="C15982" s="442"/>
      <c r="P15982" s="235"/>
      <c r="AI15982" s="38"/>
    </row>
    <row r="15983" ht="15.75" customHeight="1">
      <c r="A15983" s="35"/>
      <c r="C15983" s="442"/>
      <c r="P15983" s="235"/>
      <c r="AI15983" s="38"/>
    </row>
    <row r="15984" ht="15.75" customHeight="1">
      <c r="A15984" s="35"/>
      <c r="C15984" s="442"/>
      <c r="P15984" s="235"/>
      <c r="AI15984" s="38"/>
    </row>
    <row r="15985" ht="15.75" customHeight="1">
      <c r="A15985" s="35"/>
      <c r="C15985" s="442"/>
      <c r="P15985" s="235"/>
      <c r="AI15985" s="38"/>
    </row>
    <row r="15986" ht="15.75" customHeight="1">
      <c r="A15986" s="35"/>
      <c r="C15986" s="442"/>
      <c r="P15986" s="235"/>
      <c r="AI15986" s="38"/>
    </row>
    <row r="15987" ht="15.75" customHeight="1">
      <c r="A15987" s="35"/>
      <c r="C15987" s="442"/>
      <c r="P15987" s="235"/>
      <c r="AI15987" s="38"/>
    </row>
    <row r="15988" ht="15.75" customHeight="1">
      <c r="A15988" s="35"/>
      <c r="C15988" s="442"/>
      <c r="P15988" s="235"/>
      <c r="AI15988" s="38"/>
    </row>
    <row r="15989" ht="15.75" customHeight="1">
      <c r="A15989" s="35"/>
      <c r="C15989" s="442"/>
      <c r="P15989" s="235"/>
      <c r="AI15989" s="38"/>
    </row>
    <row r="15990" ht="15.75" customHeight="1">
      <c r="A15990" s="35"/>
      <c r="C15990" s="442"/>
      <c r="P15990" s="235"/>
      <c r="AI15990" s="38"/>
    </row>
    <row r="15991" ht="15.75" customHeight="1">
      <c r="A15991" s="35"/>
      <c r="C15991" s="442"/>
      <c r="P15991" s="235"/>
      <c r="AI15991" s="38"/>
    </row>
    <row r="15992" ht="15.75" customHeight="1">
      <c r="A15992" s="35"/>
      <c r="C15992" s="442"/>
      <c r="P15992" s="235"/>
      <c r="AI15992" s="38"/>
    </row>
    <row r="15993" ht="15.75" customHeight="1">
      <c r="A15993" s="35"/>
      <c r="C15993" s="442"/>
      <c r="P15993" s="235"/>
      <c r="AI15993" s="38"/>
    </row>
    <row r="15994" ht="15.75" customHeight="1">
      <c r="A15994" s="35"/>
      <c r="C15994" s="442"/>
      <c r="P15994" s="235"/>
      <c r="AI15994" s="38"/>
    </row>
    <row r="15995" ht="15.75" customHeight="1">
      <c r="A15995" s="35"/>
      <c r="C15995" s="442"/>
      <c r="P15995" s="235"/>
      <c r="AI15995" s="38"/>
    </row>
    <row r="15996" ht="15.75" customHeight="1">
      <c r="A15996" s="35"/>
      <c r="C15996" s="442"/>
      <c r="P15996" s="235"/>
      <c r="AI15996" s="38"/>
    </row>
    <row r="15997" ht="15.75" customHeight="1">
      <c r="A15997" s="35"/>
      <c r="C15997" s="442"/>
      <c r="P15997" s="235"/>
      <c r="AI15997" s="38"/>
    </row>
    <row r="15998" ht="15.75" customHeight="1">
      <c r="A15998" s="35"/>
      <c r="C15998" s="442"/>
      <c r="P15998" s="235"/>
      <c r="AI15998" s="38"/>
    </row>
    <row r="15999" ht="15.75" customHeight="1">
      <c r="A15999" s="35"/>
      <c r="C15999" s="442"/>
      <c r="P15999" s="235"/>
      <c r="AI15999" s="38"/>
    </row>
    <row r="16000" ht="15.75" customHeight="1">
      <c r="A16000" s="35"/>
      <c r="C16000" s="442"/>
      <c r="P16000" s="235"/>
      <c r="AI16000" s="38"/>
    </row>
    <row r="16001" ht="15.75" customHeight="1">
      <c r="A16001" s="35"/>
      <c r="C16001" s="442"/>
      <c r="P16001" s="235"/>
      <c r="AI16001" s="38"/>
    </row>
    <row r="16002" ht="15.75" customHeight="1">
      <c r="A16002" s="35"/>
      <c r="C16002" s="442"/>
      <c r="P16002" s="235"/>
      <c r="AI16002" s="38"/>
    </row>
    <row r="16003" ht="15.75" customHeight="1">
      <c r="A16003" s="35"/>
      <c r="C16003" s="442"/>
      <c r="P16003" s="235"/>
      <c r="AI16003" s="38"/>
    </row>
    <row r="16004" ht="15.75" customHeight="1">
      <c r="A16004" s="35"/>
      <c r="C16004" s="442"/>
      <c r="P16004" s="235"/>
      <c r="AI16004" s="38"/>
    </row>
    <row r="16005" ht="15.75" customHeight="1">
      <c r="A16005" s="35"/>
      <c r="C16005" s="442"/>
      <c r="P16005" s="235"/>
      <c r="AI16005" s="38"/>
    </row>
    <row r="16006" ht="15.75" customHeight="1">
      <c r="A16006" s="35"/>
      <c r="C16006" s="442"/>
      <c r="P16006" s="235"/>
      <c r="AI16006" s="38"/>
    </row>
    <row r="16007" ht="15.75" customHeight="1">
      <c r="A16007" s="35"/>
      <c r="C16007" s="442"/>
      <c r="P16007" s="235"/>
      <c r="AI16007" s="38"/>
    </row>
    <row r="16008" ht="15.75" customHeight="1">
      <c r="A16008" s="35"/>
      <c r="C16008" s="442"/>
      <c r="P16008" s="235"/>
      <c r="AI16008" s="38"/>
    </row>
    <row r="16009" ht="15.75" customHeight="1">
      <c r="A16009" s="35"/>
      <c r="C16009" s="442"/>
      <c r="P16009" s="235"/>
      <c r="AI16009" s="38"/>
    </row>
    <row r="16010" ht="15.75" customHeight="1">
      <c r="A16010" s="35"/>
      <c r="C16010" s="442"/>
      <c r="P16010" s="235"/>
      <c r="AI16010" s="38"/>
    </row>
    <row r="16011" ht="15.75" customHeight="1">
      <c r="A16011" s="35"/>
      <c r="C16011" s="442"/>
      <c r="P16011" s="235"/>
      <c r="AI16011" s="38"/>
    </row>
    <row r="16012" ht="15.75" customHeight="1">
      <c r="A16012" s="35"/>
      <c r="C16012" s="442"/>
      <c r="P16012" s="235"/>
      <c r="AI16012" s="38"/>
    </row>
    <row r="16013" ht="15.75" customHeight="1">
      <c r="A16013" s="35"/>
      <c r="C16013" s="442"/>
      <c r="P16013" s="235"/>
      <c r="AI16013" s="38"/>
    </row>
    <row r="16014" ht="15.75" customHeight="1">
      <c r="A16014" s="35"/>
      <c r="C16014" s="442"/>
      <c r="P16014" s="235"/>
      <c r="AI16014" s="38"/>
    </row>
    <row r="16015" ht="15.75" customHeight="1">
      <c r="A16015" s="35"/>
      <c r="C16015" s="442"/>
      <c r="P16015" s="235"/>
      <c r="AI16015" s="38"/>
    </row>
    <row r="16016" ht="15.75" customHeight="1">
      <c r="A16016" s="35"/>
      <c r="C16016" s="442"/>
      <c r="P16016" s="235"/>
      <c r="AI16016" s="38"/>
    </row>
    <row r="16017" ht="15.75" customHeight="1">
      <c r="A16017" s="35"/>
      <c r="C16017" s="442"/>
      <c r="P16017" s="235"/>
      <c r="AI16017" s="38"/>
    </row>
    <row r="16018" ht="15.75" customHeight="1">
      <c r="A16018" s="35"/>
      <c r="C16018" s="442"/>
      <c r="P16018" s="235"/>
      <c r="AI16018" s="38"/>
    </row>
    <row r="16019" ht="15.75" customHeight="1">
      <c r="A16019" s="35"/>
      <c r="C16019" s="442"/>
      <c r="P16019" s="235"/>
      <c r="AI16019" s="38"/>
    </row>
    <row r="16020" ht="15.75" customHeight="1">
      <c r="A16020" s="35"/>
      <c r="C16020" s="442"/>
      <c r="P16020" s="235"/>
      <c r="AI16020" s="38"/>
    </row>
    <row r="16021" ht="15.75" customHeight="1">
      <c r="A16021" s="35"/>
      <c r="C16021" s="442"/>
      <c r="P16021" s="235"/>
      <c r="AI16021" s="38"/>
    </row>
    <row r="16022" ht="15.75" customHeight="1">
      <c r="A16022" s="35"/>
      <c r="C16022" s="442"/>
      <c r="P16022" s="235"/>
      <c r="AI16022" s="38"/>
    </row>
    <row r="16023" ht="15.75" customHeight="1">
      <c r="A16023" s="35"/>
      <c r="C16023" s="442"/>
      <c r="P16023" s="235"/>
      <c r="AI16023" s="38"/>
    </row>
    <row r="16024" ht="15.75" customHeight="1">
      <c r="A16024" s="35"/>
      <c r="C16024" s="442"/>
      <c r="P16024" s="235"/>
      <c r="AI16024" s="38"/>
    </row>
    <row r="16025" ht="15.75" customHeight="1">
      <c r="A16025" s="35"/>
      <c r="C16025" s="442"/>
      <c r="P16025" s="235"/>
      <c r="AI16025" s="38"/>
    </row>
    <row r="16026" ht="15.75" customHeight="1">
      <c r="A16026" s="35"/>
      <c r="C16026" s="442"/>
      <c r="P16026" s="235"/>
      <c r="AI16026" s="38"/>
    </row>
    <row r="16027" ht="15.75" customHeight="1">
      <c r="A16027" s="35"/>
      <c r="C16027" s="442"/>
      <c r="P16027" s="235"/>
      <c r="AI16027" s="38"/>
    </row>
    <row r="16028" ht="15.75" customHeight="1">
      <c r="A16028" s="35"/>
      <c r="C16028" s="442"/>
      <c r="P16028" s="235"/>
      <c r="AI16028" s="38"/>
    </row>
    <row r="16029" ht="15.75" customHeight="1">
      <c r="A16029" s="35"/>
      <c r="C16029" s="442"/>
      <c r="P16029" s="235"/>
      <c r="AI16029" s="38"/>
    </row>
    <row r="16030" ht="15.75" customHeight="1">
      <c r="A16030" s="35"/>
      <c r="C16030" s="442"/>
      <c r="P16030" s="235"/>
      <c r="AI16030" s="38"/>
    </row>
    <row r="16031" ht="15.75" customHeight="1">
      <c r="A16031" s="35"/>
      <c r="C16031" s="442"/>
      <c r="P16031" s="235"/>
      <c r="AI16031" s="38"/>
    </row>
    <row r="16032" ht="15.75" customHeight="1">
      <c r="A16032" s="35"/>
      <c r="C16032" s="442"/>
      <c r="P16032" s="235"/>
      <c r="AI16032" s="38"/>
    </row>
    <row r="16033" ht="15.75" customHeight="1">
      <c r="A16033" s="35"/>
      <c r="C16033" s="442"/>
      <c r="P16033" s="235"/>
      <c r="AI16033" s="38"/>
    </row>
    <row r="16034" ht="15.75" customHeight="1">
      <c r="A16034" s="35"/>
      <c r="C16034" s="442"/>
      <c r="P16034" s="235"/>
      <c r="AI16034" s="38"/>
    </row>
    <row r="16035" ht="15.75" customHeight="1">
      <c r="A16035" s="35"/>
      <c r="C16035" s="442"/>
      <c r="P16035" s="235"/>
      <c r="AI16035" s="38"/>
    </row>
    <row r="16036" ht="15.75" customHeight="1">
      <c r="A16036" s="35"/>
      <c r="C16036" s="442"/>
      <c r="P16036" s="235"/>
      <c r="AI16036" s="38"/>
    </row>
    <row r="16037" ht="15.75" customHeight="1">
      <c r="A16037" s="35"/>
      <c r="C16037" s="442"/>
      <c r="P16037" s="235"/>
      <c r="AI16037" s="38"/>
    </row>
    <row r="16038" ht="15.75" customHeight="1">
      <c r="A16038" s="35"/>
      <c r="C16038" s="442"/>
      <c r="P16038" s="235"/>
      <c r="AI16038" s="38"/>
    </row>
    <row r="16039" ht="15.75" customHeight="1">
      <c r="A16039" s="35"/>
      <c r="C16039" s="442"/>
      <c r="P16039" s="235"/>
      <c r="AI16039" s="38"/>
    </row>
    <row r="16040" ht="15.75" customHeight="1">
      <c r="A16040" s="35"/>
      <c r="C16040" s="442"/>
      <c r="P16040" s="235"/>
      <c r="AI16040" s="38"/>
    </row>
    <row r="16041" ht="15.75" customHeight="1">
      <c r="A16041" s="35"/>
      <c r="C16041" s="442"/>
      <c r="P16041" s="235"/>
      <c r="AI16041" s="38"/>
    </row>
    <row r="16042" ht="15.75" customHeight="1">
      <c r="A16042" s="35"/>
      <c r="C16042" s="442"/>
      <c r="P16042" s="235"/>
      <c r="AI16042" s="38"/>
    </row>
    <row r="16043" ht="15.75" customHeight="1">
      <c r="A16043" s="35"/>
      <c r="C16043" s="442"/>
      <c r="P16043" s="235"/>
      <c r="AI16043" s="38"/>
    </row>
    <row r="16044" ht="15.75" customHeight="1">
      <c r="A16044" s="35"/>
      <c r="C16044" s="442"/>
      <c r="P16044" s="235"/>
      <c r="AI16044" s="38"/>
    </row>
    <row r="16045" ht="15.75" customHeight="1">
      <c r="A16045" s="35"/>
      <c r="C16045" s="442"/>
      <c r="P16045" s="235"/>
      <c r="AI16045" s="38"/>
    </row>
    <row r="16046" ht="15.75" customHeight="1">
      <c r="A16046" s="35"/>
      <c r="C16046" s="442"/>
      <c r="P16046" s="235"/>
      <c r="AI16046" s="38"/>
    </row>
    <row r="16047" ht="15.75" customHeight="1">
      <c r="A16047" s="35"/>
      <c r="C16047" s="442"/>
      <c r="P16047" s="235"/>
      <c r="AI16047" s="38"/>
    </row>
    <row r="16048" ht="15.75" customHeight="1">
      <c r="A16048" s="35"/>
      <c r="C16048" s="442"/>
      <c r="P16048" s="235"/>
      <c r="AI16048" s="38"/>
    </row>
    <row r="16049" ht="15.75" customHeight="1">
      <c r="A16049" s="35"/>
      <c r="C16049" s="442"/>
      <c r="P16049" s="235"/>
      <c r="AI16049" s="38"/>
    </row>
    <row r="16050" ht="15.75" customHeight="1">
      <c r="A16050" s="35"/>
      <c r="C16050" s="442"/>
      <c r="P16050" s="235"/>
      <c r="AI16050" s="38"/>
    </row>
    <row r="16051" ht="15.75" customHeight="1">
      <c r="A16051" s="35"/>
      <c r="C16051" s="442"/>
      <c r="P16051" s="235"/>
      <c r="AI16051" s="38"/>
    </row>
    <row r="16052" ht="15.75" customHeight="1">
      <c r="A16052" s="35"/>
      <c r="C16052" s="442"/>
      <c r="P16052" s="235"/>
      <c r="AI16052" s="38"/>
    </row>
    <row r="16053" ht="15.75" customHeight="1">
      <c r="A16053" s="35"/>
      <c r="C16053" s="442"/>
      <c r="P16053" s="235"/>
      <c r="AI16053" s="38"/>
    </row>
    <row r="16054" ht="15.75" customHeight="1">
      <c r="A16054" s="35"/>
      <c r="C16054" s="442"/>
      <c r="P16054" s="235"/>
      <c r="AI16054" s="38"/>
    </row>
    <row r="16055" ht="15.75" customHeight="1">
      <c r="A16055" s="35"/>
      <c r="C16055" s="442"/>
      <c r="P16055" s="235"/>
      <c r="AI16055" s="38"/>
    </row>
    <row r="16056" ht="15.75" customHeight="1">
      <c r="A16056" s="35"/>
      <c r="C16056" s="442"/>
      <c r="P16056" s="235"/>
      <c r="AI16056" s="38"/>
    </row>
    <row r="16057" ht="15.75" customHeight="1">
      <c r="A16057" s="35"/>
      <c r="C16057" s="442"/>
      <c r="P16057" s="235"/>
      <c r="AI16057" s="38"/>
    </row>
    <row r="16058" ht="15.75" customHeight="1">
      <c r="A16058" s="35"/>
      <c r="C16058" s="442"/>
      <c r="P16058" s="235"/>
      <c r="AI16058" s="38"/>
    </row>
    <row r="16059" ht="15.75" customHeight="1">
      <c r="A16059" s="35"/>
      <c r="C16059" s="442"/>
      <c r="P16059" s="235"/>
      <c r="AI16059" s="38"/>
    </row>
    <row r="16060" ht="15.75" customHeight="1">
      <c r="A16060" s="35"/>
      <c r="C16060" s="442"/>
      <c r="P16060" s="235"/>
      <c r="AI16060" s="38"/>
    </row>
    <row r="16061" ht="15.75" customHeight="1">
      <c r="A16061" s="35"/>
      <c r="C16061" s="442"/>
      <c r="P16061" s="235"/>
      <c r="AI16061" s="38"/>
    </row>
    <row r="16062" ht="15.75" customHeight="1">
      <c r="A16062" s="35"/>
      <c r="C16062" s="442"/>
      <c r="P16062" s="235"/>
      <c r="AI16062" s="38"/>
    </row>
    <row r="16063" ht="15.75" customHeight="1">
      <c r="A16063" s="35"/>
      <c r="C16063" s="442"/>
      <c r="P16063" s="235"/>
      <c r="AI16063" s="38"/>
    </row>
    <row r="16064" ht="15.75" customHeight="1">
      <c r="A16064" s="35"/>
      <c r="C16064" s="442"/>
      <c r="P16064" s="235"/>
      <c r="AI16064" s="38"/>
    </row>
    <row r="16065" ht="15.75" customHeight="1">
      <c r="A16065" s="35"/>
      <c r="C16065" s="442"/>
      <c r="P16065" s="235"/>
      <c r="AI16065" s="38"/>
    </row>
    <row r="16066" ht="15.75" customHeight="1">
      <c r="A16066" s="35"/>
      <c r="C16066" s="442"/>
      <c r="P16066" s="235"/>
      <c r="AI16066" s="38"/>
    </row>
    <row r="16067" ht="15.75" customHeight="1">
      <c r="A16067" s="35"/>
      <c r="C16067" s="442"/>
      <c r="P16067" s="235"/>
      <c r="AI16067" s="38"/>
    </row>
    <row r="16068" ht="15.75" customHeight="1">
      <c r="A16068" s="35"/>
      <c r="C16068" s="442"/>
      <c r="P16068" s="235"/>
      <c r="AI16068" s="38"/>
    </row>
    <row r="16069" ht="15.75" customHeight="1">
      <c r="A16069" s="35"/>
      <c r="C16069" s="442"/>
      <c r="P16069" s="235"/>
      <c r="AI16069" s="38"/>
    </row>
    <row r="16070" ht="15.75" customHeight="1">
      <c r="A16070" s="35"/>
      <c r="C16070" s="442"/>
      <c r="P16070" s="235"/>
      <c r="AI16070" s="38"/>
    </row>
    <row r="16071" ht="15.75" customHeight="1">
      <c r="A16071" s="35"/>
      <c r="C16071" s="442"/>
      <c r="P16071" s="235"/>
      <c r="AI16071" s="38"/>
    </row>
    <row r="16072" ht="15.75" customHeight="1">
      <c r="A16072" s="35"/>
      <c r="C16072" s="442"/>
      <c r="P16072" s="235"/>
      <c r="AI16072" s="38"/>
    </row>
    <row r="16073" ht="15.75" customHeight="1">
      <c r="A16073" s="35"/>
      <c r="C16073" s="442"/>
      <c r="P16073" s="235"/>
      <c r="AI16073" s="38"/>
    </row>
    <row r="16074" ht="15.75" customHeight="1">
      <c r="A16074" s="35"/>
      <c r="C16074" s="442"/>
      <c r="P16074" s="235"/>
      <c r="AI16074" s="38"/>
    </row>
    <row r="16075" ht="15.75" customHeight="1">
      <c r="A16075" s="35"/>
      <c r="C16075" s="442"/>
      <c r="P16075" s="235"/>
      <c r="AI16075" s="38"/>
    </row>
    <row r="16076" ht="15.75" customHeight="1">
      <c r="A16076" s="35"/>
      <c r="C16076" s="442"/>
      <c r="P16076" s="235"/>
      <c r="AI16076" s="38"/>
    </row>
    <row r="16077" ht="15.75" customHeight="1">
      <c r="A16077" s="35"/>
      <c r="C16077" s="442"/>
      <c r="P16077" s="235"/>
      <c r="AI16077" s="38"/>
    </row>
    <row r="16078" ht="15.75" customHeight="1">
      <c r="A16078" s="35"/>
      <c r="C16078" s="442"/>
      <c r="P16078" s="235"/>
      <c r="AI16078" s="38"/>
    </row>
    <row r="16079" ht="15.75" customHeight="1">
      <c r="A16079" s="35"/>
      <c r="C16079" s="442"/>
      <c r="P16079" s="235"/>
      <c r="AI16079" s="38"/>
    </row>
    <row r="16080" ht="15.75" customHeight="1">
      <c r="A16080" s="35"/>
      <c r="C16080" s="442"/>
      <c r="P16080" s="235"/>
      <c r="AI16080" s="38"/>
    </row>
    <row r="16081" ht="15.75" customHeight="1">
      <c r="A16081" s="35"/>
      <c r="C16081" s="442"/>
      <c r="P16081" s="235"/>
      <c r="AI16081" s="38"/>
    </row>
    <row r="16082" ht="15.75" customHeight="1">
      <c r="A16082" s="35"/>
      <c r="C16082" s="442"/>
      <c r="P16082" s="235"/>
      <c r="AI16082" s="38"/>
    </row>
    <row r="16083" ht="15.75" customHeight="1">
      <c r="A16083" s="35"/>
      <c r="C16083" s="442"/>
      <c r="P16083" s="235"/>
      <c r="AI16083" s="38"/>
    </row>
    <row r="16084" ht="15.75" customHeight="1">
      <c r="A16084" s="35"/>
      <c r="C16084" s="442"/>
      <c r="P16084" s="235"/>
      <c r="AI16084" s="38"/>
    </row>
    <row r="16085" ht="15.75" customHeight="1">
      <c r="A16085" s="35"/>
      <c r="C16085" s="442"/>
      <c r="P16085" s="235"/>
      <c r="AI16085" s="38"/>
    </row>
    <row r="16086" ht="15.75" customHeight="1">
      <c r="A16086" s="35"/>
      <c r="C16086" s="442"/>
      <c r="P16086" s="235"/>
      <c r="AI16086" s="38"/>
    </row>
    <row r="16087" ht="15.75" customHeight="1">
      <c r="A16087" s="35"/>
      <c r="C16087" s="442"/>
      <c r="P16087" s="235"/>
      <c r="AI16087" s="38"/>
    </row>
    <row r="16088" ht="15.75" customHeight="1">
      <c r="A16088" s="35"/>
      <c r="C16088" s="442"/>
      <c r="P16088" s="235"/>
      <c r="AI16088" s="38"/>
    </row>
    <row r="16089" ht="15.75" customHeight="1">
      <c r="A16089" s="35"/>
      <c r="C16089" s="442"/>
      <c r="P16089" s="235"/>
      <c r="AI16089" s="38"/>
    </row>
    <row r="16090" ht="15.75" customHeight="1">
      <c r="A16090" s="35"/>
      <c r="C16090" s="442"/>
      <c r="P16090" s="235"/>
      <c r="AI16090" s="38"/>
    </row>
    <row r="16091" ht="15.75" customHeight="1">
      <c r="A16091" s="35"/>
      <c r="C16091" s="442"/>
      <c r="P16091" s="235"/>
      <c r="AI16091" s="38"/>
    </row>
    <row r="16092" ht="15.75" customHeight="1">
      <c r="A16092" s="35"/>
      <c r="C16092" s="442"/>
      <c r="P16092" s="235"/>
      <c r="AI16092" s="38"/>
    </row>
    <row r="16093" ht="15.75" customHeight="1">
      <c r="A16093" s="35"/>
      <c r="C16093" s="442"/>
      <c r="P16093" s="235"/>
      <c r="AI16093" s="38"/>
    </row>
    <row r="16094" ht="15.75" customHeight="1">
      <c r="A16094" s="35"/>
      <c r="C16094" s="442"/>
      <c r="P16094" s="235"/>
      <c r="AI16094" s="38"/>
    </row>
    <row r="16095" ht="15.75" customHeight="1">
      <c r="A16095" s="35"/>
      <c r="C16095" s="442"/>
      <c r="P16095" s="235"/>
      <c r="AI16095" s="38"/>
    </row>
    <row r="16096" ht="15.75" customHeight="1">
      <c r="A16096" s="35"/>
      <c r="C16096" s="442"/>
      <c r="P16096" s="235"/>
      <c r="AI16096" s="38"/>
    </row>
    <row r="16097" ht="15.75" customHeight="1">
      <c r="A16097" s="35"/>
      <c r="C16097" s="442"/>
      <c r="P16097" s="235"/>
      <c r="AI16097" s="38"/>
    </row>
    <row r="16098" ht="15.75" customHeight="1">
      <c r="A16098" s="35"/>
      <c r="C16098" s="442"/>
      <c r="P16098" s="235"/>
      <c r="AI16098" s="38"/>
    </row>
    <row r="16099" ht="15.75" customHeight="1">
      <c r="A16099" s="35"/>
      <c r="C16099" s="442"/>
      <c r="P16099" s="235"/>
      <c r="AI16099" s="38"/>
    </row>
    <row r="16100" ht="15.75" customHeight="1">
      <c r="A16100" s="35"/>
      <c r="C16100" s="442"/>
      <c r="P16100" s="235"/>
      <c r="AI16100" s="38"/>
    </row>
    <row r="16101" ht="15.75" customHeight="1">
      <c r="A16101" s="35"/>
      <c r="C16101" s="442"/>
      <c r="P16101" s="235"/>
      <c r="AI16101" s="38"/>
    </row>
    <row r="16102" ht="15.75" customHeight="1">
      <c r="A16102" s="35"/>
      <c r="C16102" s="442"/>
      <c r="P16102" s="235"/>
      <c r="AI16102" s="38"/>
    </row>
    <row r="16103" ht="15.75" customHeight="1">
      <c r="A16103" s="35"/>
      <c r="C16103" s="442"/>
      <c r="P16103" s="235"/>
      <c r="AI16103" s="38"/>
    </row>
    <row r="16104" ht="15.75" customHeight="1">
      <c r="A16104" s="35"/>
      <c r="C16104" s="442"/>
      <c r="P16104" s="235"/>
      <c r="AI16104" s="38"/>
    </row>
    <row r="16105" ht="15.75" customHeight="1">
      <c r="A16105" s="35"/>
      <c r="C16105" s="442"/>
      <c r="P16105" s="235"/>
      <c r="AI16105" s="38"/>
    </row>
    <row r="16106" ht="15.75" customHeight="1">
      <c r="A16106" s="35"/>
      <c r="C16106" s="442"/>
      <c r="P16106" s="235"/>
      <c r="AI16106" s="38"/>
    </row>
    <row r="16107" ht="15.75" customHeight="1">
      <c r="A16107" s="35"/>
      <c r="C16107" s="442"/>
      <c r="P16107" s="235"/>
      <c r="AI16107" s="38"/>
    </row>
    <row r="16108" ht="15.75" customHeight="1">
      <c r="A16108" s="35"/>
      <c r="C16108" s="442"/>
      <c r="P16108" s="235"/>
      <c r="AI16108" s="38"/>
    </row>
    <row r="16109" ht="15.75" customHeight="1">
      <c r="A16109" s="35"/>
      <c r="C16109" s="442"/>
      <c r="P16109" s="235"/>
      <c r="AI16109" s="38"/>
    </row>
    <row r="16110" ht="15.75" customHeight="1">
      <c r="A16110" s="35"/>
      <c r="C16110" s="442"/>
      <c r="P16110" s="235"/>
      <c r="AI16110" s="38"/>
    </row>
    <row r="16111" ht="15.75" customHeight="1">
      <c r="A16111" s="35"/>
      <c r="C16111" s="442"/>
      <c r="P16111" s="235"/>
      <c r="AI16111" s="38"/>
    </row>
    <row r="16112" ht="15.75" customHeight="1">
      <c r="A16112" s="35"/>
      <c r="C16112" s="442"/>
      <c r="P16112" s="235"/>
      <c r="AI16112" s="38"/>
    </row>
    <row r="16113" ht="15.75" customHeight="1">
      <c r="A16113" s="35"/>
      <c r="C16113" s="442"/>
      <c r="P16113" s="235"/>
      <c r="AI16113" s="38"/>
    </row>
    <row r="16114" ht="15.75" customHeight="1">
      <c r="A16114" s="35"/>
      <c r="C16114" s="442"/>
      <c r="P16114" s="235"/>
      <c r="AI16114" s="38"/>
    </row>
    <row r="16115" ht="15.75" customHeight="1">
      <c r="A16115" s="35"/>
      <c r="C16115" s="442"/>
      <c r="P16115" s="235"/>
      <c r="AI16115" s="38"/>
    </row>
    <row r="16116" ht="15.75" customHeight="1">
      <c r="A16116" s="35"/>
      <c r="C16116" s="442"/>
      <c r="P16116" s="235"/>
      <c r="AI16116" s="38"/>
    </row>
    <row r="16117" ht="15.75" customHeight="1">
      <c r="A16117" s="35"/>
      <c r="C16117" s="442"/>
      <c r="P16117" s="235"/>
      <c r="AI16117" s="38"/>
    </row>
    <row r="16118" ht="15.75" customHeight="1">
      <c r="A16118" s="35"/>
      <c r="C16118" s="442"/>
      <c r="P16118" s="235"/>
      <c r="AI16118" s="38"/>
    </row>
    <row r="16119" ht="15.75" customHeight="1">
      <c r="A16119" s="35"/>
      <c r="C16119" s="442"/>
      <c r="P16119" s="235"/>
      <c r="AI16119" s="38"/>
    </row>
    <row r="16120" ht="15.75" customHeight="1">
      <c r="A16120" s="35"/>
      <c r="C16120" s="442"/>
      <c r="P16120" s="235"/>
      <c r="AI16120" s="38"/>
    </row>
    <row r="16121" ht="15.75" customHeight="1">
      <c r="A16121" s="35"/>
      <c r="C16121" s="442"/>
      <c r="P16121" s="235"/>
      <c r="AI16121" s="38"/>
    </row>
    <row r="16122" ht="15.75" customHeight="1">
      <c r="A16122" s="35"/>
      <c r="C16122" s="442"/>
      <c r="P16122" s="235"/>
      <c r="AI16122" s="38"/>
    </row>
    <row r="16123" ht="15.75" customHeight="1">
      <c r="A16123" s="35"/>
      <c r="C16123" s="442"/>
      <c r="P16123" s="235"/>
      <c r="AI16123" s="38"/>
    </row>
    <row r="16124" ht="15.75" customHeight="1">
      <c r="A16124" s="35"/>
      <c r="C16124" s="442"/>
      <c r="P16124" s="235"/>
      <c r="AI16124" s="38"/>
    </row>
    <row r="16125" ht="15.75" customHeight="1">
      <c r="A16125" s="35"/>
      <c r="C16125" s="442"/>
      <c r="P16125" s="235"/>
      <c r="AI16125" s="38"/>
    </row>
    <row r="16126" ht="15.75" customHeight="1">
      <c r="A16126" s="35"/>
      <c r="C16126" s="442"/>
      <c r="P16126" s="235"/>
      <c r="AI16126" s="38"/>
    </row>
    <row r="16127" ht="15.75" customHeight="1">
      <c r="A16127" s="35"/>
      <c r="C16127" s="442"/>
      <c r="P16127" s="235"/>
      <c r="AI16127" s="38"/>
    </row>
    <row r="16128" ht="15.75" customHeight="1">
      <c r="A16128" s="35"/>
      <c r="C16128" s="442"/>
      <c r="P16128" s="235"/>
      <c r="AI16128" s="38"/>
    </row>
    <row r="16129" ht="15.75" customHeight="1">
      <c r="A16129" s="35"/>
      <c r="C16129" s="442"/>
      <c r="P16129" s="235"/>
      <c r="AI16129" s="38"/>
    </row>
    <row r="16130" ht="15.75" customHeight="1">
      <c r="A16130" s="35"/>
      <c r="C16130" s="442"/>
      <c r="P16130" s="235"/>
      <c r="AI16130" s="38"/>
    </row>
    <row r="16131" ht="15.75" customHeight="1">
      <c r="A16131" s="35"/>
      <c r="C16131" s="442"/>
      <c r="P16131" s="235"/>
      <c r="AI16131" s="38"/>
    </row>
    <row r="16132" ht="15.75" customHeight="1">
      <c r="A16132" s="35"/>
      <c r="C16132" s="442"/>
      <c r="P16132" s="235"/>
      <c r="AI16132" s="38"/>
    </row>
    <row r="16133" ht="15.75" customHeight="1">
      <c r="A16133" s="35"/>
      <c r="C16133" s="442"/>
      <c r="P16133" s="235"/>
      <c r="AI16133" s="38"/>
    </row>
    <row r="16134" ht="15.75" customHeight="1">
      <c r="A16134" s="35"/>
      <c r="C16134" s="442"/>
      <c r="P16134" s="235"/>
      <c r="AI16134" s="38"/>
    </row>
    <row r="16135" ht="15.75" customHeight="1">
      <c r="A16135" s="35"/>
      <c r="C16135" s="442"/>
      <c r="P16135" s="235"/>
      <c r="AI16135" s="38"/>
    </row>
    <row r="16136" ht="15.75" customHeight="1">
      <c r="A16136" s="35"/>
      <c r="C16136" s="442"/>
      <c r="P16136" s="235"/>
      <c r="AI16136" s="38"/>
    </row>
    <row r="16137" ht="15.75" customHeight="1">
      <c r="A16137" s="35"/>
      <c r="C16137" s="442"/>
      <c r="P16137" s="235"/>
      <c r="AI16137" s="38"/>
    </row>
    <row r="16138" ht="15.75" customHeight="1">
      <c r="A16138" s="35"/>
      <c r="C16138" s="442"/>
      <c r="P16138" s="235"/>
      <c r="AI16138" s="38"/>
    </row>
    <row r="16139" ht="15.75" customHeight="1">
      <c r="A16139" s="35"/>
      <c r="C16139" s="442"/>
      <c r="P16139" s="235"/>
      <c r="AI16139" s="38"/>
    </row>
    <row r="16140" ht="15.75" customHeight="1">
      <c r="A16140" s="35"/>
      <c r="C16140" s="442"/>
      <c r="P16140" s="235"/>
      <c r="AI16140" s="38"/>
    </row>
    <row r="16141" ht="15.75" customHeight="1">
      <c r="A16141" s="35"/>
      <c r="C16141" s="442"/>
      <c r="P16141" s="235"/>
      <c r="AI16141" s="38"/>
    </row>
    <row r="16142" ht="15.75" customHeight="1">
      <c r="A16142" s="35"/>
      <c r="C16142" s="442"/>
      <c r="P16142" s="235"/>
      <c r="AI16142" s="38"/>
    </row>
    <row r="16143" ht="15.75" customHeight="1">
      <c r="A16143" s="35"/>
      <c r="C16143" s="442"/>
      <c r="P16143" s="235"/>
      <c r="AI16143" s="38"/>
    </row>
    <row r="16144" ht="15.75" customHeight="1">
      <c r="A16144" s="35"/>
      <c r="C16144" s="442"/>
      <c r="P16144" s="235"/>
      <c r="AI16144" s="38"/>
    </row>
    <row r="16145" ht="15.75" customHeight="1">
      <c r="A16145" s="35"/>
      <c r="C16145" s="442"/>
      <c r="P16145" s="235"/>
      <c r="AI16145" s="38"/>
    </row>
    <row r="16146" ht="15.75" customHeight="1">
      <c r="A16146" s="35"/>
      <c r="C16146" s="442"/>
      <c r="P16146" s="235"/>
      <c r="AI16146" s="38"/>
    </row>
    <row r="16147" ht="15.75" customHeight="1">
      <c r="A16147" s="35"/>
      <c r="C16147" s="442"/>
      <c r="P16147" s="235"/>
      <c r="AI16147" s="38"/>
    </row>
    <row r="16148" ht="15.75" customHeight="1">
      <c r="A16148" s="35"/>
      <c r="C16148" s="442"/>
      <c r="P16148" s="235"/>
      <c r="AI16148" s="38"/>
    </row>
    <row r="16149" ht="15.75" customHeight="1">
      <c r="A16149" s="35"/>
      <c r="C16149" s="442"/>
      <c r="P16149" s="235"/>
      <c r="AI16149" s="38"/>
    </row>
    <row r="16150" ht="15.75" customHeight="1">
      <c r="A16150" s="35"/>
      <c r="C16150" s="442"/>
      <c r="P16150" s="235"/>
      <c r="AI16150" s="38"/>
    </row>
    <row r="16151" ht="15.75" customHeight="1">
      <c r="A16151" s="35"/>
      <c r="C16151" s="442"/>
      <c r="P16151" s="235"/>
      <c r="AI16151" s="38"/>
    </row>
    <row r="16152" ht="15.75" customHeight="1">
      <c r="A16152" s="35"/>
      <c r="C16152" s="442"/>
      <c r="P16152" s="235"/>
      <c r="AI16152" s="38"/>
    </row>
    <row r="16153" ht="15.75" customHeight="1">
      <c r="A16153" s="35"/>
      <c r="C16153" s="442"/>
      <c r="P16153" s="235"/>
      <c r="AI16153" s="38"/>
    </row>
    <row r="16154" ht="15.75" customHeight="1">
      <c r="A16154" s="35"/>
      <c r="C16154" s="442"/>
      <c r="P16154" s="235"/>
      <c r="AI16154" s="38"/>
    </row>
    <row r="16155" ht="15.75" customHeight="1">
      <c r="A16155" s="35"/>
      <c r="C16155" s="442"/>
      <c r="P16155" s="235"/>
      <c r="AI16155" s="38"/>
    </row>
    <row r="16156" ht="15.75" customHeight="1">
      <c r="A16156" s="35"/>
      <c r="C16156" s="442"/>
      <c r="P16156" s="235"/>
      <c r="AI16156" s="38"/>
    </row>
    <row r="16157" ht="15.75" customHeight="1">
      <c r="A16157" s="35"/>
      <c r="C16157" s="442"/>
      <c r="P16157" s="235"/>
      <c r="AI16157" s="38"/>
    </row>
    <row r="16158" ht="15.75" customHeight="1">
      <c r="A16158" s="35"/>
      <c r="C16158" s="442"/>
      <c r="P16158" s="235"/>
      <c r="AI16158" s="38"/>
    </row>
    <row r="16159" ht="15.75" customHeight="1">
      <c r="A16159" s="35"/>
      <c r="C16159" s="442"/>
      <c r="P16159" s="235"/>
      <c r="AI16159" s="38"/>
    </row>
    <row r="16160" ht="15.75" customHeight="1">
      <c r="A16160" s="35"/>
      <c r="C16160" s="442"/>
      <c r="P16160" s="235"/>
      <c r="AI16160" s="38"/>
    </row>
    <row r="16161" ht="15.75" customHeight="1">
      <c r="A16161" s="35"/>
      <c r="C16161" s="442"/>
      <c r="P16161" s="235"/>
      <c r="AI16161" s="38"/>
    </row>
    <row r="16162" ht="15.75" customHeight="1">
      <c r="A16162" s="35"/>
      <c r="C16162" s="442"/>
      <c r="P16162" s="235"/>
      <c r="AI16162" s="38"/>
    </row>
    <row r="16163" ht="15.75" customHeight="1">
      <c r="A16163" s="35"/>
      <c r="C16163" s="442"/>
      <c r="P16163" s="235"/>
      <c r="AI16163" s="38"/>
    </row>
    <row r="16164" ht="15.75" customHeight="1">
      <c r="A16164" s="35"/>
      <c r="C16164" s="442"/>
      <c r="P16164" s="235"/>
      <c r="AI16164" s="38"/>
    </row>
    <row r="16165" ht="15.75" customHeight="1">
      <c r="A16165" s="35"/>
      <c r="C16165" s="442"/>
      <c r="P16165" s="235"/>
      <c r="AI16165" s="38"/>
    </row>
    <row r="16166" ht="15.75" customHeight="1">
      <c r="A16166" s="35"/>
      <c r="C16166" s="442"/>
      <c r="P16166" s="235"/>
      <c r="AI16166" s="38"/>
    </row>
    <row r="16167" ht="15.75" customHeight="1">
      <c r="A16167" s="35"/>
      <c r="C16167" s="442"/>
      <c r="P16167" s="235"/>
      <c r="AI16167" s="38"/>
    </row>
    <row r="16168" ht="15.75" customHeight="1">
      <c r="A16168" s="35"/>
      <c r="C16168" s="442"/>
      <c r="P16168" s="235"/>
      <c r="AI16168" s="38"/>
    </row>
    <row r="16169" ht="15.75" customHeight="1">
      <c r="A16169" s="35"/>
      <c r="C16169" s="442"/>
      <c r="P16169" s="235"/>
      <c r="AI16169" s="38"/>
    </row>
    <row r="16170" ht="15.75" customHeight="1">
      <c r="A16170" s="35"/>
      <c r="C16170" s="442"/>
      <c r="P16170" s="235"/>
      <c r="AI16170" s="38"/>
    </row>
    <row r="16171" ht="15.75" customHeight="1">
      <c r="A16171" s="35"/>
      <c r="C16171" s="442"/>
      <c r="P16171" s="235"/>
      <c r="AI16171" s="38"/>
    </row>
    <row r="16172" ht="15.75" customHeight="1">
      <c r="A16172" s="35"/>
      <c r="C16172" s="442"/>
      <c r="P16172" s="235"/>
      <c r="AI16172" s="38"/>
    </row>
    <row r="16173" ht="15.75" customHeight="1">
      <c r="A16173" s="35"/>
      <c r="C16173" s="442"/>
      <c r="P16173" s="235"/>
      <c r="AI16173" s="38"/>
    </row>
    <row r="16174" ht="15.75" customHeight="1">
      <c r="A16174" s="35"/>
      <c r="C16174" s="442"/>
      <c r="P16174" s="235"/>
      <c r="AI16174" s="38"/>
    </row>
    <row r="16175" ht="15.75" customHeight="1">
      <c r="A16175" s="35"/>
      <c r="C16175" s="442"/>
      <c r="P16175" s="235"/>
      <c r="AI16175" s="38"/>
    </row>
    <row r="16176" ht="15.75" customHeight="1">
      <c r="A16176" s="35"/>
      <c r="C16176" s="442"/>
      <c r="P16176" s="235"/>
      <c r="AI16176" s="38"/>
    </row>
    <row r="16177" ht="15.75" customHeight="1">
      <c r="A16177" s="35"/>
      <c r="C16177" s="442"/>
      <c r="P16177" s="235"/>
      <c r="AI16177" s="38"/>
    </row>
    <row r="16178" ht="15.75" customHeight="1">
      <c r="A16178" s="35"/>
      <c r="C16178" s="442"/>
      <c r="P16178" s="235"/>
      <c r="AI16178" s="38"/>
    </row>
    <row r="16179" ht="15.75" customHeight="1">
      <c r="A16179" s="35"/>
      <c r="C16179" s="442"/>
      <c r="P16179" s="235"/>
      <c r="AI16179" s="38"/>
    </row>
    <row r="16180" ht="15.75" customHeight="1">
      <c r="A16180" s="35"/>
      <c r="C16180" s="442"/>
      <c r="P16180" s="235"/>
      <c r="AI16180" s="38"/>
    </row>
    <row r="16181" ht="15.75" customHeight="1">
      <c r="A16181" s="35"/>
      <c r="C16181" s="442"/>
      <c r="P16181" s="235"/>
      <c r="AI16181" s="38"/>
    </row>
    <row r="16182" ht="15.75" customHeight="1">
      <c r="A16182" s="35"/>
      <c r="C16182" s="442"/>
      <c r="P16182" s="235"/>
      <c r="AI16182" s="38"/>
    </row>
    <row r="16183" ht="15.75" customHeight="1">
      <c r="A16183" s="35"/>
      <c r="C16183" s="442"/>
      <c r="P16183" s="235"/>
      <c r="AI16183" s="38"/>
    </row>
    <row r="16184" ht="15.75" customHeight="1">
      <c r="A16184" s="35"/>
      <c r="C16184" s="442"/>
      <c r="P16184" s="235"/>
      <c r="AI16184" s="38"/>
    </row>
    <row r="16185" ht="15.75" customHeight="1">
      <c r="A16185" s="35"/>
      <c r="C16185" s="442"/>
      <c r="P16185" s="235"/>
      <c r="AI16185" s="38"/>
    </row>
    <row r="16186" ht="15.75" customHeight="1">
      <c r="A16186" s="35"/>
      <c r="C16186" s="442"/>
      <c r="P16186" s="235"/>
      <c r="AI16186" s="38"/>
    </row>
    <row r="16187" ht="15.75" customHeight="1">
      <c r="A16187" s="35"/>
      <c r="C16187" s="442"/>
      <c r="P16187" s="235"/>
      <c r="AI16187" s="38"/>
    </row>
    <row r="16188" ht="15.75" customHeight="1">
      <c r="A16188" s="35"/>
      <c r="C16188" s="442"/>
      <c r="P16188" s="235"/>
      <c r="AI16188" s="38"/>
    </row>
    <row r="16189" ht="15.75" customHeight="1">
      <c r="A16189" s="35"/>
      <c r="C16189" s="442"/>
      <c r="P16189" s="235"/>
      <c r="AI16189" s="38"/>
    </row>
    <row r="16190" ht="15.75" customHeight="1">
      <c r="A16190" s="35"/>
      <c r="C16190" s="442"/>
      <c r="P16190" s="235"/>
      <c r="AI16190" s="38"/>
    </row>
    <row r="16191" ht="15.75" customHeight="1">
      <c r="A16191" s="35"/>
      <c r="C16191" s="442"/>
      <c r="P16191" s="235"/>
      <c r="AI16191" s="38"/>
    </row>
    <row r="16192" ht="15.75" customHeight="1">
      <c r="A16192" s="35"/>
      <c r="C16192" s="442"/>
      <c r="P16192" s="235"/>
      <c r="AI16192" s="38"/>
    </row>
    <row r="16193" ht="15.75" customHeight="1">
      <c r="A16193" s="35"/>
      <c r="C16193" s="442"/>
      <c r="P16193" s="235"/>
      <c r="AI16193" s="38"/>
    </row>
    <row r="16194" ht="15.75" customHeight="1">
      <c r="A16194" s="35"/>
      <c r="C16194" s="442"/>
      <c r="P16194" s="235"/>
      <c r="AI16194" s="38"/>
    </row>
    <row r="16195" ht="15.75" customHeight="1">
      <c r="A16195" s="35"/>
      <c r="C16195" s="442"/>
      <c r="P16195" s="235"/>
      <c r="AI16195" s="38"/>
    </row>
    <row r="16196" ht="15.75" customHeight="1">
      <c r="A16196" s="35"/>
      <c r="C16196" s="442"/>
      <c r="P16196" s="235"/>
      <c r="AI16196" s="38"/>
    </row>
    <row r="16197" ht="15.75" customHeight="1">
      <c r="A16197" s="35"/>
      <c r="C16197" s="442"/>
      <c r="P16197" s="235"/>
      <c r="AI16197" s="38"/>
    </row>
    <row r="16198" ht="15.75" customHeight="1">
      <c r="A16198" s="35"/>
      <c r="C16198" s="442"/>
      <c r="P16198" s="235"/>
      <c r="AI16198" s="38"/>
    </row>
    <row r="16199" ht="15.75" customHeight="1">
      <c r="A16199" s="35"/>
      <c r="C16199" s="442"/>
      <c r="P16199" s="235"/>
      <c r="AI16199" s="38"/>
    </row>
    <row r="16200" ht="15.75" customHeight="1">
      <c r="A16200" s="35"/>
      <c r="C16200" s="442"/>
      <c r="P16200" s="235"/>
      <c r="AI16200" s="38"/>
    </row>
    <row r="16201" ht="15.75" customHeight="1">
      <c r="A16201" s="35"/>
      <c r="C16201" s="442"/>
      <c r="P16201" s="235"/>
      <c r="AI16201" s="38"/>
    </row>
    <row r="16202" ht="15.75" customHeight="1">
      <c r="A16202" s="35"/>
      <c r="C16202" s="442"/>
      <c r="P16202" s="235"/>
      <c r="AI16202" s="38"/>
    </row>
    <row r="16203" ht="15.75" customHeight="1">
      <c r="A16203" s="35"/>
      <c r="C16203" s="442"/>
      <c r="P16203" s="235"/>
      <c r="AI16203" s="38"/>
    </row>
    <row r="16204" ht="15.75" customHeight="1">
      <c r="A16204" s="35"/>
      <c r="C16204" s="442"/>
      <c r="P16204" s="235"/>
      <c r="AI16204" s="38"/>
    </row>
    <row r="16205" ht="15.75" customHeight="1">
      <c r="A16205" s="35"/>
      <c r="C16205" s="442"/>
      <c r="P16205" s="235"/>
      <c r="AI16205" s="38"/>
    </row>
    <row r="16206" ht="15.75" customHeight="1">
      <c r="A16206" s="35"/>
      <c r="C16206" s="442"/>
      <c r="P16206" s="235"/>
      <c r="AI16206" s="38"/>
    </row>
    <row r="16207" ht="15.75" customHeight="1">
      <c r="A16207" s="35"/>
      <c r="C16207" s="442"/>
      <c r="P16207" s="235"/>
      <c r="AI16207" s="38"/>
    </row>
    <row r="16208" ht="15.75" customHeight="1">
      <c r="A16208" s="35"/>
      <c r="C16208" s="442"/>
      <c r="P16208" s="235"/>
      <c r="AI16208" s="38"/>
    </row>
    <row r="16209" ht="15.75" customHeight="1">
      <c r="A16209" s="35"/>
      <c r="C16209" s="442"/>
      <c r="P16209" s="235"/>
      <c r="AI16209" s="38"/>
    </row>
    <row r="16210" ht="15.75" customHeight="1">
      <c r="A16210" s="35"/>
      <c r="C16210" s="442"/>
      <c r="P16210" s="235"/>
      <c r="AI16210" s="38"/>
    </row>
    <row r="16211" ht="15.75" customHeight="1">
      <c r="A16211" s="35"/>
      <c r="C16211" s="442"/>
      <c r="P16211" s="235"/>
      <c r="AI16211" s="38"/>
    </row>
    <row r="16212" ht="15.75" customHeight="1">
      <c r="A16212" s="35"/>
      <c r="C16212" s="442"/>
      <c r="P16212" s="235"/>
      <c r="AI16212" s="38"/>
    </row>
    <row r="16213" ht="15.75" customHeight="1">
      <c r="A16213" s="35"/>
      <c r="C16213" s="442"/>
      <c r="P16213" s="235"/>
      <c r="AI16213" s="38"/>
    </row>
    <row r="16214" ht="15.75" customHeight="1">
      <c r="A16214" s="35"/>
      <c r="C16214" s="442"/>
      <c r="P16214" s="235"/>
      <c r="AI16214" s="38"/>
    </row>
    <row r="16215" ht="15.75" customHeight="1">
      <c r="A16215" s="35"/>
      <c r="C16215" s="442"/>
      <c r="P16215" s="235"/>
      <c r="AI16215" s="38"/>
    </row>
    <row r="16216" ht="15.75" customHeight="1">
      <c r="A16216" s="35"/>
      <c r="C16216" s="442"/>
      <c r="P16216" s="235"/>
      <c r="AI16216" s="38"/>
    </row>
    <row r="16217" ht="15.75" customHeight="1">
      <c r="A16217" s="35"/>
      <c r="C16217" s="442"/>
      <c r="P16217" s="235"/>
      <c r="AI16217" s="38"/>
    </row>
    <row r="16218" ht="15.75" customHeight="1">
      <c r="A16218" s="35"/>
      <c r="C16218" s="442"/>
      <c r="P16218" s="235"/>
      <c r="AI16218" s="38"/>
    </row>
    <row r="16219" ht="15.75" customHeight="1">
      <c r="A16219" s="35"/>
      <c r="C16219" s="442"/>
      <c r="P16219" s="235"/>
      <c r="AI16219" s="38"/>
    </row>
    <row r="16220" ht="15.75" customHeight="1">
      <c r="A16220" s="35"/>
      <c r="C16220" s="442"/>
      <c r="P16220" s="235"/>
      <c r="AI16220" s="38"/>
    </row>
    <row r="16221" ht="15.75" customHeight="1">
      <c r="A16221" s="35"/>
      <c r="C16221" s="442"/>
      <c r="P16221" s="235"/>
      <c r="AI16221" s="38"/>
    </row>
    <row r="16222" ht="15.75" customHeight="1">
      <c r="A16222" s="35"/>
      <c r="C16222" s="442"/>
      <c r="P16222" s="235"/>
      <c r="AI16222" s="38"/>
    </row>
    <row r="16223" ht="15.75" customHeight="1">
      <c r="A16223" s="35"/>
      <c r="C16223" s="442"/>
      <c r="P16223" s="235"/>
      <c r="AI16223" s="38"/>
    </row>
    <row r="16224" ht="15.75" customHeight="1">
      <c r="A16224" s="35"/>
      <c r="C16224" s="442"/>
      <c r="P16224" s="235"/>
      <c r="AI16224" s="38"/>
    </row>
    <row r="16225" ht="15.75" customHeight="1">
      <c r="A16225" s="35"/>
      <c r="C16225" s="442"/>
      <c r="P16225" s="235"/>
      <c r="AI16225" s="38"/>
    </row>
    <row r="16226" ht="15.75" customHeight="1">
      <c r="A16226" s="35"/>
      <c r="C16226" s="442"/>
      <c r="P16226" s="235"/>
      <c r="AI16226" s="38"/>
    </row>
    <row r="16227" ht="15.75" customHeight="1">
      <c r="A16227" s="35"/>
      <c r="C16227" s="442"/>
      <c r="P16227" s="235"/>
      <c r="AI16227" s="38"/>
    </row>
    <row r="16228" ht="15.75" customHeight="1">
      <c r="A16228" s="35"/>
      <c r="C16228" s="442"/>
      <c r="P16228" s="235"/>
      <c r="AI16228" s="38"/>
    </row>
    <row r="16229" ht="15.75" customHeight="1">
      <c r="A16229" s="35"/>
      <c r="C16229" s="442"/>
      <c r="P16229" s="235"/>
      <c r="AI16229" s="38"/>
    </row>
    <row r="16230" ht="15.75" customHeight="1">
      <c r="A16230" s="35"/>
      <c r="C16230" s="442"/>
      <c r="P16230" s="235"/>
      <c r="AI16230" s="38"/>
    </row>
    <row r="16231" ht="15.75" customHeight="1">
      <c r="A16231" s="35"/>
      <c r="C16231" s="442"/>
      <c r="P16231" s="235"/>
      <c r="AI16231" s="38"/>
    </row>
    <row r="16232" ht="15.75" customHeight="1">
      <c r="A16232" s="35"/>
      <c r="C16232" s="442"/>
      <c r="P16232" s="235"/>
      <c r="AI16232" s="38"/>
    </row>
    <row r="16233" ht="15.75" customHeight="1">
      <c r="A16233" s="35"/>
      <c r="C16233" s="442"/>
      <c r="P16233" s="235"/>
      <c r="AI16233" s="38"/>
    </row>
    <row r="16234" ht="15.75" customHeight="1">
      <c r="A16234" s="35"/>
      <c r="C16234" s="442"/>
      <c r="P16234" s="235"/>
      <c r="AI16234" s="38"/>
    </row>
    <row r="16235" ht="15.75" customHeight="1">
      <c r="A16235" s="35"/>
      <c r="C16235" s="442"/>
      <c r="P16235" s="235"/>
      <c r="AI16235" s="38"/>
    </row>
    <row r="16236" ht="15.75" customHeight="1">
      <c r="A16236" s="35"/>
      <c r="C16236" s="442"/>
      <c r="P16236" s="235"/>
      <c r="AI16236" s="38"/>
    </row>
    <row r="16237" ht="15.75" customHeight="1">
      <c r="A16237" s="35"/>
      <c r="C16237" s="442"/>
      <c r="P16237" s="235"/>
      <c r="AI16237" s="38"/>
    </row>
    <row r="16238" ht="15.75" customHeight="1">
      <c r="A16238" s="35"/>
      <c r="C16238" s="442"/>
      <c r="P16238" s="235"/>
      <c r="AI16238" s="38"/>
    </row>
    <row r="16239" ht="15.75" customHeight="1">
      <c r="A16239" s="35"/>
      <c r="C16239" s="442"/>
      <c r="P16239" s="235"/>
      <c r="AI16239" s="38"/>
    </row>
    <row r="16240" ht="15.75" customHeight="1">
      <c r="A16240" s="35"/>
      <c r="C16240" s="442"/>
      <c r="P16240" s="235"/>
      <c r="AI16240" s="38"/>
    </row>
    <row r="16241" ht="15.75" customHeight="1">
      <c r="A16241" s="35"/>
      <c r="C16241" s="442"/>
      <c r="P16241" s="235"/>
      <c r="AI16241" s="38"/>
    </row>
    <row r="16242" ht="15.75" customHeight="1">
      <c r="A16242" s="35"/>
      <c r="C16242" s="442"/>
      <c r="P16242" s="235"/>
      <c r="AI16242" s="38"/>
    </row>
    <row r="16243" ht="15.75" customHeight="1">
      <c r="A16243" s="35"/>
      <c r="C16243" s="442"/>
      <c r="P16243" s="235"/>
      <c r="AI16243" s="38"/>
    </row>
    <row r="16244" ht="15.75" customHeight="1">
      <c r="A16244" s="35"/>
      <c r="C16244" s="442"/>
      <c r="P16244" s="235"/>
      <c r="AI16244" s="38"/>
    </row>
    <row r="16245" ht="15.75" customHeight="1">
      <c r="A16245" s="35"/>
      <c r="C16245" s="442"/>
      <c r="P16245" s="235"/>
      <c r="AI16245" s="38"/>
    </row>
    <row r="16246" ht="15.75" customHeight="1">
      <c r="A16246" s="35"/>
      <c r="C16246" s="442"/>
      <c r="P16246" s="235"/>
      <c r="AI16246" s="38"/>
    </row>
    <row r="16247" ht="15.75" customHeight="1">
      <c r="A16247" s="35"/>
      <c r="C16247" s="442"/>
      <c r="P16247" s="235"/>
      <c r="AI16247" s="38"/>
    </row>
    <row r="16248" ht="15.75" customHeight="1">
      <c r="A16248" s="35"/>
      <c r="C16248" s="442"/>
      <c r="P16248" s="235"/>
      <c r="AI16248" s="38"/>
    </row>
    <row r="16249" ht="15.75" customHeight="1">
      <c r="A16249" s="35"/>
      <c r="C16249" s="442"/>
      <c r="P16249" s="235"/>
      <c r="AI16249" s="38"/>
    </row>
    <row r="16250" ht="15.75" customHeight="1">
      <c r="A16250" s="35"/>
      <c r="C16250" s="442"/>
      <c r="P16250" s="235"/>
      <c r="AI16250" s="38"/>
    </row>
    <row r="16251" ht="15.75" customHeight="1">
      <c r="A16251" s="35"/>
      <c r="C16251" s="442"/>
      <c r="P16251" s="235"/>
      <c r="AI16251" s="38"/>
    </row>
    <row r="16252" ht="15.75" customHeight="1">
      <c r="A16252" s="35"/>
      <c r="C16252" s="442"/>
      <c r="P16252" s="235"/>
      <c r="AI16252" s="38"/>
    </row>
    <row r="16253" ht="15.75" customHeight="1">
      <c r="A16253" s="35"/>
      <c r="C16253" s="442"/>
      <c r="P16253" s="235"/>
      <c r="AI16253" s="38"/>
    </row>
    <row r="16254" ht="15.75" customHeight="1">
      <c r="A16254" s="35"/>
      <c r="C16254" s="442"/>
      <c r="P16254" s="235"/>
      <c r="AI16254" s="38"/>
    </row>
    <row r="16255" ht="15.75" customHeight="1">
      <c r="A16255" s="35"/>
      <c r="C16255" s="442"/>
      <c r="P16255" s="235"/>
      <c r="AI16255" s="38"/>
    </row>
    <row r="16256" ht="15.75" customHeight="1">
      <c r="A16256" s="35"/>
      <c r="C16256" s="442"/>
      <c r="P16256" s="235"/>
      <c r="AI16256" s="38"/>
    </row>
    <row r="16257" ht="15.75" customHeight="1">
      <c r="A16257" s="35"/>
      <c r="C16257" s="442"/>
      <c r="P16257" s="235"/>
      <c r="AI16257" s="38"/>
    </row>
    <row r="16258" ht="15.75" customHeight="1">
      <c r="A16258" s="35"/>
      <c r="C16258" s="442"/>
      <c r="P16258" s="235"/>
      <c r="AI16258" s="38"/>
    </row>
    <row r="16259" ht="15.75" customHeight="1">
      <c r="A16259" s="35"/>
      <c r="C16259" s="442"/>
      <c r="P16259" s="235"/>
      <c r="AI16259" s="38"/>
    </row>
    <row r="16260" ht="15.75" customHeight="1">
      <c r="A16260" s="35"/>
      <c r="C16260" s="442"/>
      <c r="P16260" s="235"/>
      <c r="AI16260" s="38"/>
    </row>
    <row r="16261" ht="15.75" customHeight="1">
      <c r="A16261" s="35"/>
      <c r="C16261" s="442"/>
      <c r="P16261" s="235"/>
      <c r="AI16261" s="38"/>
    </row>
    <row r="16262" ht="15.75" customHeight="1">
      <c r="A16262" s="35"/>
      <c r="C16262" s="442"/>
      <c r="P16262" s="235"/>
      <c r="AI16262" s="38"/>
    </row>
    <row r="16263" ht="15.75" customHeight="1">
      <c r="A16263" s="35"/>
      <c r="C16263" s="442"/>
      <c r="P16263" s="235"/>
      <c r="AI16263" s="38"/>
    </row>
    <row r="16264" ht="15.75" customHeight="1">
      <c r="A16264" s="35"/>
      <c r="C16264" s="442"/>
      <c r="P16264" s="235"/>
      <c r="AI16264" s="38"/>
    </row>
    <row r="16265" ht="15.75" customHeight="1">
      <c r="A16265" s="35"/>
      <c r="C16265" s="442"/>
      <c r="P16265" s="235"/>
      <c r="AI16265" s="38"/>
    </row>
    <row r="16266" ht="15.75" customHeight="1">
      <c r="A16266" s="35"/>
      <c r="C16266" s="442"/>
      <c r="P16266" s="235"/>
      <c r="AI16266" s="38"/>
    </row>
    <row r="16267" ht="15.75" customHeight="1">
      <c r="A16267" s="35"/>
      <c r="C16267" s="442"/>
      <c r="P16267" s="235"/>
      <c r="AI16267" s="38"/>
    </row>
    <row r="16268" ht="15.75" customHeight="1">
      <c r="A16268" s="35"/>
      <c r="C16268" s="442"/>
      <c r="P16268" s="235"/>
      <c r="AI16268" s="38"/>
    </row>
    <row r="16269" ht="15.75" customHeight="1">
      <c r="A16269" s="35"/>
      <c r="C16269" s="442"/>
      <c r="P16269" s="235"/>
      <c r="AI16269" s="38"/>
    </row>
    <row r="16270" ht="15.75" customHeight="1">
      <c r="A16270" s="35"/>
      <c r="C16270" s="442"/>
      <c r="P16270" s="235"/>
      <c r="AI16270" s="38"/>
    </row>
    <row r="16271" ht="15.75" customHeight="1">
      <c r="A16271" s="35"/>
      <c r="C16271" s="442"/>
      <c r="P16271" s="235"/>
      <c r="AI16271" s="38"/>
    </row>
    <row r="16272" ht="15.75" customHeight="1">
      <c r="A16272" s="35"/>
      <c r="C16272" s="442"/>
      <c r="P16272" s="235"/>
      <c r="AI16272" s="38"/>
    </row>
    <row r="16273" ht="15.75" customHeight="1">
      <c r="A16273" s="35"/>
      <c r="C16273" s="442"/>
      <c r="P16273" s="235"/>
      <c r="AI16273" s="38"/>
    </row>
    <row r="16274" ht="15.75" customHeight="1">
      <c r="A16274" s="35"/>
      <c r="C16274" s="442"/>
      <c r="P16274" s="235"/>
      <c r="AI16274" s="38"/>
    </row>
    <row r="16275" ht="15.75" customHeight="1">
      <c r="A16275" s="35"/>
      <c r="C16275" s="442"/>
      <c r="P16275" s="235"/>
      <c r="AI16275" s="38"/>
    </row>
    <row r="16276" ht="15.75" customHeight="1">
      <c r="A16276" s="35"/>
      <c r="C16276" s="442"/>
      <c r="P16276" s="235"/>
      <c r="AI16276" s="38"/>
    </row>
    <row r="16277" ht="15.75" customHeight="1">
      <c r="A16277" s="35"/>
      <c r="C16277" s="442"/>
      <c r="P16277" s="235"/>
      <c r="AI16277" s="38"/>
    </row>
    <row r="16278" ht="15.75" customHeight="1">
      <c r="A16278" s="35"/>
      <c r="C16278" s="442"/>
      <c r="P16278" s="235"/>
      <c r="AI16278" s="38"/>
    </row>
    <row r="16279" ht="15.75" customHeight="1">
      <c r="A16279" s="35"/>
      <c r="C16279" s="442"/>
      <c r="P16279" s="235"/>
      <c r="AI16279" s="38"/>
    </row>
    <row r="16280" ht="15.75" customHeight="1">
      <c r="A16280" s="35"/>
      <c r="C16280" s="442"/>
      <c r="P16280" s="235"/>
      <c r="AI16280" s="38"/>
    </row>
    <row r="16281" ht="15.75" customHeight="1">
      <c r="A16281" s="35"/>
      <c r="C16281" s="442"/>
      <c r="P16281" s="235"/>
      <c r="AI16281" s="38"/>
    </row>
    <row r="16282" ht="15.75" customHeight="1">
      <c r="A16282" s="35"/>
      <c r="C16282" s="442"/>
      <c r="P16282" s="235"/>
      <c r="AI16282" s="38"/>
    </row>
    <row r="16283" ht="15.75" customHeight="1">
      <c r="A16283" s="35"/>
      <c r="C16283" s="442"/>
      <c r="P16283" s="235"/>
      <c r="AI16283" s="38"/>
    </row>
    <row r="16284" ht="15.75" customHeight="1">
      <c r="A16284" s="35"/>
      <c r="C16284" s="442"/>
      <c r="P16284" s="235"/>
      <c r="AI16284" s="38"/>
    </row>
    <row r="16285" ht="15.75" customHeight="1">
      <c r="A16285" s="35"/>
      <c r="C16285" s="442"/>
      <c r="P16285" s="235"/>
      <c r="AI16285" s="38"/>
    </row>
    <row r="16286" ht="15.75" customHeight="1">
      <c r="A16286" s="35"/>
      <c r="C16286" s="442"/>
      <c r="P16286" s="235"/>
      <c r="AI16286" s="38"/>
    </row>
    <row r="16287" ht="15.75" customHeight="1">
      <c r="A16287" s="35"/>
      <c r="C16287" s="442"/>
      <c r="P16287" s="235"/>
      <c r="AI16287" s="38"/>
    </row>
    <row r="16288" ht="15.75" customHeight="1">
      <c r="A16288" s="35"/>
      <c r="C16288" s="442"/>
      <c r="P16288" s="235"/>
      <c r="AI16288" s="38"/>
    </row>
    <row r="16289" ht="15.75" customHeight="1">
      <c r="A16289" s="35"/>
      <c r="C16289" s="442"/>
      <c r="P16289" s="235"/>
      <c r="AI16289" s="38"/>
    </row>
    <row r="16290" ht="15.75" customHeight="1">
      <c r="A16290" s="35"/>
      <c r="C16290" s="442"/>
      <c r="P16290" s="235"/>
      <c r="AI16290" s="38"/>
    </row>
    <row r="16291" ht="15.75" customHeight="1">
      <c r="A16291" s="35"/>
      <c r="C16291" s="442"/>
      <c r="P16291" s="235"/>
      <c r="AI16291" s="38"/>
    </row>
    <row r="16292" ht="15.75" customHeight="1">
      <c r="A16292" s="35"/>
      <c r="C16292" s="442"/>
      <c r="P16292" s="235"/>
      <c r="AI16292" s="38"/>
    </row>
    <row r="16293" ht="15.75" customHeight="1">
      <c r="A16293" s="35"/>
      <c r="C16293" s="442"/>
      <c r="P16293" s="235"/>
      <c r="AI16293" s="38"/>
    </row>
    <row r="16294" ht="15.75" customHeight="1">
      <c r="A16294" s="35"/>
      <c r="C16294" s="442"/>
      <c r="P16294" s="235"/>
      <c r="AI16294" s="38"/>
    </row>
    <row r="16295" ht="15.75" customHeight="1">
      <c r="A16295" s="35"/>
      <c r="C16295" s="442"/>
      <c r="P16295" s="235"/>
      <c r="AI16295" s="38"/>
    </row>
    <row r="16296" ht="15.75" customHeight="1">
      <c r="A16296" s="35"/>
      <c r="C16296" s="442"/>
      <c r="P16296" s="235"/>
      <c r="AI16296" s="38"/>
    </row>
    <row r="16297" ht="15.75" customHeight="1">
      <c r="A16297" s="35"/>
      <c r="C16297" s="442"/>
      <c r="P16297" s="235"/>
      <c r="AI16297" s="38"/>
    </row>
    <row r="16298" ht="15.75" customHeight="1">
      <c r="A16298" s="35"/>
      <c r="C16298" s="442"/>
      <c r="P16298" s="235"/>
      <c r="AI16298" s="38"/>
    </row>
    <row r="16299" ht="15.75" customHeight="1">
      <c r="A16299" s="35"/>
      <c r="C16299" s="442"/>
      <c r="P16299" s="235"/>
      <c r="AI16299" s="38"/>
    </row>
    <row r="16300" ht="15.75" customHeight="1">
      <c r="A16300" s="35"/>
      <c r="C16300" s="442"/>
      <c r="P16300" s="235"/>
      <c r="AI16300" s="38"/>
    </row>
    <row r="16301" ht="15.75" customHeight="1">
      <c r="A16301" s="35"/>
      <c r="C16301" s="442"/>
      <c r="P16301" s="235"/>
      <c r="AI16301" s="38"/>
    </row>
    <row r="16302" ht="15.75" customHeight="1">
      <c r="A16302" s="35"/>
      <c r="C16302" s="442"/>
      <c r="P16302" s="235"/>
      <c r="AI16302" s="38"/>
    </row>
    <row r="16303" ht="15.75" customHeight="1">
      <c r="A16303" s="35"/>
      <c r="C16303" s="442"/>
      <c r="P16303" s="235"/>
      <c r="AI16303" s="38"/>
    </row>
    <row r="16304" ht="15.75" customHeight="1">
      <c r="A16304" s="35"/>
      <c r="C16304" s="442"/>
      <c r="P16304" s="235"/>
      <c r="AI16304" s="38"/>
    </row>
    <row r="16305" ht="15.75" customHeight="1">
      <c r="A16305" s="35"/>
      <c r="C16305" s="442"/>
      <c r="P16305" s="235"/>
      <c r="AI16305" s="38"/>
    </row>
    <row r="16306" ht="15.75" customHeight="1">
      <c r="A16306" s="35"/>
      <c r="C16306" s="442"/>
      <c r="P16306" s="235"/>
      <c r="AI16306" s="38"/>
    </row>
    <row r="16307" ht="15.75" customHeight="1">
      <c r="A16307" s="35"/>
      <c r="C16307" s="442"/>
      <c r="P16307" s="235"/>
      <c r="AI16307" s="38"/>
    </row>
    <row r="16308" ht="15.75" customHeight="1">
      <c r="A16308" s="35"/>
      <c r="C16308" s="442"/>
      <c r="P16308" s="235"/>
      <c r="AI16308" s="38"/>
    </row>
    <row r="16309" ht="15.75" customHeight="1">
      <c r="A16309" s="35"/>
      <c r="C16309" s="442"/>
      <c r="P16309" s="235"/>
      <c r="AI16309" s="38"/>
    </row>
    <row r="16310" ht="15.75" customHeight="1">
      <c r="A16310" s="35"/>
      <c r="C16310" s="442"/>
      <c r="P16310" s="235"/>
      <c r="AI16310" s="38"/>
    </row>
    <row r="16311" ht="15.75" customHeight="1">
      <c r="A16311" s="35"/>
      <c r="C16311" s="442"/>
      <c r="P16311" s="235"/>
      <c r="AI16311" s="38"/>
    </row>
    <row r="16312" ht="15.75" customHeight="1">
      <c r="A16312" s="35"/>
      <c r="C16312" s="442"/>
      <c r="P16312" s="235"/>
      <c r="AI16312" s="38"/>
    </row>
    <row r="16313" ht="15.75" customHeight="1">
      <c r="A16313" s="35"/>
      <c r="C16313" s="442"/>
      <c r="P16313" s="235"/>
      <c r="AI16313" s="38"/>
    </row>
    <row r="16314" ht="15.75" customHeight="1">
      <c r="A16314" s="35"/>
      <c r="C16314" s="442"/>
      <c r="P16314" s="235"/>
      <c r="AI16314" s="38"/>
    </row>
    <row r="16315" ht="15.75" customHeight="1">
      <c r="A16315" s="35"/>
      <c r="C16315" s="442"/>
      <c r="P16315" s="235"/>
      <c r="AI16315" s="38"/>
    </row>
    <row r="16316" ht="15.75" customHeight="1">
      <c r="A16316" s="35"/>
      <c r="C16316" s="442"/>
      <c r="P16316" s="235"/>
      <c r="AI16316" s="38"/>
    </row>
    <row r="16317" ht="15.75" customHeight="1">
      <c r="A16317" s="35"/>
      <c r="C16317" s="442"/>
      <c r="P16317" s="235"/>
      <c r="AI16317" s="38"/>
    </row>
    <row r="16318" ht="15.75" customHeight="1">
      <c r="A16318" s="35"/>
      <c r="C16318" s="442"/>
      <c r="P16318" s="235"/>
      <c r="AI16318" s="38"/>
    </row>
    <row r="16319" ht="15.75" customHeight="1">
      <c r="A16319" s="35"/>
      <c r="C16319" s="442"/>
      <c r="P16319" s="235"/>
      <c r="AI16319" s="38"/>
    </row>
    <row r="16320" ht="15.75" customHeight="1">
      <c r="A16320" s="35"/>
      <c r="C16320" s="442"/>
      <c r="P16320" s="235"/>
      <c r="AI16320" s="38"/>
    </row>
    <row r="16321" ht="15.75" customHeight="1">
      <c r="A16321" s="35"/>
      <c r="C16321" s="442"/>
      <c r="P16321" s="235"/>
      <c r="AI16321" s="38"/>
    </row>
    <row r="16322" ht="15.75" customHeight="1">
      <c r="A16322" s="35"/>
      <c r="C16322" s="442"/>
      <c r="P16322" s="235"/>
      <c r="AI16322" s="38"/>
    </row>
    <row r="16323" ht="15.75" customHeight="1">
      <c r="A16323" s="35"/>
      <c r="C16323" s="442"/>
      <c r="P16323" s="235"/>
      <c r="AI16323" s="38"/>
    </row>
    <row r="16324" ht="15.75" customHeight="1">
      <c r="A16324" s="35"/>
      <c r="C16324" s="442"/>
      <c r="P16324" s="235"/>
      <c r="AI16324" s="38"/>
    </row>
    <row r="16325" ht="15.75" customHeight="1">
      <c r="A16325" s="35"/>
      <c r="C16325" s="442"/>
      <c r="P16325" s="235"/>
      <c r="AI16325" s="38"/>
    </row>
    <row r="16326" ht="15.75" customHeight="1">
      <c r="A16326" s="35"/>
      <c r="C16326" s="442"/>
      <c r="P16326" s="235"/>
      <c r="AI16326" s="38"/>
    </row>
    <row r="16327" ht="15.75" customHeight="1">
      <c r="A16327" s="35"/>
      <c r="C16327" s="442"/>
      <c r="P16327" s="235"/>
      <c r="AI16327" s="38"/>
    </row>
    <row r="16328" ht="15.75" customHeight="1">
      <c r="A16328" s="35"/>
      <c r="C16328" s="442"/>
      <c r="P16328" s="235"/>
      <c r="AI16328" s="38"/>
    </row>
    <row r="16329" ht="15.75" customHeight="1">
      <c r="A16329" s="35"/>
      <c r="C16329" s="442"/>
      <c r="P16329" s="235"/>
      <c r="AI16329" s="38"/>
    </row>
    <row r="16330" ht="15.75" customHeight="1">
      <c r="A16330" s="35"/>
      <c r="C16330" s="442"/>
      <c r="P16330" s="235"/>
      <c r="AI16330" s="38"/>
    </row>
    <row r="16331" ht="15.75" customHeight="1">
      <c r="A16331" s="35"/>
      <c r="C16331" s="442"/>
      <c r="P16331" s="235"/>
      <c r="AI16331" s="38"/>
    </row>
    <row r="16332" ht="15.75" customHeight="1">
      <c r="A16332" s="35"/>
      <c r="C16332" s="442"/>
      <c r="P16332" s="235"/>
      <c r="AI16332" s="38"/>
    </row>
    <row r="16333" ht="15.75" customHeight="1">
      <c r="A16333" s="35"/>
      <c r="C16333" s="442"/>
      <c r="P16333" s="235"/>
      <c r="AI16333" s="38"/>
    </row>
    <row r="16334" ht="15.75" customHeight="1">
      <c r="A16334" s="35"/>
      <c r="C16334" s="442"/>
      <c r="P16334" s="235"/>
      <c r="AI16334" s="38"/>
    </row>
    <row r="16335" ht="15.75" customHeight="1">
      <c r="A16335" s="35"/>
      <c r="C16335" s="442"/>
      <c r="P16335" s="235"/>
      <c r="AI16335" s="38"/>
    </row>
    <row r="16336" ht="15.75" customHeight="1">
      <c r="A16336" s="35"/>
      <c r="C16336" s="442"/>
      <c r="P16336" s="235"/>
      <c r="AI16336" s="38"/>
    </row>
    <row r="16337" ht="15.75" customHeight="1">
      <c r="A16337" s="35"/>
      <c r="C16337" s="442"/>
      <c r="P16337" s="235"/>
      <c r="AI16337" s="38"/>
    </row>
    <row r="16338" ht="15.75" customHeight="1">
      <c r="A16338" s="35"/>
      <c r="C16338" s="442"/>
      <c r="P16338" s="235"/>
      <c r="AI16338" s="38"/>
    </row>
    <row r="16339" ht="15.75" customHeight="1">
      <c r="A16339" s="35"/>
      <c r="C16339" s="442"/>
      <c r="P16339" s="235"/>
      <c r="AI16339" s="38"/>
    </row>
    <row r="16340" ht="15.75" customHeight="1">
      <c r="A16340" s="35"/>
      <c r="C16340" s="442"/>
      <c r="P16340" s="235"/>
      <c r="AI16340" s="38"/>
    </row>
    <row r="16341" ht="15.75" customHeight="1">
      <c r="A16341" s="35"/>
      <c r="C16341" s="442"/>
      <c r="P16341" s="235"/>
      <c r="AI16341" s="38"/>
    </row>
    <row r="16342" ht="15.75" customHeight="1">
      <c r="A16342" s="35"/>
      <c r="C16342" s="442"/>
      <c r="P16342" s="235"/>
      <c r="AI16342" s="38"/>
    </row>
    <row r="16343" ht="15.75" customHeight="1">
      <c r="A16343" s="35"/>
      <c r="C16343" s="442"/>
      <c r="P16343" s="235"/>
      <c r="AI16343" s="38"/>
    </row>
    <row r="16344" ht="15.75" customHeight="1">
      <c r="A16344" s="35"/>
      <c r="C16344" s="442"/>
      <c r="P16344" s="235"/>
      <c r="AI16344" s="38"/>
    </row>
    <row r="16345" ht="15.75" customHeight="1">
      <c r="A16345" s="35"/>
      <c r="C16345" s="442"/>
      <c r="P16345" s="235"/>
      <c r="AI16345" s="38"/>
    </row>
    <row r="16346" ht="15.75" customHeight="1">
      <c r="A16346" s="35"/>
      <c r="C16346" s="442"/>
      <c r="P16346" s="235"/>
      <c r="AI16346" s="38"/>
    </row>
    <row r="16347" ht="15.75" customHeight="1">
      <c r="A16347" s="35"/>
      <c r="C16347" s="442"/>
      <c r="P16347" s="235"/>
      <c r="AI16347" s="38"/>
    </row>
    <row r="16348" ht="15.75" customHeight="1">
      <c r="A16348" s="35"/>
      <c r="C16348" s="442"/>
      <c r="P16348" s="235"/>
      <c r="AI16348" s="38"/>
    </row>
    <row r="16349" ht="15.75" customHeight="1">
      <c r="A16349" s="35"/>
      <c r="C16349" s="442"/>
      <c r="P16349" s="235"/>
      <c r="AI16349" s="38"/>
    </row>
    <row r="16350" ht="15.75" customHeight="1">
      <c r="A16350" s="35"/>
      <c r="C16350" s="442"/>
      <c r="P16350" s="235"/>
      <c r="AI16350" s="38"/>
    </row>
    <row r="16351" ht="15.75" customHeight="1">
      <c r="A16351" s="35"/>
      <c r="C16351" s="442"/>
      <c r="P16351" s="235"/>
      <c r="AI16351" s="38"/>
    </row>
    <row r="16352" ht="15.75" customHeight="1">
      <c r="A16352" s="35"/>
      <c r="C16352" s="442"/>
      <c r="P16352" s="235"/>
      <c r="AI16352" s="38"/>
    </row>
    <row r="16353" ht="15.75" customHeight="1">
      <c r="A16353" s="35"/>
      <c r="C16353" s="442"/>
      <c r="P16353" s="235"/>
      <c r="AI16353" s="38"/>
    </row>
    <row r="16354" ht="15.75" customHeight="1">
      <c r="A16354" s="35"/>
      <c r="C16354" s="442"/>
      <c r="P16354" s="235"/>
      <c r="AI16354" s="38"/>
    </row>
    <row r="16355" ht="15.75" customHeight="1">
      <c r="A16355" s="35"/>
      <c r="C16355" s="442"/>
      <c r="P16355" s="235"/>
      <c r="AI16355" s="38"/>
    </row>
    <row r="16356" ht="15.75" customHeight="1">
      <c r="A16356" s="35"/>
      <c r="C16356" s="442"/>
      <c r="P16356" s="235"/>
      <c r="AI16356" s="38"/>
    </row>
    <row r="16357" ht="15.75" customHeight="1">
      <c r="A16357" s="35"/>
      <c r="C16357" s="442"/>
      <c r="P16357" s="235"/>
      <c r="AI16357" s="38"/>
    </row>
    <row r="16358" ht="15.75" customHeight="1">
      <c r="A16358" s="35"/>
      <c r="C16358" s="442"/>
      <c r="P16358" s="235"/>
      <c r="AI16358" s="38"/>
    </row>
    <row r="16359" ht="15.75" customHeight="1">
      <c r="A16359" s="35"/>
      <c r="C16359" s="442"/>
      <c r="P16359" s="235"/>
      <c r="AI16359" s="38"/>
    </row>
    <row r="16360" ht="15.75" customHeight="1">
      <c r="A16360" s="35"/>
      <c r="C16360" s="442"/>
      <c r="P16360" s="235"/>
      <c r="AI16360" s="38"/>
    </row>
    <row r="16361" ht="15.75" customHeight="1">
      <c r="A16361" s="35"/>
      <c r="C16361" s="442"/>
      <c r="P16361" s="235"/>
      <c r="AI16361" s="38"/>
    </row>
    <row r="16362" ht="15.75" customHeight="1">
      <c r="A16362" s="35"/>
      <c r="C16362" s="442"/>
      <c r="P16362" s="235"/>
      <c r="AI16362" s="38"/>
    </row>
    <row r="16363" ht="15.75" customHeight="1">
      <c r="A16363" s="35"/>
      <c r="C16363" s="442"/>
      <c r="P16363" s="235"/>
      <c r="AI16363" s="38"/>
    </row>
    <row r="16364" ht="15.75" customHeight="1">
      <c r="A16364" s="35"/>
      <c r="C16364" s="442"/>
      <c r="P16364" s="235"/>
      <c r="AI16364" s="38"/>
    </row>
    <row r="16365" ht="15.75" customHeight="1">
      <c r="A16365" s="35"/>
      <c r="C16365" s="442"/>
      <c r="P16365" s="235"/>
      <c r="AI16365" s="38"/>
    </row>
    <row r="16366" ht="15.75" customHeight="1">
      <c r="A16366" s="35"/>
      <c r="C16366" s="442"/>
      <c r="P16366" s="235"/>
      <c r="AI16366" s="38"/>
    </row>
    <row r="16367" ht="15.75" customHeight="1">
      <c r="A16367" s="35"/>
      <c r="C16367" s="442"/>
      <c r="P16367" s="235"/>
      <c r="AI16367" s="38"/>
    </row>
    <row r="16368" ht="15.75" customHeight="1">
      <c r="A16368" s="35"/>
      <c r="C16368" s="442"/>
      <c r="P16368" s="235"/>
      <c r="AI16368" s="38"/>
    </row>
    <row r="16369" ht="15.75" customHeight="1">
      <c r="A16369" s="35"/>
      <c r="C16369" s="442"/>
      <c r="P16369" s="235"/>
      <c r="AI16369" s="38"/>
    </row>
    <row r="16370" ht="15.75" customHeight="1">
      <c r="A16370" s="35"/>
      <c r="C16370" s="442"/>
      <c r="P16370" s="235"/>
      <c r="AI16370" s="38"/>
    </row>
    <row r="16371" ht="15.75" customHeight="1">
      <c r="A16371" s="35"/>
      <c r="C16371" s="442"/>
      <c r="P16371" s="235"/>
      <c r="AI16371" s="38"/>
    </row>
    <row r="16372" ht="15.75" customHeight="1">
      <c r="A16372" s="35"/>
      <c r="C16372" s="442"/>
      <c r="P16372" s="235"/>
      <c r="AI16372" s="38"/>
    </row>
    <row r="16373" ht="15.75" customHeight="1">
      <c r="A16373" s="35"/>
      <c r="C16373" s="442"/>
      <c r="P16373" s="235"/>
      <c r="AI16373" s="38"/>
    </row>
    <row r="16374" ht="15.75" customHeight="1">
      <c r="A16374" s="35"/>
      <c r="C16374" s="442"/>
      <c r="P16374" s="235"/>
      <c r="AI16374" s="38"/>
    </row>
    <row r="16375" ht="15.75" customHeight="1">
      <c r="A16375" s="35"/>
      <c r="C16375" s="442"/>
      <c r="P16375" s="235"/>
      <c r="AI16375" s="38"/>
    </row>
    <row r="16376" ht="15.75" customHeight="1">
      <c r="A16376" s="35"/>
      <c r="C16376" s="442"/>
      <c r="P16376" s="235"/>
      <c r="AI16376" s="38"/>
    </row>
    <row r="16377" ht="15.75" customHeight="1">
      <c r="A16377" s="35"/>
      <c r="C16377" s="442"/>
      <c r="P16377" s="235"/>
      <c r="AI16377" s="38"/>
    </row>
    <row r="16378" ht="15.75" customHeight="1">
      <c r="A16378" s="35"/>
      <c r="C16378" s="442"/>
      <c r="P16378" s="235"/>
      <c r="AI16378" s="38"/>
    </row>
    <row r="16379" ht="15.75" customHeight="1">
      <c r="A16379" s="35"/>
      <c r="C16379" s="442"/>
      <c r="P16379" s="235"/>
      <c r="AI16379" s="38"/>
    </row>
    <row r="16380" ht="15.75" customHeight="1">
      <c r="A16380" s="35"/>
      <c r="C16380" s="442"/>
      <c r="P16380" s="235"/>
      <c r="AI16380" s="38"/>
    </row>
    <row r="16381" ht="15.75" customHeight="1">
      <c r="A16381" s="35"/>
      <c r="C16381" s="442"/>
      <c r="P16381" s="235"/>
      <c r="AI16381" s="38"/>
    </row>
    <row r="16382" ht="15.75" customHeight="1">
      <c r="A16382" s="35"/>
      <c r="C16382" s="442"/>
      <c r="P16382" s="235"/>
      <c r="AI16382" s="38"/>
    </row>
    <row r="16383" ht="15.75" customHeight="1">
      <c r="A16383" s="35"/>
      <c r="C16383" s="442"/>
      <c r="P16383" s="235"/>
      <c r="AI16383" s="38"/>
    </row>
    <row r="16384" ht="15.75" customHeight="1">
      <c r="A16384" s="35"/>
      <c r="C16384" s="442"/>
      <c r="P16384" s="235"/>
      <c r="AI16384" s="38"/>
    </row>
    <row r="16385" ht="15.75" customHeight="1">
      <c r="A16385" s="35"/>
      <c r="C16385" s="442"/>
      <c r="P16385" s="235"/>
      <c r="AI16385" s="38"/>
    </row>
    <row r="16386" ht="15.75" customHeight="1">
      <c r="A16386" s="35"/>
      <c r="C16386" s="442"/>
      <c r="P16386" s="235"/>
      <c r="AI16386" s="38"/>
    </row>
    <row r="16387" ht="15.75" customHeight="1">
      <c r="A16387" s="35"/>
      <c r="C16387" s="442"/>
      <c r="P16387" s="235"/>
      <c r="AI16387" s="38"/>
    </row>
    <row r="16388" ht="15.75" customHeight="1">
      <c r="A16388" s="35"/>
      <c r="C16388" s="442"/>
      <c r="P16388" s="235"/>
      <c r="AI16388" s="38"/>
    </row>
    <row r="16389" ht="15.75" customHeight="1">
      <c r="A16389" s="35"/>
      <c r="C16389" s="442"/>
      <c r="P16389" s="235"/>
      <c r="AI16389" s="38"/>
    </row>
    <row r="16390" ht="15.75" customHeight="1">
      <c r="A16390" s="35"/>
      <c r="C16390" s="442"/>
      <c r="P16390" s="235"/>
      <c r="AI16390" s="38"/>
    </row>
    <row r="16391" ht="15.75" customHeight="1">
      <c r="A16391" s="35"/>
      <c r="C16391" s="442"/>
      <c r="P16391" s="235"/>
      <c r="AI16391" s="38"/>
    </row>
    <row r="16392" ht="15.75" customHeight="1">
      <c r="A16392" s="35"/>
      <c r="C16392" s="442"/>
      <c r="P16392" s="235"/>
      <c r="AI16392" s="38"/>
    </row>
    <row r="16393" ht="15.75" customHeight="1">
      <c r="A16393" s="35"/>
      <c r="C16393" s="442"/>
      <c r="P16393" s="235"/>
      <c r="AI16393" s="38"/>
    </row>
    <row r="16394" ht="15.75" customHeight="1">
      <c r="A16394" s="35"/>
      <c r="C16394" s="442"/>
      <c r="P16394" s="235"/>
      <c r="AI16394" s="38"/>
    </row>
    <row r="16395" ht="15.75" customHeight="1">
      <c r="A16395" s="35"/>
      <c r="C16395" s="442"/>
      <c r="P16395" s="235"/>
      <c r="AI16395" s="38"/>
    </row>
    <row r="16396" ht="15.75" customHeight="1">
      <c r="A16396" s="35"/>
      <c r="C16396" s="442"/>
      <c r="P16396" s="235"/>
      <c r="AI16396" s="38"/>
    </row>
    <row r="16397" ht="15.75" customHeight="1">
      <c r="A16397" s="35"/>
      <c r="C16397" s="442"/>
      <c r="P16397" s="235"/>
      <c r="AI16397" s="38"/>
    </row>
    <row r="16398" ht="15.75" customHeight="1">
      <c r="A16398" s="35"/>
      <c r="C16398" s="442"/>
      <c r="P16398" s="235"/>
      <c r="AI16398" s="38"/>
    </row>
    <row r="16399" ht="15.75" customHeight="1">
      <c r="A16399" s="35"/>
      <c r="C16399" s="442"/>
      <c r="P16399" s="235"/>
      <c r="AI16399" s="38"/>
    </row>
    <row r="16400" ht="15.75" customHeight="1">
      <c r="A16400" s="35"/>
      <c r="C16400" s="442"/>
      <c r="P16400" s="235"/>
      <c r="AI16400" s="38"/>
    </row>
    <row r="16401" ht="15.75" customHeight="1">
      <c r="A16401" s="35"/>
      <c r="C16401" s="442"/>
      <c r="P16401" s="235"/>
      <c r="AI16401" s="38"/>
    </row>
    <row r="16402" ht="15.75" customHeight="1">
      <c r="A16402" s="35"/>
      <c r="C16402" s="442"/>
      <c r="P16402" s="235"/>
      <c r="AI16402" s="38"/>
    </row>
    <row r="16403" ht="15.75" customHeight="1">
      <c r="A16403" s="35"/>
      <c r="C16403" s="442"/>
      <c r="P16403" s="235"/>
      <c r="AI16403" s="38"/>
    </row>
    <row r="16404" ht="15.75" customHeight="1">
      <c r="A16404" s="35"/>
      <c r="C16404" s="442"/>
      <c r="P16404" s="235"/>
      <c r="AI16404" s="38"/>
    </row>
    <row r="16405" ht="15.75" customHeight="1">
      <c r="A16405" s="35"/>
      <c r="C16405" s="442"/>
      <c r="P16405" s="235"/>
      <c r="AI16405" s="38"/>
    </row>
    <row r="16406" ht="15.75" customHeight="1">
      <c r="A16406" s="35"/>
      <c r="C16406" s="442"/>
      <c r="P16406" s="235"/>
      <c r="AI16406" s="38"/>
    </row>
    <row r="16407" ht="15.75" customHeight="1">
      <c r="A16407" s="35"/>
      <c r="C16407" s="442"/>
      <c r="P16407" s="235"/>
      <c r="AI16407" s="38"/>
    </row>
    <row r="16408" ht="15.75" customHeight="1">
      <c r="A16408" s="35"/>
      <c r="C16408" s="442"/>
      <c r="P16408" s="235"/>
      <c r="AI16408" s="38"/>
    </row>
    <row r="16409" ht="15.75" customHeight="1">
      <c r="A16409" s="35"/>
      <c r="C16409" s="442"/>
      <c r="P16409" s="235"/>
      <c r="AI16409" s="38"/>
    </row>
    <row r="16410" ht="15.75" customHeight="1">
      <c r="A16410" s="35"/>
      <c r="C16410" s="442"/>
      <c r="P16410" s="235"/>
      <c r="AI16410" s="38"/>
    </row>
    <row r="16411" ht="15.75" customHeight="1">
      <c r="A16411" s="35"/>
      <c r="C16411" s="442"/>
      <c r="P16411" s="235"/>
      <c r="AI16411" s="38"/>
    </row>
    <row r="16412" ht="15.75" customHeight="1">
      <c r="A16412" s="35"/>
      <c r="C16412" s="442"/>
      <c r="P16412" s="235"/>
      <c r="AI16412" s="38"/>
    </row>
    <row r="16413" ht="15.75" customHeight="1">
      <c r="A16413" s="35"/>
      <c r="C16413" s="442"/>
      <c r="P16413" s="235"/>
      <c r="AI16413" s="38"/>
    </row>
    <row r="16414" ht="15.75" customHeight="1">
      <c r="A16414" s="35"/>
      <c r="C16414" s="442"/>
      <c r="P16414" s="235"/>
      <c r="AI16414" s="38"/>
    </row>
    <row r="16415" ht="15.75" customHeight="1">
      <c r="A16415" s="35"/>
      <c r="C16415" s="442"/>
      <c r="P16415" s="235"/>
      <c r="AI16415" s="38"/>
    </row>
    <row r="16416" ht="15.75" customHeight="1">
      <c r="A16416" s="35"/>
      <c r="C16416" s="442"/>
      <c r="P16416" s="235"/>
      <c r="AI16416" s="38"/>
    </row>
    <row r="16417" ht="15.75" customHeight="1">
      <c r="A16417" s="35"/>
      <c r="C16417" s="442"/>
      <c r="P16417" s="235"/>
      <c r="AI16417" s="38"/>
    </row>
    <row r="16418" ht="15.75" customHeight="1">
      <c r="A16418" s="35"/>
      <c r="C16418" s="442"/>
      <c r="P16418" s="235"/>
      <c r="AI16418" s="38"/>
    </row>
    <row r="16419" ht="15.75" customHeight="1">
      <c r="A16419" s="35"/>
      <c r="C16419" s="442"/>
      <c r="P16419" s="235"/>
      <c r="AI16419" s="38"/>
    </row>
    <row r="16420" ht="15.75" customHeight="1">
      <c r="A16420" s="35"/>
      <c r="C16420" s="442"/>
      <c r="P16420" s="235"/>
      <c r="AI16420" s="38"/>
    </row>
    <row r="16421" ht="15.75" customHeight="1">
      <c r="A16421" s="35"/>
      <c r="C16421" s="442"/>
      <c r="P16421" s="235"/>
      <c r="AI16421" s="38"/>
    </row>
    <row r="16422" ht="15.75" customHeight="1">
      <c r="A16422" s="35"/>
      <c r="C16422" s="442"/>
      <c r="P16422" s="235"/>
      <c r="AI16422" s="38"/>
    </row>
    <row r="16423" ht="15.75" customHeight="1">
      <c r="A16423" s="35"/>
      <c r="C16423" s="442"/>
      <c r="P16423" s="235"/>
      <c r="AI16423" s="38"/>
    </row>
    <row r="16424" ht="15.75" customHeight="1">
      <c r="A16424" s="35"/>
      <c r="C16424" s="442"/>
      <c r="P16424" s="235"/>
      <c r="AI16424" s="38"/>
    </row>
    <row r="16425" ht="15.75" customHeight="1">
      <c r="A16425" s="35"/>
      <c r="C16425" s="442"/>
      <c r="P16425" s="235"/>
      <c r="AI16425" s="38"/>
    </row>
    <row r="16426" ht="15.75" customHeight="1">
      <c r="A16426" s="35"/>
      <c r="C16426" s="442"/>
      <c r="P16426" s="235"/>
      <c r="AI16426" s="38"/>
    </row>
    <row r="16427" ht="15.75" customHeight="1">
      <c r="A16427" s="35"/>
      <c r="C16427" s="442"/>
      <c r="P16427" s="235"/>
      <c r="AI16427" s="38"/>
    </row>
    <row r="16428" ht="15.75" customHeight="1">
      <c r="A16428" s="35"/>
      <c r="C16428" s="442"/>
      <c r="P16428" s="235"/>
      <c r="AI16428" s="38"/>
    </row>
    <row r="16429" ht="15.75" customHeight="1">
      <c r="A16429" s="35"/>
      <c r="C16429" s="442"/>
      <c r="P16429" s="235"/>
      <c r="AI16429" s="38"/>
    </row>
    <row r="16430" ht="15.75" customHeight="1">
      <c r="A16430" s="35"/>
      <c r="C16430" s="442"/>
      <c r="P16430" s="235"/>
      <c r="AI16430" s="38"/>
    </row>
    <row r="16431" ht="15.75" customHeight="1">
      <c r="A16431" s="35"/>
      <c r="C16431" s="442"/>
      <c r="P16431" s="235"/>
      <c r="AI16431" s="38"/>
    </row>
    <row r="16432" ht="15.75" customHeight="1">
      <c r="A16432" s="35"/>
      <c r="C16432" s="442"/>
      <c r="P16432" s="235"/>
      <c r="AI16432" s="38"/>
    </row>
    <row r="16433" ht="15.75" customHeight="1">
      <c r="A16433" s="35"/>
      <c r="C16433" s="442"/>
      <c r="P16433" s="235"/>
      <c r="AI16433" s="38"/>
    </row>
    <row r="16434" ht="15.75" customHeight="1">
      <c r="A16434" s="35"/>
      <c r="C16434" s="442"/>
      <c r="P16434" s="235"/>
      <c r="AI16434" s="38"/>
    </row>
    <row r="16435" ht="15.75" customHeight="1">
      <c r="A16435" s="35"/>
      <c r="C16435" s="442"/>
      <c r="P16435" s="235"/>
      <c r="AI16435" s="38"/>
    </row>
    <row r="16436" ht="15.75" customHeight="1">
      <c r="A16436" s="35"/>
      <c r="C16436" s="442"/>
      <c r="P16436" s="235"/>
      <c r="AI16436" s="38"/>
    </row>
    <row r="16437" ht="15.75" customHeight="1">
      <c r="A16437" s="35"/>
      <c r="C16437" s="442"/>
      <c r="P16437" s="235"/>
      <c r="AI16437" s="38"/>
    </row>
    <row r="16438" ht="15.75" customHeight="1">
      <c r="A16438" s="35"/>
      <c r="C16438" s="442"/>
      <c r="P16438" s="235"/>
      <c r="AI16438" s="38"/>
    </row>
    <row r="16439" ht="15.75" customHeight="1">
      <c r="A16439" s="35"/>
      <c r="C16439" s="442"/>
      <c r="P16439" s="235"/>
      <c r="AI16439" s="38"/>
    </row>
    <row r="16440" ht="15.75" customHeight="1">
      <c r="A16440" s="35"/>
      <c r="C16440" s="442"/>
      <c r="P16440" s="235"/>
      <c r="AI16440" s="38"/>
    </row>
    <row r="16441" ht="15.75" customHeight="1">
      <c r="A16441" s="35"/>
      <c r="C16441" s="442"/>
      <c r="P16441" s="235"/>
      <c r="AI16441" s="38"/>
    </row>
    <row r="16442" ht="15.75" customHeight="1">
      <c r="A16442" s="35"/>
      <c r="C16442" s="442"/>
      <c r="P16442" s="235"/>
      <c r="AI16442" s="38"/>
    </row>
    <row r="16443" ht="15.75" customHeight="1">
      <c r="A16443" s="35"/>
      <c r="C16443" s="442"/>
      <c r="P16443" s="235"/>
      <c r="AI16443" s="38"/>
    </row>
    <row r="16444" ht="15.75" customHeight="1">
      <c r="A16444" s="35"/>
      <c r="C16444" s="442"/>
      <c r="P16444" s="235"/>
      <c r="AI16444" s="38"/>
    </row>
    <row r="16445" ht="15.75" customHeight="1">
      <c r="A16445" s="35"/>
      <c r="C16445" s="442"/>
      <c r="P16445" s="235"/>
      <c r="AI16445" s="38"/>
    </row>
    <row r="16446" ht="15.75" customHeight="1">
      <c r="A16446" s="35"/>
      <c r="C16446" s="442"/>
      <c r="P16446" s="235"/>
      <c r="AI16446" s="38"/>
    </row>
    <row r="16447" ht="15.75" customHeight="1">
      <c r="A16447" s="35"/>
      <c r="C16447" s="442"/>
      <c r="P16447" s="235"/>
      <c r="AI16447" s="38"/>
    </row>
    <row r="16448" ht="15.75" customHeight="1">
      <c r="A16448" s="35"/>
      <c r="C16448" s="442"/>
      <c r="P16448" s="235"/>
      <c r="AI16448" s="38"/>
    </row>
    <row r="16449" ht="15.75" customHeight="1">
      <c r="A16449" s="35"/>
      <c r="C16449" s="442"/>
      <c r="P16449" s="235"/>
      <c r="AI16449" s="38"/>
    </row>
    <row r="16450" ht="15.75" customHeight="1">
      <c r="A16450" s="35"/>
      <c r="C16450" s="442"/>
      <c r="P16450" s="235"/>
      <c r="AI16450" s="38"/>
    </row>
    <row r="16451" ht="15.75" customHeight="1">
      <c r="A16451" s="35"/>
      <c r="C16451" s="442"/>
      <c r="P16451" s="235"/>
      <c r="AI16451" s="38"/>
    </row>
    <row r="16452" ht="15.75" customHeight="1">
      <c r="A16452" s="35"/>
      <c r="C16452" s="442"/>
      <c r="P16452" s="235"/>
      <c r="AI16452" s="38"/>
    </row>
    <row r="16453" ht="15.75" customHeight="1">
      <c r="A16453" s="35"/>
      <c r="C16453" s="442"/>
      <c r="P16453" s="235"/>
      <c r="AI16453" s="38"/>
    </row>
    <row r="16454" ht="15.75" customHeight="1">
      <c r="A16454" s="35"/>
      <c r="C16454" s="442"/>
      <c r="P16454" s="235"/>
      <c r="AI16454" s="38"/>
    </row>
    <row r="16455" ht="15.75" customHeight="1">
      <c r="A16455" s="35"/>
      <c r="C16455" s="442"/>
      <c r="P16455" s="235"/>
      <c r="AI16455" s="38"/>
    </row>
    <row r="16456" ht="15.75" customHeight="1">
      <c r="A16456" s="35"/>
      <c r="C16456" s="442"/>
      <c r="P16456" s="235"/>
      <c r="AI16456" s="38"/>
    </row>
    <row r="16457" ht="15.75" customHeight="1">
      <c r="A16457" s="35"/>
      <c r="C16457" s="442"/>
      <c r="P16457" s="235"/>
      <c r="AI16457" s="38"/>
    </row>
    <row r="16458" ht="15.75" customHeight="1">
      <c r="A16458" s="35"/>
      <c r="C16458" s="442"/>
      <c r="P16458" s="235"/>
      <c r="AI16458" s="38"/>
    </row>
    <row r="16459" ht="15.75" customHeight="1">
      <c r="A16459" s="35"/>
      <c r="C16459" s="442"/>
      <c r="P16459" s="235"/>
      <c r="AI16459" s="38"/>
    </row>
    <row r="16460" ht="15.75" customHeight="1">
      <c r="A16460" s="35"/>
      <c r="C16460" s="442"/>
      <c r="P16460" s="235"/>
      <c r="AI16460" s="38"/>
    </row>
    <row r="16461" ht="15.75" customHeight="1">
      <c r="A16461" s="35"/>
      <c r="C16461" s="442"/>
      <c r="P16461" s="235"/>
      <c r="AI16461" s="38"/>
    </row>
    <row r="16462" ht="15.75" customHeight="1">
      <c r="A16462" s="35"/>
      <c r="C16462" s="442"/>
      <c r="P16462" s="235"/>
      <c r="AI16462" s="38"/>
    </row>
    <row r="16463" ht="15.75" customHeight="1">
      <c r="A16463" s="35"/>
      <c r="C16463" s="442"/>
      <c r="P16463" s="235"/>
      <c r="AI16463" s="38"/>
    </row>
    <row r="16464" ht="15.75" customHeight="1">
      <c r="A16464" s="35"/>
      <c r="C16464" s="442"/>
      <c r="P16464" s="235"/>
      <c r="AI16464" s="38"/>
    </row>
    <row r="16465" ht="15.75" customHeight="1">
      <c r="A16465" s="35"/>
      <c r="C16465" s="442"/>
      <c r="P16465" s="235"/>
      <c r="AI16465" s="38"/>
    </row>
    <row r="16466" ht="15.75" customHeight="1">
      <c r="A16466" s="35"/>
      <c r="C16466" s="442"/>
      <c r="P16466" s="235"/>
      <c r="AI16466" s="38"/>
    </row>
    <row r="16467" ht="15.75" customHeight="1">
      <c r="A16467" s="35"/>
      <c r="C16467" s="442"/>
      <c r="P16467" s="235"/>
      <c r="AI16467" s="38"/>
    </row>
    <row r="16468" ht="15.75" customHeight="1">
      <c r="A16468" s="35"/>
      <c r="C16468" s="442"/>
      <c r="P16468" s="235"/>
      <c r="AI16468" s="38"/>
    </row>
    <row r="16469" ht="15.75" customHeight="1">
      <c r="A16469" s="35"/>
      <c r="C16469" s="442"/>
      <c r="P16469" s="235"/>
      <c r="AI16469" s="38"/>
    </row>
    <row r="16470" ht="15.75" customHeight="1">
      <c r="A16470" s="35"/>
      <c r="C16470" s="442"/>
      <c r="P16470" s="235"/>
      <c r="AI16470" s="38"/>
    </row>
    <row r="16471" ht="15.75" customHeight="1">
      <c r="A16471" s="35"/>
      <c r="C16471" s="442"/>
      <c r="P16471" s="235"/>
      <c r="AI16471" s="38"/>
    </row>
    <row r="16472" ht="15.75" customHeight="1">
      <c r="A16472" s="35"/>
      <c r="C16472" s="442"/>
      <c r="P16472" s="235"/>
      <c r="AI16472" s="38"/>
    </row>
    <row r="16473" ht="15.75" customHeight="1">
      <c r="A16473" s="35"/>
      <c r="C16473" s="442"/>
      <c r="P16473" s="235"/>
      <c r="AI16473" s="38"/>
    </row>
    <row r="16474" ht="15.75" customHeight="1">
      <c r="A16474" s="35"/>
      <c r="C16474" s="442"/>
      <c r="P16474" s="235"/>
      <c r="AI16474" s="38"/>
    </row>
    <row r="16475" ht="15.75" customHeight="1">
      <c r="A16475" s="35"/>
      <c r="C16475" s="442"/>
      <c r="P16475" s="235"/>
      <c r="AI16475" s="38"/>
    </row>
    <row r="16476" ht="15.75" customHeight="1">
      <c r="A16476" s="35"/>
      <c r="C16476" s="442"/>
      <c r="P16476" s="235"/>
      <c r="AI16476" s="38"/>
    </row>
    <row r="16477" ht="15.75" customHeight="1">
      <c r="A16477" s="35"/>
      <c r="C16477" s="442"/>
      <c r="P16477" s="235"/>
      <c r="AI16477" s="38"/>
    </row>
    <row r="16478" ht="15.75" customHeight="1">
      <c r="A16478" s="35"/>
      <c r="C16478" s="442"/>
      <c r="P16478" s="235"/>
      <c r="AI16478" s="38"/>
    </row>
    <row r="16479" ht="15.75" customHeight="1">
      <c r="A16479" s="35"/>
      <c r="C16479" s="442"/>
      <c r="P16479" s="235"/>
      <c r="AI16479" s="38"/>
    </row>
    <row r="16480" ht="15.75" customHeight="1">
      <c r="A16480" s="35"/>
      <c r="C16480" s="442"/>
      <c r="P16480" s="235"/>
      <c r="AI16480" s="38"/>
    </row>
    <row r="16481" ht="15.75" customHeight="1">
      <c r="A16481" s="35"/>
      <c r="C16481" s="442"/>
      <c r="P16481" s="235"/>
      <c r="AI16481" s="38"/>
    </row>
    <row r="16482" ht="15.75" customHeight="1">
      <c r="A16482" s="35"/>
      <c r="C16482" s="442"/>
      <c r="P16482" s="235"/>
      <c r="AI16482" s="38"/>
    </row>
    <row r="16483" ht="15.75" customHeight="1">
      <c r="A16483" s="35"/>
      <c r="C16483" s="442"/>
      <c r="P16483" s="235"/>
      <c r="AI16483" s="38"/>
    </row>
    <row r="16484" ht="15.75" customHeight="1">
      <c r="A16484" s="35"/>
      <c r="C16484" s="442"/>
      <c r="P16484" s="235"/>
      <c r="AI16484" s="38"/>
    </row>
    <row r="16485" ht="15.75" customHeight="1">
      <c r="A16485" s="35"/>
      <c r="C16485" s="442"/>
      <c r="P16485" s="235"/>
      <c r="AI16485" s="38"/>
    </row>
    <row r="16486" ht="15.75" customHeight="1">
      <c r="A16486" s="35"/>
      <c r="C16486" s="442"/>
      <c r="P16486" s="235"/>
      <c r="AI16486" s="38"/>
    </row>
    <row r="16487" ht="15.75" customHeight="1">
      <c r="A16487" s="35"/>
      <c r="C16487" s="442"/>
      <c r="P16487" s="235"/>
      <c r="AI16487" s="38"/>
    </row>
    <row r="16488" ht="15.75" customHeight="1">
      <c r="A16488" s="35"/>
      <c r="C16488" s="442"/>
      <c r="P16488" s="235"/>
      <c r="AI16488" s="38"/>
    </row>
    <row r="16489" ht="15.75" customHeight="1">
      <c r="A16489" s="35"/>
      <c r="C16489" s="442"/>
      <c r="P16489" s="235"/>
      <c r="AI16489" s="38"/>
    </row>
    <row r="16490" ht="15.75" customHeight="1">
      <c r="A16490" s="35"/>
      <c r="C16490" s="442"/>
      <c r="P16490" s="235"/>
      <c r="AI16490" s="38"/>
    </row>
    <row r="16491" ht="15.75" customHeight="1">
      <c r="A16491" s="35"/>
      <c r="C16491" s="442"/>
      <c r="P16491" s="235"/>
      <c r="AI16491" s="38"/>
    </row>
    <row r="16492" ht="15.75" customHeight="1">
      <c r="A16492" s="35"/>
      <c r="C16492" s="442"/>
      <c r="P16492" s="235"/>
      <c r="AI16492" s="38"/>
    </row>
    <row r="16493" ht="15.75" customHeight="1">
      <c r="A16493" s="35"/>
      <c r="C16493" s="442"/>
      <c r="P16493" s="235"/>
      <c r="AI16493" s="38"/>
    </row>
    <row r="16494" ht="15.75" customHeight="1">
      <c r="A16494" s="35"/>
      <c r="C16494" s="442"/>
      <c r="P16494" s="235"/>
      <c r="AI16494" s="38"/>
    </row>
    <row r="16495" ht="15.75" customHeight="1">
      <c r="A16495" s="35"/>
      <c r="C16495" s="442"/>
      <c r="P16495" s="235"/>
      <c r="AI16495" s="38"/>
    </row>
    <row r="16496" ht="15.75" customHeight="1">
      <c r="A16496" s="35"/>
      <c r="C16496" s="442"/>
      <c r="P16496" s="235"/>
      <c r="AI16496" s="38"/>
    </row>
    <row r="16497" ht="15.75" customHeight="1">
      <c r="A16497" s="35"/>
      <c r="C16497" s="442"/>
      <c r="P16497" s="235"/>
      <c r="AI16497" s="38"/>
    </row>
    <row r="16498" ht="15.75" customHeight="1">
      <c r="A16498" s="35"/>
      <c r="C16498" s="442"/>
      <c r="P16498" s="235"/>
      <c r="AI16498" s="38"/>
    </row>
    <row r="16499" ht="15.75" customHeight="1">
      <c r="A16499" s="35"/>
      <c r="C16499" s="442"/>
      <c r="P16499" s="235"/>
      <c r="AI16499" s="38"/>
    </row>
    <row r="16500" ht="15.75" customHeight="1">
      <c r="A16500" s="35"/>
      <c r="C16500" s="442"/>
      <c r="P16500" s="235"/>
      <c r="AI16500" s="38"/>
    </row>
    <row r="16501" ht="15.75" customHeight="1">
      <c r="A16501" s="35"/>
      <c r="C16501" s="442"/>
      <c r="P16501" s="235"/>
      <c r="AI16501" s="38"/>
    </row>
    <row r="16502" ht="15.75" customHeight="1">
      <c r="A16502" s="35"/>
      <c r="C16502" s="442"/>
      <c r="P16502" s="235"/>
      <c r="AI16502" s="38"/>
    </row>
    <row r="16503" ht="15.75" customHeight="1">
      <c r="A16503" s="35"/>
      <c r="C16503" s="442"/>
      <c r="P16503" s="235"/>
      <c r="AI16503" s="38"/>
    </row>
    <row r="16504" ht="15.75" customHeight="1">
      <c r="A16504" s="35"/>
      <c r="C16504" s="442"/>
      <c r="P16504" s="235"/>
      <c r="AI16504" s="38"/>
    </row>
    <row r="16505" ht="15.75" customHeight="1">
      <c r="A16505" s="35"/>
      <c r="C16505" s="442"/>
      <c r="P16505" s="235"/>
      <c r="AI16505" s="38"/>
    </row>
    <row r="16506" ht="15.75" customHeight="1">
      <c r="A16506" s="35"/>
      <c r="C16506" s="442"/>
      <c r="P16506" s="235"/>
      <c r="AI16506" s="38"/>
    </row>
    <row r="16507" ht="15.75" customHeight="1">
      <c r="A16507" s="35"/>
      <c r="C16507" s="442"/>
      <c r="P16507" s="235"/>
      <c r="AI16507" s="38"/>
    </row>
    <row r="16508" ht="15.75" customHeight="1">
      <c r="A16508" s="35"/>
      <c r="C16508" s="442"/>
      <c r="P16508" s="235"/>
      <c r="AI16508" s="38"/>
    </row>
    <row r="16509" ht="15.75" customHeight="1">
      <c r="A16509" s="35"/>
      <c r="C16509" s="442"/>
      <c r="P16509" s="235"/>
      <c r="AI16509" s="38"/>
    </row>
    <row r="16510" ht="15.75" customHeight="1">
      <c r="A16510" s="35"/>
      <c r="C16510" s="442"/>
      <c r="P16510" s="235"/>
      <c r="AI16510" s="38"/>
    </row>
    <row r="16511" ht="15.75" customHeight="1">
      <c r="A16511" s="35"/>
      <c r="C16511" s="442"/>
      <c r="P16511" s="235"/>
      <c r="AI16511" s="38"/>
    </row>
    <row r="16512" ht="15.75" customHeight="1">
      <c r="A16512" s="35"/>
      <c r="C16512" s="442"/>
      <c r="P16512" s="235"/>
      <c r="AI16512" s="38"/>
    </row>
    <row r="16513" ht="15.75" customHeight="1">
      <c r="A16513" s="35"/>
      <c r="C16513" s="442"/>
      <c r="P16513" s="235"/>
      <c r="AI16513" s="38"/>
    </row>
    <row r="16514" ht="15.75" customHeight="1">
      <c r="A16514" s="35"/>
      <c r="C16514" s="442"/>
      <c r="P16514" s="235"/>
      <c r="AI16514" s="38"/>
    </row>
    <row r="16515" ht="15.75" customHeight="1">
      <c r="A16515" s="35"/>
      <c r="C16515" s="442"/>
      <c r="P16515" s="235"/>
      <c r="AI16515" s="38"/>
    </row>
    <row r="16516" ht="15.75" customHeight="1">
      <c r="A16516" s="35"/>
      <c r="C16516" s="442"/>
      <c r="P16516" s="235"/>
      <c r="AI16516" s="38"/>
    </row>
    <row r="16517" ht="15.75" customHeight="1">
      <c r="A16517" s="35"/>
      <c r="C16517" s="442"/>
      <c r="P16517" s="235"/>
      <c r="AI16517" s="38"/>
    </row>
    <row r="16518" ht="15.75" customHeight="1">
      <c r="A16518" s="35"/>
      <c r="C16518" s="442"/>
      <c r="P16518" s="235"/>
      <c r="AI16518" s="38"/>
    </row>
    <row r="16519" ht="15.75" customHeight="1">
      <c r="A16519" s="35"/>
      <c r="C16519" s="442"/>
      <c r="P16519" s="235"/>
      <c r="AI16519" s="38"/>
    </row>
    <row r="16520" ht="15.75" customHeight="1">
      <c r="A16520" s="35"/>
      <c r="C16520" s="442"/>
      <c r="P16520" s="235"/>
      <c r="AI16520" s="38"/>
    </row>
    <row r="16521" ht="15.75" customHeight="1">
      <c r="A16521" s="35"/>
      <c r="C16521" s="442"/>
      <c r="P16521" s="235"/>
      <c r="AI16521" s="38"/>
    </row>
    <row r="16522" ht="15.75" customHeight="1">
      <c r="A16522" s="35"/>
      <c r="C16522" s="442"/>
      <c r="P16522" s="235"/>
      <c r="AI16522" s="38"/>
    </row>
    <row r="16523" ht="15.75" customHeight="1">
      <c r="A16523" s="35"/>
      <c r="C16523" s="442"/>
      <c r="P16523" s="235"/>
      <c r="AI16523" s="38"/>
    </row>
    <row r="16524" ht="15.75" customHeight="1">
      <c r="A16524" s="35"/>
      <c r="C16524" s="442"/>
      <c r="P16524" s="235"/>
      <c r="AI16524" s="38"/>
    </row>
    <row r="16525" ht="15.75" customHeight="1">
      <c r="A16525" s="35"/>
      <c r="C16525" s="442"/>
      <c r="P16525" s="235"/>
      <c r="AI16525" s="38"/>
    </row>
    <row r="16526" ht="15.75" customHeight="1">
      <c r="A16526" s="35"/>
      <c r="C16526" s="442"/>
      <c r="P16526" s="235"/>
      <c r="AI16526" s="38"/>
    </row>
    <row r="16527" ht="15.75" customHeight="1">
      <c r="A16527" s="35"/>
      <c r="C16527" s="442"/>
      <c r="P16527" s="235"/>
      <c r="AI16527" s="38"/>
    </row>
    <row r="16528" ht="15.75" customHeight="1">
      <c r="A16528" s="35"/>
      <c r="C16528" s="442"/>
      <c r="P16528" s="235"/>
      <c r="AI16528" s="38"/>
    </row>
    <row r="16529" ht="15.75" customHeight="1">
      <c r="A16529" s="35"/>
      <c r="C16529" s="442"/>
      <c r="P16529" s="235"/>
      <c r="AI16529" s="38"/>
    </row>
    <row r="16530" ht="15.75" customHeight="1">
      <c r="A16530" s="35"/>
      <c r="C16530" s="442"/>
      <c r="P16530" s="235"/>
      <c r="AI16530" s="38"/>
    </row>
    <row r="16531" ht="15.75" customHeight="1">
      <c r="A16531" s="35"/>
      <c r="C16531" s="442"/>
      <c r="P16531" s="235"/>
      <c r="AI16531" s="38"/>
    </row>
    <row r="16532" ht="15.75" customHeight="1">
      <c r="A16532" s="35"/>
      <c r="C16532" s="442"/>
      <c r="P16532" s="235"/>
      <c r="AI16532" s="38"/>
    </row>
    <row r="16533" ht="15.75" customHeight="1">
      <c r="A16533" s="35"/>
      <c r="C16533" s="442"/>
      <c r="P16533" s="235"/>
      <c r="AI16533" s="38"/>
    </row>
    <row r="16534" ht="15.75" customHeight="1">
      <c r="A16534" s="35"/>
      <c r="C16534" s="442"/>
      <c r="P16534" s="235"/>
      <c r="AI16534" s="38"/>
    </row>
    <row r="16535" ht="15.75" customHeight="1">
      <c r="A16535" s="35"/>
      <c r="C16535" s="442"/>
      <c r="P16535" s="235"/>
      <c r="AI16535" s="38"/>
    </row>
    <row r="16536" ht="15.75" customHeight="1">
      <c r="A16536" s="35"/>
      <c r="C16536" s="442"/>
      <c r="P16536" s="235"/>
      <c r="AI16536" s="38"/>
    </row>
    <row r="16537" ht="15.75" customHeight="1">
      <c r="A16537" s="35"/>
      <c r="C16537" s="442"/>
      <c r="P16537" s="235"/>
      <c r="AI16537" s="38"/>
    </row>
    <row r="16538" ht="15.75" customHeight="1">
      <c r="A16538" s="35"/>
      <c r="C16538" s="442"/>
      <c r="P16538" s="235"/>
      <c r="AI16538" s="38"/>
    </row>
    <row r="16539" ht="15.75" customHeight="1">
      <c r="A16539" s="35"/>
      <c r="C16539" s="442"/>
      <c r="P16539" s="235"/>
      <c r="AI16539" s="38"/>
    </row>
    <row r="16540" ht="15.75" customHeight="1">
      <c r="A16540" s="35"/>
      <c r="C16540" s="442"/>
      <c r="P16540" s="235"/>
      <c r="AI16540" s="38"/>
    </row>
    <row r="16541" ht="15.75" customHeight="1">
      <c r="A16541" s="35"/>
      <c r="C16541" s="442"/>
      <c r="P16541" s="235"/>
      <c r="AI16541" s="38"/>
    </row>
    <row r="16542" ht="15.75" customHeight="1">
      <c r="A16542" s="35"/>
      <c r="C16542" s="442"/>
      <c r="P16542" s="235"/>
      <c r="AI16542" s="38"/>
    </row>
    <row r="16543" ht="15.75" customHeight="1">
      <c r="A16543" s="35"/>
      <c r="C16543" s="442"/>
      <c r="P16543" s="235"/>
      <c r="AI16543" s="38"/>
    </row>
    <row r="16544" ht="15.75" customHeight="1">
      <c r="A16544" s="35"/>
      <c r="C16544" s="442"/>
      <c r="P16544" s="235"/>
      <c r="AI16544" s="38"/>
    </row>
    <row r="16545" ht="15.75" customHeight="1">
      <c r="A16545" s="35"/>
      <c r="C16545" s="442"/>
      <c r="P16545" s="235"/>
      <c r="AI16545" s="38"/>
    </row>
    <row r="16546" ht="15.75" customHeight="1">
      <c r="A16546" s="35"/>
      <c r="C16546" s="442"/>
      <c r="P16546" s="235"/>
      <c r="AI16546" s="38"/>
    </row>
    <row r="16547" ht="15.75" customHeight="1">
      <c r="A16547" s="35"/>
      <c r="C16547" s="442"/>
      <c r="P16547" s="235"/>
      <c r="AI16547" s="38"/>
    </row>
    <row r="16548" ht="15.75" customHeight="1">
      <c r="A16548" s="35"/>
      <c r="C16548" s="442"/>
      <c r="P16548" s="235"/>
      <c r="AI16548" s="38"/>
    </row>
    <row r="16549" ht="15.75" customHeight="1">
      <c r="A16549" s="35"/>
      <c r="C16549" s="442"/>
      <c r="P16549" s="235"/>
      <c r="AI16549" s="38"/>
    </row>
    <row r="16550" ht="15.75" customHeight="1">
      <c r="A16550" s="35"/>
      <c r="C16550" s="442"/>
      <c r="P16550" s="235"/>
      <c r="AI16550" s="38"/>
    </row>
    <row r="16551" ht="15.75" customHeight="1">
      <c r="A16551" s="35"/>
      <c r="C16551" s="442"/>
      <c r="P16551" s="235"/>
      <c r="AI16551" s="38"/>
    </row>
    <row r="16552" ht="15.75" customHeight="1">
      <c r="A16552" s="35"/>
      <c r="C16552" s="442"/>
      <c r="P16552" s="235"/>
      <c r="AI16552" s="38"/>
    </row>
    <row r="16553" ht="15.75" customHeight="1">
      <c r="A16553" s="35"/>
      <c r="C16553" s="442"/>
      <c r="P16553" s="235"/>
      <c r="AI16553" s="38"/>
    </row>
    <row r="16554" ht="15.75" customHeight="1">
      <c r="A16554" s="35"/>
      <c r="C16554" s="442"/>
      <c r="P16554" s="235"/>
      <c r="AI16554" s="38"/>
    </row>
    <row r="16555" ht="15.75" customHeight="1">
      <c r="A16555" s="35"/>
      <c r="C16555" s="442"/>
      <c r="P16555" s="235"/>
      <c r="AI16555" s="38"/>
    </row>
    <row r="16556" ht="15.75" customHeight="1">
      <c r="A16556" s="35"/>
      <c r="C16556" s="442"/>
      <c r="P16556" s="235"/>
      <c r="AI16556" s="38"/>
    </row>
    <row r="16557" ht="15.75" customHeight="1">
      <c r="A16557" s="35"/>
      <c r="C16557" s="442"/>
      <c r="P16557" s="235"/>
      <c r="AI16557" s="38"/>
    </row>
    <row r="16558" ht="15.75" customHeight="1">
      <c r="A16558" s="35"/>
      <c r="C16558" s="442"/>
      <c r="P16558" s="235"/>
      <c r="AI16558" s="38"/>
    </row>
    <row r="16559" ht="15.75" customHeight="1">
      <c r="A16559" s="35"/>
      <c r="C16559" s="442"/>
      <c r="P16559" s="235"/>
      <c r="AI16559" s="38"/>
    </row>
    <row r="16560" ht="15.75" customHeight="1">
      <c r="A16560" s="35"/>
      <c r="C16560" s="442"/>
      <c r="P16560" s="235"/>
      <c r="AI16560" s="38"/>
    </row>
    <row r="16561" ht="15.75" customHeight="1">
      <c r="A16561" s="35"/>
      <c r="C16561" s="442"/>
      <c r="P16561" s="235"/>
      <c r="AI16561" s="38"/>
    </row>
    <row r="16562" ht="15.75" customHeight="1">
      <c r="A16562" s="35"/>
      <c r="C16562" s="442"/>
      <c r="P16562" s="235"/>
      <c r="AI16562" s="38"/>
    </row>
    <row r="16563" ht="15.75" customHeight="1">
      <c r="A16563" s="35"/>
      <c r="C16563" s="442"/>
      <c r="P16563" s="235"/>
      <c r="AI16563" s="38"/>
    </row>
    <row r="16564" ht="15.75" customHeight="1">
      <c r="A16564" s="35"/>
      <c r="C16564" s="442"/>
      <c r="P16564" s="235"/>
      <c r="AI16564" s="38"/>
    </row>
    <row r="16565" ht="15.75" customHeight="1">
      <c r="A16565" s="35"/>
      <c r="C16565" s="442"/>
      <c r="P16565" s="235"/>
      <c r="AI16565" s="38"/>
    </row>
    <row r="16566" ht="15.75" customHeight="1">
      <c r="A16566" s="35"/>
      <c r="C16566" s="442"/>
      <c r="P16566" s="235"/>
      <c r="AI16566" s="38"/>
    </row>
    <row r="16567" ht="15.75" customHeight="1">
      <c r="A16567" s="35"/>
      <c r="C16567" s="442"/>
      <c r="P16567" s="235"/>
      <c r="AI16567" s="38"/>
    </row>
    <row r="16568" ht="15.75" customHeight="1">
      <c r="A16568" s="35"/>
      <c r="C16568" s="442"/>
      <c r="P16568" s="235"/>
      <c r="AI16568" s="38"/>
    </row>
    <row r="16569" ht="15.75" customHeight="1">
      <c r="A16569" s="35"/>
      <c r="C16569" s="442"/>
      <c r="P16569" s="235"/>
      <c r="AI16569" s="38"/>
    </row>
    <row r="16570" ht="15.75" customHeight="1">
      <c r="A16570" s="35"/>
      <c r="C16570" s="442"/>
      <c r="P16570" s="235"/>
      <c r="AI16570" s="38"/>
    </row>
    <row r="16571" ht="15.75" customHeight="1">
      <c r="A16571" s="35"/>
      <c r="C16571" s="442"/>
      <c r="P16571" s="235"/>
      <c r="AI16571" s="38"/>
    </row>
    <row r="16572" ht="15.75" customHeight="1">
      <c r="A16572" s="35"/>
      <c r="C16572" s="442"/>
      <c r="P16572" s="235"/>
      <c r="AI16572" s="38"/>
    </row>
    <row r="16573" ht="15.75" customHeight="1">
      <c r="A16573" s="35"/>
      <c r="C16573" s="442"/>
      <c r="P16573" s="235"/>
      <c r="AI16573" s="38"/>
    </row>
    <row r="16574" ht="15.75" customHeight="1">
      <c r="A16574" s="35"/>
      <c r="C16574" s="442"/>
      <c r="P16574" s="235"/>
      <c r="AI16574" s="38"/>
    </row>
    <row r="16575" ht="15.75" customHeight="1">
      <c r="A16575" s="35"/>
      <c r="C16575" s="442"/>
      <c r="P16575" s="235"/>
      <c r="AI16575" s="38"/>
    </row>
    <row r="16576" ht="15.75" customHeight="1">
      <c r="A16576" s="35"/>
      <c r="C16576" s="442"/>
      <c r="P16576" s="235"/>
      <c r="AI16576" s="38"/>
    </row>
    <row r="16577" ht="15.75" customHeight="1">
      <c r="A16577" s="35"/>
      <c r="C16577" s="442"/>
      <c r="P16577" s="235"/>
      <c r="AI16577" s="38"/>
    </row>
    <row r="16578" ht="15.75" customHeight="1">
      <c r="A16578" s="35"/>
      <c r="C16578" s="442"/>
      <c r="P16578" s="235"/>
      <c r="AI16578" s="38"/>
    </row>
    <row r="16579" ht="15.75" customHeight="1">
      <c r="A16579" s="35"/>
      <c r="C16579" s="442"/>
      <c r="P16579" s="235"/>
      <c r="AI16579" s="38"/>
    </row>
    <row r="16580" ht="15.75" customHeight="1">
      <c r="A16580" s="35"/>
      <c r="C16580" s="442"/>
      <c r="P16580" s="235"/>
      <c r="AI16580" s="38"/>
    </row>
    <row r="16581" ht="15.75" customHeight="1">
      <c r="A16581" s="35"/>
      <c r="C16581" s="442"/>
      <c r="P16581" s="235"/>
      <c r="AI16581" s="38"/>
    </row>
    <row r="16582" ht="15.75" customHeight="1">
      <c r="A16582" s="35"/>
      <c r="C16582" s="442"/>
      <c r="P16582" s="235"/>
      <c r="AI16582" s="38"/>
    </row>
    <row r="16583" ht="15.75" customHeight="1">
      <c r="A16583" s="35"/>
      <c r="C16583" s="442"/>
      <c r="P16583" s="235"/>
      <c r="AI16583" s="38"/>
    </row>
    <row r="16584" ht="15.75" customHeight="1">
      <c r="A16584" s="35"/>
      <c r="C16584" s="442"/>
      <c r="P16584" s="235"/>
      <c r="AI16584" s="38"/>
    </row>
    <row r="16585" ht="15.75" customHeight="1">
      <c r="A16585" s="35"/>
      <c r="C16585" s="442"/>
      <c r="P16585" s="235"/>
      <c r="AI16585" s="38"/>
    </row>
    <row r="16586" ht="15.75" customHeight="1">
      <c r="A16586" s="35"/>
      <c r="C16586" s="442"/>
      <c r="P16586" s="235"/>
      <c r="AI16586" s="38"/>
    </row>
    <row r="16587" ht="15.75" customHeight="1">
      <c r="A16587" s="35"/>
      <c r="C16587" s="442"/>
      <c r="P16587" s="235"/>
      <c r="AI16587" s="38"/>
    </row>
    <row r="16588" ht="15.75" customHeight="1">
      <c r="A16588" s="35"/>
      <c r="C16588" s="442"/>
      <c r="P16588" s="235"/>
      <c r="AI16588" s="38"/>
    </row>
    <row r="16589" ht="15.75" customHeight="1">
      <c r="A16589" s="35"/>
      <c r="C16589" s="442"/>
      <c r="P16589" s="235"/>
      <c r="AI16589" s="38"/>
    </row>
    <row r="16590" ht="15.75" customHeight="1">
      <c r="A16590" s="35"/>
      <c r="C16590" s="442"/>
      <c r="P16590" s="235"/>
      <c r="AI16590" s="38"/>
    </row>
    <row r="16591" ht="15.75" customHeight="1">
      <c r="A16591" s="35"/>
      <c r="C16591" s="442"/>
      <c r="P16591" s="235"/>
      <c r="AI16591" s="38"/>
    </row>
    <row r="16592" ht="15.75" customHeight="1">
      <c r="A16592" s="35"/>
      <c r="C16592" s="442"/>
      <c r="P16592" s="235"/>
      <c r="AI16592" s="38"/>
    </row>
    <row r="16593" ht="15.75" customHeight="1">
      <c r="A16593" s="35"/>
      <c r="C16593" s="442"/>
      <c r="P16593" s="235"/>
      <c r="AI16593" s="38"/>
    </row>
    <row r="16594" ht="15.75" customHeight="1">
      <c r="A16594" s="35"/>
      <c r="C16594" s="442"/>
      <c r="P16594" s="235"/>
      <c r="AI16594" s="38"/>
    </row>
    <row r="16595" ht="15.75" customHeight="1">
      <c r="A16595" s="35"/>
      <c r="C16595" s="442"/>
      <c r="P16595" s="235"/>
      <c r="AI16595" s="38"/>
    </row>
    <row r="16596" ht="15.75" customHeight="1">
      <c r="A16596" s="35"/>
      <c r="C16596" s="442"/>
      <c r="P16596" s="235"/>
      <c r="AI16596" s="38"/>
    </row>
    <row r="16597" ht="15.75" customHeight="1">
      <c r="A16597" s="35"/>
      <c r="C16597" s="442"/>
      <c r="P16597" s="235"/>
      <c r="AI16597" s="38"/>
    </row>
    <row r="16598" ht="15.75" customHeight="1">
      <c r="A16598" s="35"/>
      <c r="C16598" s="442"/>
      <c r="P16598" s="235"/>
      <c r="AI16598" s="38"/>
    </row>
    <row r="16599" ht="15.75" customHeight="1">
      <c r="A16599" s="35"/>
      <c r="C16599" s="442"/>
      <c r="P16599" s="235"/>
      <c r="AI16599" s="38"/>
    </row>
    <row r="16600" ht="15.75" customHeight="1">
      <c r="A16600" s="35"/>
      <c r="C16600" s="442"/>
      <c r="P16600" s="235"/>
      <c r="AI16600" s="38"/>
    </row>
    <row r="16601" ht="15.75" customHeight="1">
      <c r="A16601" s="35"/>
      <c r="C16601" s="442"/>
      <c r="P16601" s="235"/>
      <c r="AI16601" s="38"/>
    </row>
    <row r="16602" ht="15.75" customHeight="1">
      <c r="A16602" s="35"/>
      <c r="C16602" s="442"/>
      <c r="P16602" s="235"/>
      <c r="AI16602" s="38"/>
    </row>
    <row r="16603" ht="15.75" customHeight="1">
      <c r="A16603" s="35"/>
      <c r="C16603" s="442"/>
      <c r="P16603" s="235"/>
      <c r="AI16603" s="38"/>
    </row>
    <row r="16604" ht="15.75" customHeight="1">
      <c r="A16604" s="35"/>
      <c r="C16604" s="442"/>
      <c r="P16604" s="235"/>
      <c r="AI16604" s="38"/>
    </row>
    <row r="16605" ht="15.75" customHeight="1">
      <c r="A16605" s="35"/>
      <c r="C16605" s="442"/>
      <c r="P16605" s="235"/>
      <c r="AI16605" s="38"/>
    </row>
    <row r="16606" ht="15.75" customHeight="1">
      <c r="A16606" s="35"/>
      <c r="C16606" s="442"/>
      <c r="P16606" s="235"/>
      <c r="AI16606" s="38"/>
    </row>
    <row r="16607" ht="15.75" customHeight="1">
      <c r="A16607" s="35"/>
      <c r="C16607" s="442"/>
      <c r="P16607" s="235"/>
      <c r="AI16607" s="38"/>
    </row>
    <row r="16608" ht="15.75" customHeight="1">
      <c r="A16608" s="35"/>
      <c r="C16608" s="442"/>
      <c r="P16608" s="235"/>
      <c r="AI16608" s="38"/>
    </row>
    <row r="16609" ht="15.75" customHeight="1">
      <c r="A16609" s="35"/>
      <c r="C16609" s="442"/>
      <c r="P16609" s="235"/>
      <c r="AI16609" s="38"/>
    </row>
    <row r="16610" ht="15.75" customHeight="1">
      <c r="A16610" s="35"/>
      <c r="C16610" s="442"/>
      <c r="P16610" s="235"/>
      <c r="AI16610" s="38"/>
    </row>
    <row r="16611" ht="15.75" customHeight="1">
      <c r="A16611" s="35"/>
      <c r="C16611" s="442"/>
      <c r="P16611" s="235"/>
      <c r="AI16611" s="38"/>
    </row>
    <row r="16612" ht="15.75" customHeight="1">
      <c r="A16612" s="35"/>
      <c r="C16612" s="442"/>
      <c r="P16612" s="235"/>
      <c r="AI16612" s="38"/>
    </row>
    <row r="16613" ht="15.75" customHeight="1">
      <c r="A16613" s="35"/>
      <c r="C16613" s="442"/>
      <c r="P16613" s="235"/>
      <c r="AI16613" s="38"/>
    </row>
    <row r="16614" ht="15.75" customHeight="1">
      <c r="A16614" s="35"/>
      <c r="C16614" s="442"/>
      <c r="P16614" s="235"/>
      <c r="AI16614" s="38"/>
    </row>
    <row r="16615" ht="15.75" customHeight="1">
      <c r="A16615" s="35"/>
      <c r="C16615" s="442"/>
      <c r="P16615" s="235"/>
      <c r="AI16615" s="38"/>
    </row>
    <row r="16616" ht="15.75" customHeight="1">
      <c r="A16616" s="35"/>
      <c r="C16616" s="442"/>
      <c r="P16616" s="235"/>
      <c r="AI16616" s="38"/>
    </row>
    <row r="16617" ht="15.75" customHeight="1">
      <c r="A16617" s="35"/>
      <c r="C16617" s="442"/>
      <c r="P16617" s="235"/>
      <c r="AI16617" s="38"/>
    </row>
    <row r="16618" ht="15.75" customHeight="1">
      <c r="A16618" s="35"/>
      <c r="C16618" s="442"/>
      <c r="P16618" s="235"/>
      <c r="AI16618" s="38"/>
    </row>
    <row r="16619" ht="15.75" customHeight="1">
      <c r="A16619" s="35"/>
      <c r="C16619" s="442"/>
      <c r="P16619" s="235"/>
      <c r="AI16619" s="38"/>
    </row>
    <row r="16620" ht="15.75" customHeight="1">
      <c r="A16620" s="35"/>
      <c r="C16620" s="442"/>
      <c r="P16620" s="235"/>
      <c r="AI16620" s="38"/>
    </row>
    <row r="16621" ht="15.75" customHeight="1">
      <c r="A16621" s="35"/>
      <c r="C16621" s="442"/>
      <c r="P16621" s="235"/>
      <c r="AI16621" s="38"/>
    </row>
    <row r="16622" ht="15.75" customHeight="1">
      <c r="A16622" s="35"/>
      <c r="C16622" s="442"/>
      <c r="P16622" s="235"/>
      <c r="AI16622" s="38"/>
    </row>
    <row r="16623" ht="15.75" customHeight="1">
      <c r="A16623" s="35"/>
      <c r="C16623" s="442"/>
      <c r="P16623" s="235"/>
      <c r="AI16623" s="38"/>
    </row>
    <row r="16624" ht="15.75" customHeight="1">
      <c r="A16624" s="35"/>
      <c r="C16624" s="442"/>
      <c r="P16624" s="235"/>
      <c r="AI16624" s="38"/>
    </row>
    <row r="16625" ht="15.75" customHeight="1">
      <c r="A16625" s="35"/>
      <c r="C16625" s="442"/>
      <c r="P16625" s="235"/>
      <c r="AI16625" s="38"/>
    </row>
    <row r="16626" ht="15.75" customHeight="1">
      <c r="A16626" s="35"/>
      <c r="C16626" s="442"/>
      <c r="P16626" s="235"/>
      <c r="AI16626" s="38"/>
    </row>
    <row r="16627" ht="15.75" customHeight="1">
      <c r="A16627" s="35"/>
      <c r="C16627" s="442"/>
      <c r="P16627" s="235"/>
      <c r="AI16627" s="38"/>
    </row>
    <row r="16628" ht="15.75" customHeight="1">
      <c r="A16628" s="35"/>
      <c r="C16628" s="442"/>
      <c r="P16628" s="235"/>
      <c r="AI16628" s="38"/>
    </row>
    <row r="16629" ht="15.75" customHeight="1">
      <c r="A16629" s="35"/>
      <c r="C16629" s="442"/>
      <c r="P16629" s="235"/>
      <c r="AI16629" s="38"/>
    </row>
    <row r="16630" ht="15.75" customHeight="1">
      <c r="A16630" s="35"/>
      <c r="C16630" s="442"/>
      <c r="P16630" s="235"/>
      <c r="AI16630" s="38"/>
    </row>
    <row r="16631" ht="15.75" customHeight="1">
      <c r="A16631" s="35"/>
      <c r="C16631" s="442"/>
      <c r="P16631" s="235"/>
      <c r="AI16631" s="38"/>
    </row>
    <row r="16632" ht="15.75" customHeight="1">
      <c r="A16632" s="35"/>
      <c r="C16632" s="442"/>
      <c r="P16632" s="235"/>
      <c r="AI16632" s="38"/>
    </row>
    <row r="16633" ht="15.75" customHeight="1">
      <c r="A16633" s="35"/>
      <c r="C16633" s="442"/>
      <c r="P16633" s="235"/>
      <c r="AI16633" s="38"/>
    </row>
    <row r="16634" ht="15.75" customHeight="1">
      <c r="A16634" s="35"/>
      <c r="C16634" s="442"/>
      <c r="P16634" s="235"/>
      <c r="AI16634" s="38"/>
    </row>
    <row r="16635" ht="15.75" customHeight="1">
      <c r="A16635" s="35"/>
      <c r="C16635" s="442"/>
      <c r="P16635" s="235"/>
      <c r="AI16635" s="38"/>
    </row>
    <row r="16636" ht="15.75" customHeight="1">
      <c r="A16636" s="35"/>
      <c r="C16636" s="442"/>
      <c r="P16636" s="235"/>
      <c r="AI16636" s="38"/>
    </row>
    <row r="16637" ht="15.75" customHeight="1">
      <c r="A16637" s="35"/>
      <c r="C16637" s="442"/>
      <c r="P16637" s="235"/>
      <c r="AI16637" s="38"/>
    </row>
    <row r="16638" ht="15.75" customHeight="1">
      <c r="A16638" s="35"/>
      <c r="C16638" s="442"/>
      <c r="P16638" s="235"/>
      <c r="AI16638" s="38"/>
    </row>
    <row r="16639" ht="15.75" customHeight="1">
      <c r="A16639" s="35"/>
      <c r="C16639" s="442"/>
      <c r="P16639" s="235"/>
      <c r="AI16639" s="38"/>
    </row>
    <row r="16640" ht="15.75" customHeight="1">
      <c r="A16640" s="35"/>
      <c r="C16640" s="442"/>
      <c r="P16640" s="235"/>
      <c r="AI16640" s="38"/>
    </row>
    <row r="16641" ht="15.75" customHeight="1">
      <c r="A16641" s="35"/>
      <c r="C16641" s="442"/>
      <c r="P16641" s="235"/>
      <c r="AI16641" s="38"/>
    </row>
    <row r="16642" ht="15.75" customHeight="1">
      <c r="A16642" s="35"/>
      <c r="C16642" s="442"/>
      <c r="P16642" s="235"/>
      <c r="AI16642" s="38"/>
    </row>
    <row r="16643" ht="15.75" customHeight="1">
      <c r="A16643" s="35"/>
      <c r="C16643" s="442"/>
      <c r="P16643" s="235"/>
      <c r="AI16643" s="38"/>
    </row>
    <row r="16644" ht="15.75" customHeight="1">
      <c r="A16644" s="35"/>
      <c r="C16644" s="442"/>
      <c r="P16644" s="235"/>
      <c r="AI16644" s="38"/>
    </row>
    <row r="16645" ht="15.75" customHeight="1">
      <c r="A16645" s="35"/>
      <c r="C16645" s="442"/>
      <c r="P16645" s="235"/>
      <c r="AI16645" s="38"/>
    </row>
    <row r="16646" ht="15.75" customHeight="1">
      <c r="A16646" s="35"/>
      <c r="C16646" s="442"/>
      <c r="P16646" s="235"/>
      <c r="AI16646" s="38"/>
    </row>
    <row r="16647" ht="15.75" customHeight="1">
      <c r="A16647" s="35"/>
      <c r="C16647" s="442"/>
      <c r="P16647" s="235"/>
      <c r="AI16647" s="38"/>
    </row>
    <row r="16648" ht="15.75" customHeight="1">
      <c r="A16648" s="35"/>
      <c r="C16648" s="442"/>
      <c r="P16648" s="235"/>
      <c r="AI16648" s="38"/>
    </row>
    <row r="16649" ht="15.75" customHeight="1">
      <c r="A16649" s="35"/>
      <c r="C16649" s="442"/>
      <c r="P16649" s="235"/>
      <c r="AI16649" s="38"/>
    </row>
    <row r="16650" ht="15.75" customHeight="1">
      <c r="A16650" s="35"/>
      <c r="C16650" s="442"/>
      <c r="P16650" s="235"/>
      <c r="AI16650" s="38"/>
    </row>
    <row r="16651" ht="15.75" customHeight="1">
      <c r="A16651" s="35"/>
      <c r="C16651" s="442"/>
      <c r="P16651" s="235"/>
      <c r="AI16651" s="38"/>
    </row>
    <row r="16652" ht="15.75" customHeight="1">
      <c r="A16652" s="35"/>
      <c r="C16652" s="442"/>
      <c r="P16652" s="235"/>
      <c r="AI16652" s="38"/>
    </row>
    <row r="16653" ht="15.75" customHeight="1">
      <c r="A16653" s="35"/>
      <c r="C16653" s="442"/>
      <c r="P16653" s="235"/>
      <c r="AI16653" s="38"/>
    </row>
    <row r="16654" ht="15.75" customHeight="1">
      <c r="A16654" s="35"/>
      <c r="C16654" s="442"/>
      <c r="P16654" s="235"/>
      <c r="AI16654" s="38"/>
    </row>
    <row r="16655" ht="15.75" customHeight="1">
      <c r="A16655" s="35"/>
      <c r="C16655" s="442"/>
      <c r="P16655" s="235"/>
      <c r="AI16655" s="38"/>
    </row>
    <row r="16656" ht="15.75" customHeight="1">
      <c r="A16656" s="35"/>
      <c r="C16656" s="442"/>
      <c r="P16656" s="235"/>
      <c r="AI16656" s="38"/>
    </row>
    <row r="16657" ht="15.75" customHeight="1">
      <c r="A16657" s="35"/>
      <c r="C16657" s="442"/>
      <c r="P16657" s="235"/>
      <c r="AI16657" s="38"/>
    </row>
    <row r="16658" ht="15.75" customHeight="1">
      <c r="A16658" s="35"/>
      <c r="C16658" s="442"/>
      <c r="P16658" s="235"/>
      <c r="AI16658" s="38"/>
    </row>
    <row r="16659" ht="15.75" customHeight="1">
      <c r="A16659" s="35"/>
      <c r="C16659" s="442"/>
      <c r="P16659" s="235"/>
      <c r="AI16659" s="38"/>
    </row>
    <row r="16660" ht="15.75" customHeight="1">
      <c r="A16660" s="35"/>
      <c r="C16660" s="442"/>
      <c r="P16660" s="235"/>
      <c r="AI16660" s="38"/>
    </row>
    <row r="16661" ht="15.75" customHeight="1">
      <c r="A16661" s="35"/>
      <c r="C16661" s="442"/>
      <c r="P16661" s="235"/>
      <c r="AI16661" s="38"/>
    </row>
    <row r="16662" ht="15.75" customHeight="1">
      <c r="A16662" s="35"/>
      <c r="C16662" s="442"/>
      <c r="P16662" s="235"/>
      <c r="AI16662" s="38"/>
    </row>
    <row r="16663" ht="15.75" customHeight="1">
      <c r="A16663" s="35"/>
      <c r="C16663" s="442"/>
      <c r="P16663" s="235"/>
      <c r="AI16663" s="38"/>
    </row>
    <row r="16664" ht="15.75" customHeight="1">
      <c r="A16664" s="35"/>
      <c r="C16664" s="442"/>
      <c r="P16664" s="235"/>
      <c r="AI16664" s="38"/>
    </row>
    <row r="16665" ht="15.75" customHeight="1">
      <c r="A16665" s="35"/>
      <c r="C16665" s="442"/>
      <c r="P16665" s="235"/>
      <c r="AI16665" s="38"/>
    </row>
    <row r="16666" ht="15.75" customHeight="1">
      <c r="A16666" s="35"/>
      <c r="C16666" s="442"/>
      <c r="P16666" s="235"/>
      <c r="AI16666" s="38"/>
    </row>
    <row r="16667" ht="15.75" customHeight="1">
      <c r="A16667" s="35"/>
      <c r="C16667" s="442"/>
      <c r="P16667" s="235"/>
      <c r="AI16667" s="38"/>
    </row>
    <row r="16668" ht="15.75" customHeight="1">
      <c r="A16668" s="35"/>
      <c r="C16668" s="442"/>
      <c r="P16668" s="235"/>
      <c r="AI16668" s="38"/>
    </row>
    <row r="16669" ht="15.75" customHeight="1">
      <c r="A16669" s="35"/>
      <c r="C16669" s="442"/>
      <c r="P16669" s="235"/>
      <c r="AI16669" s="38"/>
    </row>
    <row r="16670" ht="15.75" customHeight="1">
      <c r="A16670" s="35"/>
      <c r="C16670" s="442"/>
      <c r="P16670" s="235"/>
      <c r="AI16670" s="38"/>
    </row>
    <row r="16671" ht="15.75" customHeight="1">
      <c r="A16671" s="35"/>
      <c r="C16671" s="442"/>
      <c r="P16671" s="235"/>
      <c r="AI16671" s="38"/>
    </row>
    <row r="16672" ht="15.75" customHeight="1">
      <c r="A16672" s="35"/>
      <c r="C16672" s="442"/>
      <c r="P16672" s="235"/>
      <c r="AI16672" s="38"/>
    </row>
    <row r="16673" ht="15.75" customHeight="1">
      <c r="A16673" s="35"/>
      <c r="C16673" s="442"/>
      <c r="P16673" s="235"/>
      <c r="AI16673" s="38"/>
    </row>
    <row r="16674" ht="15.75" customHeight="1">
      <c r="A16674" s="35"/>
      <c r="C16674" s="442"/>
      <c r="P16674" s="235"/>
      <c r="AI16674" s="38"/>
    </row>
    <row r="16675" ht="15.75" customHeight="1">
      <c r="A16675" s="35"/>
      <c r="C16675" s="442"/>
      <c r="P16675" s="235"/>
      <c r="AI16675" s="38"/>
    </row>
    <row r="16676" ht="15.75" customHeight="1">
      <c r="A16676" s="35"/>
      <c r="C16676" s="442"/>
      <c r="P16676" s="235"/>
      <c r="AI16676" s="38"/>
    </row>
    <row r="16677" ht="15.75" customHeight="1">
      <c r="A16677" s="35"/>
      <c r="C16677" s="442"/>
      <c r="P16677" s="235"/>
      <c r="AI16677" s="38"/>
    </row>
    <row r="16678" ht="15.75" customHeight="1">
      <c r="A16678" s="35"/>
      <c r="C16678" s="442"/>
      <c r="P16678" s="235"/>
      <c r="AI16678" s="38"/>
    </row>
    <row r="16679" ht="15.75" customHeight="1">
      <c r="A16679" s="35"/>
      <c r="C16679" s="442"/>
      <c r="P16679" s="235"/>
      <c r="AI16679" s="38"/>
    </row>
    <row r="16680" ht="15.75" customHeight="1">
      <c r="A16680" s="35"/>
      <c r="C16680" s="442"/>
      <c r="P16680" s="235"/>
      <c r="AI16680" s="38"/>
    </row>
    <row r="16681" ht="15.75" customHeight="1">
      <c r="A16681" s="35"/>
      <c r="C16681" s="442"/>
      <c r="P16681" s="235"/>
      <c r="AI16681" s="38"/>
    </row>
    <row r="16682" ht="15.75" customHeight="1">
      <c r="A16682" s="35"/>
      <c r="C16682" s="442"/>
      <c r="P16682" s="235"/>
      <c r="AI16682" s="38"/>
    </row>
    <row r="16683" ht="15.75" customHeight="1">
      <c r="A16683" s="35"/>
      <c r="C16683" s="442"/>
      <c r="P16683" s="235"/>
      <c r="AI16683" s="38"/>
    </row>
    <row r="16684" ht="15.75" customHeight="1">
      <c r="A16684" s="35"/>
      <c r="C16684" s="442"/>
      <c r="P16684" s="235"/>
      <c r="AI16684" s="38"/>
    </row>
    <row r="16685" ht="15.75" customHeight="1">
      <c r="A16685" s="35"/>
      <c r="C16685" s="442"/>
      <c r="P16685" s="235"/>
      <c r="AI16685" s="38"/>
    </row>
    <row r="16686" ht="15.75" customHeight="1">
      <c r="A16686" s="35"/>
      <c r="C16686" s="442"/>
      <c r="P16686" s="235"/>
      <c r="AI16686" s="38"/>
    </row>
    <row r="16687" ht="15.75" customHeight="1">
      <c r="A16687" s="35"/>
      <c r="C16687" s="442"/>
      <c r="P16687" s="235"/>
      <c r="AI16687" s="38"/>
    </row>
    <row r="16688" ht="15.75" customHeight="1">
      <c r="A16688" s="35"/>
      <c r="C16688" s="442"/>
      <c r="P16688" s="235"/>
      <c r="AI16688" s="38"/>
    </row>
    <row r="16689" ht="15.75" customHeight="1">
      <c r="A16689" s="35"/>
      <c r="C16689" s="442"/>
      <c r="P16689" s="235"/>
      <c r="AI16689" s="38"/>
    </row>
    <row r="16690" ht="15.75" customHeight="1">
      <c r="A16690" s="35"/>
      <c r="C16690" s="442"/>
      <c r="P16690" s="235"/>
      <c r="AI16690" s="38"/>
    </row>
    <row r="16691" ht="15.75" customHeight="1">
      <c r="A16691" s="35"/>
      <c r="C16691" s="442"/>
      <c r="P16691" s="235"/>
      <c r="AI16691" s="38"/>
    </row>
    <row r="16692" ht="15.75" customHeight="1">
      <c r="A16692" s="35"/>
      <c r="C16692" s="442"/>
      <c r="P16692" s="235"/>
      <c r="AI16692" s="38"/>
    </row>
    <row r="16693" ht="15.75" customHeight="1">
      <c r="A16693" s="35"/>
      <c r="C16693" s="442"/>
      <c r="P16693" s="235"/>
      <c r="AI16693" s="38"/>
    </row>
    <row r="16694" ht="15.75" customHeight="1">
      <c r="A16694" s="35"/>
      <c r="C16694" s="442"/>
      <c r="P16694" s="235"/>
      <c r="AI16694" s="38"/>
    </row>
    <row r="16695" ht="15.75" customHeight="1">
      <c r="A16695" s="35"/>
      <c r="C16695" s="442"/>
      <c r="P16695" s="235"/>
      <c r="AI16695" s="38"/>
    </row>
    <row r="16696" ht="15.75" customHeight="1">
      <c r="A16696" s="35"/>
      <c r="C16696" s="442"/>
      <c r="P16696" s="235"/>
      <c r="AI16696" s="38"/>
    </row>
    <row r="16697" ht="15.75" customHeight="1">
      <c r="A16697" s="35"/>
      <c r="C16697" s="442"/>
      <c r="P16697" s="235"/>
      <c r="AI16697" s="38"/>
    </row>
    <row r="16698" ht="15.75" customHeight="1">
      <c r="A16698" s="35"/>
      <c r="C16698" s="442"/>
      <c r="P16698" s="235"/>
      <c r="AI16698" s="38"/>
    </row>
    <row r="16699" ht="15.75" customHeight="1">
      <c r="A16699" s="35"/>
      <c r="C16699" s="442"/>
      <c r="P16699" s="235"/>
      <c r="AI16699" s="38"/>
    </row>
    <row r="16700" ht="15.75" customHeight="1">
      <c r="A16700" s="35"/>
      <c r="C16700" s="442"/>
      <c r="P16700" s="235"/>
      <c r="AI16700" s="38"/>
    </row>
    <row r="16701" ht="15.75" customHeight="1">
      <c r="A16701" s="35"/>
      <c r="C16701" s="442"/>
      <c r="P16701" s="235"/>
      <c r="AI16701" s="38"/>
    </row>
    <row r="16702" ht="15.75" customHeight="1">
      <c r="A16702" s="35"/>
      <c r="C16702" s="442"/>
      <c r="P16702" s="235"/>
      <c r="AI16702" s="38"/>
    </row>
    <row r="16703" ht="15.75" customHeight="1">
      <c r="A16703" s="35"/>
      <c r="C16703" s="442"/>
      <c r="P16703" s="235"/>
      <c r="AI16703" s="38"/>
    </row>
    <row r="16704" ht="15.75" customHeight="1">
      <c r="A16704" s="35"/>
      <c r="C16704" s="442"/>
      <c r="P16704" s="235"/>
      <c r="AI16704" s="38"/>
    </row>
    <row r="16705" ht="15.75" customHeight="1">
      <c r="A16705" s="35"/>
      <c r="C16705" s="442"/>
      <c r="P16705" s="235"/>
      <c r="AI16705" s="38"/>
    </row>
    <row r="16706" ht="15.75" customHeight="1">
      <c r="A16706" s="35"/>
      <c r="C16706" s="442"/>
      <c r="P16706" s="235"/>
      <c r="AI16706" s="38"/>
    </row>
    <row r="16707" ht="15.75" customHeight="1">
      <c r="A16707" s="35"/>
      <c r="C16707" s="442"/>
      <c r="P16707" s="235"/>
      <c r="AI16707" s="38"/>
    </row>
    <row r="16708" ht="15.75" customHeight="1">
      <c r="A16708" s="35"/>
      <c r="C16708" s="442"/>
      <c r="P16708" s="235"/>
      <c r="AI16708" s="38"/>
    </row>
    <row r="16709" ht="15.75" customHeight="1">
      <c r="A16709" s="35"/>
      <c r="C16709" s="442"/>
      <c r="P16709" s="235"/>
      <c r="AI16709" s="38"/>
    </row>
    <row r="16710" ht="15.75" customHeight="1">
      <c r="A16710" s="35"/>
      <c r="C16710" s="442"/>
      <c r="P16710" s="235"/>
      <c r="AI16710" s="38"/>
    </row>
    <row r="16711" ht="15.75" customHeight="1">
      <c r="A16711" s="35"/>
      <c r="C16711" s="442"/>
      <c r="P16711" s="235"/>
      <c r="AI16711" s="38"/>
    </row>
    <row r="16712" ht="15.75" customHeight="1">
      <c r="A16712" s="35"/>
      <c r="C16712" s="442"/>
      <c r="P16712" s="235"/>
      <c r="AI16712" s="38"/>
    </row>
    <row r="16713" ht="15.75" customHeight="1">
      <c r="A16713" s="35"/>
      <c r="C16713" s="442"/>
      <c r="P16713" s="235"/>
      <c r="AI16713" s="38"/>
    </row>
    <row r="16714" ht="15.75" customHeight="1">
      <c r="A16714" s="35"/>
      <c r="C16714" s="442"/>
      <c r="P16714" s="235"/>
      <c r="AI16714" s="38"/>
    </row>
    <row r="16715" ht="15.75" customHeight="1">
      <c r="A16715" s="35"/>
      <c r="C16715" s="442"/>
      <c r="P16715" s="235"/>
      <c r="AI16715" s="38"/>
    </row>
    <row r="16716" ht="15.75" customHeight="1">
      <c r="A16716" s="35"/>
      <c r="C16716" s="442"/>
      <c r="P16716" s="235"/>
      <c r="AI16716" s="38"/>
    </row>
    <row r="16717" ht="15.75" customHeight="1">
      <c r="A16717" s="35"/>
      <c r="C16717" s="442"/>
      <c r="P16717" s="235"/>
      <c r="AI16717" s="38"/>
    </row>
    <row r="16718" ht="15.75" customHeight="1">
      <c r="A16718" s="35"/>
      <c r="C16718" s="442"/>
      <c r="P16718" s="235"/>
      <c r="AI16718" s="38"/>
    </row>
    <row r="16719" ht="15.75" customHeight="1">
      <c r="A16719" s="35"/>
      <c r="C16719" s="442"/>
      <c r="P16719" s="235"/>
      <c r="AI16719" s="38"/>
    </row>
    <row r="16720" ht="15.75" customHeight="1">
      <c r="A16720" s="35"/>
      <c r="C16720" s="442"/>
      <c r="P16720" s="235"/>
      <c r="AI16720" s="38"/>
    </row>
    <row r="16721" ht="15.75" customHeight="1">
      <c r="A16721" s="35"/>
      <c r="C16721" s="442"/>
      <c r="P16721" s="235"/>
      <c r="AI16721" s="38"/>
    </row>
    <row r="16722" ht="15.75" customHeight="1">
      <c r="A16722" s="35"/>
      <c r="C16722" s="442"/>
      <c r="P16722" s="235"/>
      <c r="AI16722" s="38"/>
    </row>
    <row r="16723" ht="15.75" customHeight="1">
      <c r="A16723" s="35"/>
      <c r="C16723" s="442"/>
      <c r="P16723" s="235"/>
      <c r="AI16723" s="38"/>
    </row>
    <row r="16724" ht="15.75" customHeight="1">
      <c r="A16724" s="35"/>
      <c r="C16724" s="442"/>
      <c r="P16724" s="235"/>
      <c r="AI16724" s="38"/>
    </row>
    <row r="16725" ht="15.75" customHeight="1">
      <c r="A16725" s="35"/>
      <c r="C16725" s="442"/>
      <c r="P16725" s="235"/>
      <c r="AI16725" s="38"/>
    </row>
    <row r="16726" ht="15.75" customHeight="1">
      <c r="A16726" s="35"/>
      <c r="C16726" s="442"/>
      <c r="P16726" s="235"/>
      <c r="AI16726" s="38"/>
    </row>
    <row r="16727" ht="15.75" customHeight="1">
      <c r="A16727" s="35"/>
      <c r="C16727" s="442"/>
      <c r="P16727" s="235"/>
      <c r="AI16727" s="38"/>
    </row>
    <row r="16728" ht="15.75" customHeight="1">
      <c r="A16728" s="35"/>
      <c r="C16728" s="442"/>
      <c r="P16728" s="235"/>
      <c r="AI16728" s="38"/>
    </row>
    <row r="16729" ht="15.75" customHeight="1">
      <c r="A16729" s="35"/>
      <c r="C16729" s="442"/>
      <c r="P16729" s="235"/>
      <c r="AI16729" s="38"/>
    </row>
    <row r="16730" ht="15.75" customHeight="1">
      <c r="A16730" s="35"/>
      <c r="C16730" s="442"/>
      <c r="P16730" s="235"/>
      <c r="AI16730" s="38"/>
    </row>
    <row r="16731" ht="15.75" customHeight="1">
      <c r="A16731" s="35"/>
      <c r="C16731" s="442"/>
      <c r="P16731" s="235"/>
      <c r="AI16731" s="38"/>
    </row>
    <row r="16732" ht="15.75" customHeight="1">
      <c r="A16732" s="35"/>
      <c r="C16732" s="442"/>
      <c r="P16732" s="235"/>
      <c r="AI16732" s="38"/>
    </row>
    <row r="16733" ht="15.75" customHeight="1">
      <c r="A16733" s="35"/>
      <c r="C16733" s="442"/>
      <c r="P16733" s="235"/>
      <c r="AI16733" s="38"/>
    </row>
    <row r="16734" ht="15.75" customHeight="1">
      <c r="A16734" s="35"/>
      <c r="C16734" s="442"/>
      <c r="P16734" s="235"/>
      <c r="AI16734" s="38"/>
    </row>
    <row r="16735" ht="15.75" customHeight="1">
      <c r="A16735" s="35"/>
      <c r="C16735" s="442"/>
      <c r="P16735" s="235"/>
      <c r="AI16735" s="38"/>
    </row>
    <row r="16736" ht="15.75" customHeight="1">
      <c r="A16736" s="35"/>
      <c r="C16736" s="442"/>
      <c r="P16736" s="235"/>
      <c r="AI16736" s="38"/>
    </row>
    <row r="16737" ht="15.75" customHeight="1">
      <c r="A16737" s="35"/>
      <c r="C16737" s="442"/>
      <c r="P16737" s="235"/>
      <c r="AI16737" s="38"/>
    </row>
    <row r="16738" ht="15.75" customHeight="1">
      <c r="A16738" s="35"/>
      <c r="C16738" s="442"/>
      <c r="P16738" s="235"/>
      <c r="AI16738" s="38"/>
    </row>
    <row r="16739" ht="15.75" customHeight="1">
      <c r="A16739" s="35"/>
      <c r="C16739" s="442"/>
      <c r="P16739" s="235"/>
      <c r="AI16739" s="38"/>
    </row>
    <row r="16740" ht="15.75" customHeight="1">
      <c r="A16740" s="35"/>
      <c r="C16740" s="442"/>
      <c r="P16740" s="235"/>
      <c r="AI16740" s="38"/>
    </row>
    <row r="16741" ht="15.75" customHeight="1">
      <c r="A16741" s="35"/>
      <c r="C16741" s="442"/>
      <c r="P16741" s="235"/>
      <c r="AI16741" s="38"/>
    </row>
    <row r="16742" ht="15.75" customHeight="1">
      <c r="A16742" s="35"/>
      <c r="C16742" s="442"/>
      <c r="P16742" s="235"/>
      <c r="AI16742" s="38"/>
    </row>
    <row r="16743" ht="15.75" customHeight="1">
      <c r="A16743" s="35"/>
      <c r="C16743" s="442"/>
      <c r="P16743" s="235"/>
      <c r="AI16743" s="38"/>
    </row>
    <row r="16744" ht="15.75" customHeight="1">
      <c r="A16744" s="35"/>
      <c r="C16744" s="442"/>
      <c r="P16744" s="235"/>
      <c r="AI16744" s="38"/>
    </row>
    <row r="16745" ht="15.75" customHeight="1">
      <c r="A16745" s="35"/>
      <c r="C16745" s="442"/>
      <c r="P16745" s="235"/>
      <c r="AI16745" s="38"/>
    </row>
    <row r="16746" ht="15.75" customHeight="1">
      <c r="A16746" s="35"/>
      <c r="C16746" s="442"/>
      <c r="P16746" s="235"/>
      <c r="AI16746" s="38"/>
    </row>
    <row r="16747" ht="15.75" customHeight="1">
      <c r="A16747" s="35"/>
      <c r="C16747" s="442"/>
      <c r="P16747" s="235"/>
      <c r="AI16747" s="38"/>
    </row>
    <row r="16748" ht="15.75" customHeight="1">
      <c r="A16748" s="35"/>
      <c r="C16748" s="442"/>
      <c r="P16748" s="235"/>
      <c r="AI16748" s="38"/>
    </row>
    <row r="16749" ht="15.75" customHeight="1">
      <c r="A16749" s="35"/>
      <c r="C16749" s="442"/>
      <c r="P16749" s="235"/>
      <c r="AI16749" s="38"/>
    </row>
    <row r="16750" ht="15.75" customHeight="1">
      <c r="A16750" s="35"/>
      <c r="C16750" s="442"/>
      <c r="P16750" s="235"/>
      <c r="AI16750" s="38"/>
    </row>
    <row r="16751" ht="15.75" customHeight="1">
      <c r="A16751" s="35"/>
      <c r="C16751" s="442"/>
      <c r="P16751" s="235"/>
      <c r="AI16751" s="38"/>
    </row>
    <row r="16752" ht="15.75" customHeight="1">
      <c r="A16752" s="35"/>
      <c r="C16752" s="442"/>
      <c r="P16752" s="235"/>
      <c r="AI16752" s="38"/>
    </row>
    <row r="16753" ht="15.75" customHeight="1">
      <c r="A16753" s="35"/>
      <c r="C16753" s="442"/>
      <c r="P16753" s="235"/>
      <c r="AI16753" s="38"/>
    </row>
    <row r="16754" ht="15.75" customHeight="1">
      <c r="A16754" s="35"/>
      <c r="C16754" s="442"/>
      <c r="P16754" s="235"/>
      <c r="AI16754" s="38"/>
    </row>
    <row r="16755" ht="15.75" customHeight="1">
      <c r="A16755" s="35"/>
      <c r="C16755" s="442"/>
      <c r="P16755" s="235"/>
      <c r="AI16755" s="38"/>
    </row>
    <row r="16756" ht="15.75" customHeight="1">
      <c r="A16756" s="35"/>
      <c r="C16756" s="442"/>
      <c r="P16756" s="235"/>
      <c r="AI16756" s="38"/>
    </row>
    <row r="16757" ht="15.75" customHeight="1">
      <c r="A16757" s="35"/>
      <c r="C16757" s="442"/>
      <c r="P16757" s="235"/>
      <c r="AI16757" s="38"/>
    </row>
    <row r="16758" ht="15.75" customHeight="1">
      <c r="A16758" s="35"/>
      <c r="C16758" s="442"/>
      <c r="P16758" s="235"/>
      <c r="AI16758" s="38"/>
    </row>
    <row r="16759" ht="15.75" customHeight="1">
      <c r="A16759" s="35"/>
      <c r="C16759" s="442"/>
      <c r="P16759" s="235"/>
      <c r="AI16759" s="38"/>
    </row>
    <row r="16760" ht="15.75" customHeight="1">
      <c r="A16760" s="35"/>
      <c r="C16760" s="442"/>
      <c r="P16760" s="235"/>
      <c r="AI16760" s="38"/>
    </row>
    <row r="16761" ht="15.75" customHeight="1">
      <c r="A16761" s="35"/>
      <c r="C16761" s="442"/>
      <c r="P16761" s="235"/>
      <c r="AI16761" s="38"/>
    </row>
    <row r="16762" ht="15.75" customHeight="1">
      <c r="A16762" s="35"/>
      <c r="C16762" s="442"/>
      <c r="P16762" s="235"/>
      <c r="AI16762" s="38"/>
    </row>
    <row r="16763" ht="15.75" customHeight="1">
      <c r="A16763" s="35"/>
      <c r="C16763" s="442"/>
      <c r="P16763" s="235"/>
      <c r="AI16763" s="38"/>
    </row>
    <row r="16764" ht="15.75" customHeight="1">
      <c r="A16764" s="35"/>
      <c r="C16764" s="442"/>
      <c r="P16764" s="235"/>
      <c r="AI16764" s="38"/>
    </row>
    <row r="16765" ht="15.75" customHeight="1">
      <c r="A16765" s="35"/>
      <c r="C16765" s="442"/>
      <c r="P16765" s="235"/>
      <c r="AI16765" s="38"/>
    </row>
    <row r="16766" ht="15.75" customHeight="1">
      <c r="A16766" s="35"/>
      <c r="C16766" s="442"/>
      <c r="P16766" s="235"/>
      <c r="AI16766" s="38"/>
    </row>
    <row r="16767" ht="15.75" customHeight="1">
      <c r="A16767" s="35"/>
      <c r="C16767" s="442"/>
      <c r="P16767" s="235"/>
      <c r="AI16767" s="38"/>
    </row>
    <row r="16768" ht="15.75" customHeight="1">
      <c r="A16768" s="35"/>
      <c r="C16768" s="442"/>
      <c r="P16768" s="235"/>
      <c r="AI16768" s="38"/>
    </row>
    <row r="16769" ht="15.75" customHeight="1">
      <c r="A16769" s="35"/>
      <c r="C16769" s="442"/>
      <c r="P16769" s="235"/>
      <c r="AI16769" s="38"/>
    </row>
    <row r="16770" ht="15.75" customHeight="1">
      <c r="A16770" s="35"/>
      <c r="C16770" s="442"/>
      <c r="P16770" s="235"/>
      <c r="AI16770" s="38"/>
    </row>
    <row r="16771" ht="15.75" customHeight="1">
      <c r="A16771" s="35"/>
      <c r="C16771" s="442"/>
      <c r="P16771" s="235"/>
      <c r="AI16771" s="38"/>
    </row>
    <row r="16772" ht="15.75" customHeight="1">
      <c r="A16772" s="35"/>
      <c r="C16772" s="442"/>
      <c r="P16772" s="235"/>
      <c r="AI16772" s="38"/>
    </row>
    <row r="16773" ht="15.75" customHeight="1">
      <c r="A16773" s="35"/>
      <c r="C16773" s="442"/>
      <c r="P16773" s="235"/>
      <c r="AI16773" s="38"/>
    </row>
    <row r="16774" ht="15.75" customHeight="1">
      <c r="A16774" s="35"/>
      <c r="C16774" s="442"/>
      <c r="P16774" s="235"/>
      <c r="AI16774" s="38"/>
    </row>
    <row r="16775" ht="15.75" customHeight="1">
      <c r="A16775" s="35"/>
      <c r="C16775" s="442"/>
      <c r="P16775" s="235"/>
      <c r="AI16775" s="38"/>
    </row>
    <row r="16776" ht="15.75" customHeight="1">
      <c r="A16776" s="35"/>
      <c r="C16776" s="442"/>
      <c r="P16776" s="235"/>
      <c r="AI16776" s="38"/>
    </row>
    <row r="16777" ht="15.75" customHeight="1">
      <c r="A16777" s="35"/>
      <c r="C16777" s="442"/>
      <c r="P16777" s="235"/>
      <c r="AI16777" s="38"/>
    </row>
    <row r="16778" ht="15.75" customHeight="1">
      <c r="A16778" s="35"/>
      <c r="C16778" s="442"/>
      <c r="P16778" s="235"/>
      <c r="AI16778" s="38"/>
    </row>
    <row r="16779" ht="15.75" customHeight="1">
      <c r="A16779" s="35"/>
      <c r="C16779" s="442"/>
      <c r="P16779" s="235"/>
      <c r="AI16779" s="38"/>
    </row>
    <row r="16780" ht="15.75" customHeight="1">
      <c r="A16780" s="35"/>
      <c r="C16780" s="442"/>
      <c r="P16780" s="235"/>
      <c r="AI16780" s="38"/>
    </row>
    <row r="16781" ht="15.75" customHeight="1">
      <c r="A16781" s="35"/>
      <c r="C16781" s="442"/>
      <c r="P16781" s="235"/>
      <c r="AI16781" s="38"/>
    </row>
    <row r="16782" ht="15.75" customHeight="1">
      <c r="A16782" s="35"/>
      <c r="C16782" s="442"/>
      <c r="P16782" s="235"/>
      <c r="AI16782" s="38"/>
    </row>
    <row r="16783" ht="15.75" customHeight="1">
      <c r="A16783" s="35"/>
      <c r="C16783" s="442"/>
      <c r="P16783" s="235"/>
      <c r="AI16783" s="38"/>
    </row>
    <row r="16784" ht="15.75" customHeight="1">
      <c r="A16784" s="35"/>
      <c r="C16784" s="442"/>
      <c r="P16784" s="235"/>
      <c r="AI16784" s="38"/>
    </row>
    <row r="16785" ht="15.75" customHeight="1">
      <c r="A16785" s="35"/>
      <c r="C16785" s="442"/>
      <c r="P16785" s="235"/>
      <c r="AI16785" s="38"/>
    </row>
    <row r="16786" ht="15.75" customHeight="1">
      <c r="A16786" s="35"/>
      <c r="C16786" s="442"/>
      <c r="P16786" s="235"/>
      <c r="AI16786" s="38"/>
    </row>
    <row r="16787" ht="15.75" customHeight="1">
      <c r="A16787" s="35"/>
      <c r="C16787" s="442"/>
      <c r="P16787" s="235"/>
      <c r="AI16787" s="38"/>
    </row>
    <row r="16788" ht="15.75" customHeight="1">
      <c r="A16788" s="35"/>
      <c r="C16788" s="442"/>
      <c r="P16788" s="235"/>
      <c r="AI16788" s="38"/>
    </row>
    <row r="16789" ht="15.75" customHeight="1">
      <c r="A16789" s="35"/>
      <c r="C16789" s="442"/>
      <c r="P16789" s="235"/>
      <c r="AI16789" s="38"/>
    </row>
    <row r="16790" ht="15.75" customHeight="1">
      <c r="A16790" s="35"/>
      <c r="C16790" s="442"/>
      <c r="P16790" s="235"/>
      <c r="AI16790" s="38"/>
    </row>
    <row r="16791" ht="15.75" customHeight="1">
      <c r="A16791" s="35"/>
      <c r="C16791" s="442"/>
      <c r="P16791" s="235"/>
      <c r="AI16791" s="38"/>
    </row>
    <row r="16792" ht="15.75" customHeight="1">
      <c r="A16792" s="35"/>
      <c r="C16792" s="442"/>
      <c r="P16792" s="235"/>
      <c r="AI16792" s="38"/>
    </row>
    <row r="16793" ht="15.75" customHeight="1">
      <c r="A16793" s="35"/>
      <c r="C16793" s="442"/>
      <c r="P16793" s="235"/>
      <c r="AI16793" s="38"/>
    </row>
    <row r="16794" ht="15.75" customHeight="1">
      <c r="A16794" s="35"/>
      <c r="C16794" s="442"/>
      <c r="P16794" s="235"/>
      <c r="AI16794" s="38"/>
    </row>
    <row r="16795" ht="15.75" customHeight="1">
      <c r="A16795" s="35"/>
      <c r="C16795" s="442"/>
      <c r="P16795" s="235"/>
      <c r="AI16795" s="38"/>
    </row>
    <row r="16796" ht="15.75" customHeight="1">
      <c r="A16796" s="35"/>
      <c r="C16796" s="442"/>
      <c r="P16796" s="235"/>
      <c r="AI16796" s="38"/>
    </row>
    <row r="16797" ht="15.75" customHeight="1">
      <c r="A16797" s="35"/>
      <c r="C16797" s="442"/>
      <c r="P16797" s="235"/>
      <c r="AI16797" s="38"/>
    </row>
    <row r="16798" ht="15.75" customHeight="1">
      <c r="A16798" s="35"/>
      <c r="C16798" s="442"/>
      <c r="P16798" s="235"/>
      <c r="AI16798" s="38"/>
    </row>
    <row r="16799" ht="15.75" customHeight="1">
      <c r="A16799" s="35"/>
      <c r="C16799" s="442"/>
      <c r="P16799" s="235"/>
      <c r="AI16799" s="38"/>
    </row>
    <row r="16800" ht="15.75" customHeight="1">
      <c r="A16800" s="35"/>
      <c r="C16800" s="442"/>
      <c r="P16800" s="235"/>
      <c r="AI16800" s="38"/>
    </row>
    <row r="16801" ht="15.75" customHeight="1">
      <c r="A16801" s="35"/>
      <c r="C16801" s="442"/>
      <c r="P16801" s="235"/>
      <c r="AI16801" s="38"/>
    </row>
    <row r="16802" ht="15.75" customHeight="1">
      <c r="A16802" s="35"/>
      <c r="C16802" s="442"/>
      <c r="P16802" s="235"/>
      <c r="AI16802" s="38"/>
    </row>
    <row r="16803" ht="15.75" customHeight="1">
      <c r="A16803" s="35"/>
      <c r="C16803" s="442"/>
      <c r="P16803" s="235"/>
      <c r="AI16803" s="38"/>
    </row>
    <row r="16804" ht="15.75" customHeight="1">
      <c r="A16804" s="35"/>
      <c r="C16804" s="442"/>
      <c r="P16804" s="235"/>
      <c r="AI16804" s="38"/>
    </row>
    <row r="16805" ht="15.75" customHeight="1">
      <c r="A16805" s="35"/>
      <c r="C16805" s="442"/>
      <c r="P16805" s="235"/>
      <c r="AI16805" s="38"/>
    </row>
    <row r="16806" ht="15.75" customHeight="1">
      <c r="A16806" s="35"/>
      <c r="C16806" s="442"/>
      <c r="P16806" s="235"/>
      <c r="AI16806" s="38"/>
    </row>
    <row r="16807" ht="15.75" customHeight="1">
      <c r="A16807" s="35"/>
      <c r="C16807" s="442"/>
      <c r="P16807" s="235"/>
      <c r="AI16807" s="38"/>
    </row>
    <row r="16808" ht="15.75" customHeight="1">
      <c r="A16808" s="35"/>
      <c r="C16808" s="442"/>
      <c r="P16808" s="235"/>
      <c r="AI16808" s="38"/>
    </row>
    <row r="16809" ht="15.75" customHeight="1">
      <c r="A16809" s="35"/>
      <c r="C16809" s="442"/>
      <c r="P16809" s="235"/>
      <c r="AI16809" s="38"/>
    </row>
    <row r="16810" ht="15.75" customHeight="1">
      <c r="A16810" s="35"/>
      <c r="C16810" s="442"/>
      <c r="P16810" s="235"/>
      <c r="AI16810" s="38"/>
    </row>
    <row r="16811" ht="15.75" customHeight="1">
      <c r="A16811" s="35"/>
      <c r="C16811" s="442"/>
      <c r="P16811" s="235"/>
      <c r="AI16811" s="38"/>
    </row>
    <row r="16812" ht="15.75" customHeight="1">
      <c r="A16812" s="35"/>
      <c r="C16812" s="442"/>
      <c r="P16812" s="235"/>
      <c r="AI16812" s="38"/>
    </row>
    <row r="16813" ht="15.75" customHeight="1">
      <c r="A16813" s="35"/>
      <c r="C16813" s="442"/>
      <c r="P16813" s="235"/>
      <c r="AI16813" s="38"/>
    </row>
    <row r="16814" ht="15.75" customHeight="1">
      <c r="A16814" s="35"/>
      <c r="C16814" s="442"/>
      <c r="P16814" s="235"/>
      <c r="AI16814" s="38"/>
    </row>
    <row r="16815" ht="15.75" customHeight="1">
      <c r="A16815" s="35"/>
      <c r="C16815" s="442"/>
      <c r="P16815" s="235"/>
      <c r="AI16815" s="38"/>
    </row>
    <row r="16816" ht="15.75" customHeight="1">
      <c r="A16816" s="35"/>
      <c r="C16816" s="442"/>
      <c r="P16816" s="235"/>
      <c r="AI16816" s="38"/>
    </row>
    <row r="16817" ht="15.75" customHeight="1">
      <c r="A16817" s="35"/>
      <c r="C16817" s="442"/>
      <c r="P16817" s="235"/>
      <c r="AI16817" s="38"/>
    </row>
    <row r="16818" ht="15.75" customHeight="1">
      <c r="A16818" s="35"/>
      <c r="C16818" s="442"/>
      <c r="P16818" s="235"/>
      <c r="AI16818" s="38"/>
    </row>
    <row r="16819" ht="15.75" customHeight="1">
      <c r="A16819" s="35"/>
      <c r="C16819" s="442"/>
      <c r="P16819" s="235"/>
      <c r="AI16819" s="38"/>
    </row>
    <row r="16820" ht="15.75" customHeight="1">
      <c r="A16820" s="35"/>
      <c r="C16820" s="442"/>
      <c r="P16820" s="235"/>
      <c r="AI16820" s="38"/>
    </row>
    <row r="16821" ht="15.75" customHeight="1">
      <c r="A16821" s="35"/>
      <c r="C16821" s="442"/>
      <c r="P16821" s="235"/>
      <c r="AI16821" s="38"/>
    </row>
    <row r="16822" ht="15.75" customHeight="1">
      <c r="A16822" s="35"/>
      <c r="C16822" s="442"/>
      <c r="P16822" s="235"/>
      <c r="AI16822" s="38"/>
    </row>
    <row r="16823" ht="15.75" customHeight="1">
      <c r="A16823" s="35"/>
      <c r="C16823" s="442"/>
      <c r="P16823" s="235"/>
      <c r="AI16823" s="38"/>
    </row>
    <row r="16824" ht="15.75" customHeight="1">
      <c r="A16824" s="35"/>
      <c r="C16824" s="442"/>
      <c r="P16824" s="235"/>
      <c r="AI16824" s="38"/>
    </row>
    <row r="16825" ht="15.75" customHeight="1">
      <c r="A16825" s="35"/>
      <c r="C16825" s="442"/>
      <c r="P16825" s="235"/>
      <c r="AI16825" s="38"/>
    </row>
    <row r="16826" ht="15.75" customHeight="1">
      <c r="A16826" s="35"/>
      <c r="C16826" s="442"/>
      <c r="P16826" s="235"/>
      <c r="AI16826" s="38"/>
    </row>
    <row r="16827" ht="15.75" customHeight="1">
      <c r="A16827" s="35"/>
      <c r="C16827" s="442"/>
      <c r="P16827" s="235"/>
      <c r="AI16827" s="38"/>
    </row>
    <row r="16828" ht="15.75" customHeight="1">
      <c r="A16828" s="35"/>
      <c r="C16828" s="442"/>
      <c r="P16828" s="235"/>
      <c r="AI16828" s="38"/>
    </row>
    <row r="16829" ht="15.75" customHeight="1">
      <c r="A16829" s="35"/>
      <c r="C16829" s="442"/>
      <c r="P16829" s="235"/>
      <c r="AI16829" s="38"/>
    </row>
    <row r="16830" ht="15.75" customHeight="1">
      <c r="A16830" s="35"/>
      <c r="C16830" s="442"/>
      <c r="P16830" s="235"/>
      <c r="AI16830" s="38"/>
    </row>
    <row r="16831" ht="15.75" customHeight="1">
      <c r="A16831" s="35"/>
      <c r="C16831" s="442"/>
      <c r="P16831" s="235"/>
      <c r="AI16831" s="38"/>
    </row>
    <row r="16832" ht="15.75" customHeight="1">
      <c r="A16832" s="35"/>
      <c r="C16832" s="442"/>
      <c r="P16832" s="235"/>
      <c r="AI16832" s="38"/>
    </row>
    <row r="16833" ht="15.75" customHeight="1">
      <c r="A16833" s="35"/>
      <c r="C16833" s="442"/>
      <c r="P16833" s="235"/>
      <c r="AI16833" s="38"/>
    </row>
    <row r="16834" ht="15.75" customHeight="1">
      <c r="A16834" s="35"/>
      <c r="C16834" s="442"/>
      <c r="P16834" s="235"/>
      <c r="AI16834" s="38"/>
    </row>
    <row r="16835" ht="15.75" customHeight="1">
      <c r="A16835" s="35"/>
      <c r="C16835" s="442"/>
      <c r="P16835" s="235"/>
      <c r="AI16835" s="38"/>
    </row>
    <row r="16836" ht="15.75" customHeight="1">
      <c r="A16836" s="35"/>
      <c r="C16836" s="442"/>
      <c r="P16836" s="235"/>
      <c r="AI16836" s="38"/>
    </row>
    <row r="16837" ht="15.75" customHeight="1">
      <c r="A16837" s="35"/>
      <c r="C16837" s="442"/>
      <c r="P16837" s="235"/>
      <c r="AI16837" s="38"/>
    </row>
    <row r="16838" ht="15.75" customHeight="1">
      <c r="A16838" s="35"/>
      <c r="C16838" s="442"/>
      <c r="P16838" s="235"/>
      <c r="AI16838" s="38"/>
    </row>
    <row r="16839" ht="15.75" customHeight="1">
      <c r="A16839" s="35"/>
      <c r="C16839" s="442"/>
      <c r="P16839" s="235"/>
      <c r="AI16839" s="38"/>
    </row>
    <row r="16840" ht="15.75" customHeight="1">
      <c r="A16840" s="35"/>
      <c r="C16840" s="442"/>
      <c r="P16840" s="235"/>
      <c r="AI16840" s="38"/>
    </row>
    <row r="16841" ht="15.75" customHeight="1">
      <c r="A16841" s="35"/>
      <c r="C16841" s="442"/>
      <c r="P16841" s="235"/>
      <c r="AI16841" s="38"/>
    </row>
    <row r="16842" ht="15.75" customHeight="1">
      <c r="A16842" s="35"/>
      <c r="C16842" s="442"/>
      <c r="P16842" s="235"/>
      <c r="AI16842" s="38"/>
    </row>
    <row r="16843" ht="15.75" customHeight="1">
      <c r="A16843" s="35"/>
      <c r="C16843" s="442"/>
      <c r="P16843" s="235"/>
      <c r="AI16843" s="38"/>
    </row>
    <row r="16844" ht="15.75" customHeight="1">
      <c r="A16844" s="35"/>
      <c r="C16844" s="442"/>
      <c r="P16844" s="235"/>
      <c r="AI16844" s="38"/>
    </row>
    <row r="16845" ht="15.75" customHeight="1">
      <c r="A16845" s="35"/>
      <c r="C16845" s="442"/>
      <c r="P16845" s="235"/>
      <c r="AI16845" s="38"/>
    </row>
    <row r="16846" ht="15.75" customHeight="1">
      <c r="A16846" s="35"/>
      <c r="C16846" s="442"/>
      <c r="P16846" s="235"/>
      <c r="AI16846" s="38"/>
    </row>
    <row r="16847" ht="15.75" customHeight="1">
      <c r="A16847" s="35"/>
      <c r="C16847" s="442"/>
      <c r="P16847" s="235"/>
      <c r="AI16847" s="38"/>
    </row>
    <row r="16848" ht="15.75" customHeight="1">
      <c r="A16848" s="35"/>
      <c r="C16848" s="442"/>
      <c r="P16848" s="235"/>
      <c r="AI16848" s="38"/>
    </row>
    <row r="16849" ht="15.75" customHeight="1">
      <c r="A16849" s="35"/>
      <c r="C16849" s="442"/>
      <c r="P16849" s="235"/>
      <c r="AI16849" s="38"/>
    </row>
    <row r="16850" ht="15.75" customHeight="1">
      <c r="A16850" s="35"/>
      <c r="C16850" s="442"/>
      <c r="P16850" s="235"/>
      <c r="AI16850" s="38"/>
    </row>
    <row r="16851" ht="15.75" customHeight="1">
      <c r="A16851" s="35"/>
      <c r="C16851" s="442"/>
      <c r="P16851" s="235"/>
      <c r="AI16851" s="38"/>
    </row>
    <row r="16852" ht="15.75" customHeight="1">
      <c r="A16852" s="35"/>
      <c r="C16852" s="442"/>
      <c r="P16852" s="235"/>
      <c r="AI16852" s="38"/>
    </row>
    <row r="16853" ht="15.75" customHeight="1">
      <c r="A16853" s="35"/>
      <c r="C16853" s="442"/>
      <c r="P16853" s="235"/>
      <c r="AI16853" s="38"/>
    </row>
    <row r="16854" ht="15.75" customHeight="1">
      <c r="A16854" s="35"/>
      <c r="C16854" s="442"/>
      <c r="P16854" s="235"/>
      <c r="AI16854" s="38"/>
    </row>
    <row r="16855" ht="15.75" customHeight="1">
      <c r="A16855" s="35"/>
      <c r="C16855" s="442"/>
      <c r="P16855" s="235"/>
      <c r="AI16855" s="38"/>
    </row>
    <row r="16856" ht="15.75" customHeight="1">
      <c r="A16856" s="35"/>
      <c r="C16856" s="442"/>
      <c r="P16856" s="235"/>
      <c r="AI16856" s="38"/>
    </row>
    <row r="16857" ht="15.75" customHeight="1">
      <c r="A16857" s="35"/>
      <c r="C16857" s="442"/>
      <c r="P16857" s="235"/>
      <c r="AI16857" s="38"/>
    </row>
    <row r="16858" ht="15.75" customHeight="1">
      <c r="A16858" s="35"/>
      <c r="C16858" s="442"/>
      <c r="P16858" s="235"/>
      <c r="AI16858" s="38"/>
    </row>
    <row r="16859" ht="15.75" customHeight="1">
      <c r="A16859" s="35"/>
      <c r="C16859" s="442"/>
      <c r="P16859" s="235"/>
      <c r="AI16859" s="38"/>
    </row>
    <row r="16860" ht="15.75" customHeight="1">
      <c r="A16860" s="35"/>
      <c r="C16860" s="442"/>
      <c r="P16860" s="235"/>
      <c r="AI16860" s="38"/>
    </row>
    <row r="16861" ht="15.75" customHeight="1">
      <c r="A16861" s="35"/>
      <c r="C16861" s="442"/>
      <c r="P16861" s="235"/>
      <c r="AI16861" s="38"/>
    </row>
    <row r="16862" ht="15.75" customHeight="1">
      <c r="A16862" s="35"/>
      <c r="C16862" s="442"/>
      <c r="P16862" s="235"/>
      <c r="AI16862" s="38"/>
    </row>
    <row r="16863" ht="15.75" customHeight="1">
      <c r="A16863" s="35"/>
      <c r="C16863" s="442"/>
      <c r="P16863" s="235"/>
      <c r="AI16863" s="38"/>
    </row>
    <row r="16864" ht="15.75" customHeight="1">
      <c r="A16864" s="35"/>
      <c r="C16864" s="442"/>
      <c r="P16864" s="235"/>
      <c r="AI16864" s="38"/>
    </row>
    <row r="16865" ht="15.75" customHeight="1">
      <c r="A16865" s="35"/>
      <c r="C16865" s="442"/>
      <c r="P16865" s="235"/>
      <c r="AI16865" s="38"/>
    </row>
    <row r="16866" ht="15.75" customHeight="1">
      <c r="A16866" s="35"/>
      <c r="C16866" s="442"/>
      <c r="P16866" s="235"/>
      <c r="AI16866" s="38"/>
    </row>
    <row r="16867" ht="15.75" customHeight="1">
      <c r="A16867" s="35"/>
      <c r="C16867" s="442"/>
      <c r="P16867" s="235"/>
      <c r="AI16867" s="38"/>
    </row>
    <row r="16868" ht="15.75" customHeight="1">
      <c r="A16868" s="35"/>
      <c r="C16868" s="442"/>
      <c r="P16868" s="235"/>
      <c r="AI16868" s="38"/>
    </row>
    <row r="16869" ht="15.75" customHeight="1">
      <c r="A16869" s="35"/>
      <c r="C16869" s="442"/>
      <c r="P16869" s="235"/>
      <c r="AI16869" s="38"/>
    </row>
    <row r="16870" ht="15.75" customHeight="1">
      <c r="A16870" s="35"/>
      <c r="C16870" s="442"/>
      <c r="P16870" s="235"/>
      <c r="AI16870" s="38"/>
    </row>
    <row r="16871" ht="15.75" customHeight="1">
      <c r="A16871" s="35"/>
      <c r="C16871" s="442"/>
      <c r="P16871" s="235"/>
      <c r="AI16871" s="38"/>
    </row>
    <row r="16872" ht="15.75" customHeight="1">
      <c r="A16872" s="35"/>
      <c r="C16872" s="442"/>
      <c r="P16872" s="235"/>
      <c r="AI16872" s="38"/>
    </row>
    <row r="16873" ht="15.75" customHeight="1">
      <c r="A16873" s="35"/>
      <c r="C16873" s="442"/>
      <c r="P16873" s="235"/>
      <c r="AI16873" s="38"/>
    </row>
    <row r="16874" ht="15.75" customHeight="1">
      <c r="A16874" s="35"/>
      <c r="C16874" s="442"/>
      <c r="P16874" s="235"/>
      <c r="AI16874" s="38"/>
    </row>
    <row r="16875" ht="15.75" customHeight="1">
      <c r="A16875" s="35"/>
      <c r="C16875" s="442"/>
      <c r="P16875" s="235"/>
      <c r="AI16875" s="38"/>
    </row>
    <row r="16876" ht="15.75" customHeight="1">
      <c r="A16876" s="35"/>
      <c r="C16876" s="442"/>
      <c r="P16876" s="235"/>
      <c r="AI16876" s="38"/>
    </row>
    <row r="16877" ht="15.75" customHeight="1">
      <c r="A16877" s="35"/>
      <c r="C16877" s="442"/>
      <c r="P16877" s="235"/>
      <c r="AI16877" s="38"/>
    </row>
    <row r="16878" ht="15.75" customHeight="1">
      <c r="A16878" s="35"/>
      <c r="C16878" s="442"/>
      <c r="P16878" s="235"/>
      <c r="AI16878" s="38"/>
    </row>
    <row r="16879" ht="15.75" customHeight="1">
      <c r="A16879" s="35"/>
      <c r="C16879" s="442"/>
      <c r="P16879" s="235"/>
      <c r="AI16879" s="38"/>
    </row>
    <row r="16880" ht="15.75" customHeight="1">
      <c r="A16880" s="35"/>
      <c r="C16880" s="442"/>
      <c r="P16880" s="235"/>
      <c r="AI16880" s="38"/>
    </row>
    <row r="16881" ht="15.75" customHeight="1">
      <c r="A16881" s="35"/>
      <c r="C16881" s="442"/>
      <c r="P16881" s="235"/>
      <c r="AI16881" s="38"/>
    </row>
    <row r="16882" ht="15.75" customHeight="1">
      <c r="A16882" s="35"/>
      <c r="C16882" s="442"/>
      <c r="P16882" s="235"/>
      <c r="AI16882" s="38"/>
    </row>
    <row r="16883" ht="15.75" customHeight="1">
      <c r="A16883" s="35"/>
      <c r="C16883" s="442"/>
      <c r="P16883" s="235"/>
      <c r="AI16883" s="38"/>
    </row>
    <row r="16884" ht="15.75" customHeight="1">
      <c r="A16884" s="35"/>
      <c r="C16884" s="442"/>
      <c r="P16884" s="235"/>
      <c r="AI16884" s="38"/>
    </row>
    <row r="16885" ht="15.75" customHeight="1">
      <c r="A16885" s="35"/>
      <c r="C16885" s="442"/>
      <c r="P16885" s="235"/>
      <c r="AI16885" s="38"/>
    </row>
    <row r="16886" ht="15.75" customHeight="1">
      <c r="A16886" s="35"/>
      <c r="C16886" s="442"/>
      <c r="P16886" s="235"/>
      <c r="AI16886" s="38"/>
    </row>
    <row r="16887" ht="15.75" customHeight="1">
      <c r="A16887" s="35"/>
      <c r="C16887" s="442"/>
      <c r="P16887" s="235"/>
      <c r="AI16887" s="38"/>
    </row>
    <row r="16888" ht="15.75" customHeight="1">
      <c r="A16888" s="35"/>
      <c r="C16888" s="442"/>
      <c r="P16888" s="235"/>
      <c r="AI16888" s="38"/>
    </row>
    <row r="16889" ht="15.75" customHeight="1">
      <c r="A16889" s="35"/>
      <c r="C16889" s="442"/>
      <c r="P16889" s="235"/>
      <c r="AI16889" s="38"/>
    </row>
    <row r="16890" ht="15.75" customHeight="1">
      <c r="A16890" s="35"/>
      <c r="C16890" s="442"/>
      <c r="P16890" s="235"/>
      <c r="AI16890" s="38"/>
    </row>
    <row r="16891" ht="15.75" customHeight="1">
      <c r="A16891" s="35"/>
      <c r="C16891" s="442"/>
      <c r="P16891" s="235"/>
      <c r="AI16891" s="38"/>
    </row>
    <row r="16892" ht="15.75" customHeight="1">
      <c r="A16892" s="35"/>
      <c r="C16892" s="442"/>
      <c r="P16892" s="235"/>
      <c r="AI16892" s="38"/>
    </row>
    <row r="16893" ht="15.75" customHeight="1">
      <c r="A16893" s="35"/>
      <c r="C16893" s="442"/>
      <c r="P16893" s="235"/>
      <c r="AI16893" s="38"/>
    </row>
    <row r="16894" ht="15.75" customHeight="1">
      <c r="A16894" s="35"/>
      <c r="C16894" s="442"/>
      <c r="P16894" s="235"/>
      <c r="AI16894" s="38"/>
    </row>
    <row r="16895" ht="15.75" customHeight="1">
      <c r="A16895" s="35"/>
      <c r="C16895" s="442"/>
      <c r="P16895" s="235"/>
      <c r="AI16895" s="38"/>
    </row>
    <row r="16896" ht="15.75" customHeight="1">
      <c r="A16896" s="35"/>
      <c r="C16896" s="442"/>
      <c r="P16896" s="235"/>
      <c r="AI16896" s="38"/>
    </row>
    <row r="16897" ht="15.75" customHeight="1">
      <c r="A16897" s="35"/>
      <c r="C16897" s="442"/>
      <c r="P16897" s="235"/>
      <c r="AI16897" s="38"/>
    </row>
    <row r="16898" ht="15.75" customHeight="1">
      <c r="A16898" s="35"/>
      <c r="C16898" s="442"/>
      <c r="P16898" s="235"/>
      <c r="AI16898" s="38"/>
    </row>
    <row r="16899" ht="15.75" customHeight="1">
      <c r="A16899" s="35"/>
      <c r="C16899" s="442"/>
      <c r="P16899" s="235"/>
      <c r="AI16899" s="38"/>
    </row>
    <row r="16900" ht="15.75" customHeight="1">
      <c r="A16900" s="35"/>
      <c r="C16900" s="442"/>
      <c r="P16900" s="235"/>
      <c r="AI16900" s="38"/>
    </row>
    <row r="16901" ht="15.75" customHeight="1">
      <c r="A16901" s="35"/>
      <c r="C16901" s="442"/>
      <c r="P16901" s="235"/>
      <c r="AI16901" s="38"/>
    </row>
    <row r="16902" ht="15.75" customHeight="1">
      <c r="A16902" s="35"/>
      <c r="C16902" s="442"/>
      <c r="P16902" s="235"/>
      <c r="AI16902" s="38"/>
    </row>
    <row r="16903" ht="15.75" customHeight="1">
      <c r="A16903" s="35"/>
      <c r="C16903" s="442"/>
      <c r="P16903" s="235"/>
      <c r="AI16903" s="38"/>
    </row>
    <row r="16904" ht="15.75" customHeight="1">
      <c r="A16904" s="35"/>
      <c r="C16904" s="442"/>
      <c r="P16904" s="235"/>
      <c r="AI16904" s="38"/>
    </row>
    <row r="16905" ht="15.75" customHeight="1">
      <c r="A16905" s="35"/>
      <c r="C16905" s="442"/>
      <c r="P16905" s="235"/>
      <c r="AI16905" s="38"/>
    </row>
    <row r="16906" ht="15.75" customHeight="1">
      <c r="A16906" s="35"/>
      <c r="C16906" s="442"/>
      <c r="P16906" s="235"/>
      <c r="AI16906" s="38"/>
    </row>
    <row r="16907" ht="15.75" customHeight="1">
      <c r="A16907" s="35"/>
      <c r="C16907" s="442"/>
      <c r="P16907" s="235"/>
      <c r="AI16907" s="38"/>
    </row>
    <row r="16908" ht="15.75" customHeight="1">
      <c r="A16908" s="35"/>
      <c r="C16908" s="442"/>
      <c r="P16908" s="235"/>
      <c r="AI16908" s="38"/>
    </row>
    <row r="16909" ht="15.75" customHeight="1">
      <c r="A16909" s="35"/>
      <c r="C16909" s="442"/>
      <c r="P16909" s="235"/>
      <c r="AI16909" s="38"/>
    </row>
    <row r="16910" ht="15.75" customHeight="1">
      <c r="A16910" s="35"/>
      <c r="C16910" s="442"/>
      <c r="P16910" s="235"/>
      <c r="AI16910" s="38"/>
    </row>
    <row r="16911" ht="15.75" customHeight="1">
      <c r="A16911" s="35"/>
      <c r="C16911" s="442"/>
      <c r="P16911" s="235"/>
      <c r="AI16911" s="38"/>
    </row>
    <row r="16912" ht="15.75" customHeight="1">
      <c r="A16912" s="35"/>
      <c r="C16912" s="442"/>
      <c r="P16912" s="235"/>
      <c r="AI16912" s="38"/>
    </row>
    <row r="16913" ht="15.75" customHeight="1">
      <c r="A16913" s="35"/>
      <c r="C16913" s="442"/>
      <c r="P16913" s="235"/>
      <c r="AI16913" s="38"/>
    </row>
    <row r="16914" ht="15.75" customHeight="1">
      <c r="A16914" s="35"/>
      <c r="C16914" s="442"/>
      <c r="P16914" s="235"/>
      <c r="AI16914" s="38"/>
    </row>
    <row r="16915" ht="15.75" customHeight="1">
      <c r="A16915" s="35"/>
      <c r="C16915" s="442"/>
      <c r="P16915" s="235"/>
      <c r="AI16915" s="38"/>
    </row>
    <row r="16916" ht="15.75" customHeight="1">
      <c r="A16916" s="35"/>
      <c r="C16916" s="442"/>
      <c r="P16916" s="235"/>
      <c r="AI16916" s="38"/>
    </row>
    <row r="16917" ht="15.75" customHeight="1">
      <c r="A16917" s="35"/>
      <c r="C16917" s="442"/>
      <c r="P16917" s="235"/>
      <c r="AI16917" s="38"/>
    </row>
    <row r="16918" ht="15.75" customHeight="1">
      <c r="A16918" s="35"/>
      <c r="C16918" s="442"/>
      <c r="P16918" s="235"/>
      <c r="AI16918" s="38"/>
    </row>
    <row r="16919" ht="15.75" customHeight="1">
      <c r="A16919" s="35"/>
      <c r="C16919" s="442"/>
      <c r="P16919" s="235"/>
      <c r="AI16919" s="38"/>
    </row>
    <row r="16920" ht="15.75" customHeight="1">
      <c r="A16920" s="35"/>
      <c r="C16920" s="442"/>
      <c r="P16920" s="235"/>
      <c r="AI16920" s="38"/>
    </row>
    <row r="16921" ht="15.75" customHeight="1">
      <c r="A16921" s="35"/>
      <c r="C16921" s="442"/>
      <c r="P16921" s="235"/>
      <c r="AI16921" s="38"/>
    </row>
    <row r="16922" ht="15.75" customHeight="1">
      <c r="A16922" s="35"/>
      <c r="C16922" s="442"/>
      <c r="P16922" s="235"/>
      <c r="AI16922" s="38"/>
    </row>
    <row r="16923" ht="15.75" customHeight="1">
      <c r="A16923" s="35"/>
      <c r="C16923" s="442"/>
      <c r="P16923" s="235"/>
      <c r="AI16923" s="38"/>
    </row>
    <row r="16924" ht="15.75" customHeight="1">
      <c r="A16924" s="35"/>
      <c r="C16924" s="442"/>
      <c r="P16924" s="235"/>
      <c r="AI16924" s="38"/>
    </row>
    <row r="16925" ht="15.75" customHeight="1">
      <c r="A16925" s="35"/>
      <c r="C16925" s="442"/>
      <c r="P16925" s="235"/>
      <c r="AI16925" s="38"/>
    </row>
    <row r="16926" ht="15.75" customHeight="1">
      <c r="A16926" s="35"/>
      <c r="C16926" s="442"/>
      <c r="P16926" s="235"/>
      <c r="AI16926" s="38"/>
    </row>
    <row r="16927" ht="15.75" customHeight="1">
      <c r="A16927" s="35"/>
      <c r="C16927" s="442"/>
      <c r="P16927" s="235"/>
      <c r="AI16927" s="38"/>
    </row>
    <row r="16928" ht="15.75" customHeight="1">
      <c r="A16928" s="35"/>
      <c r="C16928" s="442"/>
      <c r="P16928" s="235"/>
      <c r="AI16928" s="38"/>
    </row>
    <row r="16929" ht="15.75" customHeight="1">
      <c r="A16929" s="35"/>
      <c r="C16929" s="442"/>
      <c r="P16929" s="235"/>
      <c r="AI16929" s="38"/>
    </row>
    <row r="16930" ht="15.75" customHeight="1">
      <c r="A16930" s="35"/>
      <c r="C16930" s="442"/>
      <c r="P16930" s="235"/>
      <c r="AI16930" s="38"/>
    </row>
    <row r="16931" ht="15.75" customHeight="1">
      <c r="A16931" s="35"/>
      <c r="C16931" s="442"/>
      <c r="P16931" s="235"/>
      <c r="AI16931" s="38"/>
    </row>
    <row r="16932" ht="15.75" customHeight="1">
      <c r="A16932" s="35"/>
      <c r="C16932" s="442"/>
      <c r="P16932" s="235"/>
      <c r="AI16932" s="38"/>
    </row>
    <row r="16933" ht="15.75" customHeight="1">
      <c r="A16933" s="35"/>
      <c r="C16933" s="442"/>
      <c r="P16933" s="235"/>
      <c r="AI16933" s="38"/>
    </row>
    <row r="16934" ht="15.75" customHeight="1">
      <c r="A16934" s="35"/>
      <c r="C16934" s="442"/>
      <c r="P16934" s="235"/>
      <c r="AI16934" s="38"/>
    </row>
    <row r="16935" ht="15.75" customHeight="1">
      <c r="A16935" s="35"/>
      <c r="C16935" s="442"/>
      <c r="P16935" s="235"/>
      <c r="AI16935" s="38"/>
    </row>
    <row r="16936" ht="15.75" customHeight="1">
      <c r="A16936" s="35"/>
      <c r="C16936" s="442"/>
      <c r="P16936" s="235"/>
      <c r="AI16936" s="38"/>
    </row>
    <row r="16937" ht="15.75" customHeight="1">
      <c r="A16937" s="35"/>
      <c r="C16937" s="442"/>
      <c r="P16937" s="235"/>
      <c r="AI16937" s="38"/>
    </row>
    <row r="16938" ht="15.75" customHeight="1">
      <c r="A16938" s="35"/>
      <c r="C16938" s="442"/>
      <c r="P16938" s="235"/>
      <c r="AI16938" s="38"/>
    </row>
    <row r="16939" ht="15.75" customHeight="1">
      <c r="A16939" s="35"/>
      <c r="C16939" s="442"/>
      <c r="P16939" s="235"/>
      <c r="AI16939" s="38"/>
    </row>
    <row r="16940" ht="15.75" customHeight="1">
      <c r="A16940" s="35"/>
      <c r="C16940" s="442"/>
      <c r="P16940" s="235"/>
      <c r="AI16940" s="38"/>
    </row>
    <row r="16941" ht="15.75" customHeight="1">
      <c r="A16941" s="35"/>
      <c r="C16941" s="442"/>
      <c r="P16941" s="235"/>
      <c r="AI16941" s="38"/>
    </row>
    <row r="16942" ht="15.75" customHeight="1">
      <c r="A16942" s="35"/>
      <c r="C16942" s="442"/>
      <c r="P16942" s="235"/>
      <c r="AI16942" s="38"/>
    </row>
    <row r="16943" ht="15.75" customHeight="1">
      <c r="A16943" s="35"/>
      <c r="C16943" s="442"/>
      <c r="P16943" s="235"/>
      <c r="AI16943" s="38"/>
    </row>
    <row r="16944" ht="15.75" customHeight="1">
      <c r="A16944" s="35"/>
      <c r="C16944" s="442"/>
      <c r="P16944" s="235"/>
      <c r="AI16944" s="38"/>
    </row>
    <row r="16945" ht="15.75" customHeight="1">
      <c r="A16945" s="35"/>
      <c r="C16945" s="442"/>
      <c r="P16945" s="235"/>
      <c r="AI16945" s="38"/>
    </row>
    <row r="16946" ht="15.75" customHeight="1">
      <c r="A16946" s="35"/>
      <c r="C16946" s="442"/>
      <c r="P16946" s="235"/>
      <c r="AI16946" s="38"/>
    </row>
    <row r="16947" ht="15.75" customHeight="1">
      <c r="A16947" s="35"/>
      <c r="C16947" s="442"/>
      <c r="P16947" s="235"/>
      <c r="AI16947" s="38"/>
    </row>
    <row r="16948" ht="15.75" customHeight="1">
      <c r="A16948" s="35"/>
      <c r="C16948" s="442"/>
      <c r="P16948" s="235"/>
      <c r="AI16948" s="38"/>
    </row>
    <row r="16949" ht="15.75" customHeight="1">
      <c r="A16949" s="35"/>
      <c r="C16949" s="442"/>
      <c r="P16949" s="235"/>
      <c r="AI16949" s="38"/>
    </row>
    <row r="16950" ht="15.75" customHeight="1">
      <c r="A16950" s="35"/>
      <c r="C16950" s="442"/>
      <c r="P16950" s="235"/>
      <c r="AI16950" s="38"/>
    </row>
    <row r="16951" ht="15.75" customHeight="1">
      <c r="A16951" s="35"/>
      <c r="C16951" s="442"/>
      <c r="P16951" s="235"/>
      <c r="AI16951" s="38"/>
    </row>
    <row r="16952" ht="15.75" customHeight="1">
      <c r="A16952" s="35"/>
      <c r="C16952" s="442"/>
      <c r="P16952" s="235"/>
      <c r="AI16952" s="38"/>
    </row>
    <row r="16953" ht="15.75" customHeight="1">
      <c r="A16953" s="35"/>
      <c r="C16953" s="442"/>
      <c r="P16953" s="235"/>
      <c r="AI16953" s="38"/>
    </row>
    <row r="16954" ht="15.75" customHeight="1">
      <c r="A16954" s="35"/>
      <c r="C16954" s="442"/>
      <c r="P16954" s="235"/>
      <c r="AI16954" s="38"/>
    </row>
    <row r="16955" ht="15.75" customHeight="1">
      <c r="A16955" s="35"/>
      <c r="C16955" s="442"/>
      <c r="P16955" s="235"/>
      <c r="AI16955" s="38"/>
    </row>
    <row r="16956" ht="15.75" customHeight="1">
      <c r="A16956" s="35"/>
      <c r="C16956" s="442"/>
      <c r="P16956" s="235"/>
      <c r="AI16956" s="38"/>
    </row>
    <row r="16957" ht="15.75" customHeight="1">
      <c r="A16957" s="35"/>
      <c r="C16957" s="442"/>
      <c r="P16957" s="235"/>
      <c r="AI16957" s="38"/>
    </row>
    <row r="16958" ht="15.75" customHeight="1">
      <c r="A16958" s="35"/>
      <c r="C16958" s="442"/>
      <c r="P16958" s="235"/>
      <c r="AI16958" s="38"/>
    </row>
    <row r="16959" ht="15.75" customHeight="1">
      <c r="A16959" s="35"/>
      <c r="C16959" s="442"/>
      <c r="P16959" s="235"/>
      <c r="AI16959" s="38"/>
    </row>
    <row r="16960" ht="15.75" customHeight="1">
      <c r="A16960" s="35"/>
      <c r="C16960" s="442"/>
      <c r="P16960" s="235"/>
      <c r="AI16960" s="38"/>
    </row>
    <row r="16961" ht="15.75" customHeight="1">
      <c r="A16961" s="35"/>
      <c r="C16961" s="442"/>
      <c r="P16961" s="235"/>
      <c r="AI16961" s="38"/>
    </row>
    <row r="16962" ht="15.75" customHeight="1">
      <c r="A16962" s="35"/>
      <c r="C16962" s="442"/>
      <c r="P16962" s="235"/>
      <c r="AI16962" s="38"/>
    </row>
    <row r="16963" ht="15.75" customHeight="1">
      <c r="A16963" s="35"/>
      <c r="C16963" s="442"/>
      <c r="P16963" s="235"/>
      <c r="AI16963" s="38"/>
    </row>
    <row r="16964" ht="15.75" customHeight="1">
      <c r="A16964" s="35"/>
      <c r="C16964" s="442"/>
      <c r="P16964" s="235"/>
      <c r="AI16964" s="38"/>
    </row>
    <row r="16965" ht="15.75" customHeight="1">
      <c r="A16965" s="35"/>
      <c r="C16965" s="442"/>
      <c r="P16965" s="235"/>
      <c r="AI16965" s="38"/>
    </row>
    <row r="16966" ht="15.75" customHeight="1">
      <c r="A16966" s="35"/>
      <c r="C16966" s="442"/>
      <c r="P16966" s="235"/>
      <c r="AI16966" s="38"/>
    </row>
    <row r="16967" ht="15.75" customHeight="1">
      <c r="A16967" s="35"/>
      <c r="C16967" s="442"/>
      <c r="P16967" s="235"/>
      <c r="AI16967" s="38"/>
    </row>
    <row r="16968" ht="15.75" customHeight="1">
      <c r="A16968" s="35"/>
      <c r="C16968" s="442"/>
      <c r="P16968" s="235"/>
      <c r="AI16968" s="38"/>
    </row>
    <row r="16969" ht="15.75" customHeight="1">
      <c r="A16969" s="35"/>
      <c r="C16969" s="442"/>
      <c r="P16969" s="235"/>
      <c r="AI16969" s="38"/>
    </row>
    <row r="16970" ht="15.75" customHeight="1">
      <c r="A16970" s="35"/>
      <c r="C16970" s="442"/>
      <c r="P16970" s="235"/>
      <c r="AI16970" s="38"/>
    </row>
    <row r="16971" ht="15.75" customHeight="1">
      <c r="A16971" s="35"/>
      <c r="C16971" s="442"/>
      <c r="P16971" s="235"/>
      <c r="AI16971" s="38"/>
    </row>
    <row r="16972" ht="15.75" customHeight="1">
      <c r="A16972" s="35"/>
      <c r="C16972" s="442"/>
      <c r="P16972" s="235"/>
      <c r="AI16972" s="38"/>
    </row>
    <row r="16973" ht="15.75" customHeight="1">
      <c r="A16973" s="35"/>
      <c r="C16973" s="442"/>
      <c r="P16973" s="235"/>
      <c r="AI16973" s="38"/>
    </row>
    <row r="16974" ht="15.75" customHeight="1">
      <c r="A16974" s="35"/>
      <c r="C16974" s="442"/>
      <c r="P16974" s="235"/>
      <c r="AI16974" s="38"/>
    </row>
    <row r="16975" ht="15.75" customHeight="1">
      <c r="A16975" s="35"/>
      <c r="C16975" s="442"/>
      <c r="P16975" s="235"/>
      <c r="AI16975" s="38"/>
    </row>
    <row r="16976" ht="15.75" customHeight="1">
      <c r="A16976" s="35"/>
      <c r="C16976" s="442"/>
      <c r="P16976" s="235"/>
      <c r="AI16976" s="38"/>
    </row>
    <row r="16977" ht="15.75" customHeight="1">
      <c r="A16977" s="35"/>
      <c r="C16977" s="442"/>
      <c r="P16977" s="235"/>
      <c r="AI16977" s="38"/>
    </row>
    <row r="16978" ht="15.75" customHeight="1">
      <c r="A16978" s="35"/>
      <c r="C16978" s="442"/>
      <c r="P16978" s="235"/>
      <c r="AI16978" s="38"/>
    </row>
    <row r="16979" ht="15.75" customHeight="1">
      <c r="A16979" s="35"/>
      <c r="C16979" s="442"/>
      <c r="P16979" s="235"/>
      <c r="AI16979" s="38"/>
    </row>
    <row r="16980" ht="15.75" customHeight="1">
      <c r="A16980" s="35"/>
      <c r="C16980" s="442"/>
      <c r="P16980" s="235"/>
      <c r="AI16980" s="38"/>
    </row>
    <row r="16981" ht="15.75" customHeight="1">
      <c r="A16981" s="35"/>
      <c r="C16981" s="442"/>
      <c r="P16981" s="235"/>
      <c r="AI16981" s="38"/>
    </row>
    <row r="16982" ht="15.75" customHeight="1">
      <c r="A16982" s="35"/>
      <c r="C16982" s="442"/>
      <c r="P16982" s="235"/>
      <c r="AI16982" s="38"/>
    </row>
    <row r="16983" ht="15.75" customHeight="1">
      <c r="A16983" s="35"/>
      <c r="C16983" s="442"/>
      <c r="P16983" s="235"/>
      <c r="AI16983" s="38"/>
    </row>
    <row r="16984" ht="15.75" customHeight="1">
      <c r="A16984" s="35"/>
      <c r="C16984" s="442"/>
      <c r="P16984" s="235"/>
      <c r="AI16984" s="38"/>
    </row>
    <row r="16985" ht="15.75" customHeight="1">
      <c r="A16985" s="35"/>
      <c r="C16985" s="442"/>
      <c r="P16985" s="235"/>
      <c r="AI16985" s="38"/>
    </row>
    <row r="16986" ht="15.75" customHeight="1">
      <c r="A16986" s="35"/>
      <c r="C16986" s="442"/>
      <c r="P16986" s="235"/>
      <c r="AI16986" s="38"/>
    </row>
    <row r="16987" ht="15.75" customHeight="1">
      <c r="A16987" s="35"/>
      <c r="C16987" s="442"/>
      <c r="P16987" s="235"/>
      <c r="AI16987" s="38"/>
    </row>
    <row r="16988" ht="15.75" customHeight="1">
      <c r="A16988" s="35"/>
      <c r="C16988" s="442"/>
      <c r="P16988" s="235"/>
      <c r="AI16988" s="38"/>
    </row>
    <row r="16989" ht="15.75" customHeight="1">
      <c r="A16989" s="35"/>
      <c r="C16989" s="442"/>
      <c r="P16989" s="235"/>
      <c r="AI16989" s="38"/>
    </row>
    <row r="16990" ht="15.75" customHeight="1">
      <c r="A16990" s="35"/>
      <c r="C16990" s="442"/>
      <c r="P16990" s="235"/>
      <c r="AI16990" s="38"/>
    </row>
    <row r="16991" ht="15.75" customHeight="1">
      <c r="A16991" s="35"/>
      <c r="C16991" s="442"/>
      <c r="P16991" s="235"/>
      <c r="AI16991" s="38"/>
    </row>
    <row r="16992" ht="15.75" customHeight="1">
      <c r="A16992" s="35"/>
      <c r="C16992" s="442"/>
      <c r="P16992" s="235"/>
      <c r="AI16992" s="38"/>
    </row>
    <row r="16993" ht="15.75" customHeight="1">
      <c r="A16993" s="35"/>
      <c r="C16993" s="442"/>
      <c r="P16993" s="235"/>
      <c r="AI16993" s="38"/>
    </row>
    <row r="16994" ht="15.75" customHeight="1">
      <c r="A16994" s="35"/>
      <c r="C16994" s="442"/>
      <c r="P16994" s="235"/>
      <c r="AI16994" s="38"/>
    </row>
    <row r="16995" ht="15.75" customHeight="1">
      <c r="A16995" s="35"/>
      <c r="C16995" s="442"/>
      <c r="P16995" s="235"/>
      <c r="AI16995" s="38"/>
    </row>
    <row r="16996" ht="15.75" customHeight="1">
      <c r="A16996" s="35"/>
      <c r="C16996" s="442"/>
      <c r="P16996" s="235"/>
      <c r="AI16996" s="38"/>
    </row>
    <row r="16997" ht="15.75" customHeight="1">
      <c r="A16997" s="35"/>
      <c r="C16997" s="442"/>
      <c r="P16997" s="235"/>
      <c r="AI16997" s="38"/>
    </row>
    <row r="16998" ht="15.75" customHeight="1">
      <c r="A16998" s="35"/>
      <c r="C16998" s="442"/>
      <c r="P16998" s="235"/>
      <c r="AI16998" s="38"/>
    </row>
    <row r="16999" ht="15.75" customHeight="1">
      <c r="A16999" s="35"/>
      <c r="C16999" s="442"/>
      <c r="P16999" s="235"/>
      <c r="AI16999" s="38"/>
    </row>
    <row r="17000" ht="15.75" customHeight="1">
      <c r="A17000" s="35"/>
      <c r="C17000" s="442"/>
      <c r="P17000" s="235"/>
      <c r="AI17000" s="38"/>
    </row>
    <row r="17001" ht="15.75" customHeight="1">
      <c r="A17001" s="35"/>
      <c r="C17001" s="442"/>
      <c r="P17001" s="235"/>
      <c r="AI17001" s="38"/>
    </row>
    <row r="17002" ht="15.75" customHeight="1">
      <c r="A17002" s="35"/>
      <c r="C17002" s="442"/>
      <c r="P17002" s="235"/>
      <c r="AI17002" s="38"/>
    </row>
    <row r="17003" ht="15.75" customHeight="1">
      <c r="A17003" s="35"/>
      <c r="C17003" s="442"/>
      <c r="P17003" s="235"/>
      <c r="AI17003" s="38"/>
    </row>
    <row r="17004" ht="15.75" customHeight="1">
      <c r="A17004" s="35"/>
      <c r="C17004" s="442"/>
      <c r="P17004" s="235"/>
      <c r="AI17004" s="38"/>
    </row>
    <row r="17005" ht="15.75" customHeight="1">
      <c r="A17005" s="35"/>
      <c r="C17005" s="442"/>
      <c r="P17005" s="235"/>
      <c r="AI17005" s="38"/>
    </row>
    <row r="17006" ht="15.75" customHeight="1">
      <c r="A17006" s="35"/>
      <c r="C17006" s="442"/>
      <c r="P17006" s="235"/>
      <c r="AI17006" s="38"/>
    </row>
    <row r="17007" ht="15.75" customHeight="1">
      <c r="A17007" s="35"/>
      <c r="C17007" s="442"/>
      <c r="P17007" s="235"/>
      <c r="AI17007" s="38"/>
    </row>
    <row r="17008" ht="15.75" customHeight="1">
      <c r="A17008" s="35"/>
      <c r="C17008" s="442"/>
      <c r="P17008" s="235"/>
      <c r="AI17008" s="38"/>
    </row>
    <row r="17009" ht="15.75" customHeight="1">
      <c r="A17009" s="35"/>
      <c r="C17009" s="442"/>
      <c r="P17009" s="235"/>
      <c r="AI17009" s="38"/>
    </row>
    <row r="17010" ht="15.75" customHeight="1">
      <c r="A17010" s="35"/>
      <c r="C17010" s="442"/>
      <c r="P17010" s="235"/>
      <c r="AI17010" s="38"/>
    </row>
    <row r="17011" ht="15.75" customHeight="1">
      <c r="A17011" s="35"/>
      <c r="C17011" s="442"/>
      <c r="P17011" s="235"/>
      <c r="AI17011" s="38"/>
    </row>
    <row r="17012" ht="15.75" customHeight="1">
      <c r="A17012" s="35"/>
      <c r="C17012" s="442"/>
      <c r="P17012" s="235"/>
      <c r="AI17012" s="38"/>
    </row>
    <row r="17013" ht="15.75" customHeight="1">
      <c r="A17013" s="35"/>
      <c r="C17013" s="442"/>
      <c r="P17013" s="235"/>
      <c r="AI17013" s="38"/>
    </row>
    <row r="17014" ht="15.75" customHeight="1">
      <c r="A17014" s="35"/>
      <c r="C17014" s="442"/>
      <c r="P17014" s="235"/>
      <c r="AI17014" s="38"/>
    </row>
    <row r="17015" ht="15.75" customHeight="1">
      <c r="A17015" s="35"/>
      <c r="C17015" s="442"/>
      <c r="P17015" s="235"/>
      <c r="AI17015" s="38"/>
    </row>
    <row r="17016" ht="15.75" customHeight="1">
      <c r="A17016" s="35"/>
      <c r="C17016" s="442"/>
      <c r="P17016" s="235"/>
      <c r="AI17016" s="38"/>
    </row>
    <row r="17017" ht="15.75" customHeight="1">
      <c r="A17017" s="35"/>
      <c r="C17017" s="442"/>
      <c r="P17017" s="235"/>
      <c r="AI17017" s="38"/>
    </row>
    <row r="17018" ht="15.75" customHeight="1">
      <c r="A17018" s="35"/>
      <c r="C17018" s="442"/>
      <c r="P17018" s="235"/>
      <c r="AI17018" s="38"/>
    </row>
    <row r="17019" ht="15.75" customHeight="1">
      <c r="A17019" s="35"/>
      <c r="C17019" s="442"/>
      <c r="P17019" s="235"/>
      <c r="AI17019" s="38"/>
    </row>
    <row r="17020" ht="15.75" customHeight="1">
      <c r="A17020" s="35"/>
      <c r="C17020" s="442"/>
      <c r="P17020" s="235"/>
      <c r="AI17020" s="38"/>
    </row>
    <row r="17021" ht="15.75" customHeight="1">
      <c r="A17021" s="35"/>
      <c r="C17021" s="442"/>
      <c r="P17021" s="235"/>
      <c r="AI17021" s="38"/>
    </row>
    <row r="17022" ht="15.75" customHeight="1">
      <c r="A17022" s="35"/>
      <c r="C17022" s="442"/>
      <c r="P17022" s="235"/>
      <c r="AI17022" s="38"/>
    </row>
    <row r="17023" ht="15.75" customHeight="1">
      <c r="A17023" s="35"/>
      <c r="C17023" s="442"/>
      <c r="P17023" s="235"/>
      <c r="AI17023" s="38"/>
    </row>
    <row r="17024" ht="15.75" customHeight="1">
      <c r="A17024" s="35"/>
      <c r="C17024" s="442"/>
      <c r="P17024" s="235"/>
      <c r="AI17024" s="38"/>
    </row>
    <row r="17025" ht="15.75" customHeight="1">
      <c r="A17025" s="35"/>
      <c r="C17025" s="442"/>
      <c r="P17025" s="235"/>
      <c r="AI17025" s="38"/>
    </row>
    <row r="17026" ht="15.75" customHeight="1">
      <c r="A17026" s="35"/>
      <c r="C17026" s="442"/>
      <c r="P17026" s="235"/>
      <c r="AI17026" s="38"/>
    </row>
    <row r="17027" ht="15.75" customHeight="1">
      <c r="A17027" s="35"/>
      <c r="C17027" s="442"/>
      <c r="P17027" s="235"/>
      <c r="AI17027" s="38"/>
    </row>
    <row r="17028" ht="15.75" customHeight="1">
      <c r="A17028" s="35"/>
      <c r="C17028" s="442"/>
      <c r="P17028" s="235"/>
      <c r="AI17028" s="38"/>
    </row>
    <row r="17029" ht="15.75" customHeight="1">
      <c r="A17029" s="35"/>
      <c r="C17029" s="442"/>
      <c r="P17029" s="235"/>
      <c r="AI17029" s="38"/>
    </row>
    <row r="17030" ht="15.75" customHeight="1">
      <c r="A17030" s="35"/>
      <c r="C17030" s="442"/>
      <c r="P17030" s="235"/>
      <c r="AI17030" s="38"/>
    </row>
    <row r="17031" ht="15.75" customHeight="1">
      <c r="A17031" s="35"/>
      <c r="C17031" s="442"/>
      <c r="P17031" s="235"/>
      <c r="AI17031" s="38"/>
    </row>
    <row r="17032" ht="15.75" customHeight="1">
      <c r="A17032" s="35"/>
      <c r="C17032" s="442"/>
      <c r="P17032" s="235"/>
      <c r="AI17032" s="38"/>
    </row>
    <row r="17033" ht="15.75" customHeight="1">
      <c r="A17033" s="35"/>
      <c r="C17033" s="442"/>
      <c r="P17033" s="235"/>
      <c r="AI17033" s="38"/>
    </row>
    <row r="17034" ht="15.75" customHeight="1">
      <c r="A17034" s="35"/>
      <c r="C17034" s="442"/>
      <c r="P17034" s="235"/>
      <c r="AI17034" s="38"/>
    </row>
    <row r="17035" ht="15.75" customHeight="1">
      <c r="A17035" s="35"/>
      <c r="C17035" s="442"/>
      <c r="P17035" s="235"/>
      <c r="AI17035" s="38"/>
    </row>
    <row r="17036" ht="15.75" customHeight="1">
      <c r="A17036" s="35"/>
      <c r="C17036" s="442"/>
      <c r="P17036" s="235"/>
      <c r="AI17036" s="38"/>
    </row>
    <row r="17037" ht="15.75" customHeight="1">
      <c r="A17037" s="35"/>
      <c r="C17037" s="442"/>
      <c r="P17037" s="235"/>
      <c r="AI17037" s="38"/>
    </row>
    <row r="17038" ht="15.75" customHeight="1">
      <c r="A17038" s="35"/>
      <c r="C17038" s="442"/>
      <c r="P17038" s="235"/>
      <c r="AI17038" s="38"/>
    </row>
    <row r="17039" ht="15.75" customHeight="1">
      <c r="A17039" s="35"/>
      <c r="C17039" s="442"/>
      <c r="P17039" s="235"/>
      <c r="AI17039" s="38"/>
    </row>
    <row r="17040" ht="15.75" customHeight="1">
      <c r="A17040" s="35"/>
      <c r="C17040" s="442"/>
      <c r="P17040" s="235"/>
      <c r="AI17040" s="38"/>
    </row>
    <row r="17041" ht="15.75" customHeight="1">
      <c r="A17041" s="35"/>
      <c r="C17041" s="442"/>
      <c r="P17041" s="235"/>
      <c r="AI17041" s="38"/>
    </row>
    <row r="17042" ht="15.75" customHeight="1">
      <c r="A17042" s="35"/>
      <c r="C17042" s="442"/>
      <c r="P17042" s="235"/>
      <c r="AI17042" s="38"/>
    </row>
    <row r="17043" ht="15.75" customHeight="1">
      <c r="A17043" s="35"/>
      <c r="C17043" s="442"/>
      <c r="P17043" s="235"/>
      <c r="AI17043" s="38"/>
    </row>
    <row r="17044" ht="15.75" customHeight="1">
      <c r="A17044" s="35"/>
      <c r="C17044" s="442"/>
      <c r="P17044" s="235"/>
      <c r="AI17044" s="38"/>
    </row>
    <row r="17045" ht="15.75" customHeight="1">
      <c r="A17045" s="35"/>
      <c r="C17045" s="442"/>
      <c r="P17045" s="235"/>
      <c r="AI17045" s="38"/>
    </row>
    <row r="17046" ht="15.75" customHeight="1">
      <c r="A17046" s="35"/>
      <c r="C17046" s="442"/>
      <c r="P17046" s="235"/>
      <c r="AI17046" s="38"/>
    </row>
    <row r="17047" ht="15.75" customHeight="1">
      <c r="A17047" s="35"/>
      <c r="C17047" s="442"/>
      <c r="P17047" s="235"/>
      <c r="AI17047" s="38"/>
    </row>
    <row r="17048" ht="15.75" customHeight="1">
      <c r="A17048" s="35"/>
      <c r="C17048" s="442"/>
      <c r="P17048" s="235"/>
      <c r="AI17048" s="38"/>
    </row>
    <row r="17049" ht="15.75" customHeight="1">
      <c r="A17049" s="35"/>
      <c r="C17049" s="442"/>
      <c r="P17049" s="235"/>
      <c r="AI17049" s="38"/>
    </row>
    <row r="17050" ht="15.75" customHeight="1">
      <c r="A17050" s="35"/>
      <c r="C17050" s="442"/>
      <c r="P17050" s="235"/>
      <c r="AI17050" s="38"/>
    </row>
    <row r="17051" ht="15.75" customHeight="1">
      <c r="A17051" s="35"/>
      <c r="C17051" s="442"/>
      <c r="P17051" s="235"/>
      <c r="AI17051" s="38"/>
    </row>
    <row r="17052" ht="15.75" customHeight="1">
      <c r="A17052" s="35"/>
      <c r="C17052" s="442"/>
      <c r="P17052" s="235"/>
      <c r="AI17052" s="38"/>
    </row>
    <row r="17053" ht="15.75" customHeight="1">
      <c r="A17053" s="35"/>
      <c r="C17053" s="442"/>
      <c r="P17053" s="235"/>
      <c r="AI17053" s="38"/>
    </row>
    <row r="17054" ht="15.75" customHeight="1">
      <c r="A17054" s="35"/>
      <c r="C17054" s="442"/>
      <c r="P17054" s="235"/>
      <c r="AI17054" s="38"/>
    </row>
    <row r="17055" ht="15.75" customHeight="1">
      <c r="A17055" s="35"/>
      <c r="C17055" s="442"/>
      <c r="P17055" s="235"/>
      <c r="AI17055" s="38"/>
    </row>
    <row r="17056" ht="15.75" customHeight="1">
      <c r="A17056" s="35"/>
      <c r="C17056" s="442"/>
      <c r="P17056" s="235"/>
      <c r="AI17056" s="38"/>
    </row>
    <row r="17057" ht="15.75" customHeight="1">
      <c r="A17057" s="35"/>
      <c r="C17057" s="442"/>
      <c r="P17057" s="235"/>
      <c r="AI17057" s="38"/>
    </row>
    <row r="17058" ht="15.75" customHeight="1">
      <c r="A17058" s="35"/>
      <c r="C17058" s="442"/>
      <c r="P17058" s="235"/>
      <c r="AI17058" s="38"/>
    </row>
    <row r="17059" ht="15.75" customHeight="1">
      <c r="A17059" s="35"/>
      <c r="C17059" s="442"/>
      <c r="P17059" s="235"/>
      <c r="AI17059" s="38"/>
    </row>
    <row r="17060" ht="15.75" customHeight="1">
      <c r="A17060" s="35"/>
      <c r="C17060" s="442"/>
      <c r="P17060" s="235"/>
      <c r="AI17060" s="38"/>
    </row>
    <row r="17061" ht="15.75" customHeight="1">
      <c r="A17061" s="35"/>
      <c r="C17061" s="442"/>
      <c r="P17061" s="235"/>
      <c r="AI17061" s="38"/>
    </row>
    <row r="17062" ht="15.75" customHeight="1">
      <c r="A17062" s="35"/>
      <c r="C17062" s="442"/>
      <c r="P17062" s="235"/>
      <c r="AI17062" s="38"/>
    </row>
    <row r="17063" ht="15.75" customHeight="1">
      <c r="A17063" s="35"/>
      <c r="C17063" s="442"/>
      <c r="P17063" s="235"/>
      <c r="AI17063" s="38"/>
    </row>
    <row r="17064" ht="15.75" customHeight="1">
      <c r="A17064" s="35"/>
      <c r="C17064" s="442"/>
      <c r="P17064" s="235"/>
      <c r="AI17064" s="38"/>
    </row>
    <row r="17065" ht="15.75" customHeight="1">
      <c r="A17065" s="35"/>
      <c r="C17065" s="442"/>
      <c r="P17065" s="235"/>
      <c r="AI17065" s="38"/>
    </row>
    <row r="17066" ht="15.75" customHeight="1">
      <c r="A17066" s="35"/>
      <c r="C17066" s="442"/>
      <c r="P17066" s="235"/>
      <c r="AI17066" s="38"/>
    </row>
    <row r="17067" ht="15.75" customHeight="1">
      <c r="A17067" s="35"/>
      <c r="C17067" s="442"/>
      <c r="P17067" s="235"/>
      <c r="AI17067" s="38"/>
    </row>
    <row r="17068" ht="15.75" customHeight="1">
      <c r="A17068" s="35"/>
      <c r="C17068" s="442"/>
      <c r="P17068" s="235"/>
      <c r="AI17068" s="38"/>
    </row>
    <row r="17069" ht="15.75" customHeight="1">
      <c r="A17069" s="35"/>
      <c r="C17069" s="442"/>
      <c r="P17069" s="235"/>
      <c r="AI17069" s="38"/>
    </row>
    <row r="17070" ht="15.75" customHeight="1">
      <c r="A17070" s="35"/>
      <c r="C17070" s="442"/>
      <c r="P17070" s="235"/>
      <c r="AI17070" s="38"/>
    </row>
    <row r="17071" ht="15.75" customHeight="1">
      <c r="A17071" s="35"/>
      <c r="C17071" s="442"/>
      <c r="P17071" s="235"/>
      <c r="AI17071" s="38"/>
    </row>
    <row r="17072" ht="15.75" customHeight="1">
      <c r="A17072" s="35"/>
      <c r="C17072" s="442"/>
      <c r="P17072" s="235"/>
      <c r="AI17072" s="38"/>
    </row>
    <row r="17073" ht="15.75" customHeight="1">
      <c r="A17073" s="35"/>
      <c r="C17073" s="442"/>
      <c r="P17073" s="235"/>
      <c r="AI17073" s="38"/>
    </row>
    <row r="17074" ht="15.75" customHeight="1">
      <c r="A17074" s="35"/>
      <c r="C17074" s="442"/>
      <c r="P17074" s="235"/>
      <c r="AI17074" s="38"/>
    </row>
    <row r="17075" ht="15.75" customHeight="1">
      <c r="A17075" s="35"/>
      <c r="C17075" s="442"/>
      <c r="P17075" s="235"/>
      <c r="AI17075" s="38"/>
    </row>
    <row r="17076" ht="15.75" customHeight="1">
      <c r="A17076" s="35"/>
      <c r="C17076" s="442"/>
      <c r="P17076" s="235"/>
      <c r="AI17076" s="38"/>
    </row>
    <row r="17077" ht="15.75" customHeight="1">
      <c r="A17077" s="35"/>
      <c r="C17077" s="442"/>
      <c r="P17077" s="235"/>
      <c r="AI17077" s="38"/>
    </row>
    <row r="17078" ht="15.75" customHeight="1">
      <c r="A17078" s="35"/>
      <c r="C17078" s="442"/>
      <c r="P17078" s="235"/>
      <c r="AI17078" s="38"/>
    </row>
    <row r="17079" ht="15.75" customHeight="1">
      <c r="A17079" s="35"/>
      <c r="C17079" s="442"/>
      <c r="P17079" s="235"/>
      <c r="AI17079" s="38"/>
    </row>
    <row r="17080" ht="15.75" customHeight="1">
      <c r="A17080" s="35"/>
      <c r="C17080" s="442"/>
      <c r="P17080" s="235"/>
      <c r="AI17080" s="38"/>
    </row>
    <row r="17081" ht="15.75" customHeight="1">
      <c r="A17081" s="35"/>
      <c r="C17081" s="442"/>
      <c r="P17081" s="235"/>
      <c r="AI17081" s="38"/>
    </row>
    <row r="17082" ht="15.75" customHeight="1">
      <c r="A17082" s="35"/>
      <c r="C17082" s="442"/>
      <c r="P17082" s="235"/>
      <c r="AI17082" s="38"/>
    </row>
    <row r="17083" ht="15.75" customHeight="1">
      <c r="A17083" s="35"/>
      <c r="C17083" s="442"/>
      <c r="P17083" s="235"/>
      <c r="AI17083" s="38"/>
    </row>
    <row r="17084" ht="15.75" customHeight="1">
      <c r="A17084" s="35"/>
      <c r="C17084" s="442"/>
      <c r="P17084" s="235"/>
      <c r="AI17084" s="38"/>
    </row>
    <row r="17085" ht="15.75" customHeight="1">
      <c r="A17085" s="35"/>
      <c r="C17085" s="442"/>
      <c r="P17085" s="235"/>
      <c r="AI17085" s="38"/>
    </row>
    <row r="17086" ht="15.75" customHeight="1">
      <c r="A17086" s="35"/>
      <c r="C17086" s="442"/>
      <c r="P17086" s="235"/>
      <c r="AI17086" s="38"/>
    </row>
    <row r="17087" ht="15.75" customHeight="1">
      <c r="A17087" s="35"/>
      <c r="C17087" s="442"/>
      <c r="P17087" s="235"/>
      <c r="AI17087" s="38"/>
    </row>
    <row r="17088" ht="15.75" customHeight="1">
      <c r="A17088" s="35"/>
      <c r="C17088" s="442"/>
      <c r="P17088" s="235"/>
      <c r="AI17088" s="38"/>
    </row>
    <row r="17089" ht="15.75" customHeight="1">
      <c r="A17089" s="35"/>
      <c r="C17089" s="442"/>
      <c r="P17089" s="235"/>
      <c r="AI17089" s="38"/>
    </row>
    <row r="17090" ht="15.75" customHeight="1">
      <c r="A17090" s="35"/>
      <c r="C17090" s="442"/>
      <c r="P17090" s="235"/>
      <c r="AI17090" s="38"/>
    </row>
    <row r="17091" ht="15.75" customHeight="1">
      <c r="A17091" s="35"/>
      <c r="C17091" s="442"/>
      <c r="P17091" s="235"/>
      <c r="AI17091" s="38"/>
    </row>
    <row r="17092" ht="15.75" customHeight="1">
      <c r="A17092" s="35"/>
      <c r="C17092" s="442"/>
      <c r="P17092" s="235"/>
      <c r="AI17092" s="38"/>
    </row>
    <row r="17093" ht="15.75" customHeight="1">
      <c r="A17093" s="35"/>
      <c r="C17093" s="442"/>
      <c r="P17093" s="235"/>
      <c r="AI17093" s="38"/>
    </row>
    <row r="17094" ht="15.75" customHeight="1">
      <c r="A17094" s="35"/>
      <c r="C17094" s="442"/>
      <c r="P17094" s="235"/>
      <c r="AI17094" s="38"/>
    </row>
    <row r="17095" ht="15.75" customHeight="1">
      <c r="A17095" s="35"/>
      <c r="C17095" s="442"/>
      <c r="P17095" s="235"/>
      <c r="AI17095" s="38"/>
    </row>
    <row r="17096" ht="15.75" customHeight="1">
      <c r="A17096" s="35"/>
      <c r="C17096" s="442"/>
      <c r="P17096" s="235"/>
      <c r="AI17096" s="38"/>
    </row>
    <row r="17097" ht="15.75" customHeight="1">
      <c r="A17097" s="35"/>
      <c r="C17097" s="442"/>
      <c r="P17097" s="235"/>
      <c r="AI17097" s="38"/>
    </row>
    <row r="17098" ht="15.75" customHeight="1">
      <c r="A17098" s="35"/>
      <c r="C17098" s="442"/>
      <c r="P17098" s="235"/>
      <c r="AI17098" s="38"/>
    </row>
    <row r="17099" ht="15.75" customHeight="1">
      <c r="A17099" s="35"/>
      <c r="C17099" s="442"/>
      <c r="P17099" s="235"/>
      <c r="AI17099" s="38"/>
    </row>
    <row r="17100" ht="15.75" customHeight="1">
      <c r="A17100" s="35"/>
      <c r="C17100" s="442"/>
      <c r="P17100" s="235"/>
      <c r="AI17100" s="38"/>
    </row>
    <row r="17101" ht="15.75" customHeight="1">
      <c r="A17101" s="35"/>
      <c r="C17101" s="442"/>
      <c r="P17101" s="235"/>
      <c r="AI17101" s="38"/>
    </row>
    <row r="17102" ht="15.75" customHeight="1">
      <c r="A17102" s="35"/>
      <c r="C17102" s="442"/>
      <c r="P17102" s="235"/>
      <c r="AI17102" s="38"/>
    </row>
    <row r="17103" ht="15.75" customHeight="1">
      <c r="A17103" s="35"/>
      <c r="C17103" s="442"/>
      <c r="P17103" s="235"/>
      <c r="AI17103" s="38"/>
    </row>
    <row r="17104" ht="15.75" customHeight="1">
      <c r="A17104" s="35"/>
      <c r="C17104" s="442"/>
      <c r="P17104" s="235"/>
      <c r="AI17104" s="38"/>
    </row>
    <row r="17105" ht="15.75" customHeight="1">
      <c r="A17105" s="35"/>
      <c r="C17105" s="442"/>
      <c r="P17105" s="235"/>
      <c r="AI17105" s="38"/>
    </row>
    <row r="17106" ht="15.75" customHeight="1">
      <c r="A17106" s="35"/>
      <c r="C17106" s="442"/>
      <c r="P17106" s="235"/>
      <c r="AI17106" s="38"/>
    </row>
    <row r="17107" ht="15.75" customHeight="1">
      <c r="A17107" s="35"/>
      <c r="C17107" s="442"/>
      <c r="P17107" s="235"/>
      <c r="AI17107" s="38"/>
    </row>
    <row r="17108" ht="15.75" customHeight="1">
      <c r="A17108" s="35"/>
      <c r="C17108" s="442"/>
      <c r="P17108" s="235"/>
      <c r="AI17108" s="38"/>
    </row>
    <row r="17109" ht="15.75" customHeight="1">
      <c r="A17109" s="35"/>
      <c r="C17109" s="442"/>
      <c r="P17109" s="235"/>
      <c r="AI17109" s="38"/>
    </row>
    <row r="17110" ht="15.75" customHeight="1">
      <c r="A17110" s="35"/>
      <c r="C17110" s="442"/>
      <c r="P17110" s="235"/>
      <c r="AI17110" s="38"/>
    </row>
    <row r="17111" ht="15.75" customHeight="1">
      <c r="A17111" s="35"/>
      <c r="C17111" s="442"/>
      <c r="P17111" s="235"/>
      <c r="AI17111" s="38"/>
    </row>
    <row r="17112" ht="15.75" customHeight="1">
      <c r="A17112" s="35"/>
      <c r="C17112" s="442"/>
      <c r="P17112" s="235"/>
      <c r="AI17112" s="38"/>
    </row>
    <row r="17113" ht="15.75" customHeight="1">
      <c r="A17113" s="35"/>
      <c r="C17113" s="442"/>
      <c r="P17113" s="235"/>
      <c r="AI17113" s="38"/>
    </row>
    <row r="17114" ht="15.75" customHeight="1">
      <c r="A17114" s="35"/>
      <c r="C17114" s="442"/>
      <c r="P17114" s="235"/>
      <c r="AI17114" s="38"/>
    </row>
    <row r="17115" ht="15.75" customHeight="1">
      <c r="A17115" s="35"/>
      <c r="C17115" s="442"/>
      <c r="P17115" s="235"/>
      <c r="AI17115" s="38"/>
    </row>
    <row r="17116" ht="15.75" customHeight="1">
      <c r="A17116" s="35"/>
      <c r="C17116" s="442"/>
      <c r="P17116" s="235"/>
      <c r="AI17116" s="38"/>
    </row>
    <row r="17117" ht="15.75" customHeight="1">
      <c r="A17117" s="35"/>
      <c r="C17117" s="442"/>
      <c r="P17117" s="235"/>
      <c r="AI17117" s="38"/>
    </row>
    <row r="17118" ht="15.75" customHeight="1">
      <c r="A17118" s="35"/>
      <c r="C17118" s="442"/>
      <c r="P17118" s="235"/>
      <c r="AI17118" s="38"/>
    </row>
    <row r="17119" ht="15.75" customHeight="1">
      <c r="A17119" s="35"/>
      <c r="C17119" s="442"/>
      <c r="P17119" s="235"/>
      <c r="AI17119" s="38"/>
    </row>
    <row r="17120" ht="15.75" customHeight="1">
      <c r="A17120" s="35"/>
      <c r="C17120" s="442"/>
      <c r="P17120" s="235"/>
      <c r="AI17120" s="38"/>
    </row>
    <row r="17121" ht="15.75" customHeight="1">
      <c r="A17121" s="35"/>
      <c r="C17121" s="442"/>
      <c r="P17121" s="235"/>
      <c r="AI17121" s="38"/>
    </row>
    <row r="17122" ht="15.75" customHeight="1">
      <c r="A17122" s="35"/>
      <c r="C17122" s="442"/>
      <c r="P17122" s="235"/>
      <c r="AI17122" s="38"/>
    </row>
    <row r="17123" ht="15.75" customHeight="1">
      <c r="A17123" s="35"/>
      <c r="C17123" s="442"/>
      <c r="P17123" s="235"/>
      <c r="AI17123" s="38"/>
    </row>
    <row r="17124" ht="15.75" customHeight="1">
      <c r="A17124" s="35"/>
      <c r="C17124" s="442"/>
      <c r="P17124" s="235"/>
      <c r="AI17124" s="38"/>
    </row>
    <row r="17125" ht="15.75" customHeight="1">
      <c r="A17125" s="35"/>
      <c r="C17125" s="442"/>
      <c r="P17125" s="235"/>
      <c r="AI17125" s="38"/>
    </row>
    <row r="17126" ht="15.75" customHeight="1">
      <c r="A17126" s="35"/>
      <c r="C17126" s="442"/>
      <c r="P17126" s="235"/>
      <c r="AI17126" s="38"/>
    </row>
    <row r="17127" ht="15.75" customHeight="1">
      <c r="A17127" s="35"/>
      <c r="C17127" s="442"/>
      <c r="P17127" s="235"/>
      <c r="AI17127" s="38"/>
    </row>
    <row r="17128" ht="15.75" customHeight="1">
      <c r="A17128" s="35"/>
      <c r="C17128" s="442"/>
      <c r="P17128" s="235"/>
      <c r="AI17128" s="38"/>
    </row>
    <row r="17129" ht="15.75" customHeight="1">
      <c r="A17129" s="35"/>
      <c r="C17129" s="442"/>
      <c r="P17129" s="235"/>
      <c r="AI17129" s="38"/>
    </row>
    <row r="17130" ht="15.75" customHeight="1">
      <c r="A17130" s="35"/>
      <c r="C17130" s="442"/>
      <c r="P17130" s="235"/>
      <c r="AI17130" s="38"/>
    </row>
    <row r="17131" ht="15.75" customHeight="1">
      <c r="A17131" s="35"/>
      <c r="C17131" s="442"/>
      <c r="P17131" s="235"/>
      <c r="AI17131" s="38"/>
    </row>
    <row r="17132" ht="15.75" customHeight="1">
      <c r="A17132" s="35"/>
      <c r="C17132" s="442"/>
      <c r="P17132" s="235"/>
      <c r="AI17132" s="38"/>
    </row>
    <row r="17133" ht="15.75" customHeight="1">
      <c r="A17133" s="35"/>
      <c r="C17133" s="442"/>
      <c r="P17133" s="235"/>
      <c r="AI17133" s="38"/>
    </row>
    <row r="17134" ht="15.75" customHeight="1">
      <c r="A17134" s="35"/>
      <c r="C17134" s="442"/>
      <c r="P17134" s="235"/>
      <c r="AI17134" s="38"/>
    </row>
    <row r="17135" ht="15.75" customHeight="1">
      <c r="A17135" s="35"/>
      <c r="C17135" s="442"/>
      <c r="P17135" s="235"/>
      <c r="AI17135" s="38"/>
    </row>
    <row r="17136" ht="15.75" customHeight="1">
      <c r="A17136" s="35"/>
      <c r="C17136" s="442"/>
      <c r="P17136" s="235"/>
      <c r="AI17136" s="38"/>
    </row>
    <row r="17137" ht="15.75" customHeight="1">
      <c r="A17137" s="35"/>
      <c r="C17137" s="442"/>
      <c r="P17137" s="235"/>
      <c r="AI17137" s="38"/>
    </row>
    <row r="17138" ht="15.75" customHeight="1">
      <c r="A17138" s="35"/>
      <c r="C17138" s="442"/>
      <c r="P17138" s="235"/>
      <c r="AI17138" s="38"/>
    </row>
    <row r="17139" ht="15.75" customHeight="1">
      <c r="A17139" s="35"/>
      <c r="C17139" s="442"/>
      <c r="P17139" s="235"/>
      <c r="AI17139" s="38"/>
    </row>
    <row r="17140" ht="15.75" customHeight="1">
      <c r="A17140" s="35"/>
      <c r="C17140" s="442"/>
      <c r="P17140" s="235"/>
      <c r="AI17140" s="38"/>
    </row>
    <row r="17141" ht="15.75" customHeight="1">
      <c r="A17141" s="35"/>
      <c r="C17141" s="442"/>
      <c r="P17141" s="235"/>
      <c r="AI17141" s="38"/>
    </row>
    <row r="17142" ht="15.75" customHeight="1">
      <c r="A17142" s="35"/>
      <c r="C17142" s="442"/>
      <c r="P17142" s="235"/>
      <c r="AI17142" s="38"/>
    </row>
    <row r="17143" ht="15.75" customHeight="1">
      <c r="A17143" s="35"/>
      <c r="C17143" s="442"/>
      <c r="P17143" s="235"/>
      <c r="AI17143" s="38"/>
    </row>
    <row r="17144" ht="15.75" customHeight="1">
      <c r="A17144" s="35"/>
      <c r="C17144" s="442"/>
      <c r="P17144" s="235"/>
      <c r="AI17144" s="38"/>
    </row>
    <row r="17145" ht="15.75" customHeight="1">
      <c r="A17145" s="35"/>
      <c r="C17145" s="442"/>
      <c r="P17145" s="235"/>
      <c r="AI17145" s="38"/>
    </row>
    <row r="17146" ht="15.75" customHeight="1">
      <c r="A17146" s="35"/>
      <c r="C17146" s="442"/>
      <c r="P17146" s="235"/>
      <c r="AI17146" s="38"/>
    </row>
    <row r="17147" ht="15.75" customHeight="1">
      <c r="A17147" s="35"/>
      <c r="C17147" s="442"/>
      <c r="P17147" s="235"/>
      <c r="AI17147" s="38"/>
    </row>
    <row r="17148" ht="15.75" customHeight="1">
      <c r="A17148" s="35"/>
      <c r="C17148" s="442"/>
      <c r="P17148" s="235"/>
      <c r="AI17148" s="38"/>
    </row>
    <row r="17149" ht="15.75" customHeight="1">
      <c r="A17149" s="35"/>
      <c r="C17149" s="442"/>
      <c r="P17149" s="235"/>
      <c r="AI17149" s="38"/>
    </row>
    <row r="17150" ht="15.75" customHeight="1">
      <c r="A17150" s="35"/>
      <c r="C17150" s="442"/>
      <c r="P17150" s="235"/>
      <c r="AI17150" s="38"/>
    </row>
    <row r="17151" ht="15.75" customHeight="1">
      <c r="A17151" s="35"/>
      <c r="C17151" s="442"/>
      <c r="P17151" s="235"/>
      <c r="AI17151" s="38"/>
    </row>
    <row r="17152" ht="15.75" customHeight="1">
      <c r="A17152" s="35"/>
      <c r="C17152" s="442"/>
      <c r="P17152" s="235"/>
      <c r="AI17152" s="38"/>
    </row>
    <row r="17153" ht="15.75" customHeight="1">
      <c r="A17153" s="35"/>
      <c r="C17153" s="442"/>
      <c r="P17153" s="235"/>
      <c r="AI17153" s="38"/>
    </row>
    <row r="17154" ht="15.75" customHeight="1">
      <c r="A17154" s="35"/>
      <c r="C17154" s="442"/>
      <c r="P17154" s="235"/>
      <c r="AI17154" s="38"/>
    </row>
    <row r="17155" ht="15.75" customHeight="1">
      <c r="A17155" s="35"/>
      <c r="C17155" s="442"/>
      <c r="P17155" s="235"/>
      <c r="AI17155" s="38"/>
    </row>
    <row r="17156" ht="15.75" customHeight="1">
      <c r="A17156" s="35"/>
      <c r="C17156" s="442"/>
      <c r="P17156" s="235"/>
      <c r="AI17156" s="38"/>
    </row>
    <row r="17157" ht="15.75" customHeight="1">
      <c r="A17157" s="35"/>
      <c r="C17157" s="442"/>
      <c r="P17157" s="235"/>
      <c r="AI17157" s="38"/>
    </row>
    <row r="17158" ht="15.75" customHeight="1">
      <c r="A17158" s="35"/>
      <c r="C17158" s="442"/>
      <c r="P17158" s="235"/>
      <c r="AI17158" s="38"/>
    </row>
    <row r="17159" ht="15.75" customHeight="1">
      <c r="A17159" s="35"/>
      <c r="C17159" s="442"/>
      <c r="P17159" s="235"/>
      <c r="AI17159" s="38"/>
    </row>
    <row r="17160" ht="15.75" customHeight="1">
      <c r="A17160" s="35"/>
      <c r="C17160" s="442"/>
      <c r="P17160" s="235"/>
      <c r="AI17160" s="38"/>
    </row>
    <row r="17161" ht="15.75" customHeight="1">
      <c r="A17161" s="35"/>
      <c r="C17161" s="442"/>
      <c r="P17161" s="235"/>
      <c r="AI17161" s="38"/>
    </row>
    <row r="17162" ht="15.75" customHeight="1">
      <c r="A17162" s="35"/>
      <c r="C17162" s="442"/>
      <c r="P17162" s="235"/>
      <c r="AI17162" s="38"/>
    </row>
    <row r="17163" ht="15.75" customHeight="1">
      <c r="A17163" s="35"/>
      <c r="C17163" s="442"/>
      <c r="P17163" s="235"/>
      <c r="AI17163" s="38"/>
    </row>
    <row r="17164" ht="15.75" customHeight="1">
      <c r="A17164" s="35"/>
      <c r="C17164" s="442"/>
      <c r="P17164" s="235"/>
      <c r="AI17164" s="38"/>
    </row>
    <row r="17165" ht="15.75" customHeight="1">
      <c r="A17165" s="35"/>
      <c r="C17165" s="442"/>
      <c r="P17165" s="235"/>
      <c r="AI17165" s="38"/>
    </row>
    <row r="17166" ht="15.75" customHeight="1">
      <c r="A17166" s="35"/>
      <c r="C17166" s="442"/>
      <c r="P17166" s="235"/>
      <c r="AI17166" s="38"/>
    </row>
    <row r="17167" ht="15.75" customHeight="1">
      <c r="A17167" s="35"/>
      <c r="C17167" s="442"/>
      <c r="P17167" s="235"/>
      <c r="AI17167" s="38"/>
    </row>
    <row r="17168" ht="15.75" customHeight="1">
      <c r="A17168" s="35"/>
      <c r="C17168" s="442"/>
      <c r="P17168" s="235"/>
      <c r="AI17168" s="38"/>
    </row>
    <row r="17169" ht="15.75" customHeight="1">
      <c r="A17169" s="35"/>
      <c r="C17169" s="442"/>
      <c r="P17169" s="235"/>
      <c r="AI17169" s="38"/>
    </row>
    <row r="17170" ht="15.75" customHeight="1">
      <c r="A17170" s="35"/>
      <c r="C17170" s="442"/>
      <c r="P17170" s="235"/>
      <c r="AI17170" s="38"/>
    </row>
    <row r="17171" ht="15.75" customHeight="1">
      <c r="A17171" s="35"/>
      <c r="C17171" s="442"/>
      <c r="P17171" s="235"/>
      <c r="AI17171" s="38"/>
    </row>
    <row r="17172" ht="15.75" customHeight="1">
      <c r="A17172" s="35"/>
      <c r="C17172" s="442"/>
      <c r="P17172" s="235"/>
      <c r="AI17172" s="38"/>
    </row>
    <row r="17173" ht="15.75" customHeight="1">
      <c r="A17173" s="35"/>
      <c r="C17173" s="442"/>
      <c r="P17173" s="235"/>
      <c r="AI17173" s="38"/>
    </row>
    <row r="17174" ht="15.75" customHeight="1">
      <c r="A17174" s="35"/>
      <c r="C17174" s="442"/>
      <c r="P17174" s="235"/>
      <c r="AI17174" s="38"/>
    </row>
    <row r="17175" ht="15.75" customHeight="1">
      <c r="A17175" s="35"/>
      <c r="C17175" s="442"/>
      <c r="P17175" s="235"/>
      <c r="AI17175" s="38"/>
    </row>
    <row r="17176" ht="15.75" customHeight="1">
      <c r="A17176" s="35"/>
      <c r="C17176" s="442"/>
      <c r="P17176" s="235"/>
      <c r="AI17176" s="38"/>
    </row>
    <row r="17177" ht="15.75" customHeight="1">
      <c r="A17177" s="35"/>
      <c r="C17177" s="442"/>
      <c r="P17177" s="235"/>
      <c r="AI17177" s="38"/>
    </row>
    <row r="17178" ht="15.75" customHeight="1">
      <c r="A17178" s="35"/>
      <c r="C17178" s="442"/>
      <c r="P17178" s="235"/>
      <c r="AI17178" s="38"/>
    </row>
    <row r="17179" ht="15.75" customHeight="1">
      <c r="A17179" s="35"/>
      <c r="C17179" s="442"/>
      <c r="P17179" s="235"/>
      <c r="AI17179" s="38"/>
    </row>
    <row r="17180" ht="15.75" customHeight="1">
      <c r="A17180" s="35"/>
      <c r="C17180" s="442"/>
      <c r="P17180" s="235"/>
      <c r="AI17180" s="38"/>
    </row>
    <row r="17181" ht="15.75" customHeight="1">
      <c r="A17181" s="35"/>
      <c r="C17181" s="442"/>
      <c r="P17181" s="235"/>
      <c r="AI17181" s="38"/>
    </row>
    <row r="17182" ht="15.75" customHeight="1">
      <c r="A17182" s="35"/>
      <c r="C17182" s="442"/>
      <c r="P17182" s="235"/>
      <c r="AI17182" s="38"/>
    </row>
    <row r="17183" ht="15.75" customHeight="1">
      <c r="A17183" s="35"/>
      <c r="C17183" s="442"/>
      <c r="P17183" s="235"/>
      <c r="AI17183" s="38"/>
    </row>
    <row r="17184" ht="15.75" customHeight="1">
      <c r="A17184" s="35"/>
      <c r="C17184" s="442"/>
      <c r="P17184" s="235"/>
      <c r="AI17184" s="38"/>
    </row>
    <row r="17185" ht="15.75" customHeight="1">
      <c r="A17185" s="35"/>
      <c r="C17185" s="442"/>
      <c r="P17185" s="235"/>
      <c r="AI17185" s="38"/>
    </row>
    <row r="17186" ht="15.75" customHeight="1">
      <c r="A17186" s="35"/>
      <c r="C17186" s="442"/>
      <c r="P17186" s="235"/>
      <c r="AI17186" s="38"/>
    </row>
    <row r="17187" ht="15.75" customHeight="1">
      <c r="A17187" s="35"/>
      <c r="C17187" s="442"/>
      <c r="P17187" s="235"/>
      <c r="AI17187" s="38"/>
    </row>
    <row r="17188" ht="15.75" customHeight="1">
      <c r="A17188" s="35"/>
      <c r="C17188" s="442"/>
      <c r="P17188" s="235"/>
      <c r="AI17188" s="38"/>
    </row>
    <row r="17189" ht="15.75" customHeight="1">
      <c r="A17189" s="35"/>
      <c r="C17189" s="442"/>
      <c r="P17189" s="235"/>
      <c r="AI17189" s="38"/>
    </row>
    <row r="17190" ht="15.75" customHeight="1">
      <c r="A17190" s="35"/>
      <c r="C17190" s="442"/>
      <c r="P17190" s="235"/>
      <c r="AI17190" s="38"/>
    </row>
    <row r="17191" ht="15.75" customHeight="1">
      <c r="A17191" s="35"/>
      <c r="C17191" s="442"/>
      <c r="P17191" s="235"/>
      <c r="AI17191" s="38"/>
    </row>
    <row r="17192" ht="15.75" customHeight="1">
      <c r="A17192" s="35"/>
      <c r="C17192" s="442"/>
      <c r="P17192" s="235"/>
      <c r="AI17192" s="38"/>
    </row>
    <row r="17193" ht="15.75" customHeight="1">
      <c r="A17193" s="35"/>
      <c r="C17193" s="442"/>
      <c r="P17193" s="235"/>
      <c r="AI17193" s="38"/>
    </row>
    <row r="17194" ht="15.75" customHeight="1">
      <c r="A17194" s="35"/>
      <c r="C17194" s="442"/>
      <c r="P17194" s="235"/>
      <c r="AI17194" s="38"/>
    </row>
    <row r="17195" ht="15.75" customHeight="1">
      <c r="A17195" s="35"/>
      <c r="C17195" s="442"/>
      <c r="P17195" s="235"/>
      <c r="AI17195" s="38"/>
    </row>
    <row r="17196" ht="15.75" customHeight="1">
      <c r="A17196" s="35"/>
      <c r="C17196" s="442"/>
      <c r="P17196" s="235"/>
      <c r="AI17196" s="38"/>
    </row>
    <row r="17197" ht="15.75" customHeight="1">
      <c r="A17197" s="35"/>
      <c r="C17197" s="442"/>
      <c r="P17197" s="235"/>
      <c r="AI17197" s="38"/>
    </row>
    <row r="17198" ht="15.75" customHeight="1">
      <c r="A17198" s="35"/>
      <c r="C17198" s="442"/>
      <c r="P17198" s="235"/>
      <c r="AI17198" s="38"/>
    </row>
    <row r="17199" ht="15.75" customHeight="1">
      <c r="A17199" s="35"/>
      <c r="C17199" s="442"/>
      <c r="P17199" s="235"/>
      <c r="AI17199" s="38"/>
    </row>
    <row r="17200" ht="15.75" customHeight="1">
      <c r="A17200" s="35"/>
      <c r="C17200" s="442"/>
      <c r="P17200" s="235"/>
      <c r="AI17200" s="38"/>
    </row>
    <row r="17201" ht="15.75" customHeight="1">
      <c r="A17201" s="35"/>
      <c r="C17201" s="442"/>
      <c r="P17201" s="235"/>
      <c r="AI17201" s="38"/>
    </row>
    <row r="17202" ht="15.75" customHeight="1">
      <c r="A17202" s="35"/>
      <c r="C17202" s="442"/>
      <c r="P17202" s="235"/>
      <c r="AI17202" s="38"/>
    </row>
    <row r="17203" ht="15.75" customHeight="1">
      <c r="A17203" s="35"/>
      <c r="C17203" s="442"/>
      <c r="P17203" s="235"/>
      <c r="AI17203" s="38"/>
    </row>
    <row r="17204" ht="15.75" customHeight="1">
      <c r="A17204" s="35"/>
      <c r="C17204" s="442"/>
      <c r="P17204" s="235"/>
      <c r="AI17204" s="38"/>
    </row>
    <row r="17205" ht="15.75" customHeight="1">
      <c r="A17205" s="35"/>
      <c r="C17205" s="442"/>
      <c r="P17205" s="235"/>
      <c r="AI17205" s="38"/>
    </row>
    <row r="17206" ht="15.75" customHeight="1">
      <c r="A17206" s="35"/>
      <c r="C17206" s="442"/>
      <c r="P17206" s="235"/>
      <c r="AI17206" s="38"/>
    </row>
    <row r="17207" ht="15.75" customHeight="1">
      <c r="A17207" s="35"/>
      <c r="C17207" s="442"/>
      <c r="P17207" s="235"/>
      <c r="AI17207" s="38"/>
    </row>
    <row r="17208" ht="15.75" customHeight="1">
      <c r="A17208" s="35"/>
      <c r="C17208" s="442"/>
      <c r="P17208" s="235"/>
      <c r="AI17208" s="38"/>
    </row>
    <row r="17209" ht="15.75" customHeight="1">
      <c r="A17209" s="35"/>
      <c r="C17209" s="442"/>
      <c r="P17209" s="235"/>
      <c r="AI17209" s="38"/>
    </row>
    <row r="17210" ht="15.75" customHeight="1">
      <c r="A17210" s="35"/>
      <c r="C17210" s="442"/>
      <c r="P17210" s="235"/>
      <c r="AI17210" s="38"/>
    </row>
    <row r="17211" ht="15.75" customHeight="1">
      <c r="A17211" s="35"/>
      <c r="C17211" s="442"/>
      <c r="P17211" s="235"/>
      <c r="AI17211" s="38"/>
    </row>
    <row r="17212" ht="15.75" customHeight="1">
      <c r="A17212" s="35"/>
      <c r="C17212" s="442"/>
      <c r="P17212" s="235"/>
      <c r="AI17212" s="38"/>
    </row>
    <row r="17213" ht="15.75" customHeight="1">
      <c r="A17213" s="35"/>
      <c r="C17213" s="442"/>
      <c r="P17213" s="235"/>
      <c r="AI17213" s="38"/>
    </row>
    <row r="17214" ht="15.75" customHeight="1">
      <c r="A17214" s="35"/>
      <c r="C17214" s="442"/>
      <c r="P17214" s="235"/>
      <c r="AI17214" s="38"/>
    </row>
    <row r="17215" ht="15.75" customHeight="1">
      <c r="A17215" s="35"/>
      <c r="C17215" s="442"/>
      <c r="P17215" s="235"/>
      <c r="AI17215" s="38"/>
    </row>
    <row r="17216" ht="15.75" customHeight="1">
      <c r="A17216" s="35"/>
      <c r="C17216" s="442"/>
      <c r="P17216" s="235"/>
      <c r="AI17216" s="38"/>
    </row>
    <row r="17217" ht="15.75" customHeight="1">
      <c r="A17217" s="35"/>
      <c r="C17217" s="442"/>
      <c r="P17217" s="235"/>
      <c r="AI17217" s="38"/>
    </row>
    <row r="17218" ht="15.75" customHeight="1">
      <c r="A17218" s="35"/>
      <c r="C17218" s="442"/>
      <c r="P17218" s="235"/>
      <c r="AI17218" s="38"/>
    </row>
    <row r="17219" ht="15.75" customHeight="1">
      <c r="A17219" s="35"/>
      <c r="C17219" s="442"/>
      <c r="P17219" s="235"/>
      <c r="AI17219" s="38"/>
    </row>
    <row r="17220" ht="15.75" customHeight="1">
      <c r="A17220" s="35"/>
      <c r="C17220" s="442"/>
      <c r="P17220" s="235"/>
      <c r="AI17220" s="38"/>
    </row>
    <row r="17221" ht="15.75" customHeight="1">
      <c r="A17221" s="35"/>
      <c r="C17221" s="442"/>
      <c r="P17221" s="235"/>
      <c r="AI17221" s="38"/>
    </row>
    <row r="17222" ht="15.75" customHeight="1">
      <c r="A17222" s="35"/>
      <c r="C17222" s="442"/>
      <c r="P17222" s="235"/>
      <c r="AI17222" s="38"/>
    </row>
    <row r="17223" ht="15.75" customHeight="1">
      <c r="A17223" s="35"/>
      <c r="C17223" s="442"/>
      <c r="P17223" s="235"/>
      <c r="AI17223" s="38"/>
    </row>
    <row r="17224" ht="15.75" customHeight="1">
      <c r="A17224" s="35"/>
      <c r="C17224" s="442"/>
      <c r="P17224" s="235"/>
      <c r="AI17224" s="38"/>
    </row>
    <row r="17225" ht="15.75" customHeight="1">
      <c r="A17225" s="35"/>
      <c r="C17225" s="442"/>
      <c r="P17225" s="235"/>
      <c r="AI17225" s="38"/>
    </row>
    <row r="17226" ht="15.75" customHeight="1">
      <c r="A17226" s="35"/>
      <c r="C17226" s="442"/>
      <c r="P17226" s="235"/>
      <c r="AI17226" s="38"/>
    </row>
    <row r="17227" ht="15.75" customHeight="1">
      <c r="A17227" s="35"/>
      <c r="C17227" s="442"/>
      <c r="P17227" s="235"/>
      <c r="AI17227" s="38"/>
    </row>
    <row r="17228" ht="15.75" customHeight="1">
      <c r="A17228" s="35"/>
      <c r="C17228" s="442"/>
      <c r="P17228" s="235"/>
      <c r="AI17228" s="38"/>
    </row>
    <row r="17229" ht="15.75" customHeight="1">
      <c r="A17229" s="35"/>
      <c r="C17229" s="442"/>
      <c r="P17229" s="235"/>
      <c r="AI17229" s="38"/>
    </row>
    <row r="17230" ht="15.75" customHeight="1">
      <c r="A17230" s="35"/>
      <c r="C17230" s="442"/>
      <c r="P17230" s="235"/>
      <c r="AI17230" s="38"/>
    </row>
    <row r="17231" ht="15.75" customHeight="1">
      <c r="A17231" s="35"/>
      <c r="C17231" s="442"/>
      <c r="P17231" s="235"/>
      <c r="AI17231" s="38"/>
    </row>
    <row r="17232" ht="15.75" customHeight="1">
      <c r="A17232" s="35"/>
      <c r="C17232" s="442"/>
      <c r="P17232" s="235"/>
      <c r="AI17232" s="38"/>
    </row>
    <row r="17233" ht="15.75" customHeight="1">
      <c r="A17233" s="35"/>
      <c r="C17233" s="442"/>
      <c r="P17233" s="235"/>
      <c r="AI17233" s="38"/>
    </row>
    <row r="17234" ht="15.75" customHeight="1">
      <c r="A17234" s="35"/>
      <c r="C17234" s="442"/>
      <c r="P17234" s="235"/>
      <c r="AI17234" s="38"/>
    </row>
    <row r="17235" ht="15.75" customHeight="1">
      <c r="A17235" s="35"/>
      <c r="C17235" s="442"/>
      <c r="P17235" s="235"/>
      <c r="AI17235" s="38"/>
    </row>
    <row r="17236" ht="15.75" customHeight="1">
      <c r="A17236" s="35"/>
      <c r="C17236" s="442"/>
      <c r="P17236" s="235"/>
      <c r="AI17236" s="38"/>
    </row>
    <row r="17237" ht="15.75" customHeight="1">
      <c r="A17237" s="35"/>
      <c r="C17237" s="442"/>
      <c r="P17237" s="235"/>
      <c r="AI17237" s="38"/>
    </row>
    <row r="17238" ht="15.75" customHeight="1">
      <c r="A17238" s="35"/>
      <c r="C17238" s="442"/>
      <c r="P17238" s="235"/>
      <c r="AI17238" s="38"/>
    </row>
    <row r="17239" ht="15.75" customHeight="1">
      <c r="A17239" s="35"/>
      <c r="C17239" s="442"/>
      <c r="P17239" s="235"/>
      <c r="AI17239" s="38"/>
    </row>
    <row r="17240" ht="15.75" customHeight="1">
      <c r="A17240" s="35"/>
      <c r="C17240" s="442"/>
      <c r="P17240" s="235"/>
      <c r="AI17240" s="38"/>
    </row>
    <row r="17241" ht="15.75" customHeight="1">
      <c r="A17241" s="35"/>
      <c r="C17241" s="442"/>
      <c r="P17241" s="235"/>
      <c r="AI17241" s="38"/>
    </row>
    <row r="17242" ht="15.75" customHeight="1">
      <c r="A17242" s="35"/>
      <c r="C17242" s="442"/>
      <c r="P17242" s="235"/>
      <c r="AI17242" s="38"/>
    </row>
    <row r="17243" ht="15.75" customHeight="1">
      <c r="A17243" s="35"/>
      <c r="C17243" s="442"/>
      <c r="P17243" s="235"/>
      <c r="AI17243" s="38"/>
    </row>
    <row r="17244" ht="15.75" customHeight="1">
      <c r="A17244" s="35"/>
      <c r="C17244" s="442"/>
      <c r="P17244" s="235"/>
      <c r="AI17244" s="38"/>
    </row>
    <row r="17245" ht="15.75" customHeight="1">
      <c r="A17245" s="35"/>
      <c r="C17245" s="442"/>
      <c r="P17245" s="235"/>
      <c r="AI17245" s="38"/>
    </row>
    <row r="17246" ht="15.75" customHeight="1">
      <c r="A17246" s="35"/>
      <c r="C17246" s="442"/>
      <c r="P17246" s="235"/>
      <c r="AI17246" s="38"/>
    </row>
    <row r="17247" ht="15.75" customHeight="1">
      <c r="A17247" s="35"/>
      <c r="C17247" s="442"/>
      <c r="P17247" s="235"/>
      <c r="AI17247" s="38"/>
    </row>
    <row r="17248" ht="15.75" customHeight="1">
      <c r="A17248" s="35"/>
      <c r="C17248" s="442"/>
      <c r="P17248" s="235"/>
      <c r="AI17248" s="38"/>
    </row>
    <row r="17249" ht="15.75" customHeight="1">
      <c r="A17249" s="35"/>
      <c r="C17249" s="442"/>
      <c r="P17249" s="235"/>
      <c r="AI17249" s="38"/>
    </row>
    <row r="17250" ht="15.75" customHeight="1">
      <c r="A17250" s="35"/>
      <c r="C17250" s="442"/>
      <c r="P17250" s="235"/>
      <c r="AI17250" s="38"/>
    </row>
    <row r="17251" ht="15.75" customHeight="1">
      <c r="A17251" s="35"/>
      <c r="C17251" s="442"/>
      <c r="P17251" s="235"/>
      <c r="AI17251" s="38"/>
    </row>
    <row r="17252" ht="15.75" customHeight="1">
      <c r="A17252" s="35"/>
      <c r="C17252" s="442"/>
      <c r="P17252" s="235"/>
      <c r="AI17252" s="38"/>
    </row>
    <row r="17253" ht="15.75" customHeight="1">
      <c r="A17253" s="35"/>
      <c r="C17253" s="442"/>
      <c r="P17253" s="235"/>
      <c r="AI17253" s="38"/>
    </row>
    <row r="17254" ht="15.75" customHeight="1">
      <c r="A17254" s="35"/>
      <c r="C17254" s="442"/>
      <c r="P17254" s="235"/>
      <c r="AI17254" s="38"/>
    </row>
    <row r="17255" ht="15.75" customHeight="1">
      <c r="A17255" s="35"/>
      <c r="C17255" s="442"/>
      <c r="P17255" s="235"/>
      <c r="AI17255" s="38"/>
    </row>
    <row r="17256" ht="15.75" customHeight="1">
      <c r="A17256" s="35"/>
      <c r="C17256" s="442"/>
      <c r="P17256" s="235"/>
      <c r="AI17256" s="38"/>
    </row>
    <row r="17257" ht="15.75" customHeight="1">
      <c r="A17257" s="35"/>
      <c r="C17257" s="442"/>
      <c r="P17257" s="235"/>
      <c r="AI17257" s="38"/>
    </row>
    <row r="17258" ht="15.75" customHeight="1">
      <c r="A17258" s="35"/>
      <c r="C17258" s="442"/>
      <c r="P17258" s="235"/>
      <c r="AI17258" s="38"/>
    </row>
    <row r="17259" ht="15.75" customHeight="1">
      <c r="A17259" s="35"/>
      <c r="C17259" s="442"/>
      <c r="P17259" s="235"/>
      <c r="AI17259" s="38"/>
    </row>
    <row r="17260" ht="15.75" customHeight="1">
      <c r="A17260" s="35"/>
      <c r="C17260" s="442"/>
      <c r="P17260" s="235"/>
      <c r="AI17260" s="38"/>
    </row>
    <row r="17261" ht="15.75" customHeight="1">
      <c r="A17261" s="35"/>
      <c r="C17261" s="442"/>
      <c r="P17261" s="235"/>
      <c r="AI17261" s="38"/>
    </row>
    <row r="17262" ht="15.75" customHeight="1">
      <c r="A17262" s="35"/>
      <c r="C17262" s="442"/>
      <c r="P17262" s="235"/>
      <c r="AI17262" s="38"/>
    </row>
    <row r="17263" ht="15.75" customHeight="1">
      <c r="A17263" s="35"/>
      <c r="C17263" s="442"/>
      <c r="P17263" s="235"/>
      <c r="AI17263" s="38"/>
    </row>
    <row r="17264" ht="15.75" customHeight="1">
      <c r="A17264" s="35"/>
      <c r="C17264" s="442"/>
      <c r="P17264" s="235"/>
      <c r="AI17264" s="38"/>
    </row>
    <row r="17265" ht="15.75" customHeight="1">
      <c r="A17265" s="35"/>
      <c r="C17265" s="442"/>
      <c r="P17265" s="235"/>
      <c r="AI17265" s="38"/>
    </row>
    <row r="17266" ht="15.75" customHeight="1">
      <c r="A17266" s="35"/>
      <c r="C17266" s="442"/>
      <c r="P17266" s="235"/>
      <c r="AI17266" s="38"/>
    </row>
    <row r="17267" ht="15.75" customHeight="1">
      <c r="A17267" s="35"/>
      <c r="C17267" s="442"/>
      <c r="P17267" s="235"/>
      <c r="AI17267" s="38"/>
    </row>
    <row r="17268" ht="15.75" customHeight="1">
      <c r="A17268" s="35"/>
      <c r="C17268" s="442"/>
      <c r="P17268" s="235"/>
      <c r="AI17268" s="38"/>
    </row>
    <row r="17269" ht="15.75" customHeight="1">
      <c r="A17269" s="35"/>
      <c r="C17269" s="442"/>
      <c r="P17269" s="235"/>
      <c r="AI17269" s="38"/>
    </row>
    <row r="17270" ht="15.75" customHeight="1">
      <c r="A17270" s="35"/>
      <c r="C17270" s="442"/>
      <c r="P17270" s="235"/>
      <c r="AI17270" s="38"/>
    </row>
    <row r="17271" ht="15.75" customHeight="1">
      <c r="A17271" s="35"/>
      <c r="C17271" s="442"/>
      <c r="P17271" s="235"/>
      <c r="AI17271" s="38"/>
    </row>
    <row r="17272" ht="15.75" customHeight="1">
      <c r="A17272" s="35"/>
      <c r="C17272" s="442"/>
      <c r="P17272" s="235"/>
      <c r="AI17272" s="38"/>
    </row>
    <row r="17273" ht="15.75" customHeight="1">
      <c r="A17273" s="35"/>
      <c r="C17273" s="442"/>
      <c r="P17273" s="235"/>
      <c r="AI17273" s="38"/>
    </row>
    <row r="17274" ht="15.75" customHeight="1">
      <c r="A17274" s="35"/>
      <c r="C17274" s="442"/>
      <c r="P17274" s="235"/>
      <c r="AI17274" s="38"/>
    </row>
    <row r="17275" ht="15.75" customHeight="1">
      <c r="A17275" s="35"/>
      <c r="C17275" s="442"/>
      <c r="P17275" s="235"/>
      <c r="AI17275" s="38"/>
    </row>
    <row r="17276" ht="15.75" customHeight="1">
      <c r="A17276" s="35"/>
      <c r="C17276" s="442"/>
      <c r="P17276" s="235"/>
      <c r="AI17276" s="38"/>
    </row>
    <row r="17277" ht="15.75" customHeight="1">
      <c r="A17277" s="35"/>
      <c r="C17277" s="442"/>
      <c r="P17277" s="235"/>
      <c r="AI17277" s="38"/>
    </row>
    <row r="17278" ht="15.75" customHeight="1">
      <c r="A17278" s="35"/>
      <c r="C17278" s="442"/>
      <c r="P17278" s="235"/>
      <c r="AI17278" s="38"/>
    </row>
    <row r="17279" ht="15.75" customHeight="1">
      <c r="A17279" s="35"/>
      <c r="C17279" s="442"/>
      <c r="P17279" s="235"/>
      <c r="AI17279" s="38"/>
    </row>
    <row r="17280" ht="15.75" customHeight="1">
      <c r="A17280" s="35"/>
      <c r="C17280" s="442"/>
      <c r="P17280" s="235"/>
      <c r="AI17280" s="38"/>
    </row>
    <row r="17281" ht="15.75" customHeight="1">
      <c r="A17281" s="35"/>
      <c r="C17281" s="442"/>
      <c r="P17281" s="235"/>
      <c r="AI17281" s="38"/>
    </row>
    <row r="17282" ht="15.75" customHeight="1">
      <c r="A17282" s="35"/>
      <c r="C17282" s="442"/>
      <c r="P17282" s="235"/>
      <c r="AI17282" s="38"/>
    </row>
    <row r="17283" ht="15.75" customHeight="1">
      <c r="A17283" s="35"/>
      <c r="C17283" s="442"/>
      <c r="P17283" s="235"/>
      <c r="AI17283" s="38"/>
    </row>
    <row r="17284" ht="15.75" customHeight="1">
      <c r="A17284" s="35"/>
      <c r="C17284" s="442"/>
      <c r="P17284" s="235"/>
      <c r="AI17284" s="38"/>
    </row>
    <row r="17285" ht="15.75" customHeight="1">
      <c r="A17285" s="35"/>
      <c r="C17285" s="442"/>
      <c r="P17285" s="235"/>
      <c r="AI17285" s="38"/>
    </row>
    <row r="17286" ht="15.75" customHeight="1">
      <c r="A17286" s="35"/>
      <c r="C17286" s="442"/>
      <c r="P17286" s="235"/>
      <c r="AI17286" s="38"/>
    </row>
    <row r="17287" ht="15.75" customHeight="1">
      <c r="A17287" s="35"/>
      <c r="C17287" s="442"/>
      <c r="P17287" s="235"/>
      <c r="AI17287" s="38"/>
    </row>
    <row r="17288" ht="15.75" customHeight="1">
      <c r="A17288" s="35"/>
      <c r="C17288" s="442"/>
      <c r="P17288" s="235"/>
      <c r="AI17288" s="38"/>
    </row>
    <row r="17289" ht="15.75" customHeight="1">
      <c r="A17289" s="35"/>
      <c r="C17289" s="442"/>
      <c r="P17289" s="235"/>
      <c r="AI17289" s="38"/>
    </row>
    <row r="17290" ht="15.75" customHeight="1">
      <c r="A17290" s="35"/>
      <c r="C17290" s="442"/>
      <c r="P17290" s="235"/>
      <c r="AI17290" s="38"/>
    </row>
    <row r="17291" ht="15.75" customHeight="1">
      <c r="A17291" s="35"/>
      <c r="C17291" s="442"/>
      <c r="P17291" s="235"/>
      <c r="AI17291" s="38"/>
    </row>
    <row r="17292" ht="15.75" customHeight="1">
      <c r="A17292" s="35"/>
      <c r="C17292" s="442"/>
      <c r="P17292" s="235"/>
      <c r="AI17292" s="38"/>
    </row>
    <row r="17293" ht="15.75" customHeight="1">
      <c r="A17293" s="35"/>
      <c r="C17293" s="442"/>
      <c r="P17293" s="235"/>
      <c r="AI17293" s="38"/>
    </row>
    <row r="17294" ht="15.75" customHeight="1">
      <c r="A17294" s="35"/>
      <c r="C17294" s="442"/>
      <c r="P17294" s="235"/>
      <c r="AI17294" s="38"/>
    </row>
    <row r="17295" ht="15.75" customHeight="1">
      <c r="A17295" s="35"/>
      <c r="C17295" s="442"/>
      <c r="P17295" s="235"/>
      <c r="AI17295" s="38"/>
    </row>
    <row r="17296" ht="15.75" customHeight="1">
      <c r="A17296" s="35"/>
      <c r="C17296" s="442"/>
      <c r="P17296" s="235"/>
      <c r="AI17296" s="38"/>
    </row>
    <row r="17297" ht="15.75" customHeight="1">
      <c r="A17297" s="35"/>
      <c r="C17297" s="442"/>
      <c r="P17297" s="235"/>
      <c r="AI17297" s="38"/>
    </row>
    <row r="17298" ht="15.75" customHeight="1">
      <c r="A17298" s="35"/>
      <c r="C17298" s="442"/>
      <c r="P17298" s="235"/>
      <c r="AI17298" s="38"/>
    </row>
    <row r="17299" ht="15.75" customHeight="1">
      <c r="A17299" s="35"/>
      <c r="C17299" s="442"/>
      <c r="P17299" s="235"/>
      <c r="AI17299" s="38"/>
    </row>
    <row r="17300" ht="15.75" customHeight="1">
      <c r="A17300" s="35"/>
      <c r="C17300" s="442"/>
      <c r="P17300" s="235"/>
      <c r="AI17300" s="38"/>
    </row>
    <row r="17301" ht="15.75" customHeight="1">
      <c r="A17301" s="35"/>
      <c r="C17301" s="442"/>
      <c r="P17301" s="235"/>
      <c r="AI17301" s="38"/>
    </row>
    <row r="17302" ht="15.75" customHeight="1">
      <c r="A17302" s="35"/>
      <c r="C17302" s="442"/>
      <c r="P17302" s="235"/>
      <c r="AI17302" s="38"/>
    </row>
    <row r="17303" ht="15.75" customHeight="1">
      <c r="A17303" s="35"/>
      <c r="C17303" s="442"/>
      <c r="P17303" s="235"/>
      <c r="AI17303" s="38"/>
    </row>
    <row r="17304" ht="15.75" customHeight="1">
      <c r="A17304" s="35"/>
      <c r="C17304" s="442"/>
      <c r="P17304" s="235"/>
      <c r="AI17304" s="38"/>
    </row>
    <row r="17305" ht="15.75" customHeight="1">
      <c r="A17305" s="35"/>
      <c r="C17305" s="442"/>
      <c r="P17305" s="235"/>
      <c r="AI17305" s="38"/>
    </row>
    <row r="17306" ht="15.75" customHeight="1">
      <c r="A17306" s="35"/>
      <c r="C17306" s="442"/>
      <c r="P17306" s="235"/>
      <c r="AI17306" s="38"/>
    </row>
    <row r="17307" ht="15.75" customHeight="1">
      <c r="A17307" s="35"/>
      <c r="C17307" s="442"/>
      <c r="P17307" s="235"/>
      <c r="AI17307" s="38"/>
    </row>
    <row r="17308" ht="15.75" customHeight="1">
      <c r="A17308" s="35"/>
      <c r="C17308" s="442"/>
      <c r="P17308" s="235"/>
      <c r="AI17308" s="38"/>
    </row>
    <row r="17309" ht="15.75" customHeight="1">
      <c r="A17309" s="35"/>
      <c r="C17309" s="442"/>
      <c r="P17309" s="235"/>
      <c r="AI17309" s="38"/>
    </row>
    <row r="17310" ht="15.75" customHeight="1">
      <c r="A17310" s="35"/>
      <c r="C17310" s="442"/>
      <c r="P17310" s="235"/>
      <c r="AI17310" s="38"/>
    </row>
    <row r="17311" ht="15.75" customHeight="1">
      <c r="A17311" s="35"/>
      <c r="C17311" s="442"/>
      <c r="P17311" s="235"/>
      <c r="AI17311" s="38"/>
    </row>
    <row r="17312" ht="15.75" customHeight="1">
      <c r="A17312" s="35"/>
      <c r="C17312" s="442"/>
      <c r="P17312" s="235"/>
      <c r="AI17312" s="38"/>
    </row>
    <row r="17313" ht="15.75" customHeight="1">
      <c r="A17313" s="35"/>
      <c r="C17313" s="442"/>
      <c r="P17313" s="235"/>
      <c r="AI17313" s="38"/>
    </row>
    <row r="17314" ht="15.75" customHeight="1">
      <c r="A17314" s="35"/>
      <c r="C17314" s="442"/>
      <c r="P17314" s="235"/>
      <c r="AI17314" s="38"/>
    </row>
    <row r="17315" ht="15.75" customHeight="1">
      <c r="A17315" s="35"/>
      <c r="C17315" s="442"/>
      <c r="P17315" s="235"/>
      <c r="AI17315" s="38"/>
    </row>
    <row r="17316" ht="15.75" customHeight="1">
      <c r="A17316" s="35"/>
      <c r="C17316" s="442"/>
      <c r="P17316" s="235"/>
      <c r="AI17316" s="38"/>
    </row>
    <row r="17317" ht="15.75" customHeight="1">
      <c r="A17317" s="35"/>
      <c r="C17317" s="442"/>
      <c r="P17317" s="235"/>
      <c r="AI17317" s="38"/>
    </row>
    <row r="17318" ht="15.75" customHeight="1">
      <c r="A17318" s="35"/>
      <c r="C17318" s="442"/>
      <c r="P17318" s="235"/>
      <c r="AI17318" s="38"/>
    </row>
    <row r="17319" ht="15.75" customHeight="1">
      <c r="A17319" s="35"/>
      <c r="C17319" s="442"/>
      <c r="P17319" s="235"/>
      <c r="AI17319" s="38"/>
    </row>
    <row r="17320" ht="15.75" customHeight="1">
      <c r="A17320" s="35"/>
      <c r="C17320" s="442"/>
      <c r="P17320" s="235"/>
      <c r="AI17320" s="38"/>
    </row>
    <row r="17321" ht="15.75" customHeight="1">
      <c r="A17321" s="35"/>
      <c r="C17321" s="442"/>
      <c r="P17321" s="235"/>
      <c r="AI17321" s="38"/>
    </row>
    <row r="17322" ht="15.75" customHeight="1">
      <c r="A17322" s="35"/>
      <c r="C17322" s="442"/>
      <c r="P17322" s="235"/>
      <c r="AI17322" s="38"/>
    </row>
    <row r="17323" ht="15.75" customHeight="1">
      <c r="A17323" s="35"/>
      <c r="C17323" s="442"/>
      <c r="P17323" s="235"/>
      <c r="AI17323" s="38"/>
    </row>
    <row r="17324" ht="15.75" customHeight="1">
      <c r="A17324" s="35"/>
      <c r="C17324" s="442"/>
      <c r="P17324" s="235"/>
      <c r="AI17324" s="38"/>
    </row>
    <row r="17325" ht="15.75" customHeight="1">
      <c r="A17325" s="35"/>
      <c r="C17325" s="442"/>
      <c r="P17325" s="235"/>
      <c r="AI17325" s="38"/>
    </row>
    <row r="17326" ht="15.75" customHeight="1">
      <c r="A17326" s="35"/>
      <c r="C17326" s="442"/>
      <c r="P17326" s="235"/>
      <c r="AI17326" s="38"/>
    </row>
    <row r="17327" ht="15.75" customHeight="1">
      <c r="A17327" s="35"/>
      <c r="C17327" s="442"/>
      <c r="P17327" s="235"/>
      <c r="AI17327" s="38"/>
    </row>
    <row r="17328" ht="15.75" customHeight="1">
      <c r="A17328" s="35"/>
      <c r="C17328" s="442"/>
      <c r="P17328" s="235"/>
      <c r="AI17328" s="38"/>
    </row>
    <row r="17329" ht="15.75" customHeight="1">
      <c r="A17329" s="35"/>
      <c r="C17329" s="442"/>
      <c r="P17329" s="235"/>
      <c r="AI17329" s="38"/>
    </row>
    <row r="17330" ht="15.75" customHeight="1">
      <c r="A17330" s="35"/>
      <c r="C17330" s="442"/>
      <c r="P17330" s="235"/>
      <c r="AI17330" s="38"/>
    </row>
    <row r="17331" ht="15.75" customHeight="1">
      <c r="A17331" s="35"/>
      <c r="C17331" s="442"/>
      <c r="P17331" s="235"/>
      <c r="AI17331" s="38"/>
    </row>
    <row r="17332" ht="15.75" customHeight="1">
      <c r="A17332" s="35"/>
      <c r="C17332" s="442"/>
      <c r="P17332" s="235"/>
      <c r="AI17332" s="38"/>
    </row>
    <row r="17333" ht="15.75" customHeight="1">
      <c r="A17333" s="35"/>
      <c r="C17333" s="442"/>
      <c r="P17333" s="235"/>
      <c r="AI17333" s="38"/>
    </row>
    <row r="17334" ht="15.75" customHeight="1">
      <c r="A17334" s="35"/>
      <c r="C17334" s="442"/>
      <c r="P17334" s="235"/>
      <c r="AI17334" s="38"/>
    </row>
    <row r="17335" ht="15.75" customHeight="1">
      <c r="A17335" s="35"/>
      <c r="C17335" s="442"/>
      <c r="P17335" s="235"/>
      <c r="AI17335" s="38"/>
    </row>
    <row r="17336" ht="15.75" customHeight="1">
      <c r="A17336" s="35"/>
      <c r="C17336" s="442"/>
      <c r="P17336" s="235"/>
      <c r="AI17336" s="38"/>
    </row>
    <row r="17337" ht="15.75" customHeight="1">
      <c r="A17337" s="35"/>
      <c r="C17337" s="442"/>
      <c r="P17337" s="235"/>
      <c r="AI17337" s="38"/>
    </row>
    <row r="17338" ht="15.75" customHeight="1">
      <c r="A17338" s="35"/>
      <c r="C17338" s="442"/>
      <c r="P17338" s="235"/>
      <c r="AI17338" s="38"/>
    </row>
    <row r="17339" ht="15.75" customHeight="1">
      <c r="A17339" s="35"/>
      <c r="C17339" s="442"/>
      <c r="P17339" s="235"/>
      <c r="AI17339" s="38"/>
    </row>
    <row r="17340" ht="15.75" customHeight="1">
      <c r="A17340" s="35"/>
      <c r="C17340" s="442"/>
      <c r="P17340" s="235"/>
      <c r="AI17340" s="38"/>
    </row>
    <row r="17341" ht="15.75" customHeight="1">
      <c r="A17341" s="35"/>
      <c r="C17341" s="442"/>
      <c r="P17341" s="235"/>
      <c r="AI17341" s="38"/>
    </row>
    <row r="17342" ht="15.75" customHeight="1">
      <c r="A17342" s="35"/>
      <c r="C17342" s="442"/>
      <c r="P17342" s="235"/>
      <c r="AI17342" s="38"/>
    </row>
    <row r="17343" ht="15.75" customHeight="1">
      <c r="A17343" s="35"/>
      <c r="C17343" s="442"/>
      <c r="P17343" s="235"/>
      <c r="AI17343" s="38"/>
    </row>
    <row r="17344" ht="15.75" customHeight="1">
      <c r="A17344" s="35"/>
      <c r="C17344" s="442"/>
      <c r="P17344" s="235"/>
      <c r="AI17344" s="38"/>
    </row>
    <row r="17345" ht="15.75" customHeight="1">
      <c r="A17345" s="35"/>
      <c r="C17345" s="442"/>
      <c r="P17345" s="235"/>
      <c r="AI17345" s="38"/>
    </row>
    <row r="17346" ht="15.75" customHeight="1">
      <c r="A17346" s="35"/>
      <c r="C17346" s="442"/>
      <c r="P17346" s="235"/>
      <c r="AI17346" s="38"/>
    </row>
    <row r="17347" ht="15.75" customHeight="1">
      <c r="A17347" s="35"/>
      <c r="C17347" s="442"/>
      <c r="P17347" s="235"/>
      <c r="AI17347" s="38"/>
    </row>
    <row r="17348" ht="15.75" customHeight="1">
      <c r="A17348" s="35"/>
      <c r="C17348" s="442"/>
      <c r="P17348" s="235"/>
      <c r="AI17348" s="38"/>
    </row>
    <row r="17349" ht="15.75" customHeight="1">
      <c r="A17349" s="35"/>
      <c r="C17349" s="442"/>
      <c r="P17349" s="235"/>
      <c r="AI17349" s="38"/>
    </row>
    <row r="17350" ht="15.75" customHeight="1">
      <c r="A17350" s="35"/>
      <c r="C17350" s="442"/>
      <c r="P17350" s="235"/>
      <c r="AI17350" s="38"/>
    </row>
    <row r="17351" ht="15.75" customHeight="1">
      <c r="A17351" s="35"/>
      <c r="C17351" s="442"/>
      <c r="P17351" s="235"/>
      <c r="AI17351" s="38"/>
    </row>
    <row r="17352" ht="15.75" customHeight="1">
      <c r="A17352" s="35"/>
      <c r="C17352" s="442"/>
      <c r="P17352" s="235"/>
      <c r="AI17352" s="38"/>
    </row>
    <row r="17353" ht="15.75" customHeight="1">
      <c r="A17353" s="35"/>
      <c r="C17353" s="442"/>
      <c r="P17353" s="235"/>
      <c r="AI17353" s="38"/>
    </row>
    <row r="17354" ht="15.75" customHeight="1">
      <c r="A17354" s="35"/>
      <c r="C17354" s="442"/>
      <c r="P17354" s="235"/>
      <c r="AI17354" s="38"/>
    </row>
    <row r="17355" ht="15.75" customHeight="1">
      <c r="A17355" s="35"/>
      <c r="C17355" s="442"/>
      <c r="P17355" s="235"/>
      <c r="AI17355" s="38"/>
    </row>
    <row r="17356" ht="15.75" customHeight="1">
      <c r="A17356" s="35"/>
      <c r="C17356" s="442"/>
      <c r="P17356" s="235"/>
      <c r="AI17356" s="38"/>
    </row>
    <row r="17357" ht="15.75" customHeight="1">
      <c r="A17357" s="35"/>
      <c r="C17357" s="442"/>
      <c r="P17357" s="235"/>
      <c r="AI17357" s="38"/>
    </row>
    <row r="17358" ht="15.75" customHeight="1">
      <c r="A17358" s="35"/>
      <c r="C17358" s="442"/>
      <c r="P17358" s="235"/>
      <c r="AI17358" s="38"/>
    </row>
    <row r="17359" ht="15.75" customHeight="1">
      <c r="A17359" s="35"/>
      <c r="C17359" s="442"/>
      <c r="P17359" s="235"/>
      <c r="AI17359" s="38"/>
    </row>
    <row r="17360" ht="15.75" customHeight="1">
      <c r="A17360" s="35"/>
      <c r="C17360" s="442"/>
      <c r="P17360" s="235"/>
      <c r="AI17360" s="38"/>
    </row>
    <row r="17361" ht="15.75" customHeight="1">
      <c r="A17361" s="35"/>
      <c r="C17361" s="442"/>
      <c r="P17361" s="235"/>
      <c r="AI17361" s="38"/>
    </row>
    <row r="17362" ht="15.75" customHeight="1">
      <c r="A17362" s="35"/>
      <c r="C17362" s="442"/>
      <c r="P17362" s="235"/>
      <c r="AI17362" s="38"/>
    </row>
    <row r="17363" ht="15.75" customHeight="1">
      <c r="A17363" s="35"/>
      <c r="C17363" s="442"/>
      <c r="P17363" s="235"/>
      <c r="AI17363" s="38"/>
    </row>
    <row r="17364" ht="15.75" customHeight="1">
      <c r="A17364" s="35"/>
      <c r="C17364" s="442"/>
      <c r="P17364" s="235"/>
      <c r="AI17364" s="38"/>
    </row>
    <row r="17365" ht="15.75" customHeight="1">
      <c r="A17365" s="35"/>
      <c r="C17365" s="442"/>
      <c r="P17365" s="235"/>
      <c r="AI17365" s="38"/>
    </row>
    <row r="17366" ht="15.75" customHeight="1">
      <c r="A17366" s="35"/>
      <c r="C17366" s="442"/>
      <c r="P17366" s="235"/>
      <c r="AI17366" s="38"/>
    </row>
    <row r="17367" ht="15.75" customHeight="1">
      <c r="A17367" s="35"/>
      <c r="C17367" s="442"/>
      <c r="P17367" s="235"/>
      <c r="AI17367" s="38"/>
    </row>
    <row r="17368" ht="15.75" customHeight="1">
      <c r="A17368" s="35"/>
      <c r="C17368" s="442"/>
      <c r="P17368" s="235"/>
      <c r="AI17368" s="38"/>
    </row>
    <row r="17369" ht="15.75" customHeight="1">
      <c r="A17369" s="35"/>
      <c r="C17369" s="442"/>
      <c r="P17369" s="235"/>
      <c r="AI17369" s="38"/>
    </row>
    <row r="17370" ht="15.75" customHeight="1">
      <c r="A17370" s="35"/>
      <c r="C17370" s="442"/>
      <c r="P17370" s="235"/>
      <c r="AI17370" s="38"/>
    </row>
    <row r="17371" ht="15.75" customHeight="1">
      <c r="A17371" s="35"/>
      <c r="C17371" s="442"/>
      <c r="P17371" s="235"/>
      <c r="AI17371" s="38"/>
    </row>
    <row r="17372" ht="15.75" customHeight="1">
      <c r="A17372" s="35"/>
      <c r="C17372" s="442"/>
      <c r="P17372" s="235"/>
      <c r="AI17372" s="38"/>
    </row>
    <row r="17373" ht="15.75" customHeight="1">
      <c r="A17373" s="35"/>
      <c r="C17373" s="442"/>
      <c r="P17373" s="235"/>
      <c r="AI17373" s="38"/>
    </row>
    <row r="17374" ht="15.75" customHeight="1">
      <c r="A17374" s="35"/>
      <c r="C17374" s="442"/>
      <c r="P17374" s="235"/>
      <c r="AI17374" s="38"/>
    </row>
    <row r="17375" ht="15.75" customHeight="1">
      <c r="A17375" s="35"/>
      <c r="C17375" s="442"/>
      <c r="P17375" s="235"/>
      <c r="AI17375" s="38"/>
    </row>
    <row r="17376" ht="15.75" customHeight="1">
      <c r="A17376" s="35"/>
      <c r="C17376" s="442"/>
      <c r="P17376" s="235"/>
      <c r="AI17376" s="38"/>
    </row>
    <row r="17377" ht="15.75" customHeight="1">
      <c r="A17377" s="35"/>
      <c r="C17377" s="442"/>
      <c r="P17377" s="235"/>
      <c r="AI17377" s="38"/>
    </row>
    <row r="17378" ht="15.75" customHeight="1">
      <c r="A17378" s="35"/>
      <c r="C17378" s="442"/>
      <c r="P17378" s="235"/>
      <c r="AI17378" s="38"/>
    </row>
    <row r="17379" ht="15.75" customHeight="1">
      <c r="A17379" s="35"/>
      <c r="C17379" s="442"/>
      <c r="P17379" s="235"/>
      <c r="AI17379" s="38"/>
    </row>
    <row r="17380" ht="15.75" customHeight="1">
      <c r="A17380" s="35"/>
      <c r="C17380" s="442"/>
      <c r="P17380" s="235"/>
      <c r="AI17380" s="38"/>
    </row>
    <row r="17381" ht="15.75" customHeight="1">
      <c r="A17381" s="35"/>
      <c r="C17381" s="442"/>
      <c r="P17381" s="235"/>
      <c r="AI17381" s="38"/>
    </row>
    <row r="17382" ht="15.75" customHeight="1">
      <c r="A17382" s="35"/>
      <c r="C17382" s="442"/>
      <c r="P17382" s="235"/>
      <c r="AI17382" s="38"/>
    </row>
    <row r="17383" ht="15.75" customHeight="1">
      <c r="A17383" s="35"/>
      <c r="C17383" s="442"/>
      <c r="P17383" s="235"/>
      <c r="AI17383" s="38"/>
    </row>
    <row r="17384" ht="15.75" customHeight="1">
      <c r="A17384" s="35"/>
      <c r="C17384" s="442"/>
      <c r="P17384" s="235"/>
      <c r="AI17384" s="38"/>
    </row>
    <row r="17385" ht="15.75" customHeight="1">
      <c r="A17385" s="35"/>
      <c r="C17385" s="442"/>
      <c r="P17385" s="235"/>
      <c r="AI17385" s="38"/>
    </row>
    <row r="17386" ht="15.75" customHeight="1">
      <c r="A17386" s="35"/>
      <c r="C17386" s="442"/>
      <c r="P17386" s="235"/>
      <c r="AI17386" s="38"/>
    </row>
    <row r="17387" ht="15.75" customHeight="1">
      <c r="A17387" s="35"/>
      <c r="C17387" s="442"/>
      <c r="P17387" s="235"/>
      <c r="AI17387" s="38"/>
    </row>
    <row r="17388" ht="15.75" customHeight="1">
      <c r="A17388" s="35"/>
      <c r="C17388" s="442"/>
      <c r="P17388" s="235"/>
      <c r="AI17388" s="38"/>
    </row>
    <row r="17389" ht="15.75" customHeight="1">
      <c r="A17389" s="35"/>
      <c r="C17389" s="442"/>
      <c r="P17389" s="235"/>
      <c r="AI17389" s="38"/>
    </row>
    <row r="17390" ht="15.75" customHeight="1">
      <c r="A17390" s="35"/>
      <c r="C17390" s="442"/>
      <c r="P17390" s="235"/>
      <c r="AI17390" s="38"/>
    </row>
    <row r="17391" ht="15.75" customHeight="1">
      <c r="A17391" s="35"/>
      <c r="C17391" s="442"/>
      <c r="P17391" s="235"/>
      <c r="AI17391" s="38"/>
    </row>
    <row r="17392" ht="15.75" customHeight="1">
      <c r="A17392" s="35"/>
      <c r="C17392" s="442"/>
      <c r="P17392" s="235"/>
      <c r="AI17392" s="38"/>
    </row>
    <row r="17393" ht="15.75" customHeight="1">
      <c r="A17393" s="35"/>
      <c r="C17393" s="442"/>
      <c r="P17393" s="235"/>
      <c r="AI17393" s="38"/>
    </row>
    <row r="17394" ht="15.75" customHeight="1">
      <c r="A17394" s="35"/>
      <c r="C17394" s="442"/>
      <c r="P17394" s="235"/>
      <c r="AI17394" s="38"/>
    </row>
    <row r="17395" ht="15.75" customHeight="1">
      <c r="A17395" s="35"/>
      <c r="C17395" s="442"/>
      <c r="P17395" s="235"/>
      <c r="AI17395" s="38"/>
    </row>
    <row r="17396" ht="15.75" customHeight="1">
      <c r="A17396" s="35"/>
      <c r="C17396" s="442"/>
      <c r="P17396" s="235"/>
      <c r="AI17396" s="38"/>
    </row>
    <row r="17397" ht="15.75" customHeight="1">
      <c r="A17397" s="35"/>
      <c r="C17397" s="442"/>
      <c r="P17397" s="235"/>
      <c r="AI17397" s="38"/>
    </row>
    <row r="17398" ht="15.75" customHeight="1">
      <c r="A17398" s="35"/>
      <c r="C17398" s="442"/>
      <c r="P17398" s="235"/>
      <c r="AI17398" s="38"/>
    </row>
    <row r="17399" ht="15.75" customHeight="1">
      <c r="A17399" s="35"/>
      <c r="C17399" s="442"/>
      <c r="P17399" s="235"/>
      <c r="AI17399" s="38"/>
    </row>
    <row r="17400" ht="15.75" customHeight="1">
      <c r="A17400" s="35"/>
      <c r="C17400" s="442"/>
      <c r="P17400" s="235"/>
      <c r="AI17400" s="38"/>
    </row>
    <row r="17401" ht="15.75" customHeight="1">
      <c r="A17401" s="35"/>
      <c r="C17401" s="442"/>
      <c r="P17401" s="235"/>
      <c r="AI17401" s="38"/>
    </row>
    <row r="17402" ht="15.75" customHeight="1">
      <c r="A17402" s="35"/>
      <c r="C17402" s="442"/>
      <c r="P17402" s="235"/>
      <c r="AI17402" s="38"/>
    </row>
    <row r="17403" ht="15.75" customHeight="1">
      <c r="A17403" s="35"/>
      <c r="C17403" s="442"/>
      <c r="P17403" s="235"/>
      <c r="AI17403" s="38"/>
    </row>
    <row r="17404" ht="15.75" customHeight="1">
      <c r="A17404" s="35"/>
      <c r="C17404" s="442"/>
      <c r="P17404" s="235"/>
      <c r="AI17404" s="38"/>
    </row>
    <row r="17405" ht="15.75" customHeight="1">
      <c r="A17405" s="35"/>
      <c r="C17405" s="442"/>
      <c r="P17405" s="235"/>
      <c r="AI17405" s="38"/>
    </row>
    <row r="17406" ht="15.75" customHeight="1">
      <c r="A17406" s="35"/>
      <c r="C17406" s="442"/>
      <c r="P17406" s="235"/>
      <c r="AI17406" s="38"/>
    </row>
    <row r="17407" ht="15.75" customHeight="1">
      <c r="A17407" s="35"/>
      <c r="C17407" s="442"/>
      <c r="P17407" s="235"/>
      <c r="AI17407" s="38"/>
    </row>
    <row r="17408" ht="15.75" customHeight="1">
      <c r="A17408" s="35"/>
      <c r="C17408" s="442"/>
      <c r="P17408" s="235"/>
      <c r="AI17408" s="38"/>
    </row>
    <row r="17409" ht="15.75" customHeight="1">
      <c r="A17409" s="35"/>
      <c r="C17409" s="442"/>
      <c r="P17409" s="235"/>
      <c r="AI17409" s="38"/>
    </row>
    <row r="17410" ht="15.75" customHeight="1">
      <c r="A17410" s="35"/>
      <c r="C17410" s="442"/>
      <c r="P17410" s="235"/>
      <c r="AI17410" s="38"/>
    </row>
    <row r="17411" ht="15.75" customHeight="1">
      <c r="A17411" s="35"/>
      <c r="C17411" s="442"/>
      <c r="P17411" s="235"/>
      <c r="AI17411" s="38"/>
    </row>
    <row r="17412" ht="15.75" customHeight="1">
      <c r="A17412" s="35"/>
      <c r="C17412" s="442"/>
      <c r="P17412" s="235"/>
      <c r="AI17412" s="38"/>
    </row>
    <row r="17413" ht="15.75" customHeight="1">
      <c r="A17413" s="35"/>
      <c r="C17413" s="442"/>
      <c r="P17413" s="235"/>
      <c r="AI17413" s="38"/>
    </row>
    <row r="17414" ht="15.75" customHeight="1">
      <c r="A17414" s="35"/>
      <c r="C17414" s="442"/>
      <c r="P17414" s="235"/>
      <c r="AI17414" s="38"/>
    </row>
    <row r="17415" ht="15.75" customHeight="1">
      <c r="A17415" s="35"/>
      <c r="C17415" s="442"/>
      <c r="P17415" s="235"/>
      <c r="AI17415" s="38"/>
    </row>
    <row r="17416" ht="15.75" customHeight="1">
      <c r="A17416" s="35"/>
      <c r="C17416" s="442"/>
      <c r="P17416" s="235"/>
      <c r="AI17416" s="38"/>
    </row>
    <row r="17417" ht="15.75" customHeight="1">
      <c r="A17417" s="35"/>
      <c r="C17417" s="442"/>
      <c r="P17417" s="235"/>
      <c r="AI17417" s="38"/>
    </row>
    <row r="17418" ht="15.75" customHeight="1">
      <c r="A17418" s="35"/>
      <c r="C17418" s="442"/>
      <c r="P17418" s="235"/>
      <c r="AI17418" s="38"/>
    </row>
    <row r="17419" ht="15.75" customHeight="1">
      <c r="A17419" s="35"/>
      <c r="C17419" s="442"/>
      <c r="P17419" s="235"/>
      <c r="AI17419" s="38"/>
    </row>
    <row r="17420" ht="15.75" customHeight="1">
      <c r="A17420" s="35"/>
      <c r="C17420" s="442"/>
      <c r="P17420" s="235"/>
      <c r="AI17420" s="38"/>
    </row>
    <row r="17421" ht="15.75" customHeight="1">
      <c r="A17421" s="35"/>
      <c r="C17421" s="442"/>
      <c r="P17421" s="235"/>
      <c r="AI17421" s="38"/>
    </row>
    <row r="17422" ht="15.75" customHeight="1">
      <c r="A17422" s="35"/>
      <c r="C17422" s="442"/>
      <c r="P17422" s="235"/>
      <c r="AI17422" s="38"/>
    </row>
    <row r="17423" ht="15.75" customHeight="1">
      <c r="A17423" s="35"/>
      <c r="C17423" s="442"/>
      <c r="P17423" s="235"/>
      <c r="AI17423" s="38"/>
    </row>
    <row r="17424" ht="15.75" customHeight="1">
      <c r="A17424" s="35"/>
      <c r="C17424" s="442"/>
      <c r="P17424" s="235"/>
      <c r="AI17424" s="38"/>
    </row>
    <row r="17425" ht="15.75" customHeight="1">
      <c r="A17425" s="35"/>
      <c r="C17425" s="442"/>
      <c r="P17425" s="235"/>
      <c r="AI17425" s="38"/>
    </row>
    <row r="17426" ht="15.75" customHeight="1">
      <c r="A17426" s="35"/>
      <c r="C17426" s="442"/>
      <c r="P17426" s="235"/>
      <c r="AI17426" s="38"/>
    </row>
    <row r="17427" ht="15.75" customHeight="1">
      <c r="A17427" s="35"/>
      <c r="C17427" s="442"/>
      <c r="P17427" s="235"/>
      <c r="AI17427" s="38"/>
    </row>
    <row r="17428" ht="15.75" customHeight="1">
      <c r="A17428" s="35"/>
      <c r="C17428" s="442"/>
      <c r="P17428" s="235"/>
      <c r="AI17428" s="38"/>
    </row>
    <row r="17429" ht="15.75" customHeight="1">
      <c r="A17429" s="35"/>
      <c r="C17429" s="442"/>
      <c r="P17429" s="235"/>
      <c r="AI17429" s="38"/>
    </row>
    <row r="17430" ht="15.75" customHeight="1">
      <c r="A17430" s="35"/>
      <c r="C17430" s="442"/>
      <c r="P17430" s="235"/>
      <c r="AI17430" s="38"/>
    </row>
    <row r="17431" ht="15.75" customHeight="1">
      <c r="A17431" s="35"/>
      <c r="C17431" s="442"/>
      <c r="P17431" s="235"/>
      <c r="AI17431" s="38"/>
    </row>
    <row r="17432" ht="15.75" customHeight="1">
      <c r="A17432" s="35"/>
      <c r="C17432" s="442"/>
      <c r="P17432" s="235"/>
      <c r="AI17432" s="38"/>
    </row>
    <row r="17433" ht="15.75" customHeight="1">
      <c r="A17433" s="35"/>
      <c r="C17433" s="442"/>
      <c r="P17433" s="235"/>
      <c r="AI17433" s="38"/>
    </row>
    <row r="17434" ht="15.75" customHeight="1">
      <c r="A17434" s="35"/>
      <c r="C17434" s="442"/>
      <c r="P17434" s="235"/>
      <c r="AI17434" s="38"/>
    </row>
    <row r="17435" ht="15.75" customHeight="1">
      <c r="A17435" s="35"/>
      <c r="C17435" s="442"/>
      <c r="P17435" s="235"/>
      <c r="AI17435" s="38"/>
    </row>
    <row r="17436" ht="15.75" customHeight="1">
      <c r="A17436" s="35"/>
      <c r="C17436" s="442"/>
      <c r="P17436" s="235"/>
      <c r="AI17436" s="38"/>
    </row>
    <row r="17437" ht="15.75" customHeight="1">
      <c r="A17437" s="35"/>
      <c r="C17437" s="442"/>
      <c r="P17437" s="235"/>
      <c r="AI17437" s="38"/>
    </row>
    <row r="17438" ht="15.75" customHeight="1">
      <c r="A17438" s="35"/>
      <c r="C17438" s="442"/>
      <c r="P17438" s="235"/>
      <c r="AI17438" s="38"/>
    </row>
    <row r="17439" ht="15.75" customHeight="1">
      <c r="A17439" s="35"/>
      <c r="C17439" s="442"/>
      <c r="P17439" s="235"/>
      <c r="AI17439" s="38"/>
    </row>
    <row r="17440" ht="15.75" customHeight="1">
      <c r="A17440" s="35"/>
      <c r="C17440" s="442"/>
      <c r="P17440" s="235"/>
      <c r="AI17440" s="38"/>
    </row>
    <row r="17441" ht="15.75" customHeight="1">
      <c r="A17441" s="35"/>
      <c r="C17441" s="442"/>
      <c r="P17441" s="235"/>
      <c r="AI17441" s="38"/>
    </row>
    <row r="17442" ht="15.75" customHeight="1">
      <c r="A17442" s="35"/>
      <c r="C17442" s="442"/>
      <c r="P17442" s="235"/>
      <c r="AI17442" s="38"/>
    </row>
    <row r="17443" ht="15.75" customHeight="1">
      <c r="A17443" s="35"/>
      <c r="C17443" s="442"/>
      <c r="P17443" s="235"/>
      <c r="AI17443" s="38"/>
    </row>
    <row r="17444" ht="15.75" customHeight="1">
      <c r="A17444" s="35"/>
      <c r="C17444" s="442"/>
      <c r="P17444" s="235"/>
      <c r="AI17444" s="38"/>
    </row>
    <row r="17445" ht="15.75" customHeight="1">
      <c r="A17445" s="35"/>
      <c r="C17445" s="442"/>
      <c r="P17445" s="235"/>
      <c r="AI17445" s="38"/>
    </row>
    <row r="17446" ht="15.75" customHeight="1">
      <c r="A17446" s="35"/>
      <c r="C17446" s="442"/>
      <c r="P17446" s="235"/>
      <c r="AI17446" s="38"/>
    </row>
    <row r="17447" ht="15.75" customHeight="1">
      <c r="A17447" s="35"/>
      <c r="C17447" s="442"/>
      <c r="P17447" s="235"/>
      <c r="AI17447" s="38"/>
    </row>
    <row r="17448" ht="15.75" customHeight="1">
      <c r="A17448" s="35"/>
      <c r="C17448" s="442"/>
      <c r="P17448" s="235"/>
      <c r="AI17448" s="38"/>
    </row>
    <row r="17449" ht="15.75" customHeight="1">
      <c r="A17449" s="35"/>
      <c r="C17449" s="442"/>
      <c r="P17449" s="235"/>
      <c r="AI17449" s="38"/>
    </row>
    <row r="17450" ht="15.75" customHeight="1">
      <c r="A17450" s="35"/>
      <c r="C17450" s="442"/>
      <c r="P17450" s="235"/>
      <c r="AI17450" s="38"/>
    </row>
    <row r="17451" ht="15.75" customHeight="1">
      <c r="A17451" s="35"/>
      <c r="C17451" s="442"/>
      <c r="P17451" s="235"/>
      <c r="AI17451" s="38"/>
    </row>
    <row r="17452" ht="15.75" customHeight="1">
      <c r="A17452" s="35"/>
      <c r="C17452" s="442"/>
      <c r="P17452" s="235"/>
      <c r="AI17452" s="38"/>
    </row>
    <row r="17453" ht="15.75" customHeight="1">
      <c r="A17453" s="35"/>
      <c r="C17453" s="442"/>
      <c r="P17453" s="235"/>
      <c r="AI17453" s="38"/>
    </row>
    <row r="17454" ht="15.75" customHeight="1">
      <c r="A17454" s="35"/>
      <c r="C17454" s="442"/>
      <c r="P17454" s="235"/>
      <c r="AI17454" s="38"/>
    </row>
    <row r="17455" ht="15.75" customHeight="1">
      <c r="A17455" s="35"/>
      <c r="C17455" s="442"/>
      <c r="P17455" s="235"/>
      <c r="AI17455" s="38"/>
    </row>
    <row r="17456" ht="15.75" customHeight="1">
      <c r="A17456" s="35"/>
      <c r="C17456" s="442"/>
      <c r="P17456" s="235"/>
      <c r="AI17456" s="38"/>
    </row>
    <row r="17457" ht="15.75" customHeight="1">
      <c r="A17457" s="35"/>
      <c r="C17457" s="442"/>
      <c r="P17457" s="235"/>
      <c r="AI17457" s="38"/>
    </row>
    <row r="17458" ht="15.75" customHeight="1">
      <c r="A17458" s="35"/>
      <c r="C17458" s="442"/>
      <c r="P17458" s="235"/>
      <c r="AI17458" s="38"/>
    </row>
    <row r="17459" ht="15.75" customHeight="1">
      <c r="A17459" s="35"/>
      <c r="C17459" s="442"/>
      <c r="P17459" s="235"/>
      <c r="AI17459" s="38"/>
    </row>
    <row r="17460" ht="15.75" customHeight="1">
      <c r="A17460" s="35"/>
      <c r="C17460" s="442"/>
      <c r="P17460" s="235"/>
      <c r="AI17460" s="38"/>
    </row>
    <row r="17461" ht="15.75" customHeight="1">
      <c r="A17461" s="35"/>
      <c r="C17461" s="442"/>
      <c r="P17461" s="235"/>
      <c r="AI17461" s="38"/>
    </row>
    <row r="17462" ht="15.75" customHeight="1">
      <c r="A17462" s="35"/>
      <c r="C17462" s="442"/>
      <c r="P17462" s="235"/>
      <c r="AI17462" s="38"/>
    </row>
    <row r="17463" ht="15.75" customHeight="1">
      <c r="A17463" s="35"/>
      <c r="C17463" s="442"/>
      <c r="P17463" s="235"/>
      <c r="AI17463" s="38"/>
    </row>
    <row r="17464" ht="15.75" customHeight="1">
      <c r="A17464" s="35"/>
      <c r="C17464" s="442"/>
      <c r="P17464" s="235"/>
      <c r="AI17464" s="38"/>
    </row>
    <row r="17465" ht="15.75" customHeight="1">
      <c r="A17465" s="35"/>
      <c r="C17465" s="442"/>
      <c r="P17465" s="235"/>
      <c r="AI17465" s="38"/>
    </row>
    <row r="17466" ht="15.75" customHeight="1">
      <c r="A17466" s="35"/>
      <c r="C17466" s="442"/>
      <c r="P17466" s="235"/>
      <c r="AI17466" s="38"/>
    </row>
    <row r="17467" ht="15.75" customHeight="1">
      <c r="A17467" s="35"/>
      <c r="C17467" s="442"/>
      <c r="P17467" s="235"/>
      <c r="AI17467" s="38"/>
    </row>
    <row r="17468" ht="15.75" customHeight="1">
      <c r="A17468" s="35"/>
      <c r="C17468" s="442"/>
      <c r="P17468" s="235"/>
      <c r="AI17468" s="38"/>
    </row>
    <row r="17469" ht="15.75" customHeight="1">
      <c r="A17469" s="35"/>
      <c r="C17469" s="442"/>
      <c r="P17469" s="235"/>
      <c r="AI17469" s="38"/>
    </row>
    <row r="17470" ht="15.75" customHeight="1">
      <c r="A17470" s="35"/>
      <c r="C17470" s="442"/>
      <c r="P17470" s="235"/>
      <c r="AI17470" s="38"/>
    </row>
    <row r="17471" ht="15.75" customHeight="1">
      <c r="A17471" s="35"/>
      <c r="C17471" s="442"/>
      <c r="P17471" s="235"/>
      <c r="AI17471" s="38"/>
    </row>
    <row r="17472" ht="15.75" customHeight="1">
      <c r="A17472" s="35"/>
      <c r="C17472" s="442"/>
      <c r="P17472" s="235"/>
      <c r="AI17472" s="38"/>
    </row>
    <row r="17473" ht="15.75" customHeight="1">
      <c r="A17473" s="35"/>
      <c r="C17473" s="442"/>
      <c r="P17473" s="235"/>
      <c r="AI17473" s="38"/>
    </row>
    <row r="17474" ht="15.75" customHeight="1">
      <c r="A17474" s="35"/>
      <c r="C17474" s="442"/>
      <c r="P17474" s="235"/>
      <c r="AI17474" s="38"/>
    </row>
    <row r="17475" ht="15.75" customHeight="1">
      <c r="A17475" s="35"/>
      <c r="C17475" s="442"/>
      <c r="P17475" s="235"/>
      <c r="AI17475" s="38"/>
    </row>
    <row r="17476" ht="15.75" customHeight="1">
      <c r="A17476" s="35"/>
      <c r="C17476" s="442"/>
      <c r="P17476" s="235"/>
      <c r="AI17476" s="38"/>
    </row>
    <row r="17477" ht="15.75" customHeight="1">
      <c r="A17477" s="35"/>
      <c r="C17477" s="442"/>
      <c r="P17477" s="235"/>
      <c r="AI17477" s="38"/>
    </row>
    <row r="17478" ht="15.75" customHeight="1">
      <c r="A17478" s="35"/>
      <c r="C17478" s="442"/>
      <c r="P17478" s="235"/>
      <c r="AI17478" s="38"/>
    </row>
    <row r="17479" ht="15.75" customHeight="1">
      <c r="A17479" s="35"/>
      <c r="C17479" s="442"/>
      <c r="P17479" s="235"/>
      <c r="AI17479" s="38"/>
    </row>
    <row r="17480" ht="15.75" customHeight="1">
      <c r="A17480" s="35"/>
      <c r="C17480" s="442"/>
      <c r="P17480" s="235"/>
      <c r="AI17480" s="38"/>
    </row>
    <row r="17481" ht="15.75" customHeight="1">
      <c r="A17481" s="35"/>
      <c r="C17481" s="442"/>
      <c r="P17481" s="235"/>
      <c r="AI17481" s="38"/>
    </row>
    <row r="17482" ht="15.75" customHeight="1">
      <c r="A17482" s="35"/>
      <c r="C17482" s="442"/>
      <c r="P17482" s="235"/>
      <c r="AI17482" s="38"/>
    </row>
    <row r="17483" ht="15.75" customHeight="1">
      <c r="A17483" s="35"/>
      <c r="C17483" s="442"/>
      <c r="P17483" s="235"/>
      <c r="AI17483" s="38"/>
    </row>
    <row r="17484" ht="15.75" customHeight="1">
      <c r="A17484" s="35"/>
      <c r="C17484" s="442"/>
      <c r="P17484" s="235"/>
      <c r="AI17484" s="38"/>
    </row>
    <row r="17485" ht="15.75" customHeight="1">
      <c r="A17485" s="35"/>
      <c r="C17485" s="442"/>
      <c r="P17485" s="235"/>
      <c r="AI17485" s="38"/>
    </row>
    <row r="17486" ht="15.75" customHeight="1">
      <c r="A17486" s="35"/>
      <c r="C17486" s="442"/>
      <c r="P17486" s="235"/>
      <c r="AI17486" s="38"/>
    </row>
    <row r="17487" ht="15.75" customHeight="1">
      <c r="A17487" s="35"/>
      <c r="C17487" s="442"/>
      <c r="P17487" s="235"/>
      <c r="AI17487" s="38"/>
    </row>
    <row r="17488" ht="15.75" customHeight="1">
      <c r="A17488" s="35"/>
      <c r="C17488" s="442"/>
      <c r="P17488" s="235"/>
      <c r="AI17488" s="38"/>
    </row>
    <row r="17489" ht="15.75" customHeight="1">
      <c r="A17489" s="35"/>
      <c r="C17489" s="442"/>
      <c r="P17489" s="235"/>
      <c r="AI17489" s="38"/>
    </row>
    <row r="17490" ht="15.75" customHeight="1">
      <c r="A17490" s="35"/>
      <c r="C17490" s="442"/>
      <c r="P17490" s="235"/>
      <c r="AI17490" s="38"/>
    </row>
    <row r="17491" ht="15.75" customHeight="1">
      <c r="A17491" s="35"/>
      <c r="C17491" s="442"/>
      <c r="P17491" s="235"/>
      <c r="AI17491" s="38"/>
    </row>
    <row r="17492" ht="15.75" customHeight="1">
      <c r="A17492" s="35"/>
      <c r="C17492" s="442"/>
      <c r="P17492" s="235"/>
      <c r="AI17492" s="38"/>
    </row>
    <row r="17493" ht="15.75" customHeight="1">
      <c r="A17493" s="35"/>
      <c r="C17493" s="442"/>
      <c r="P17493" s="235"/>
      <c r="AI17493" s="38"/>
    </row>
    <row r="17494" ht="15.75" customHeight="1">
      <c r="A17494" s="35"/>
      <c r="C17494" s="442"/>
      <c r="P17494" s="235"/>
      <c r="AI17494" s="38"/>
    </row>
    <row r="17495" ht="15.75" customHeight="1">
      <c r="A17495" s="35"/>
      <c r="C17495" s="442"/>
      <c r="P17495" s="235"/>
      <c r="AI17495" s="38"/>
    </row>
    <row r="17496" ht="15.75" customHeight="1">
      <c r="A17496" s="35"/>
      <c r="C17496" s="442"/>
      <c r="P17496" s="235"/>
      <c r="AI17496" s="38"/>
    </row>
    <row r="17497" ht="15.75" customHeight="1">
      <c r="A17497" s="35"/>
      <c r="C17497" s="442"/>
      <c r="P17497" s="235"/>
      <c r="AI17497" s="38"/>
    </row>
    <row r="17498" ht="15.75" customHeight="1">
      <c r="A17498" s="35"/>
      <c r="C17498" s="442"/>
      <c r="P17498" s="235"/>
      <c r="AI17498" s="38"/>
    </row>
    <row r="17499" ht="15.75" customHeight="1">
      <c r="A17499" s="35"/>
      <c r="C17499" s="442"/>
      <c r="P17499" s="235"/>
      <c r="AI17499" s="38"/>
    </row>
    <row r="17500" ht="15.75" customHeight="1">
      <c r="A17500" s="35"/>
      <c r="C17500" s="442"/>
      <c r="P17500" s="235"/>
      <c r="AI17500" s="38"/>
    </row>
    <row r="17501" ht="15.75" customHeight="1">
      <c r="A17501" s="35"/>
      <c r="C17501" s="442"/>
      <c r="P17501" s="235"/>
      <c r="AI17501" s="38"/>
    </row>
    <row r="17502" ht="15.75" customHeight="1">
      <c r="A17502" s="35"/>
      <c r="C17502" s="442"/>
      <c r="P17502" s="235"/>
      <c r="AI17502" s="38"/>
    </row>
    <row r="17503" ht="15.75" customHeight="1">
      <c r="A17503" s="35"/>
      <c r="C17503" s="442"/>
      <c r="P17503" s="235"/>
      <c r="AI17503" s="38"/>
    </row>
    <row r="17504" ht="15.75" customHeight="1">
      <c r="A17504" s="35"/>
      <c r="C17504" s="442"/>
      <c r="P17504" s="235"/>
      <c r="AI17504" s="38"/>
    </row>
    <row r="17505" ht="15.75" customHeight="1">
      <c r="A17505" s="35"/>
      <c r="C17505" s="442"/>
      <c r="P17505" s="235"/>
      <c r="AI17505" s="38"/>
    </row>
    <row r="17506" ht="15.75" customHeight="1">
      <c r="A17506" s="35"/>
      <c r="C17506" s="442"/>
      <c r="P17506" s="235"/>
      <c r="AI17506" s="38"/>
    </row>
    <row r="17507" ht="15.75" customHeight="1">
      <c r="A17507" s="35"/>
      <c r="C17507" s="442"/>
      <c r="P17507" s="235"/>
      <c r="AI17507" s="38"/>
    </row>
    <row r="17508" ht="15.75" customHeight="1">
      <c r="A17508" s="35"/>
      <c r="C17508" s="442"/>
      <c r="P17508" s="235"/>
      <c r="AI17508" s="38"/>
    </row>
    <row r="17509" ht="15.75" customHeight="1">
      <c r="A17509" s="35"/>
      <c r="C17509" s="442"/>
      <c r="P17509" s="235"/>
      <c r="AI17509" s="38"/>
    </row>
    <row r="17510" ht="15.75" customHeight="1">
      <c r="A17510" s="35"/>
      <c r="C17510" s="442"/>
      <c r="P17510" s="235"/>
      <c r="AI17510" s="38"/>
    </row>
    <row r="17511" ht="15.75" customHeight="1">
      <c r="A17511" s="35"/>
      <c r="C17511" s="442"/>
      <c r="P17511" s="235"/>
      <c r="AI17511" s="38"/>
    </row>
    <row r="17512" ht="15.75" customHeight="1">
      <c r="A17512" s="35"/>
      <c r="C17512" s="442"/>
      <c r="P17512" s="235"/>
      <c r="AI17512" s="38"/>
    </row>
    <row r="17513" ht="15.75" customHeight="1">
      <c r="A17513" s="35"/>
      <c r="C17513" s="442"/>
      <c r="P17513" s="235"/>
      <c r="AI17513" s="38"/>
    </row>
    <row r="17514" ht="15.75" customHeight="1">
      <c r="A17514" s="35"/>
      <c r="C17514" s="442"/>
      <c r="P17514" s="235"/>
      <c r="AI17514" s="38"/>
    </row>
    <row r="17515" ht="15.75" customHeight="1">
      <c r="A17515" s="35"/>
      <c r="C17515" s="442"/>
      <c r="P17515" s="235"/>
      <c r="AI17515" s="38"/>
    </row>
    <row r="17516" ht="15.75" customHeight="1">
      <c r="A17516" s="35"/>
      <c r="C17516" s="442"/>
      <c r="P17516" s="235"/>
      <c r="AI17516" s="38"/>
    </row>
    <row r="17517" ht="15.75" customHeight="1">
      <c r="A17517" s="35"/>
      <c r="C17517" s="442"/>
      <c r="P17517" s="235"/>
      <c r="AI17517" s="38"/>
    </row>
    <row r="17518" ht="15.75" customHeight="1">
      <c r="A17518" s="35"/>
      <c r="C17518" s="442"/>
      <c r="P17518" s="235"/>
      <c r="AI17518" s="38"/>
    </row>
    <row r="17519" ht="15.75" customHeight="1">
      <c r="A17519" s="35"/>
      <c r="C17519" s="442"/>
      <c r="P17519" s="235"/>
      <c r="AI17519" s="38"/>
    </row>
    <row r="17520" ht="15.75" customHeight="1">
      <c r="A17520" s="35"/>
      <c r="C17520" s="442"/>
      <c r="P17520" s="235"/>
      <c r="AI17520" s="38"/>
    </row>
    <row r="17521" ht="15.75" customHeight="1">
      <c r="A17521" s="35"/>
      <c r="C17521" s="442"/>
      <c r="P17521" s="235"/>
      <c r="AI17521" s="38"/>
    </row>
    <row r="17522" ht="15.75" customHeight="1">
      <c r="A17522" s="35"/>
      <c r="C17522" s="442"/>
      <c r="P17522" s="235"/>
      <c r="AI17522" s="38"/>
    </row>
    <row r="17523" ht="15.75" customHeight="1">
      <c r="A17523" s="35"/>
      <c r="C17523" s="442"/>
      <c r="P17523" s="235"/>
      <c r="AI17523" s="38"/>
    </row>
    <row r="17524" ht="15.75" customHeight="1">
      <c r="A17524" s="35"/>
      <c r="C17524" s="442"/>
      <c r="P17524" s="235"/>
      <c r="AI17524" s="38"/>
    </row>
    <row r="17525" ht="15.75" customHeight="1">
      <c r="A17525" s="35"/>
      <c r="C17525" s="442"/>
      <c r="P17525" s="235"/>
      <c r="AI17525" s="38"/>
    </row>
    <row r="17526" ht="15.75" customHeight="1">
      <c r="A17526" s="35"/>
      <c r="C17526" s="442"/>
      <c r="P17526" s="235"/>
      <c r="AI17526" s="38"/>
    </row>
    <row r="17527" ht="15.75" customHeight="1">
      <c r="A17527" s="35"/>
      <c r="C17527" s="442"/>
      <c r="P17527" s="235"/>
      <c r="AI17527" s="38"/>
    </row>
    <row r="17528" ht="15.75" customHeight="1">
      <c r="A17528" s="35"/>
      <c r="C17528" s="442"/>
      <c r="P17528" s="235"/>
      <c r="AI17528" s="38"/>
    </row>
    <row r="17529" ht="15.75" customHeight="1">
      <c r="A17529" s="35"/>
      <c r="C17529" s="442"/>
      <c r="P17529" s="235"/>
      <c r="AI17529" s="38"/>
    </row>
    <row r="17530" ht="15.75" customHeight="1">
      <c r="A17530" s="35"/>
      <c r="C17530" s="442"/>
      <c r="P17530" s="235"/>
      <c r="AI17530" s="38"/>
    </row>
    <row r="17531" ht="15.75" customHeight="1">
      <c r="A17531" s="35"/>
      <c r="C17531" s="442"/>
      <c r="P17531" s="235"/>
      <c r="AI17531" s="38"/>
    </row>
    <row r="17532" ht="15.75" customHeight="1">
      <c r="A17532" s="35"/>
      <c r="C17532" s="442"/>
      <c r="P17532" s="235"/>
      <c r="AI17532" s="38"/>
    </row>
    <row r="17533" ht="15.75" customHeight="1">
      <c r="A17533" s="35"/>
      <c r="C17533" s="442"/>
      <c r="P17533" s="235"/>
      <c r="AI17533" s="38"/>
    </row>
    <row r="17534" ht="15.75" customHeight="1">
      <c r="A17534" s="35"/>
      <c r="C17534" s="442"/>
      <c r="P17534" s="235"/>
      <c r="AI17534" s="38"/>
    </row>
    <row r="17535" ht="15.75" customHeight="1">
      <c r="A17535" s="35"/>
      <c r="C17535" s="442"/>
      <c r="P17535" s="235"/>
      <c r="AI17535" s="38"/>
    </row>
    <row r="17536" ht="15.75" customHeight="1">
      <c r="A17536" s="35"/>
      <c r="C17536" s="442"/>
      <c r="P17536" s="235"/>
      <c r="AI17536" s="38"/>
    </row>
    <row r="17537" ht="15.75" customHeight="1">
      <c r="A17537" s="35"/>
      <c r="C17537" s="442"/>
      <c r="P17537" s="235"/>
      <c r="AI17537" s="38"/>
    </row>
    <row r="17538" ht="15.75" customHeight="1">
      <c r="A17538" s="35"/>
      <c r="C17538" s="442"/>
      <c r="P17538" s="235"/>
      <c r="AI17538" s="38"/>
    </row>
    <row r="17539" ht="15.75" customHeight="1">
      <c r="A17539" s="35"/>
      <c r="C17539" s="442"/>
      <c r="P17539" s="235"/>
      <c r="AI17539" s="38"/>
    </row>
    <row r="17540" ht="15.75" customHeight="1">
      <c r="A17540" s="35"/>
      <c r="C17540" s="442"/>
      <c r="P17540" s="235"/>
      <c r="AI17540" s="38"/>
    </row>
    <row r="17541" ht="15.75" customHeight="1">
      <c r="A17541" s="35"/>
      <c r="C17541" s="442"/>
      <c r="P17541" s="235"/>
      <c r="AI17541" s="38"/>
    </row>
    <row r="17542" ht="15.75" customHeight="1">
      <c r="A17542" s="35"/>
      <c r="C17542" s="442"/>
      <c r="P17542" s="235"/>
      <c r="AI17542" s="38"/>
    </row>
    <row r="17543" ht="15.75" customHeight="1">
      <c r="A17543" s="35"/>
      <c r="C17543" s="442"/>
      <c r="P17543" s="235"/>
      <c r="AI17543" s="38"/>
    </row>
    <row r="17544" ht="15.75" customHeight="1">
      <c r="A17544" s="35"/>
      <c r="C17544" s="442"/>
      <c r="P17544" s="235"/>
      <c r="AI17544" s="38"/>
    </row>
    <row r="17545" ht="15.75" customHeight="1">
      <c r="A17545" s="35"/>
      <c r="C17545" s="442"/>
      <c r="P17545" s="235"/>
      <c r="AI17545" s="38"/>
    </row>
    <row r="17546" ht="15.75" customHeight="1">
      <c r="A17546" s="35"/>
      <c r="C17546" s="442"/>
      <c r="P17546" s="235"/>
      <c r="AI17546" s="38"/>
    </row>
    <row r="17547" ht="15.75" customHeight="1">
      <c r="A17547" s="35"/>
      <c r="C17547" s="442"/>
      <c r="P17547" s="235"/>
      <c r="AI17547" s="38"/>
    </row>
    <row r="17548" ht="15.75" customHeight="1">
      <c r="A17548" s="35"/>
      <c r="C17548" s="442"/>
      <c r="P17548" s="235"/>
      <c r="AI17548" s="38"/>
    </row>
    <row r="17549" ht="15.75" customHeight="1">
      <c r="A17549" s="35"/>
      <c r="C17549" s="442"/>
      <c r="P17549" s="235"/>
      <c r="AI17549" s="38"/>
    </row>
    <row r="17550" ht="15.75" customHeight="1">
      <c r="A17550" s="35"/>
      <c r="C17550" s="442"/>
      <c r="P17550" s="235"/>
      <c r="AI17550" s="38"/>
    </row>
    <row r="17551" ht="15.75" customHeight="1">
      <c r="A17551" s="35"/>
      <c r="C17551" s="442"/>
      <c r="P17551" s="235"/>
      <c r="AI17551" s="38"/>
    </row>
    <row r="17552" ht="15.75" customHeight="1">
      <c r="A17552" s="35"/>
      <c r="C17552" s="442"/>
      <c r="P17552" s="235"/>
      <c r="AI17552" s="38"/>
    </row>
    <row r="17553" ht="15.75" customHeight="1">
      <c r="A17553" s="35"/>
      <c r="C17553" s="442"/>
      <c r="P17553" s="235"/>
      <c r="AI17553" s="38"/>
    </row>
    <row r="17554" ht="15.75" customHeight="1">
      <c r="A17554" s="35"/>
      <c r="C17554" s="442"/>
      <c r="P17554" s="235"/>
      <c r="AI17554" s="38"/>
    </row>
    <row r="17555" ht="15.75" customHeight="1">
      <c r="A17555" s="35"/>
      <c r="C17555" s="442"/>
      <c r="P17555" s="235"/>
      <c r="AI17555" s="38"/>
    </row>
    <row r="17556" ht="15.75" customHeight="1">
      <c r="A17556" s="35"/>
      <c r="C17556" s="442"/>
      <c r="P17556" s="235"/>
      <c r="AI17556" s="38"/>
    </row>
    <row r="17557" ht="15.75" customHeight="1">
      <c r="A17557" s="35"/>
      <c r="C17557" s="442"/>
      <c r="P17557" s="235"/>
      <c r="AI17557" s="38"/>
    </row>
    <row r="17558" ht="15.75" customHeight="1">
      <c r="A17558" s="35"/>
      <c r="C17558" s="442"/>
      <c r="P17558" s="235"/>
      <c r="AI17558" s="38"/>
    </row>
    <row r="17559" ht="15.75" customHeight="1">
      <c r="A17559" s="35"/>
      <c r="C17559" s="442"/>
      <c r="P17559" s="235"/>
      <c r="AI17559" s="38"/>
    </row>
    <row r="17560" ht="15.75" customHeight="1">
      <c r="A17560" s="35"/>
      <c r="C17560" s="442"/>
      <c r="P17560" s="235"/>
      <c r="AI17560" s="38"/>
    </row>
    <row r="17561" ht="15.75" customHeight="1">
      <c r="A17561" s="35"/>
      <c r="C17561" s="442"/>
      <c r="P17561" s="235"/>
      <c r="AI17561" s="38"/>
    </row>
    <row r="17562" ht="15.75" customHeight="1">
      <c r="A17562" s="35"/>
      <c r="C17562" s="442"/>
      <c r="P17562" s="235"/>
      <c r="AI17562" s="38"/>
    </row>
    <row r="17563" ht="15.75" customHeight="1">
      <c r="A17563" s="35"/>
      <c r="C17563" s="442"/>
      <c r="P17563" s="235"/>
      <c r="AI17563" s="38"/>
    </row>
    <row r="17564" ht="15.75" customHeight="1">
      <c r="A17564" s="35"/>
      <c r="C17564" s="442"/>
      <c r="P17564" s="235"/>
      <c r="AI17564" s="38"/>
    </row>
    <row r="17565" ht="15.75" customHeight="1">
      <c r="A17565" s="35"/>
      <c r="C17565" s="442"/>
      <c r="P17565" s="235"/>
      <c r="AI17565" s="38"/>
    </row>
    <row r="17566" ht="15.75" customHeight="1">
      <c r="A17566" s="35"/>
      <c r="C17566" s="442"/>
      <c r="P17566" s="235"/>
      <c r="AI17566" s="38"/>
    </row>
    <row r="17567" ht="15.75" customHeight="1">
      <c r="A17567" s="35"/>
      <c r="C17567" s="442"/>
      <c r="P17567" s="235"/>
      <c r="AI17567" s="38"/>
    </row>
    <row r="17568" ht="15.75" customHeight="1">
      <c r="A17568" s="35"/>
      <c r="C17568" s="442"/>
      <c r="P17568" s="235"/>
      <c r="AI17568" s="38"/>
    </row>
    <row r="17569" ht="15.75" customHeight="1">
      <c r="A17569" s="35"/>
      <c r="C17569" s="442"/>
      <c r="P17569" s="235"/>
      <c r="AI17569" s="38"/>
    </row>
    <row r="17570" ht="15.75" customHeight="1">
      <c r="A17570" s="35"/>
      <c r="C17570" s="442"/>
      <c r="P17570" s="235"/>
      <c r="AI17570" s="38"/>
    </row>
    <row r="17571" ht="15.75" customHeight="1">
      <c r="A17571" s="35"/>
      <c r="C17571" s="442"/>
      <c r="P17571" s="235"/>
      <c r="AI17571" s="38"/>
    </row>
    <row r="17572" ht="15.75" customHeight="1">
      <c r="A17572" s="35"/>
      <c r="C17572" s="442"/>
      <c r="P17572" s="235"/>
      <c r="AI17572" s="38"/>
    </row>
    <row r="17573" ht="15.75" customHeight="1">
      <c r="A17573" s="35"/>
      <c r="C17573" s="442"/>
      <c r="P17573" s="235"/>
      <c r="AI17573" s="38"/>
    </row>
    <row r="17574" ht="15.75" customHeight="1">
      <c r="A17574" s="35"/>
      <c r="C17574" s="442"/>
      <c r="P17574" s="235"/>
      <c r="AI17574" s="38"/>
    </row>
    <row r="17575" ht="15.75" customHeight="1">
      <c r="A17575" s="35"/>
      <c r="C17575" s="442"/>
      <c r="P17575" s="235"/>
      <c r="AI17575" s="38"/>
    </row>
    <row r="17576" ht="15.75" customHeight="1">
      <c r="A17576" s="35"/>
      <c r="C17576" s="442"/>
      <c r="P17576" s="235"/>
      <c r="AI17576" s="38"/>
    </row>
    <row r="17577" ht="15.75" customHeight="1">
      <c r="A17577" s="35"/>
      <c r="C17577" s="442"/>
      <c r="P17577" s="235"/>
      <c r="AI17577" s="38"/>
    </row>
    <row r="17578" ht="15.75" customHeight="1">
      <c r="A17578" s="35"/>
      <c r="C17578" s="442"/>
      <c r="P17578" s="235"/>
      <c r="AI17578" s="38"/>
    </row>
    <row r="17579" ht="15.75" customHeight="1">
      <c r="A17579" s="35"/>
      <c r="C17579" s="442"/>
      <c r="P17579" s="235"/>
      <c r="AI17579" s="38"/>
    </row>
    <row r="17580" ht="15.75" customHeight="1">
      <c r="A17580" s="35"/>
      <c r="C17580" s="442"/>
      <c r="P17580" s="235"/>
      <c r="AI17580" s="38"/>
    </row>
    <row r="17581" ht="15.75" customHeight="1">
      <c r="A17581" s="35"/>
      <c r="C17581" s="442"/>
      <c r="P17581" s="235"/>
      <c r="AI17581" s="38"/>
    </row>
    <row r="17582" ht="15.75" customHeight="1">
      <c r="A17582" s="35"/>
      <c r="C17582" s="442"/>
      <c r="P17582" s="235"/>
      <c r="AI17582" s="38"/>
    </row>
    <row r="17583" ht="15.75" customHeight="1">
      <c r="A17583" s="35"/>
      <c r="C17583" s="442"/>
      <c r="P17583" s="235"/>
      <c r="AI17583" s="38"/>
    </row>
    <row r="17584" ht="15.75" customHeight="1">
      <c r="A17584" s="35"/>
      <c r="C17584" s="442"/>
      <c r="P17584" s="235"/>
      <c r="AI17584" s="38"/>
    </row>
    <row r="17585" ht="15.75" customHeight="1">
      <c r="A17585" s="35"/>
      <c r="C17585" s="442"/>
      <c r="P17585" s="235"/>
      <c r="AI17585" s="38"/>
    </row>
    <row r="17586" ht="15.75" customHeight="1">
      <c r="A17586" s="35"/>
      <c r="C17586" s="442"/>
      <c r="P17586" s="235"/>
      <c r="AI17586" s="38"/>
    </row>
    <row r="17587" ht="15.75" customHeight="1">
      <c r="A17587" s="35"/>
      <c r="C17587" s="442"/>
      <c r="P17587" s="235"/>
      <c r="AI17587" s="38"/>
    </row>
    <row r="17588" ht="15.75" customHeight="1">
      <c r="A17588" s="35"/>
      <c r="C17588" s="442"/>
      <c r="P17588" s="235"/>
      <c r="AI17588" s="38"/>
    </row>
    <row r="17589" ht="15.75" customHeight="1">
      <c r="A17589" s="35"/>
      <c r="C17589" s="442"/>
      <c r="P17589" s="235"/>
      <c r="AI17589" s="38"/>
    </row>
    <row r="17590" ht="15.75" customHeight="1">
      <c r="A17590" s="35"/>
      <c r="C17590" s="442"/>
      <c r="P17590" s="235"/>
      <c r="AI17590" s="38"/>
    </row>
    <row r="17591" ht="15.75" customHeight="1">
      <c r="A17591" s="35"/>
      <c r="C17591" s="442"/>
      <c r="P17591" s="235"/>
      <c r="AI17591" s="38"/>
    </row>
    <row r="17592" ht="15.75" customHeight="1">
      <c r="A17592" s="35"/>
      <c r="C17592" s="442"/>
      <c r="P17592" s="235"/>
      <c r="AI17592" s="38"/>
    </row>
    <row r="17593" ht="15.75" customHeight="1">
      <c r="A17593" s="35"/>
      <c r="C17593" s="442"/>
      <c r="P17593" s="235"/>
      <c r="AI17593" s="38"/>
    </row>
    <row r="17594" ht="15.75" customHeight="1">
      <c r="A17594" s="35"/>
      <c r="C17594" s="442"/>
      <c r="P17594" s="235"/>
      <c r="AI17594" s="38"/>
    </row>
    <row r="17595" ht="15.75" customHeight="1">
      <c r="A17595" s="35"/>
      <c r="C17595" s="442"/>
      <c r="P17595" s="235"/>
      <c r="AI17595" s="38"/>
    </row>
    <row r="17596" ht="15.75" customHeight="1">
      <c r="A17596" s="35"/>
      <c r="C17596" s="442"/>
      <c r="P17596" s="235"/>
      <c r="AI17596" s="38"/>
    </row>
    <row r="17597" ht="15.75" customHeight="1">
      <c r="A17597" s="35"/>
      <c r="C17597" s="442"/>
      <c r="P17597" s="235"/>
      <c r="AI17597" s="38"/>
    </row>
    <row r="17598" ht="15.75" customHeight="1">
      <c r="A17598" s="35"/>
      <c r="C17598" s="442"/>
      <c r="P17598" s="235"/>
      <c r="AI17598" s="38"/>
    </row>
    <row r="17599" ht="15.75" customHeight="1">
      <c r="A17599" s="35"/>
      <c r="C17599" s="442"/>
      <c r="P17599" s="235"/>
      <c r="AI17599" s="38"/>
    </row>
    <row r="17600" ht="15.75" customHeight="1">
      <c r="A17600" s="35"/>
      <c r="C17600" s="442"/>
      <c r="P17600" s="235"/>
      <c r="AI17600" s="38"/>
    </row>
    <row r="17601" ht="15.75" customHeight="1">
      <c r="A17601" s="35"/>
      <c r="C17601" s="442"/>
      <c r="P17601" s="235"/>
      <c r="AI17601" s="38"/>
    </row>
    <row r="17602" ht="15.75" customHeight="1">
      <c r="A17602" s="35"/>
      <c r="C17602" s="442"/>
      <c r="P17602" s="235"/>
      <c r="AI17602" s="38"/>
    </row>
    <row r="17603" ht="15.75" customHeight="1">
      <c r="A17603" s="35"/>
      <c r="C17603" s="442"/>
      <c r="P17603" s="235"/>
      <c r="AI17603" s="38"/>
    </row>
    <row r="17604" ht="15.75" customHeight="1">
      <c r="A17604" s="35"/>
      <c r="C17604" s="442"/>
      <c r="P17604" s="235"/>
      <c r="AI17604" s="38"/>
    </row>
    <row r="17605" ht="15.75" customHeight="1">
      <c r="A17605" s="35"/>
      <c r="C17605" s="442"/>
      <c r="P17605" s="235"/>
      <c r="AI17605" s="38"/>
    </row>
    <row r="17606" ht="15.75" customHeight="1">
      <c r="A17606" s="35"/>
      <c r="C17606" s="442"/>
      <c r="P17606" s="235"/>
      <c r="AI17606" s="38"/>
    </row>
    <row r="17607" ht="15.75" customHeight="1">
      <c r="A17607" s="35"/>
      <c r="C17607" s="442"/>
      <c r="P17607" s="235"/>
      <c r="AI17607" s="38"/>
    </row>
    <row r="17608" ht="15.75" customHeight="1">
      <c r="A17608" s="35"/>
      <c r="C17608" s="442"/>
      <c r="P17608" s="235"/>
      <c r="AI17608" s="38"/>
    </row>
    <row r="17609" ht="15.75" customHeight="1">
      <c r="A17609" s="35"/>
      <c r="C17609" s="442"/>
      <c r="P17609" s="235"/>
      <c r="AI17609" s="38"/>
    </row>
    <row r="17610" ht="15.75" customHeight="1">
      <c r="A17610" s="35"/>
      <c r="C17610" s="442"/>
      <c r="P17610" s="235"/>
      <c r="AI17610" s="38"/>
    </row>
    <row r="17611" ht="15.75" customHeight="1">
      <c r="A17611" s="35"/>
      <c r="C17611" s="442"/>
      <c r="P17611" s="235"/>
      <c r="AI17611" s="38"/>
    </row>
    <row r="17612" ht="15.75" customHeight="1">
      <c r="A17612" s="35"/>
      <c r="C17612" s="442"/>
      <c r="P17612" s="235"/>
      <c r="AI17612" s="38"/>
    </row>
    <row r="17613" ht="15.75" customHeight="1">
      <c r="A17613" s="35"/>
      <c r="C17613" s="442"/>
      <c r="P17613" s="235"/>
      <c r="AI17613" s="38"/>
    </row>
    <row r="17614" ht="15.75" customHeight="1">
      <c r="A17614" s="35"/>
      <c r="C17614" s="442"/>
      <c r="P17614" s="235"/>
      <c r="AI17614" s="38"/>
    </row>
    <row r="17615" ht="15.75" customHeight="1">
      <c r="A17615" s="35"/>
      <c r="C17615" s="442"/>
      <c r="P17615" s="235"/>
      <c r="AI17615" s="38"/>
    </row>
    <row r="17616" ht="15.75" customHeight="1">
      <c r="A17616" s="35"/>
      <c r="C17616" s="442"/>
      <c r="P17616" s="235"/>
      <c r="AI17616" s="38"/>
    </row>
    <row r="17617" ht="15.75" customHeight="1">
      <c r="A17617" s="35"/>
      <c r="C17617" s="442"/>
      <c r="P17617" s="235"/>
      <c r="AI17617" s="38"/>
    </row>
    <row r="17618" ht="15.75" customHeight="1">
      <c r="A17618" s="35"/>
      <c r="C17618" s="442"/>
      <c r="P17618" s="235"/>
      <c r="AI17618" s="38"/>
    </row>
    <row r="17619" ht="15.75" customHeight="1">
      <c r="A17619" s="35"/>
      <c r="C17619" s="442"/>
      <c r="P17619" s="235"/>
      <c r="AI17619" s="38"/>
    </row>
    <row r="17620" ht="15.75" customHeight="1">
      <c r="A17620" s="35"/>
      <c r="C17620" s="442"/>
      <c r="P17620" s="235"/>
      <c r="AI17620" s="38"/>
    </row>
    <row r="17621" ht="15.75" customHeight="1">
      <c r="A17621" s="35"/>
      <c r="C17621" s="442"/>
      <c r="P17621" s="235"/>
      <c r="AI17621" s="38"/>
    </row>
    <row r="17622" ht="15.75" customHeight="1">
      <c r="A17622" s="35"/>
      <c r="C17622" s="442"/>
      <c r="P17622" s="235"/>
      <c r="AI17622" s="38"/>
    </row>
    <row r="17623" ht="15.75" customHeight="1">
      <c r="A17623" s="35"/>
      <c r="C17623" s="442"/>
      <c r="P17623" s="235"/>
      <c r="AI17623" s="38"/>
    </row>
    <row r="17624" ht="15.75" customHeight="1">
      <c r="A17624" s="35"/>
      <c r="C17624" s="442"/>
      <c r="P17624" s="235"/>
      <c r="AI17624" s="38"/>
    </row>
    <row r="17625" ht="15.75" customHeight="1">
      <c r="A17625" s="35"/>
      <c r="C17625" s="442"/>
      <c r="P17625" s="235"/>
      <c r="AI17625" s="38"/>
    </row>
    <row r="17626" ht="15.75" customHeight="1">
      <c r="A17626" s="35"/>
      <c r="C17626" s="442"/>
      <c r="P17626" s="235"/>
      <c r="AI17626" s="38"/>
    </row>
    <row r="17627" ht="15.75" customHeight="1">
      <c r="A17627" s="35"/>
      <c r="C17627" s="442"/>
      <c r="P17627" s="235"/>
      <c r="AI17627" s="38"/>
    </row>
    <row r="17628" ht="15.75" customHeight="1">
      <c r="A17628" s="35"/>
      <c r="C17628" s="442"/>
      <c r="P17628" s="235"/>
      <c r="AI17628" s="38"/>
    </row>
    <row r="17629" ht="15.75" customHeight="1">
      <c r="A17629" s="35"/>
      <c r="C17629" s="442"/>
      <c r="P17629" s="235"/>
      <c r="AI17629" s="38"/>
    </row>
    <row r="17630" ht="15.75" customHeight="1">
      <c r="A17630" s="35"/>
      <c r="C17630" s="442"/>
      <c r="P17630" s="235"/>
      <c r="AI17630" s="38"/>
    </row>
    <row r="17631" ht="15.75" customHeight="1">
      <c r="A17631" s="35"/>
      <c r="C17631" s="442"/>
      <c r="P17631" s="235"/>
      <c r="AI17631" s="38"/>
    </row>
    <row r="17632" ht="15.75" customHeight="1">
      <c r="A17632" s="35"/>
      <c r="C17632" s="442"/>
      <c r="P17632" s="235"/>
      <c r="AI17632" s="38"/>
    </row>
    <row r="17633" ht="15.75" customHeight="1">
      <c r="A17633" s="35"/>
      <c r="C17633" s="442"/>
      <c r="P17633" s="235"/>
      <c r="AI17633" s="38"/>
    </row>
    <row r="17634" ht="15.75" customHeight="1">
      <c r="A17634" s="35"/>
      <c r="C17634" s="442"/>
      <c r="P17634" s="235"/>
      <c r="AI17634" s="38"/>
    </row>
    <row r="17635" ht="15.75" customHeight="1">
      <c r="A17635" s="35"/>
      <c r="C17635" s="442"/>
      <c r="P17635" s="235"/>
      <c r="AI17635" s="38"/>
    </row>
    <row r="17636" ht="15.75" customHeight="1">
      <c r="A17636" s="35"/>
      <c r="C17636" s="442"/>
      <c r="P17636" s="235"/>
      <c r="AI17636" s="38"/>
    </row>
    <row r="17637" ht="15.75" customHeight="1">
      <c r="A17637" s="35"/>
      <c r="C17637" s="442"/>
      <c r="P17637" s="235"/>
      <c r="AI17637" s="38"/>
    </row>
    <row r="17638" ht="15.75" customHeight="1">
      <c r="A17638" s="35"/>
      <c r="C17638" s="442"/>
      <c r="P17638" s="235"/>
      <c r="AI17638" s="38"/>
    </row>
    <row r="17639" ht="15.75" customHeight="1">
      <c r="A17639" s="35"/>
      <c r="C17639" s="442"/>
      <c r="P17639" s="235"/>
      <c r="AI17639" s="38"/>
    </row>
    <row r="17640" ht="15.75" customHeight="1">
      <c r="A17640" s="35"/>
      <c r="C17640" s="442"/>
      <c r="P17640" s="235"/>
      <c r="AI17640" s="38"/>
    </row>
    <row r="17641" ht="15.75" customHeight="1">
      <c r="A17641" s="35"/>
      <c r="C17641" s="442"/>
      <c r="P17641" s="235"/>
      <c r="AI17641" s="38"/>
    </row>
    <row r="17642" ht="15.75" customHeight="1">
      <c r="A17642" s="35"/>
      <c r="C17642" s="442"/>
      <c r="P17642" s="235"/>
      <c r="AI17642" s="38"/>
    </row>
    <row r="17643" ht="15.75" customHeight="1">
      <c r="A17643" s="35"/>
      <c r="C17643" s="442"/>
      <c r="P17643" s="235"/>
      <c r="AI17643" s="38"/>
    </row>
    <row r="17644" ht="15.75" customHeight="1">
      <c r="A17644" s="35"/>
      <c r="C17644" s="442"/>
      <c r="P17644" s="235"/>
      <c r="AI17644" s="38"/>
    </row>
    <row r="17645" ht="15.75" customHeight="1">
      <c r="A17645" s="35"/>
      <c r="C17645" s="442"/>
      <c r="P17645" s="235"/>
      <c r="AI17645" s="38"/>
    </row>
    <row r="17646" ht="15.75" customHeight="1">
      <c r="A17646" s="35"/>
      <c r="C17646" s="442"/>
      <c r="P17646" s="235"/>
      <c r="AI17646" s="38"/>
    </row>
    <row r="17647" ht="15.75" customHeight="1">
      <c r="A17647" s="35"/>
      <c r="C17647" s="442"/>
      <c r="P17647" s="235"/>
      <c r="AI17647" s="38"/>
    </row>
    <row r="17648" ht="15.75" customHeight="1">
      <c r="A17648" s="35"/>
      <c r="C17648" s="442"/>
      <c r="P17648" s="235"/>
      <c r="AI17648" s="38"/>
    </row>
    <row r="17649" ht="15.75" customHeight="1">
      <c r="A17649" s="35"/>
      <c r="C17649" s="442"/>
      <c r="P17649" s="235"/>
      <c r="AI17649" s="38"/>
    </row>
    <row r="17650" ht="15.75" customHeight="1">
      <c r="A17650" s="35"/>
      <c r="C17650" s="442"/>
      <c r="P17650" s="235"/>
      <c r="AI17650" s="38"/>
    </row>
    <row r="17651" ht="15.75" customHeight="1">
      <c r="A17651" s="35"/>
      <c r="C17651" s="442"/>
      <c r="P17651" s="235"/>
      <c r="AI17651" s="38"/>
    </row>
    <row r="17652" ht="15.75" customHeight="1">
      <c r="A17652" s="35"/>
      <c r="C17652" s="442"/>
      <c r="P17652" s="235"/>
      <c r="AI17652" s="38"/>
    </row>
    <row r="17653" ht="15.75" customHeight="1">
      <c r="A17653" s="35"/>
      <c r="C17653" s="442"/>
      <c r="P17653" s="235"/>
      <c r="AI17653" s="38"/>
    </row>
    <row r="17654" ht="15.75" customHeight="1">
      <c r="A17654" s="35"/>
      <c r="C17654" s="442"/>
      <c r="P17654" s="235"/>
      <c r="AI17654" s="38"/>
    </row>
    <row r="17655" ht="15.75" customHeight="1">
      <c r="A17655" s="35"/>
      <c r="C17655" s="442"/>
      <c r="P17655" s="235"/>
      <c r="AI17655" s="38"/>
    </row>
    <row r="17656" ht="15.75" customHeight="1">
      <c r="A17656" s="35"/>
      <c r="C17656" s="442"/>
      <c r="P17656" s="235"/>
      <c r="AI17656" s="38"/>
    </row>
    <row r="17657" ht="15.75" customHeight="1">
      <c r="A17657" s="35"/>
      <c r="C17657" s="442"/>
      <c r="P17657" s="235"/>
      <c r="AI17657" s="38"/>
    </row>
    <row r="17658" ht="15.75" customHeight="1">
      <c r="A17658" s="35"/>
      <c r="C17658" s="442"/>
      <c r="P17658" s="235"/>
      <c r="AI17658" s="38"/>
    </row>
    <row r="17659" ht="15.75" customHeight="1">
      <c r="A17659" s="35"/>
      <c r="C17659" s="442"/>
      <c r="P17659" s="235"/>
      <c r="AI17659" s="38"/>
    </row>
    <row r="17660" ht="15.75" customHeight="1">
      <c r="A17660" s="35"/>
      <c r="C17660" s="442"/>
      <c r="P17660" s="235"/>
      <c r="AI17660" s="38"/>
    </row>
    <row r="17661" ht="15.75" customHeight="1">
      <c r="A17661" s="35"/>
      <c r="C17661" s="442"/>
      <c r="P17661" s="235"/>
      <c r="AI17661" s="38"/>
    </row>
    <row r="17662" ht="15.75" customHeight="1">
      <c r="A17662" s="35"/>
      <c r="C17662" s="442"/>
      <c r="P17662" s="235"/>
      <c r="AI17662" s="38"/>
    </row>
    <row r="17663" ht="15.75" customHeight="1">
      <c r="A17663" s="35"/>
      <c r="C17663" s="442"/>
      <c r="P17663" s="235"/>
      <c r="AI17663" s="38"/>
    </row>
    <row r="17664" ht="15.75" customHeight="1">
      <c r="A17664" s="35"/>
      <c r="C17664" s="442"/>
      <c r="P17664" s="235"/>
      <c r="AI17664" s="38"/>
    </row>
    <row r="17665" ht="15.75" customHeight="1">
      <c r="A17665" s="35"/>
      <c r="C17665" s="442"/>
      <c r="P17665" s="235"/>
      <c r="AI17665" s="38"/>
    </row>
    <row r="17666" ht="15.75" customHeight="1">
      <c r="A17666" s="35"/>
      <c r="C17666" s="442"/>
      <c r="P17666" s="235"/>
      <c r="AI17666" s="38"/>
    </row>
    <row r="17667" ht="15.75" customHeight="1">
      <c r="A17667" s="35"/>
      <c r="C17667" s="442"/>
      <c r="P17667" s="235"/>
      <c r="AI17667" s="38"/>
    </row>
    <row r="17668" ht="15.75" customHeight="1">
      <c r="A17668" s="35"/>
      <c r="C17668" s="442"/>
      <c r="P17668" s="235"/>
      <c r="AI17668" s="38"/>
    </row>
    <row r="17669" ht="15.75" customHeight="1">
      <c r="A17669" s="35"/>
      <c r="C17669" s="442"/>
      <c r="P17669" s="235"/>
      <c r="AI17669" s="38"/>
    </row>
    <row r="17670" ht="15.75" customHeight="1">
      <c r="A17670" s="35"/>
      <c r="C17670" s="442"/>
      <c r="P17670" s="235"/>
      <c r="AI17670" s="38"/>
    </row>
    <row r="17671" ht="15.75" customHeight="1">
      <c r="A17671" s="35"/>
      <c r="C17671" s="442"/>
      <c r="P17671" s="235"/>
      <c r="AI17671" s="38"/>
    </row>
    <row r="17672" ht="15.75" customHeight="1">
      <c r="A17672" s="35"/>
      <c r="C17672" s="442"/>
      <c r="P17672" s="235"/>
      <c r="AI17672" s="38"/>
    </row>
    <row r="17673" ht="15.75" customHeight="1">
      <c r="A17673" s="35"/>
      <c r="C17673" s="442"/>
      <c r="P17673" s="235"/>
      <c r="AI17673" s="38"/>
    </row>
    <row r="17674" ht="15.75" customHeight="1">
      <c r="A17674" s="35"/>
      <c r="C17674" s="442"/>
      <c r="P17674" s="235"/>
      <c r="AI17674" s="38"/>
    </row>
    <row r="17675" ht="15.75" customHeight="1">
      <c r="A17675" s="35"/>
      <c r="C17675" s="442"/>
      <c r="P17675" s="235"/>
      <c r="AI17675" s="38"/>
    </row>
    <row r="17676" ht="15.75" customHeight="1">
      <c r="A17676" s="35"/>
      <c r="C17676" s="442"/>
      <c r="P17676" s="235"/>
      <c r="AI17676" s="38"/>
    </row>
    <row r="17677" ht="15.75" customHeight="1">
      <c r="A17677" s="35"/>
      <c r="C17677" s="442"/>
      <c r="P17677" s="235"/>
      <c r="AI17677" s="38"/>
    </row>
    <row r="17678" ht="15.75" customHeight="1">
      <c r="A17678" s="35"/>
      <c r="C17678" s="442"/>
      <c r="P17678" s="235"/>
      <c r="AI17678" s="38"/>
    </row>
    <row r="17679" ht="15.75" customHeight="1">
      <c r="A17679" s="35"/>
      <c r="C17679" s="442"/>
      <c r="P17679" s="235"/>
      <c r="AI17679" s="38"/>
    </row>
    <row r="17680" ht="15.75" customHeight="1">
      <c r="A17680" s="35"/>
      <c r="C17680" s="442"/>
      <c r="P17680" s="235"/>
      <c r="AI17680" s="38"/>
    </row>
    <row r="17681" ht="15.75" customHeight="1">
      <c r="A17681" s="35"/>
      <c r="C17681" s="442"/>
      <c r="P17681" s="235"/>
      <c r="AI17681" s="38"/>
    </row>
    <row r="17682" ht="15.75" customHeight="1">
      <c r="A17682" s="35"/>
      <c r="C17682" s="442"/>
      <c r="P17682" s="235"/>
      <c r="AI17682" s="38"/>
    </row>
    <row r="17683" ht="15.75" customHeight="1">
      <c r="A17683" s="35"/>
      <c r="C17683" s="442"/>
      <c r="P17683" s="235"/>
      <c r="AI17683" s="38"/>
    </row>
    <row r="17684" ht="15.75" customHeight="1">
      <c r="A17684" s="35"/>
      <c r="C17684" s="442"/>
      <c r="P17684" s="235"/>
      <c r="AI17684" s="38"/>
    </row>
    <row r="17685" ht="15.75" customHeight="1">
      <c r="A17685" s="35"/>
      <c r="C17685" s="442"/>
      <c r="P17685" s="235"/>
      <c r="AI17685" s="38"/>
    </row>
    <row r="17686" ht="15.75" customHeight="1">
      <c r="A17686" s="35"/>
      <c r="C17686" s="442"/>
      <c r="P17686" s="235"/>
      <c r="AI17686" s="38"/>
    </row>
    <row r="17687" ht="15.75" customHeight="1">
      <c r="A17687" s="35"/>
      <c r="C17687" s="442"/>
      <c r="P17687" s="235"/>
      <c r="AI17687" s="38"/>
    </row>
    <row r="17688" ht="15.75" customHeight="1">
      <c r="A17688" s="35"/>
      <c r="C17688" s="442"/>
      <c r="P17688" s="235"/>
      <c r="AI17688" s="38"/>
    </row>
    <row r="17689" ht="15.75" customHeight="1">
      <c r="A17689" s="35"/>
      <c r="C17689" s="442"/>
      <c r="P17689" s="235"/>
      <c r="AI17689" s="38"/>
    </row>
    <row r="17690" ht="15.75" customHeight="1">
      <c r="A17690" s="35"/>
      <c r="C17690" s="442"/>
      <c r="P17690" s="235"/>
      <c r="AI17690" s="38"/>
    </row>
    <row r="17691" ht="15.75" customHeight="1">
      <c r="A17691" s="35"/>
      <c r="C17691" s="442"/>
      <c r="P17691" s="235"/>
      <c r="AI17691" s="38"/>
    </row>
    <row r="17692" ht="15.75" customHeight="1">
      <c r="A17692" s="35"/>
      <c r="C17692" s="442"/>
      <c r="P17692" s="235"/>
      <c r="AI17692" s="38"/>
    </row>
    <row r="17693" ht="15.75" customHeight="1">
      <c r="A17693" s="35"/>
      <c r="C17693" s="442"/>
      <c r="P17693" s="235"/>
      <c r="AI17693" s="38"/>
    </row>
    <row r="17694" ht="15.75" customHeight="1">
      <c r="A17694" s="35"/>
      <c r="C17694" s="442"/>
      <c r="P17694" s="235"/>
      <c r="AI17694" s="38"/>
    </row>
    <row r="17695" ht="15.75" customHeight="1">
      <c r="A17695" s="35"/>
      <c r="C17695" s="442"/>
      <c r="P17695" s="235"/>
      <c r="AI17695" s="38"/>
    </row>
    <row r="17696" ht="15.75" customHeight="1">
      <c r="A17696" s="35"/>
      <c r="C17696" s="442"/>
      <c r="P17696" s="235"/>
      <c r="AI17696" s="38"/>
    </row>
    <row r="17697" ht="15.75" customHeight="1">
      <c r="A17697" s="35"/>
      <c r="C17697" s="442"/>
      <c r="P17697" s="235"/>
      <c r="AI17697" s="38"/>
    </row>
    <row r="17698" ht="15.75" customHeight="1">
      <c r="A17698" s="35"/>
      <c r="C17698" s="442"/>
      <c r="P17698" s="235"/>
      <c r="AI17698" s="38"/>
    </row>
    <row r="17699" ht="15.75" customHeight="1">
      <c r="A17699" s="35"/>
      <c r="C17699" s="442"/>
      <c r="P17699" s="235"/>
      <c r="AI17699" s="38"/>
    </row>
    <row r="17700" ht="15.75" customHeight="1">
      <c r="A17700" s="35"/>
      <c r="C17700" s="442"/>
      <c r="P17700" s="235"/>
      <c r="AI17700" s="38"/>
    </row>
    <row r="17701" ht="15.75" customHeight="1">
      <c r="A17701" s="35"/>
      <c r="C17701" s="442"/>
      <c r="P17701" s="235"/>
      <c r="AI17701" s="38"/>
    </row>
    <row r="17702" ht="15.75" customHeight="1">
      <c r="A17702" s="35"/>
      <c r="C17702" s="442"/>
      <c r="P17702" s="235"/>
      <c r="AI17702" s="38"/>
    </row>
    <row r="17703" ht="15.75" customHeight="1">
      <c r="A17703" s="35"/>
      <c r="C17703" s="442"/>
      <c r="P17703" s="235"/>
      <c r="AI17703" s="38"/>
    </row>
    <row r="17704" ht="15.75" customHeight="1">
      <c r="A17704" s="35"/>
      <c r="C17704" s="442"/>
      <c r="P17704" s="235"/>
      <c r="AI17704" s="38"/>
    </row>
    <row r="17705" ht="15.75" customHeight="1">
      <c r="A17705" s="35"/>
      <c r="C17705" s="442"/>
      <c r="P17705" s="235"/>
      <c r="AI17705" s="38"/>
    </row>
    <row r="17706" ht="15.75" customHeight="1">
      <c r="A17706" s="35"/>
      <c r="C17706" s="442"/>
      <c r="P17706" s="235"/>
      <c r="AI17706" s="38"/>
    </row>
    <row r="17707" ht="15.75" customHeight="1">
      <c r="A17707" s="35"/>
      <c r="C17707" s="442"/>
      <c r="P17707" s="235"/>
      <c r="AI17707" s="38"/>
    </row>
    <row r="17708" ht="15.75" customHeight="1">
      <c r="A17708" s="35"/>
      <c r="C17708" s="442"/>
      <c r="P17708" s="235"/>
      <c r="AI17708" s="38"/>
    </row>
    <row r="17709" ht="15.75" customHeight="1">
      <c r="A17709" s="35"/>
      <c r="C17709" s="442"/>
      <c r="P17709" s="235"/>
      <c r="AI17709" s="38"/>
    </row>
    <row r="17710" ht="15.75" customHeight="1">
      <c r="A17710" s="35"/>
      <c r="C17710" s="442"/>
      <c r="P17710" s="235"/>
      <c r="AI17710" s="38"/>
    </row>
    <row r="17711" ht="15.75" customHeight="1">
      <c r="A17711" s="35"/>
      <c r="C17711" s="442"/>
      <c r="P17711" s="235"/>
      <c r="AI17711" s="38"/>
    </row>
    <row r="17712" ht="15.75" customHeight="1">
      <c r="A17712" s="35"/>
      <c r="C17712" s="442"/>
      <c r="P17712" s="235"/>
      <c r="AI17712" s="38"/>
    </row>
    <row r="17713" ht="15.75" customHeight="1">
      <c r="A17713" s="35"/>
      <c r="C17713" s="442"/>
      <c r="P17713" s="235"/>
      <c r="AI17713" s="38"/>
    </row>
    <row r="17714" ht="15.75" customHeight="1">
      <c r="A17714" s="35"/>
      <c r="C17714" s="442"/>
      <c r="P17714" s="235"/>
      <c r="AI17714" s="38"/>
    </row>
    <row r="17715" ht="15.75" customHeight="1">
      <c r="A17715" s="35"/>
      <c r="C17715" s="442"/>
      <c r="P17715" s="235"/>
      <c r="AI17715" s="38"/>
    </row>
    <row r="17716" ht="15.75" customHeight="1">
      <c r="A17716" s="35"/>
      <c r="C17716" s="442"/>
      <c r="P17716" s="235"/>
      <c r="AI17716" s="38"/>
    </row>
    <row r="17717" ht="15.75" customHeight="1">
      <c r="A17717" s="35"/>
      <c r="C17717" s="442"/>
      <c r="P17717" s="235"/>
      <c r="AI17717" s="38"/>
    </row>
    <row r="17718" ht="15.75" customHeight="1">
      <c r="A17718" s="35"/>
      <c r="C17718" s="442"/>
      <c r="P17718" s="235"/>
      <c r="AI17718" s="38"/>
    </row>
    <row r="17719" ht="15.75" customHeight="1">
      <c r="A17719" s="35"/>
      <c r="C17719" s="442"/>
      <c r="P17719" s="235"/>
      <c r="AI17719" s="38"/>
    </row>
    <row r="17720" ht="15.75" customHeight="1">
      <c r="A17720" s="35"/>
      <c r="C17720" s="442"/>
      <c r="P17720" s="235"/>
      <c r="AI17720" s="38"/>
    </row>
    <row r="17721" ht="15.75" customHeight="1">
      <c r="A17721" s="35"/>
      <c r="C17721" s="442"/>
      <c r="P17721" s="235"/>
      <c r="AI17721" s="38"/>
    </row>
    <row r="17722" ht="15.75" customHeight="1">
      <c r="A17722" s="35"/>
      <c r="C17722" s="442"/>
      <c r="P17722" s="235"/>
      <c r="AI17722" s="38"/>
    </row>
    <row r="17723" ht="15.75" customHeight="1">
      <c r="A17723" s="35"/>
      <c r="C17723" s="442"/>
      <c r="P17723" s="235"/>
      <c r="AI17723" s="38"/>
    </row>
    <row r="17724" ht="15.75" customHeight="1">
      <c r="A17724" s="35"/>
      <c r="C17724" s="442"/>
      <c r="P17724" s="235"/>
      <c r="AI17724" s="38"/>
    </row>
    <row r="17725" ht="15.75" customHeight="1">
      <c r="A17725" s="35"/>
      <c r="C17725" s="442"/>
      <c r="P17725" s="235"/>
      <c r="AI17725" s="38"/>
    </row>
    <row r="17726" ht="15.75" customHeight="1">
      <c r="A17726" s="35"/>
      <c r="C17726" s="442"/>
      <c r="P17726" s="235"/>
      <c r="AI17726" s="38"/>
    </row>
    <row r="17727" ht="15.75" customHeight="1">
      <c r="A17727" s="35"/>
      <c r="C17727" s="442"/>
      <c r="P17727" s="235"/>
      <c r="AI17727" s="38"/>
    </row>
    <row r="17728" ht="15.75" customHeight="1">
      <c r="A17728" s="35"/>
      <c r="C17728" s="442"/>
      <c r="P17728" s="235"/>
      <c r="AI17728" s="38"/>
    </row>
    <row r="17729" ht="15.75" customHeight="1">
      <c r="A17729" s="35"/>
      <c r="C17729" s="442"/>
      <c r="P17729" s="235"/>
      <c r="AI17729" s="38"/>
    </row>
    <row r="17730" ht="15.75" customHeight="1">
      <c r="A17730" s="35"/>
      <c r="C17730" s="442"/>
      <c r="P17730" s="235"/>
      <c r="AI17730" s="38"/>
    </row>
    <row r="17731" ht="15.75" customHeight="1">
      <c r="A17731" s="35"/>
      <c r="C17731" s="442"/>
      <c r="P17731" s="235"/>
      <c r="AI17731" s="38"/>
    </row>
    <row r="17732" ht="15.75" customHeight="1">
      <c r="A17732" s="35"/>
      <c r="C17732" s="442"/>
      <c r="P17732" s="235"/>
      <c r="AI17732" s="38"/>
    </row>
    <row r="17733" ht="15.75" customHeight="1">
      <c r="A17733" s="35"/>
      <c r="C17733" s="442"/>
      <c r="P17733" s="235"/>
      <c r="AI17733" s="38"/>
    </row>
    <row r="17734" ht="15.75" customHeight="1">
      <c r="A17734" s="35"/>
      <c r="C17734" s="442"/>
      <c r="P17734" s="235"/>
      <c r="AI17734" s="38"/>
    </row>
    <row r="17735" ht="15.75" customHeight="1">
      <c r="A17735" s="35"/>
      <c r="C17735" s="442"/>
      <c r="P17735" s="235"/>
      <c r="AI17735" s="38"/>
    </row>
    <row r="17736" ht="15.75" customHeight="1">
      <c r="A17736" s="35"/>
      <c r="C17736" s="442"/>
      <c r="P17736" s="235"/>
      <c r="AI17736" s="38"/>
    </row>
    <row r="17737" ht="15.75" customHeight="1">
      <c r="A17737" s="35"/>
      <c r="C17737" s="442"/>
      <c r="P17737" s="235"/>
      <c r="AI17737" s="38"/>
    </row>
    <row r="17738" ht="15.75" customHeight="1">
      <c r="A17738" s="35"/>
      <c r="C17738" s="442"/>
      <c r="P17738" s="235"/>
      <c r="AI17738" s="38"/>
    </row>
    <row r="17739" ht="15.75" customHeight="1">
      <c r="A17739" s="35"/>
      <c r="C17739" s="442"/>
      <c r="P17739" s="235"/>
      <c r="AI17739" s="38"/>
    </row>
    <row r="17740" ht="15.75" customHeight="1">
      <c r="A17740" s="35"/>
      <c r="C17740" s="442"/>
      <c r="P17740" s="235"/>
      <c r="AI17740" s="38"/>
    </row>
    <row r="17741" ht="15.75" customHeight="1">
      <c r="A17741" s="35"/>
      <c r="C17741" s="442"/>
      <c r="P17741" s="235"/>
      <c r="AI17741" s="38"/>
    </row>
    <row r="17742" ht="15.75" customHeight="1">
      <c r="A17742" s="35"/>
      <c r="C17742" s="442"/>
      <c r="P17742" s="235"/>
      <c r="AI17742" s="38"/>
    </row>
    <row r="17743" ht="15.75" customHeight="1">
      <c r="A17743" s="35"/>
      <c r="C17743" s="442"/>
      <c r="P17743" s="235"/>
      <c r="AI17743" s="38"/>
    </row>
    <row r="17744" ht="15.75" customHeight="1">
      <c r="A17744" s="35"/>
      <c r="C17744" s="442"/>
      <c r="P17744" s="235"/>
      <c r="AI17744" s="38"/>
    </row>
    <row r="17745" ht="15.75" customHeight="1">
      <c r="A17745" s="35"/>
      <c r="C17745" s="442"/>
      <c r="P17745" s="235"/>
      <c r="AI17745" s="38"/>
    </row>
    <row r="17746" ht="15.75" customHeight="1">
      <c r="A17746" s="35"/>
      <c r="C17746" s="442"/>
      <c r="P17746" s="235"/>
      <c r="AI17746" s="38"/>
    </row>
    <row r="17747" ht="15.75" customHeight="1">
      <c r="A17747" s="35"/>
      <c r="C17747" s="442"/>
      <c r="P17747" s="235"/>
      <c r="AI17747" s="38"/>
    </row>
    <row r="17748" ht="15.75" customHeight="1">
      <c r="A17748" s="35"/>
      <c r="C17748" s="442"/>
      <c r="P17748" s="235"/>
      <c r="AI17748" s="38"/>
    </row>
    <row r="17749" ht="15.75" customHeight="1">
      <c r="A17749" s="35"/>
      <c r="C17749" s="442"/>
      <c r="P17749" s="235"/>
      <c r="AI17749" s="38"/>
    </row>
    <row r="17750" ht="15.75" customHeight="1">
      <c r="A17750" s="35"/>
      <c r="C17750" s="442"/>
      <c r="P17750" s="235"/>
      <c r="AI17750" s="38"/>
    </row>
    <row r="17751" ht="15.75" customHeight="1">
      <c r="A17751" s="35"/>
      <c r="C17751" s="442"/>
      <c r="P17751" s="235"/>
      <c r="AI17751" s="38"/>
    </row>
    <row r="17752" ht="15.75" customHeight="1">
      <c r="A17752" s="35"/>
      <c r="C17752" s="442"/>
      <c r="P17752" s="235"/>
      <c r="AI17752" s="38"/>
    </row>
    <row r="17753" ht="15.75" customHeight="1">
      <c r="A17753" s="35"/>
      <c r="C17753" s="442"/>
      <c r="P17753" s="235"/>
      <c r="AI17753" s="38"/>
    </row>
    <row r="17754" ht="15.75" customHeight="1">
      <c r="A17754" s="35"/>
      <c r="C17754" s="442"/>
      <c r="P17754" s="235"/>
      <c r="AI17754" s="38"/>
    </row>
    <row r="17755" ht="15.75" customHeight="1">
      <c r="A17755" s="35"/>
      <c r="C17755" s="442"/>
      <c r="P17755" s="235"/>
      <c r="AI17755" s="38"/>
    </row>
    <row r="17756" ht="15.75" customHeight="1">
      <c r="A17756" s="35"/>
      <c r="C17756" s="442"/>
      <c r="P17756" s="235"/>
      <c r="AI17756" s="38"/>
    </row>
    <row r="17757" ht="15.75" customHeight="1">
      <c r="A17757" s="35"/>
      <c r="C17757" s="442"/>
      <c r="P17757" s="235"/>
      <c r="AI17757" s="38"/>
    </row>
    <row r="17758" ht="15.75" customHeight="1">
      <c r="A17758" s="35"/>
      <c r="C17758" s="442"/>
      <c r="P17758" s="235"/>
      <c r="AI17758" s="38"/>
    </row>
    <row r="17759" ht="15.75" customHeight="1">
      <c r="A17759" s="35"/>
      <c r="C17759" s="442"/>
      <c r="P17759" s="235"/>
      <c r="AI17759" s="38"/>
    </row>
    <row r="17760" ht="15.75" customHeight="1">
      <c r="A17760" s="35"/>
      <c r="C17760" s="442"/>
      <c r="P17760" s="235"/>
      <c r="AI17760" s="38"/>
    </row>
    <row r="17761" ht="15.75" customHeight="1">
      <c r="A17761" s="35"/>
      <c r="C17761" s="442"/>
      <c r="P17761" s="235"/>
      <c r="AI17761" s="38"/>
    </row>
    <row r="17762" ht="15.75" customHeight="1">
      <c r="A17762" s="35"/>
      <c r="C17762" s="442"/>
      <c r="P17762" s="235"/>
      <c r="AI17762" s="38"/>
    </row>
    <row r="17763" ht="15.75" customHeight="1">
      <c r="A17763" s="35"/>
      <c r="C17763" s="442"/>
      <c r="P17763" s="235"/>
      <c r="AI17763" s="38"/>
    </row>
    <row r="17764" ht="15.75" customHeight="1">
      <c r="A17764" s="35"/>
      <c r="C17764" s="442"/>
      <c r="P17764" s="235"/>
      <c r="AI17764" s="38"/>
    </row>
    <row r="17765" ht="15.75" customHeight="1">
      <c r="A17765" s="35"/>
      <c r="C17765" s="442"/>
      <c r="P17765" s="235"/>
      <c r="AI17765" s="38"/>
    </row>
    <row r="17766" ht="15.75" customHeight="1">
      <c r="A17766" s="35"/>
      <c r="C17766" s="442"/>
      <c r="P17766" s="235"/>
      <c r="AI17766" s="38"/>
    </row>
    <row r="17767" ht="15.75" customHeight="1">
      <c r="A17767" s="35"/>
      <c r="C17767" s="442"/>
      <c r="P17767" s="235"/>
      <c r="AI17767" s="38"/>
    </row>
    <row r="17768" ht="15.75" customHeight="1">
      <c r="A17768" s="35"/>
      <c r="C17768" s="442"/>
      <c r="P17768" s="235"/>
      <c r="AI17768" s="38"/>
    </row>
    <row r="17769" ht="15.75" customHeight="1">
      <c r="A17769" s="35"/>
      <c r="C17769" s="442"/>
      <c r="P17769" s="235"/>
      <c r="AI17769" s="38"/>
    </row>
    <row r="17770" ht="15.75" customHeight="1">
      <c r="A17770" s="35"/>
      <c r="C17770" s="442"/>
      <c r="P17770" s="235"/>
      <c r="AI17770" s="38"/>
    </row>
    <row r="17771" ht="15.75" customHeight="1">
      <c r="A17771" s="35"/>
      <c r="C17771" s="442"/>
      <c r="P17771" s="235"/>
      <c r="AI17771" s="38"/>
    </row>
    <row r="17772" ht="15.75" customHeight="1">
      <c r="A17772" s="35"/>
      <c r="C17772" s="442"/>
      <c r="P17772" s="235"/>
      <c r="AI17772" s="38"/>
    </row>
    <row r="17773" ht="15.75" customHeight="1">
      <c r="A17773" s="35"/>
      <c r="C17773" s="442"/>
      <c r="P17773" s="235"/>
      <c r="AI17773" s="38"/>
    </row>
    <row r="17774" ht="15.75" customHeight="1">
      <c r="A17774" s="35"/>
      <c r="C17774" s="442"/>
      <c r="P17774" s="235"/>
      <c r="AI17774" s="38"/>
    </row>
    <row r="17775" ht="15.75" customHeight="1">
      <c r="A17775" s="35"/>
      <c r="C17775" s="442"/>
      <c r="P17775" s="235"/>
      <c r="AI17775" s="38"/>
    </row>
    <row r="17776" ht="15.75" customHeight="1">
      <c r="A17776" s="35"/>
      <c r="C17776" s="442"/>
      <c r="P17776" s="235"/>
      <c r="AI17776" s="38"/>
    </row>
    <row r="17777" ht="15.75" customHeight="1">
      <c r="A17777" s="35"/>
      <c r="C17777" s="442"/>
      <c r="P17777" s="235"/>
      <c r="AI17777" s="38"/>
    </row>
    <row r="17778" ht="15.75" customHeight="1">
      <c r="A17778" s="35"/>
      <c r="C17778" s="442"/>
      <c r="P17778" s="235"/>
      <c r="AI17778" s="38"/>
    </row>
    <row r="17779" ht="15.75" customHeight="1">
      <c r="A17779" s="35"/>
      <c r="C17779" s="442"/>
      <c r="P17779" s="235"/>
      <c r="AI17779" s="38"/>
    </row>
    <row r="17780" ht="15.75" customHeight="1">
      <c r="A17780" s="35"/>
      <c r="C17780" s="442"/>
      <c r="P17780" s="235"/>
      <c r="AI17780" s="38"/>
    </row>
    <row r="17781" ht="15.75" customHeight="1">
      <c r="A17781" s="35"/>
      <c r="C17781" s="442"/>
      <c r="P17781" s="235"/>
      <c r="AI17781" s="38"/>
    </row>
    <row r="17782" ht="15.75" customHeight="1">
      <c r="A17782" s="35"/>
      <c r="C17782" s="442"/>
      <c r="P17782" s="235"/>
      <c r="AI17782" s="38"/>
    </row>
    <row r="17783" ht="15.75" customHeight="1">
      <c r="A17783" s="35"/>
      <c r="C17783" s="442"/>
      <c r="P17783" s="235"/>
      <c r="AI17783" s="38"/>
    </row>
    <row r="17784" ht="15.75" customHeight="1">
      <c r="A17784" s="35"/>
      <c r="C17784" s="442"/>
      <c r="P17784" s="235"/>
      <c r="AI17784" s="38"/>
    </row>
    <row r="17785" ht="15.75" customHeight="1">
      <c r="A17785" s="35"/>
      <c r="C17785" s="442"/>
      <c r="P17785" s="235"/>
      <c r="AI17785" s="38"/>
    </row>
    <row r="17786" ht="15.75" customHeight="1">
      <c r="A17786" s="35"/>
      <c r="C17786" s="442"/>
      <c r="P17786" s="235"/>
      <c r="AI17786" s="38"/>
    </row>
    <row r="17787" ht="15.75" customHeight="1">
      <c r="A17787" s="35"/>
      <c r="C17787" s="442"/>
      <c r="P17787" s="235"/>
      <c r="AI17787" s="38"/>
    </row>
    <row r="17788" ht="15.75" customHeight="1">
      <c r="A17788" s="35"/>
      <c r="C17788" s="442"/>
      <c r="P17788" s="235"/>
      <c r="AI17788" s="38"/>
    </row>
    <row r="17789" ht="15.75" customHeight="1">
      <c r="A17789" s="35"/>
      <c r="C17789" s="442"/>
      <c r="P17789" s="235"/>
      <c r="AI17789" s="38"/>
    </row>
    <row r="17790" ht="15.75" customHeight="1">
      <c r="A17790" s="35"/>
      <c r="C17790" s="442"/>
      <c r="P17790" s="235"/>
      <c r="AI17790" s="38"/>
    </row>
    <row r="17791" ht="15.75" customHeight="1">
      <c r="A17791" s="35"/>
      <c r="C17791" s="442"/>
      <c r="P17791" s="235"/>
      <c r="AI17791" s="38"/>
    </row>
    <row r="17792" ht="15.75" customHeight="1">
      <c r="A17792" s="35"/>
      <c r="C17792" s="442"/>
      <c r="P17792" s="235"/>
      <c r="AI17792" s="38"/>
    </row>
    <row r="17793" ht="15.75" customHeight="1">
      <c r="A17793" s="35"/>
      <c r="C17793" s="442"/>
      <c r="P17793" s="235"/>
      <c r="AI17793" s="38"/>
    </row>
    <row r="17794" ht="15.75" customHeight="1">
      <c r="A17794" s="35"/>
      <c r="C17794" s="442"/>
      <c r="P17794" s="235"/>
      <c r="AI17794" s="38"/>
    </row>
    <row r="17795" ht="15.75" customHeight="1">
      <c r="A17795" s="35"/>
      <c r="C17795" s="442"/>
      <c r="P17795" s="235"/>
      <c r="AI17795" s="38"/>
    </row>
    <row r="17796" ht="15.75" customHeight="1">
      <c r="A17796" s="35"/>
      <c r="C17796" s="442"/>
      <c r="P17796" s="235"/>
      <c r="AI17796" s="38"/>
    </row>
    <row r="17797" ht="15.75" customHeight="1">
      <c r="A17797" s="35"/>
      <c r="C17797" s="442"/>
      <c r="P17797" s="235"/>
      <c r="AI17797" s="38"/>
    </row>
    <row r="17798" ht="15.75" customHeight="1">
      <c r="A17798" s="35"/>
      <c r="C17798" s="442"/>
      <c r="P17798" s="235"/>
      <c r="AI17798" s="38"/>
    </row>
    <row r="17799" ht="15.75" customHeight="1">
      <c r="A17799" s="35"/>
      <c r="C17799" s="442"/>
      <c r="P17799" s="235"/>
      <c r="AI17799" s="38"/>
    </row>
    <row r="17800" ht="15.75" customHeight="1">
      <c r="A17800" s="35"/>
      <c r="C17800" s="442"/>
      <c r="P17800" s="235"/>
      <c r="AI17800" s="38"/>
    </row>
    <row r="17801" ht="15.75" customHeight="1">
      <c r="A17801" s="35"/>
      <c r="C17801" s="442"/>
      <c r="P17801" s="235"/>
      <c r="AI17801" s="38"/>
    </row>
    <row r="17802" ht="15.75" customHeight="1">
      <c r="A17802" s="35"/>
      <c r="C17802" s="442"/>
      <c r="P17802" s="235"/>
      <c r="AI17802" s="38"/>
    </row>
    <row r="17803" ht="15.75" customHeight="1">
      <c r="A17803" s="35"/>
      <c r="C17803" s="442"/>
      <c r="P17803" s="235"/>
      <c r="AI17803" s="38"/>
    </row>
    <row r="17804" ht="15.75" customHeight="1">
      <c r="A17804" s="35"/>
      <c r="C17804" s="442"/>
      <c r="P17804" s="235"/>
      <c r="AI17804" s="38"/>
    </row>
    <row r="17805" ht="15.75" customHeight="1">
      <c r="A17805" s="35"/>
      <c r="C17805" s="442"/>
      <c r="P17805" s="235"/>
      <c r="AI17805" s="38"/>
    </row>
    <row r="17806" ht="15.75" customHeight="1">
      <c r="A17806" s="35"/>
      <c r="C17806" s="442"/>
      <c r="P17806" s="235"/>
      <c r="AI17806" s="38"/>
    </row>
    <row r="17807" ht="15.75" customHeight="1">
      <c r="A17807" s="35"/>
      <c r="C17807" s="442"/>
      <c r="P17807" s="235"/>
      <c r="AI17807" s="38"/>
    </row>
    <row r="17808" ht="15.75" customHeight="1">
      <c r="A17808" s="35"/>
      <c r="C17808" s="442"/>
      <c r="P17808" s="235"/>
      <c r="AI17808" s="38"/>
    </row>
    <row r="17809" ht="15.75" customHeight="1">
      <c r="A17809" s="35"/>
      <c r="C17809" s="442"/>
      <c r="P17809" s="235"/>
      <c r="AI17809" s="38"/>
    </row>
    <row r="17810" ht="15.75" customHeight="1">
      <c r="A17810" s="35"/>
      <c r="C17810" s="442"/>
      <c r="P17810" s="235"/>
      <c r="AI17810" s="38"/>
    </row>
    <row r="17811" ht="15.75" customHeight="1">
      <c r="A17811" s="35"/>
      <c r="C17811" s="442"/>
      <c r="P17811" s="235"/>
      <c r="AI17811" s="38"/>
    </row>
    <row r="17812" ht="15.75" customHeight="1">
      <c r="A17812" s="35"/>
      <c r="C17812" s="442"/>
      <c r="P17812" s="235"/>
      <c r="AI17812" s="38"/>
    </row>
    <row r="17813" ht="15.75" customHeight="1">
      <c r="A17813" s="35"/>
      <c r="C17813" s="442"/>
      <c r="P17813" s="235"/>
      <c r="AI17813" s="38"/>
    </row>
    <row r="17814" ht="15.75" customHeight="1">
      <c r="A17814" s="35"/>
      <c r="C17814" s="442"/>
      <c r="P17814" s="235"/>
      <c r="AI17814" s="38"/>
    </row>
    <row r="17815" ht="15.75" customHeight="1">
      <c r="A17815" s="35"/>
      <c r="C17815" s="442"/>
      <c r="P17815" s="235"/>
      <c r="AI17815" s="38"/>
    </row>
    <row r="17816" ht="15.75" customHeight="1">
      <c r="A17816" s="35"/>
      <c r="C17816" s="442"/>
      <c r="P17816" s="235"/>
      <c r="AI17816" s="38"/>
    </row>
    <row r="17817" ht="15.75" customHeight="1">
      <c r="A17817" s="35"/>
      <c r="C17817" s="442"/>
      <c r="P17817" s="235"/>
      <c r="AI17817" s="38"/>
    </row>
    <row r="17818" ht="15.75" customHeight="1">
      <c r="A17818" s="35"/>
      <c r="C17818" s="442"/>
      <c r="P17818" s="235"/>
      <c r="AI17818" s="38"/>
    </row>
    <row r="17819" ht="15.75" customHeight="1">
      <c r="A17819" s="35"/>
      <c r="C17819" s="442"/>
      <c r="P17819" s="235"/>
      <c r="AI17819" s="38"/>
    </row>
    <row r="17820" ht="15.75" customHeight="1">
      <c r="A17820" s="35"/>
      <c r="C17820" s="442"/>
      <c r="P17820" s="235"/>
      <c r="AI17820" s="38"/>
    </row>
    <row r="17821" ht="15.75" customHeight="1">
      <c r="A17821" s="35"/>
      <c r="C17821" s="442"/>
      <c r="P17821" s="235"/>
      <c r="AI17821" s="38"/>
    </row>
    <row r="17822" ht="15.75" customHeight="1">
      <c r="A17822" s="35"/>
      <c r="C17822" s="442"/>
      <c r="P17822" s="235"/>
      <c r="AI17822" s="38"/>
    </row>
    <row r="17823" ht="15.75" customHeight="1">
      <c r="A17823" s="35"/>
      <c r="C17823" s="442"/>
      <c r="P17823" s="235"/>
      <c r="AI17823" s="38"/>
    </row>
    <row r="17824" ht="15.75" customHeight="1">
      <c r="A17824" s="35"/>
      <c r="C17824" s="442"/>
      <c r="P17824" s="235"/>
      <c r="AI17824" s="38"/>
    </row>
    <row r="17825" ht="15.75" customHeight="1">
      <c r="A17825" s="35"/>
      <c r="C17825" s="442"/>
      <c r="P17825" s="235"/>
      <c r="AI17825" s="38"/>
    </row>
    <row r="17826" ht="15.75" customHeight="1">
      <c r="A17826" s="35"/>
      <c r="C17826" s="442"/>
      <c r="P17826" s="235"/>
      <c r="AI17826" s="38"/>
    </row>
    <row r="17827" ht="15.75" customHeight="1">
      <c r="A17827" s="35"/>
      <c r="C17827" s="442"/>
      <c r="P17827" s="235"/>
      <c r="AI17827" s="38"/>
    </row>
    <row r="17828" ht="15.75" customHeight="1">
      <c r="A17828" s="35"/>
      <c r="C17828" s="442"/>
      <c r="P17828" s="235"/>
      <c r="AI17828" s="38"/>
    </row>
    <row r="17829" ht="15.75" customHeight="1">
      <c r="A17829" s="35"/>
      <c r="C17829" s="442"/>
      <c r="P17829" s="235"/>
      <c r="AI17829" s="38"/>
    </row>
    <row r="17830" ht="15.75" customHeight="1">
      <c r="A17830" s="35"/>
      <c r="C17830" s="442"/>
      <c r="P17830" s="235"/>
      <c r="AI17830" s="38"/>
    </row>
    <row r="17831" ht="15.75" customHeight="1">
      <c r="A17831" s="35"/>
      <c r="C17831" s="442"/>
      <c r="P17831" s="235"/>
      <c r="AI17831" s="38"/>
    </row>
    <row r="17832" ht="15.75" customHeight="1">
      <c r="A17832" s="35"/>
      <c r="C17832" s="442"/>
      <c r="P17832" s="235"/>
      <c r="AI17832" s="38"/>
    </row>
    <row r="17833" ht="15.75" customHeight="1">
      <c r="A17833" s="35"/>
      <c r="C17833" s="442"/>
      <c r="P17833" s="235"/>
      <c r="AI17833" s="38"/>
    </row>
    <row r="17834" ht="15.75" customHeight="1">
      <c r="A17834" s="35"/>
      <c r="C17834" s="442"/>
      <c r="P17834" s="235"/>
      <c r="AI17834" s="38"/>
    </row>
    <row r="17835" ht="15.75" customHeight="1">
      <c r="A17835" s="35"/>
      <c r="C17835" s="442"/>
      <c r="P17835" s="235"/>
      <c r="AI17835" s="38"/>
    </row>
    <row r="17836" ht="15.75" customHeight="1">
      <c r="A17836" s="35"/>
      <c r="C17836" s="442"/>
      <c r="P17836" s="235"/>
      <c r="AI17836" s="38"/>
    </row>
    <row r="17837" ht="15.75" customHeight="1">
      <c r="A17837" s="35"/>
      <c r="C17837" s="442"/>
      <c r="P17837" s="235"/>
      <c r="AI17837" s="38"/>
    </row>
    <row r="17838" ht="15.75" customHeight="1">
      <c r="A17838" s="35"/>
      <c r="C17838" s="442"/>
      <c r="P17838" s="235"/>
      <c r="AI17838" s="38"/>
    </row>
    <row r="17839" ht="15.75" customHeight="1">
      <c r="A17839" s="35"/>
      <c r="C17839" s="442"/>
      <c r="P17839" s="235"/>
      <c r="AI17839" s="38"/>
    </row>
    <row r="17840" ht="15.75" customHeight="1">
      <c r="A17840" s="35"/>
      <c r="C17840" s="442"/>
      <c r="P17840" s="235"/>
      <c r="AI17840" s="38"/>
    </row>
    <row r="17841" ht="15.75" customHeight="1">
      <c r="A17841" s="35"/>
      <c r="C17841" s="442"/>
      <c r="P17841" s="235"/>
      <c r="AI17841" s="38"/>
    </row>
    <row r="17842" ht="15.75" customHeight="1">
      <c r="A17842" s="35"/>
      <c r="C17842" s="442"/>
      <c r="P17842" s="235"/>
      <c r="AI17842" s="38"/>
    </row>
    <row r="17843" ht="15.75" customHeight="1">
      <c r="A17843" s="35"/>
      <c r="C17843" s="442"/>
      <c r="P17843" s="235"/>
      <c r="AI17843" s="38"/>
    </row>
    <row r="17844" ht="15.75" customHeight="1">
      <c r="A17844" s="35"/>
      <c r="C17844" s="442"/>
      <c r="P17844" s="235"/>
      <c r="AI17844" s="38"/>
    </row>
    <row r="17845" ht="15.75" customHeight="1">
      <c r="A17845" s="35"/>
      <c r="C17845" s="442"/>
      <c r="P17845" s="235"/>
      <c r="AI17845" s="38"/>
    </row>
    <row r="17846" ht="15.75" customHeight="1">
      <c r="A17846" s="35"/>
      <c r="C17846" s="442"/>
      <c r="P17846" s="235"/>
      <c r="AI17846" s="38"/>
    </row>
    <row r="17847" ht="15.75" customHeight="1">
      <c r="A17847" s="35"/>
      <c r="C17847" s="442"/>
      <c r="P17847" s="235"/>
      <c r="AI17847" s="38"/>
    </row>
    <row r="17848" ht="15.75" customHeight="1">
      <c r="A17848" s="35"/>
      <c r="C17848" s="442"/>
      <c r="P17848" s="235"/>
      <c r="AI17848" s="38"/>
    </row>
    <row r="17849" ht="15.75" customHeight="1">
      <c r="A17849" s="35"/>
      <c r="C17849" s="442"/>
      <c r="P17849" s="235"/>
      <c r="AI17849" s="38"/>
    </row>
    <row r="17850" ht="15.75" customHeight="1">
      <c r="A17850" s="35"/>
      <c r="C17850" s="442"/>
      <c r="P17850" s="235"/>
      <c r="AI17850" s="38"/>
    </row>
    <row r="17851" ht="15.75" customHeight="1">
      <c r="A17851" s="35"/>
      <c r="C17851" s="442"/>
      <c r="P17851" s="235"/>
      <c r="AI17851" s="38"/>
    </row>
    <row r="17852" ht="15.75" customHeight="1">
      <c r="A17852" s="35"/>
      <c r="C17852" s="442"/>
      <c r="P17852" s="235"/>
      <c r="AI17852" s="38"/>
    </row>
    <row r="17853" ht="15.75" customHeight="1">
      <c r="A17853" s="35"/>
      <c r="C17853" s="442"/>
      <c r="P17853" s="235"/>
      <c r="AI17853" s="38"/>
    </row>
    <row r="17854" ht="15.75" customHeight="1">
      <c r="A17854" s="35"/>
      <c r="C17854" s="442"/>
      <c r="P17854" s="235"/>
      <c r="AI17854" s="38"/>
    </row>
    <row r="17855" ht="15.75" customHeight="1">
      <c r="A17855" s="35"/>
      <c r="C17855" s="442"/>
      <c r="P17855" s="235"/>
      <c r="AI17855" s="38"/>
    </row>
    <row r="17856" ht="15.75" customHeight="1">
      <c r="A17856" s="35"/>
      <c r="C17856" s="442"/>
      <c r="P17856" s="235"/>
      <c r="AI17856" s="38"/>
    </row>
    <row r="17857" ht="15.75" customHeight="1">
      <c r="A17857" s="35"/>
      <c r="C17857" s="442"/>
      <c r="P17857" s="235"/>
      <c r="AI17857" s="38"/>
    </row>
    <row r="17858" ht="15.75" customHeight="1">
      <c r="A17858" s="35"/>
      <c r="C17858" s="442"/>
      <c r="P17858" s="235"/>
      <c r="AI17858" s="38"/>
    </row>
    <row r="17859" ht="15.75" customHeight="1">
      <c r="A17859" s="35"/>
      <c r="C17859" s="442"/>
      <c r="P17859" s="235"/>
      <c r="AI17859" s="38"/>
    </row>
    <row r="17860" ht="15.75" customHeight="1">
      <c r="A17860" s="35"/>
      <c r="C17860" s="442"/>
      <c r="P17860" s="235"/>
      <c r="AI17860" s="38"/>
    </row>
    <row r="17861" ht="15.75" customHeight="1">
      <c r="A17861" s="35"/>
      <c r="C17861" s="442"/>
      <c r="P17861" s="235"/>
      <c r="AI17861" s="38"/>
    </row>
    <row r="17862" ht="15.75" customHeight="1">
      <c r="A17862" s="35"/>
      <c r="C17862" s="442"/>
      <c r="P17862" s="235"/>
      <c r="AI17862" s="38"/>
    </row>
    <row r="17863" ht="15.75" customHeight="1">
      <c r="A17863" s="35"/>
      <c r="C17863" s="442"/>
      <c r="P17863" s="235"/>
      <c r="AI17863" s="38"/>
    </row>
    <row r="17864" ht="15.75" customHeight="1">
      <c r="A17864" s="35"/>
      <c r="C17864" s="442"/>
      <c r="P17864" s="235"/>
      <c r="AI17864" s="38"/>
    </row>
    <row r="17865" ht="15.75" customHeight="1">
      <c r="A17865" s="35"/>
      <c r="C17865" s="442"/>
      <c r="P17865" s="235"/>
      <c r="AI17865" s="38"/>
    </row>
    <row r="17866" ht="15.75" customHeight="1">
      <c r="A17866" s="35"/>
      <c r="C17866" s="442"/>
      <c r="P17866" s="235"/>
      <c r="AI17866" s="38"/>
    </row>
    <row r="17867" ht="15.75" customHeight="1">
      <c r="A17867" s="35"/>
      <c r="C17867" s="442"/>
      <c r="P17867" s="235"/>
      <c r="AI17867" s="38"/>
    </row>
    <row r="17868" ht="15.75" customHeight="1">
      <c r="A17868" s="35"/>
      <c r="C17868" s="442"/>
      <c r="P17868" s="235"/>
      <c r="AI17868" s="38"/>
    </row>
    <row r="17869" ht="15.75" customHeight="1">
      <c r="A17869" s="35"/>
      <c r="C17869" s="442"/>
      <c r="P17869" s="235"/>
      <c r="AI17869" s="38"/>
    </row>
    <row r="17870" ht="15.75" customHeight="1">
      <c r="A17870" s="35"/>
      <c r="C17870" s="442"/>
      <c r="P17870" s="235"/>
      <c r="AI17870" s="38"/>
    </row>
    <row r="17871" ht="15.75" customHeight="1">
      <c r="A17871" s="35"/>
      <c r="C17871" s="442"/>
      <c r="P17871" s="235"/>
      <c r="AI17871" s="38"/>
    </row>
    <row r="17872" ht="15.75" customHeight="1">
      <c r="A17872" s="35"/>
      <c r="C17872" s="442"/>
      <c r="P17872" s="235"/>
      <c r="AI17872" s="38"/>
    </row>
    <row r="17873" ht="15.75" customHeight="1">
      <c r="A17873" s="35"/>
      <c r="C17873" s="442"/>
      <c r="P17873" s="235"/>
      <c r="AI17873" s="38"/>
    </row>
    <row r="17874" ht="15.75" customHeight="1">
      <c r="A17874" s="35"/>
      <c r="C17874" s="442"/>
      <c r="P17874" s="235"/>
      <c r="AI17874" s="38"/>
    </row>
    <row r="17875" ht="15.75" customHeight="1">
      <c r="A17875" s="35"/>
      <c r="C17875" s="442"/>
      <c r="P17875" s="235"/>
      <c r="AI17875" s="38"/>
    </row>
    <row r="17876" ht="15.75" customHeight="1">
      <c r="A17876" s="35"/>
      <c r="C17876" s="442"/>
      <c r="P17876" s="235"/>
      <c r="AI17876" s="38"/>
    </row>
    <row r="17877" ht="15.75" customHeight="1">
      <c r="A17877" s="35"/>
      <c r="C17877" s="442"/>
      <c r="P17877" s="235"/>
      <c r="AI17877" s="38"/>
    </row>
    <row r="17878" ht="15.75" customHeight="1">
      <c r="A17878" s="35"/>
      <c r="C17878" s="442"/>
      <c r="P17878" s="235"/>
      <c r="AI17878" s="38"/>
    </row>
    <row r="17879" ht="15.75" customHeight="1">
      <c r="A17879" s="35"/>
      <c r="C17879" s="442"/>
      <c r="P17879" s="235"/>
      <c r="AI17879" s="38"/>
    </row>
    <row r="17880" ht="15.75" customHeight="1">
      <c r="A17880" s="35"/>
      <c r="C17880" s="442"/>
      <c r="P17880" s="235"/>
      <c r="AI17880" s="38"/>
    </row>
    <row r="17881" ht="15.75" customHeight="1">
      <c r="A17881" s="35"/>
      <c r="C17881" s="442"/>
      <c r="P17881" s="235"/>
      <c r="AI17881" s="38"/>
    </row>
    <row r="17882" ht="15.75" customHeight="1">
      <c r="A17882" s="35"/>
      <c r="C17882" s="442"/>
      <c r="P17882" s="235"/>
      <c r="AI17882" s="38"/>
    </row>
    <row r="17883" ht="15.75" customHeight="1">
      <c r="A17883" s="35"/>
      <c r="C17883" s="442"/>
      <c r="P17883" s="235"/>
      <c r="AI17883" s="38"/>
    </row>
    <row r="17884" ht="15.75" customHeight="1">
      <c r="A17884" s="35"/>
      <c r="C17884" s="442"/>
      <c r="P17884" s="235"/>
      <c r="AI17884" s="38"/>
    </row>
    <row r="17885" ht="15.75" customHeight="1">
      <c r="A17885" s="35"/>
      <c r="C17885" s="442"/>
      <c r="P17885" s="235"/>
      <c r="AI17885" s="38"/>
    </row>
    <row r="17886" ht="15.75" customHeight="1">
      <c r="A17886" s="35"/>
      <c r="C17886" s="442"/>
      <c r="P17886" s="235"/>
      <c r="AI17886" s="38"/>
    </row>
    <row r="17887" ht="15.75" customHeight="1">
      <c r="A17887" s="35"/>
      <c r="C17887" s="442"/>
      <c r="P17887" s="235"/>
      <c r="AI17887" s="38"/>
    </row>
    <row r="17888" ht="15.75" customHeight="1">
      <c r="A17888" s="35"/>
      <c r="C17888" s="442"/>
      <c r="P17888" s="235"/>
      <c r="AI17888" s="38"/>
    </row>
    <row r="17889" ht="15.75" customHeight="1">
      <c r="A17889" s="35"/>
      <c r="C17889" s="442"/>
      <c r="P17889" s="235"/>
      <c r="AI17889" s="38"/>
    </row>
    <row r="17890" ht="15.75" customHeight="1">
      <c r="A17890" s="35"/>
      <c r="C17890" s="442"/>
      <c r="P17890" s="235"/>
      <c r="AI17890" s="38"/>
    </row>
    <row r="17891" ht="15.75" customHeight="1">
      <c r="A17891" s="35"/>
      <c r="C17891" s="442"/>
      <c r="P17891" s="235"/>
      <c r="AI17891" s="38"/>
    </row>
    <row r="17892" ht="15.75" customHeight="1">
      <c r="A17892" s="35"/>
      <c r="C17892" s="442"/>
      <c r="P17892" s="235"/>
      <c r="AI17892" s="38"/>
    </row>
    <row r="17893" ht="15.75" customHeight="1">
      <c r="A17893" s="35"/>
      <c r="C17893" s="442"/>
      <c r="P17893" s="235"/>
      <c r="AI17893" s="38"/>
    </row>
    <row r="17894" ht="15.75" customHeight="1">
      <c r="A17894" s="35"/>
      <c r="C17894" s="442"/>
      <c r="P17894" s="235"/>
      <c r="AI17894" s="38"/>
    </row>
    <row r="17895" ht="15.75" customHeight="1">
      <c r="A17895" s="35"/>
      <c r="C17895" s="442"/>
      <c r="P17895" s="235"/>
      <c r="AI17895" s="38"/>
    </row>
    <row r="17896" ht="15.75" customHeight="1">
      <c r="A17896" s="35"/>
      <c r="C17896" s="442"/>
      <c r="P17896" s="235"/>
      <c r="AI17896" s="38"/>
    </row>
    <row r="17897" ht="15.75" customHeight="1">
      <c r="A17897" s="35"/>
      <c r="C17897" s="442"/>
      <c r="P17897" s="235"/>
      <c r="AI17897" s="38"/>
    </row>
    <row r="17898" ht="15.75" customHeight="1">
      <c r="A17898" s="35"/>
      <c r="C17898" s="442"/>
      <c r="P17898" s="235"/>
      <c r="AI17898" s="38"/>
    </row>
    <row r="17899" ht="15.75" customHeight="1">
      <c r="A17899" s="35"/>
      <c r="C17899" s="442"/>
      <c r="P17899" s="235"/>
      <c r="AI17899" s="38"/>
    </row>
    <row r="17900" ht="15.75" customHeight="1">
      <c r="A17900" s="35"/>
      <c r="C17900" s="442"/>
      <c r="P17900" s="235"/>
      <c r="AI17900" s="38"/>
    </row>
    <row r="17901" ht="15.75" customHeight="1">
      <c r="A17901" s="35"/>
      <c r="C17901" s="442"/>
      <c r="P17901" s="235"/>
      <c r="AI17901" s="38"/>
    </row>
    <row r="17902" ht="15.75" customHeight="1">
      <c r="A17902" s="35"/>
      <c r="C17902" s="442"/>
      <c r="P17902" s="235"/>
      <c r="AI17902" s="38"/>
    </row>
    <row r="17903" ht="15.75" customHeight="1">
      <c r="A17903" s="35"/>
      <c r="C17903" s="442"/>
      <c r="P17903" s="235"/>
      <c r="AI17903" s="38"/>
    </row>
    <row r="17904" ht="15.75" customHeight="1">
      <c r="A17904" s="35"/>
      <c r="C17904" s="442"/>
      <c r="P17904" s="235"/>
      <c r="AI17904" s="38"/>
    </row>
    <row r="17905" ht="15.75" customHeight="1">
      <c r="A17905" s="35"/>
      <c r="C17905" s="442"/>
      <c r="P17905" s="235"/>
      <c r="AI17905" s="38"/>
    </row>
    <row r="17906" ht="15.75" customHeight="1">
      <c r="A17906" s="35"/>
      <c r="C17906" s="442"/>
      <c r="P17906" s="235"/>
      <c r="AI17906" s="38"/>
    </row>
    <row r="17907" ht="15.75" customHeight="1">
      <c r="A17907" s="35"/>
      <c r="C17907" s="442"/>
      <c r="P17907" s="235"/>
      <c r="AI17907" s="38"/>
    </row>
    <row r="17908" ht="15.75" customHeight="1">
      <c r="A17908" s="35"/>
      <c r="C17908" s="442"/>
      <c r="P17908" s="235"/>
      <c r="AI17908" s="38"/>
    </row>
    <row r="17909" ht="15.75" customHeight="1">
      <c r="A17909" s="35"/>
      <c r="C17909" s="442"/>
      <c r="P17909" s="235"/>
      <c r="AI17909" s="38"/>
    </row>
    <row r="17910" ht="15.75" customHeight="1">
      <c r="A17910" s="35"/>
      <c r="C17910" s="442"/>
      <c r="P17910" s="235"/>
      <c r="AI17910" s="38"/>
    </row>
    <row r="17911" ht="15.75" customHeight="1">
      <c r="A17911" s="35"/>
      <c r="C17911" s="442"/>
      <c r="P17911" s="235"/>
      <c r="AI17911" s="38"/>
    </row>
    <row r="17912" ht="15.75" customHeight="1">
      <c r="A17912" s="35"/>
      <c r="C17912" s="442"/>
      <c r="P17912" s="235"/>
      <c r="AI17912" s="38"/>
    </row>
    <row r="17913" ht="15.75" customHeight="1">
      <c r="A17913" s="35"/>
      <c r="C17913" s="442"/>
      <c r="P17913" s="235"/>
      <c r="AI17913" s="38"/>
    </row>
    <row r="17914" ht="15.75" customHeight="1">
      <c r="A17914" s="35"/>
      <c r="C17914" s="442"/>
      <c r="P17914" s="235"/>
      <c r="AI17914" s="38"/>
    </row>
    <row r="17915" ht="15.75" customHeight="1">
      <c r="A17915" s="35"/>
      <c r="C17915" s="442"/>
      <c r="P17915" s="235"/>
      <c r="AI17915" s="38"/>
    </row>
    <row r="17916" ht="15.75" customHeight="1">
      <c r="A17916" s="35"/>
      <c r="C17916" s="442"/>
      <c r="P17916" s="235"/>
      <c r="AI17916" s="38"/>
    </row>
    <row r="17917" ht="15.75" customHeight="1">
      <c r="A17917" s="35"/>
      <c r="C17917" s="442"/>
      <c r="P17917" s="235"/>
      <c r="AI17917" s="38"/>
    </row>
    <row r="17918" ht="15.75" customHeight="1">
      <c r="A17918" s="35"/>
      <c r="C17918" s="442"/>
      <c r="P17918" s="235"/>
      <c r="AI17918" s="38"/>
    </row>
    <row r="17919" ht="15.75" customHeight="1">
      <c r="A17919" s="35"/>
      <c r="C17919" s="442"/>
      <c r="P17919" s="235"/>
      <c r="AI17919" s="38"/>
    </row>
    <row r="17920" ht="15.75" customHeight="1">
      <c r="A17920" s="35"/>
      <c r="C17920" s="442"/>
      <c r="P17920" s="235"/>
      <c r="AI17920" s="38"/>
    </row>
    <row r="17921" ht="15.75" customHeight="1">
      <c r="A17921" s="35"/>
      <c r="C17921" s="442"/>
      <c r="P17921" s="235"/>
      <c r="AI17921" s="38"/>
    </row>
    <row r="17922" ht="15.75" customHeight="1">
      <c r="A17922" s="35"/>
      <c r="C17922" s="442"/>
      <c r="P17922" s="235"/>
      <c r="AI17922" s="38"/>
    </row>
    <row r="17923" ht="15.75" customHeight="1">
      <c r="A17923" s="35"/>
      <c r="C17923" s="442"/>
      <c r="P17923" s="235"/>
      <c r="AI17923" s="38"/>
    </row>
    <row r="17924" ht="15.75" customHeight="1">
      <c r="A17924" s="35"/>
      <c r="C17924" s="442"/>
      <c r="P17924" s="235"/>
      <c r="AI17924" s="38"/>
    </row>
    <row r="17925" ht="15.75" customHeight="1">
      <c r="A17925" s="35"/>
      <c r="C17925" s="442"/>
      <c r="P17925" s="235"/>
      <c r="AI17925" s="38"/>
    </row>
    <row r="17926" ht="15.75" customHeight="1">
      <c r="A17926" s="35"/>
      <c r="C17926" s="442"/>
      <c r="P17926" s="235"/>
      <c r="AI17926" s="38"/>
    </row>
    <row r="17927" ht="15.75" customHeight="1">
      <c r="A17927" s="35"/>
      <c r="C17927" s="442"/>
      <c r="P17927" s="235"/>
      <c r="AI17927" s="38"/>
    </row>
    <row r="17928" ht="15.75" customHeight="1">
      <c r="A17928" s="35"/>
      <c r="C17928" s="442"/>
      <c r="P17928" s="235"/>
      <c r="AI17928" s="38"/>
    </row>
    <row r="17929" ht="15.75" customHeight="1">
      <c r="A17929" s="35"/>
      <c r="C17929" s="442"/>
      <c r="P17929" s="235"/>
      <c r="AI17929" s="38"/>
    </row>
    <row r="17930" ht="15.75" customHeight="1">
      <c r="A17930" s="35"/>
      <c r="C17930" s="442"/>
      <c r="P17930" s="235"/>
      <c r="AI17930" s="38"/>
    </row>
    <row r="17931" ht="15.75" customHeight="1">
      <c r="A17931" s="35"/>
      <c r="C17931" s="442"/>
      <c r="P17931" s="235"/>
      <c r="AI17931" s="38"/>
    </row>
    <row r="17932" ht="15.75" customHeight="1">
      <c r="A17932" s="35"/>
      <c r="C17932" s="442"/>
      <c r="P17932" s="235"/>
      <c r="AI17932" s="38"/>
    </row>
    <row r="17933" ht="15.75" customHeight="1">
      <c r="A17933" s="35"/>
      <c r="C17933" s="442"/>
      <c r="P17933" s="235"/>
      <c r="AI17933" s="38"/>
    </row>
    <row r="17934" ht="15.75" customHeight="1">
      <c r="A17934" s="35"/>
      <c r="C17934" s="442"/>
      <c r="P17934" s="235"/>
      <c r="AI17934" s="38"/>
    </row>
    <row r="17935" ht="15.75" customHeight="1">
      <c r="A17935" s="35"/>
      <c r="C17935" s="442"/>
      <c r="P17935" s="235"/>
      <c r="AI17935" s="38"/>
    </row>
    <row r="17936" ht="15.75" customHeight="1">
      <c r="A17936" s="35"/>
      <c r="C17936" s="442"/>
      <c r="P17936" s="235"/>
      <c r="AI17936" s="38"/>
    </row>
    <row r="17937" ht="15.75" customHeight="1">
      <c r="A17937" s="35"/>
      <c r="C17937" s="442"/>
      <c r="P17937" s="235"/>
      <c r="AI17937" s="38"/>
    </row>
    <row r="17938" ht="15.75" customHeight="1">
      <c r="A17938" s="35"/>
      <c r="C17938" s="442"/>
      <c r="P17938" s="235"/>
      <c r="AI17938" s="38"/>
    </row>
    <row r="17939" ht="15.75" customHeight="1">
      <c r="A17939" s="35"/>
      <c r="C17939" s="442"/>
      <c r="P17939" s="235"/>
      <c r="AI17939" s="38"/>
    </row>
    <row r="17940" ht="15.75" customHeight="1">
      <c r="A17940" s="35"/>
      <c r="C17940" s="442"/>
      <c r="P17940" s="235"/>
      <c r="AI17940" s="38"/>
    </row>
    <row r="17941" ht="15.75" customHeight="1">
      <c r="A17941" s="35"/>
      <c r="C17941" s="442"/>
      <c r="P17941" s="235"/>
      <c r="AI17941" s="38"/>
    </row>
    <row r="17942" ht="15.75" customHeight="1">
      <c r="A17942" s="35"/>
      <c r="C17942" s="442"/>
      <c r="P17942" s="235"/>
      <c r="AI17942" s="38"/>
    </row>
    <row r="17943" ht="15.75" customHeight="1">
      <c r="A17943" s="35"/>
      <c r="C17943" s="442"/>
      <c r="P17943" s="235"/>
      <c r="AI17943" s="38"/>
    </row>
    <row r="17944" ht="15.75" customHeight="1">
      <c r="A17944" s="35"/>
      <c r="C17944" s="442"/>
      <c r="P17944" s="235"/>
      <c r="AI17944" s="38"/>
    </row>
    <row r="17945" ht="15.75" customHeight="1">
      <c r="A17945" s="35"/>
      <c r="C17945" s="442"/>
      <c r="P17945" s="235"/>
      <c r="AI17945" s="38"/>
    </row>
    <row r="17946" ht="15.75" customHeight="1">
      <c r="A17946" s="35"/>
      <c r="C17946" s="442"/>
      <c r="P17946" s="235"/>
      <c r="AI17946" s="38"/>
    </row>
    <row r="17947" ht="15.75" customHeight="1">
      <c r="A17947" s="35"/>
      <c r="C17947" s="442"/>
      <c r="P17947" s="235"/>
      <c r="AI17947" s="38"/>
    </row>
    <row r="17948" ht="15.75" customHeight="1">
      <c r="A17948" s="35"/>
      <c r="C17948" s="442"/>
      <c r="P17948" s="235"/>
      <c r="AI17948" s="38"/>
    </row>
    <row r="17949" ht="15.75" customHeight="1">
      <c r="A17949" s="35"/>
      <c r="C17949" s="442"/>
      <c r="P17949" s="235"/>
      <c r="AI17949" s="38"/>
    </row>
    <row r="17950" ht="15.75" customHeight="1">
      <c r="A17950" s="35"/>
      <c r="C17950" s="442"/>
      <c r="P17950" s="235"/>
      <c r="AI17950" s="38"/>
    </row>
    <row r="17951" ht="15.75" customHeight="1">
      <c r="A17951" s="35"/>
      <c r="C17951" s="442"/>
      <c r="P17951" s="235"/>
      <c r="AI17951" s="38"/>
    </row>
    <row r="17952" ht="15.75" customHeight="1">
      <c r="A17952" s="35"/>
      <c r="C17952" s="442"/>
      <c r="P17952" s="235"/>
      <c r="AI17952" s="38"/>
    </row>
    <row r="17953" ht="15.75" customHeight="1">
      <c r="A17953" s="35"/>
      <c r="C17953" s="442"/>
      <c r="P17953" s="235"/>
      <c r="AI17953" s="38"/>
    </row>
    <row r="17954" ht="15.75" customHeight="1">
      <c r="A17954" s="35"/>
      <c r="C17954" s="442"/>
      <c r="P17954" s="235"/>
      <c r="AI17954" s="38"/>
    </row>
    <row r="17955" ht="15.75" customHeight="1">
      <c r="A17955" s="35"/>
      <c r="C17955" s="442"/>
      <c r="P17955" s="235"/>
      <c r="AI17955" s="38"/>
    </row>
    <row r="17956" ht="15.75" customHeight="1">
      <c r="A17956" s="35"/>
      <c r="C17956" s="442"/>
      <c r="P17956" s="235"/>
      <c r="AI17956" s="38"/>
    </row>
    <row r="17957" ht="15.75" customHeight="1">
      <c r="A17957" s="35"/>
      <c r="C17957" s="442"/>
      <c r="P17957" s="235"/>
      <c r="AI17957" s="38"/>
    </row>
    <row r="17958" ht="15.75" customHeight="1">
      <c r="A17958" s="35"/>
      <c r="C17958" s="442"/>
      <c r="P17958" s="235"/>
      <c r="AI17958" s="38"/>
    </row>
    <row r="17959" ht="15.75" customHeight="1">
      <c r="A17959" s="35"/>
      <c r="C17959" s="442"/>
      <c r="P17959" s="235"/>
      <c r="AI17959" s="38"/>
    </row>
    <row r="17960" ht="15.75" customHeight="1">
      <c r="A17960" s="35"/>
      <c r="C17960" s="442"/>
      <c r="P17960" s="235"/>
      <c r="AI17960" s="38"/>
    </row>
    <row r="17961" ht="15.75" customHeight="1">
      <c r="A17961" s="35"/>
      <c r="C17961" s="442"/>
      <c r="P17961" s="235"/>
      <c r="AI17961" s="38"/>
    </row>
    <row r="17962" ht="15.75" customHeight="1">
      <c r="A17962" s="35"/>
      <c r="C17962" s="442"/>
      <c r="P17962" s="235"/>
      <c r="AI17962" s="38"/>
    </row>
    <row r="17963" ht="15.75" customHeight="1">
      <c r="A17963" s="35"/>
      <c r="C17963" s="442"/>
      <c r="P17963" s="235"/>
      <c r="AI17963" s="38"/>
    </row>
    <row r="17964" ht="15.75" customHeight="1">
      <c r="A17964" s="35"/>
      <c r="C17964" s="442"/>
      <c r="P17964" s="235"/>
      <c r="AI17964" s="38"/>
    </row>
    <row r="17965" ht="15.75" customHeight="1">
      <c r="A17965" s="35"/>
      <c r="C17965" s="442"/>
      <c r="P17965" s="235"/>
      <c r="AI17965" s="38"/>
    </row>
    <row r="17966" ht="15.75" customHeight="1">
      <c r="A17966" s="35"/>
      <c r="C17966" s="442"/>
      <c r="P17966" s="235"/>
      <c r="AI17966" s="38"/>
    </row>
    <row r="17967" ht="15.75" customHeight="1">
      <c r="A17967" s="35"/>
      <c r="C17967" s="442"/>
      <c r="P17967" s="235"/>
      <c r="AI17967" s="38"/>
    </row>
    <row r="17968" ht="15.75" customHeight="1">
      <c r="A17968" s="35"/>
      <c r="C17968" s="442"/>
      <c r="P17968" s="235"/>
      <c r="AI17968" s="38"/>
    </row>
    <row r="17969" ht="15.75" customHeight="1">
      <c r="A17969" s="35"/>
      <c r="C17969" s="442"/>
      <c r="P17969" s="235"/>
      <c r="AI17969" s="38"/>
    </row>
    <row r="17970" ht="15.75" customHeight="1">
      <c r="A17970" s="35"/>
      <c r="C17970" s="442"/>
      <c r="P17970" s="235"/>
      <c r="AI17970" s="38"/>
    </row>
    <row r="17971" ht="15.75" customHeight="1">
      <c r="A17971" s="35"/>
      <c r="C17971" s="442"/>
      <c r="P17971" s="235"/>
      <c r="AI17971" s="38"/>
    </row>
    <row r="17972" ht="15.75" customHeight="1">
      <c r="A17972" s="35"/>
      <c r="C17972" s="442"/>
      <c r="P17972" s="235"/>
      <c r="AI17972" s="38"/>
    </row>
    <row r="17973" ht="15.75" customHeight="1">
      <c r="A17973" s="35"/>
      <c r="C17973" s="442"/>
      <c r="P17973" s="235"/>
      <c r="AI17973" s="38"/>
    </row>
    <row r="17974" ht="15.75" customHeight="1">
      <c r="A17974" s="35"/>
      <c r="C17974" s="442"/>
      <c r="P17974" s="235"/>
      <c r="AI17974" s="38"/>
    </row>
    <row r="17975" ht="15.75" customHeight="1">
      <c r="A17975" s="35"/>
      <c r="C17975" s="442"/>
      <c r="P17975" s="235"/>
      <c r="AI17975" s="38"/>
    </row>
    <row r="17976" ht="15.75" customHeight="1">
      <c r="A17976" s="35"/>
      <c r="C17976" s="442"/>
      <c r="P17976" s="235"/>
      <c r="AI17976" s="38"/>
    </row>
    <row r="17977" ht="15.75" customHeight="1">
      <c r="A17977" s="35"/>
      <c r="C17977" s="442"/>
      <c r="P17977" s="235"/>
      <c r="AI17977" s="38"/>
    </row>
    <row r="17978" ht="15.75" customHeight="1">
      <c r="A17978" s="35"/>
      <c r="C17978" s="442"/>
      <c r="P17978" s="235"/>
      <c r="AI17978" s="38"/>
    </row>
    <row r="17979" ht="15.75" customHeight="1">
      <c r="A17979" s="35"/>
      <c r="C17979" s="442"/>
      <c r="P17979" s="235"/>
      <c r="AI17979" s="38"/>
    </row>
    <row r="17980" ht="15.75" customHeight="1">
      <c r="A17980" s="35"/>
      <c r="C17980" s="442"/>
      <c r="P17980" s="235"/>
      <c r="AI17980" s="38"/>
    </row>
    <row r="17981" ht="15.75" customHeight="1">
      <c r="A17981" s="35"/>
      <c r="C17981" s="442"/>
      <c r="P17981" s="235"/>
      <c r="AI17981" s="38"/>
    </row>
    <row r="17982" ht="15.75" customHeight="1">
      <c r="A17982" s="35"/>
      <c r="C17982" s="442"/>
      <c r="P17982" s="235"/>
      <c r="AI17982" s="38"/>
    </row>
    <row r="17983" ht="15.75" customHeight="1">
      <c r="A17983" s="35"/>
      <c r="C17983" s="442"/>
      <c r="P17983" s="235"/>
      <c r="AI17983" s="38"/>
    </row>
    <row r="17984" ht="15.75" customHeight="1">
      <c r="A17984" s="35"/>
      <c r="C17984" s="442"/>
      <c r="P17984" s="235"/>
      <c r="AI17984" s="38"/>
    </row>
    <row r="17985" ht="15.75" customHeight="1">
      <c r="A17985" s="35"/>
      <c r="C17985" s="442"/>
      <c r="P17985" s="235"/>
      <c r="AI17985" s="38"/>
    </row>
    <row r="17986" ht="15.75" customHeight="1">
      <c r="A17986" s="35"/>
      <c r="C17986" s="442"/>
      <c r="P17986" s="235"/>
      <c r="AI17986" s="38"/>
    </row>
    <row r="17987" ht="15.75" customHeight="1">
      <c r="A17987" s="35"/>
      <c r="C17987" s="442"/>
      <c r="P17987" s="235"/>
      <c r="AI17987" s="38"/>
    </row>
    <row r="17988" ht="15.75" customHeight="1">
      <c r="A17988" s="35"/>
      <c r="C17988" s="442"/>
      <c r="P17988" s="235"/>
      <c r="AI17988" s="38"/>
    </row>
    <row r="17989" ht="15.75" customHeight="1">
      <c r="A17989" s="35"/>
      <c r="C17989" s="442"/>
      <c r="P17989" s="235"/>
      <c r="AI17989" s="38"/>
    </row>
    <row r="17990" ht="15.75" customHeight="1">
      <c r="A17990" s="35"/>
      <c r="C17990" s="442"/>
      <c r="P17990" s="235"/>
      <c r="AI17990" s="38"/>
    </row>
    <row r="17991" ht="15.75" customHeight="1">
      <c r="A17991" s="35"/>
      <c r="C17991" s="442"/>
      <c r="P17991" s="235"/>
      <c r="AI17991" s="38"/>
    </row>
    <row r="17992" ht="15.75" customHeight="1">
      <c r="A17992" s="35"/>
      <c r="C17992" s="442"/>
      <c r="P17992" s="235"/>
      <c r="AI17992" s="38"/>
    </row>
    <row r="17993" ht="15.75" customHeight="1">
      <c r="A17993" s="35"/>
      <c r="C17993" s="442"/>
      <c r="P17993" s="235"/>
      <c r="AI17993" s="38"/>
    </row>
    <row r="17994" ht="15.75" customHeight="1">
      <c r="A17994" s="35"/>
      <c r="C17994" s="442"/>
      <c r="P17994" s="235"/>
      <c r="AI17994" s="38"/>
    </row>
    <row r="17995" ht="15.75" customHeight="1">
      <c r="A17995" s="35"/>
      <c r="C17995" s="442"/>
      <c r="P17995" s="235"/>
      <c r="AI17995" s="38"/>
    </row>
    <row r="17996" ht="15.75" customHeight="1">
      <c r="A17996" s="35"/>
      <c r="C17996" s="442"/>
      <c r="P17996" s="235"/>
      <c r="AI17996" s="38"/>
    </row>
    <row r="17997" ht="15.75" customHeight="1">
      <c r="A17997" s="35"/>
      <c r="C17997" s="442"/>
      <c r="P17997" s="235"/>
      <c r="AI17997" s="38"/>
    </row>
    <row r="17998" ht="15.75" customHeight="1">
      <c r="A17998" s="35"/>
      <c r="C17998" s="442"/>
      <c r="P17998" s="235"/>
      <c r="AI17998" s="38"/>
    </row>
    <row r="17999" ht="15.75" customHeight="1">
      <c r="A17999" s="35"/>
      <c r="C17999" s="442"/>
      <c r="P17999" s="235"/>
      <c r="AI17999" s="38"/>
    </row>
    <row r="18000" ht="15.75" customHeight="1">
      <c r="A18000" s="35"/>
      <c r="C18000" s="442"/>
      <c r="P18000" s="235"/>
      <c r="AI18000" s="38"/>
    </row>
    <row r="18001" ht="15.75" customHeight="1">
      <c r="A18001" s="35"/>
      <c r="C18001" s="442"/>
      <c r="P18001" s="235"/>
      <c r="AI18001" s="38"/>
    </row>
    <row r="18002" ht="15.75" customHeight="1">
      <c r="A18002" s="35"/>
      <c r="C18002" s="442"/>
      <c r="P18002" s="235"/>
      <c r="AI18002" s="38"/>
    </row>
    <row r="18003" ht="15.75" customHeight="1">
      <c r="A18003" s="35"/>
      <c r="C18003" s="442"/>
      <c r="P18003" s="235"/>
      <c r="AI18003" s="38"/>
    </row>
    <row r="18004" ht="15.75" customHeight="1">
      <c r="A18004" s="35"/>
      <c r="C18004" s="442"/>
      <c r="P18004" s="235"/>
      <c r="AI18004" s="38"/>
    </row>
    <row r="18005" ht="15.75" customHeight="1">
      <c r="A18005" s="35"/>
      <c r="C18005" s="442"/>
      <c r="P18005" s="235"/>
      <c r="AI18005" s="38"/>
    </row>
    <row r="18006" ht="15.75" customHeight="1">
      <c r="A18006" s="35"/>
      <c r="C18006" s="442"/>
      <c r="P18006" s="235"/>
      <c r="AI18006" s="38"/>
    </row>
    <row r="18007" ht="15.75" customHeight="1">
      <c r="A18007" s="35"/>
      <c r="C18007" s="442"/>
      <c r="P18007" s="235"/>
      <c r="AI18007" s="38"/>
    </row>
    <row r="18008" ht="15.75" customHeight="1">
      <c r="A18008" s="35"/>
      <c r="C18008" s="442"/>
      <c r="P18008" s="235"/>
      <c r="AI18008" s="38"/>
    </row>
    <row r="18009" ht="15.75" customHeight="1">
      <c r="A18009" s="35"/>
      <c r="C18009" s="442"/>
      <c r="P18009" s="235"/>
      <c r="AI18009" s="38"/>
    </row>
    <row r="18010" ht="15.75" customHeight="1">
      <c r="A18010" s="35"/>
      <c r="C18010" s="442"/>
      <c r="P18010" s="235"/>
      <c r="AI18010" s="38"/>
    </row>
    <row r="18011" ht="15.75" customHeight="1">
      <c r="A18011" s="35"/>
      <c r="C18011" s="442"/>
      <c r="P18011" s="235"/>
      <c r="AI18011" s="38"/>
    </row>
    <row r="18012" ht="15.75" customHeight="1">
      <c r="A18012" s="35"/>
      <c r="C18012" s="442"/>
      <c r="P18012" s="235"/>
      <c r="AI18012" s="38"/>
    </row>
    <row r="18013" ht="15.75" customHeight="1">
      <c r="A18013" s="35"/>
      <c r="C18013" s="442"/>
      <c r="P18013" s="235"/>
      <c r="AI18013" s="38"/>
    </row>
    <row r="18014" ht="15.75" customHeight="1">
      <c r="A18014" s="35"/>
      <c r="C18014" s="442"/>
      <c r="P18014" s="235"/>
      <c r="AI18014" s="38"/>
    </row>
    <row r="18015" ht="15.75" customHeight="1">
      <c r="A18015" s="35"/>
      <c r="C18015" s="442"/>
      <c r="P18015" s="235"/>
      <c r="AI18015" s="38"/>
    </row>
    <row r="18016" ht="15.75" customHeight="1">
      <c r="A18016" s="35"/>
      <c r="C18016" s="442"/>
      <c r="P18016" s="235"/>
      <c r="AI18016" s="38"/>
    </row>
    <row r="18017" ht="15.75" customHeight="1">
      <c r="A18017" s="35"/>
      <c r="C18017" s="442"/>
      <c r="P18017" s="235"/>
      <c r="AI18017" s="38"/>
    </row>
    <row r="18018" ht="15.75" customHeight="1">
      <c r="A18018" s="35"/>
      <c r="C18018" s="442"/>
      <c r="P18018" s="235"/>
      <c r="AI18018" s="38"/>
    </row>
    <row r="18019" ht="15.75" customHeight="1">
      <c r="A18019" s="35"/>
      <c r="C18019" s="442"/>
      <c r="P18019" s="235"/>
      <c r="AI18019" s="38"/>
    </row>
    <row r="18020" ht="15.75" customHeight="1">
      <c r="A18020" s="35"/>
      <c r="C18020" s="442"/>
      <c r="P18020" s="235"/>
      <c r="AI18020" s="38"/>
    </row>
    <row r="18021" ht="15.75" customHeight="1">
      <c r="A18021" s="35"/>
      <c r="C18021" s="442"/>
      <c r="P18021" s="235"/>
      <c r="AI18021" s="38"/>
    </row>
    <row r="18022" ht="15.75" customHeight="1">
      <c r="A18022" s="35"/>
      <c r="C18022" s="442"/>
      <c r="P18022" s="235"/>
      <c r="AI18022" s="38"/>
    </row>
    <row r="18023" ht="15.75" customHeight="1">
      <c r="A18023" s="35"/>
      <c r="C18023" s="442"/>
      <c r="P18023" s="235"/>
      <c r="AI18023" s="38"/>
    </row>
    <row r="18024" ht="15.75" customHeight="1">
      <c r="A18024" s="35"/>
      <c r="C18024" s="442"/>
      <c r="P18024" s="235"/>
      <c r="AI18024" s="38"/>
    </row>
    <row r="18025" ht="15.75" customHeight="1">
      <c r="A18025" s="35"/>
      <c r="C18025" s="442"/>
      <c r="P18025" s="235"/>
      <c r="AI18025" s="38"/>
    </row>
    <row r="18026" ht="15.75" customHeight="1">
      <c r="A18026" s="35"/>
      <c r="C18026" s="442"/>
      <c r="P18026" s="235"/>
      <c r="AI18026" s="38"/>
    </row>
    <row r="18027" ht="15.75" customHeight="1">
      <c r="A18027" s="35"/>
      <c r="C18027" s="442"/>
      <c r="P18027" s="235"/>
      <c r="AI18027" s="38"/>
    </row>
    <row r="18028" ht="15.75" customHeight="1">
      <c r="A18028" s="35"/>
      <c r="C18028" s="442"/>
      <c r="P18028" s="235"/>
      <c r="AI18028" s="38"/>
    </row>
    <row r="18029" ht="15.75" customHeight="1">
      <c r="A18029" s="35"/>
      <c r="C18029" s="442"/>
      <c r="P18029" s="235"/>
      <c r="AI18029" s="38"/>
    </row>
    <row r="18030" ht="15.75" customHeight="1">
      <c r="A18030" s="35"/>
      <c r="C18030" s="442"/>
      <c r="P18030" s="235"/>
      <c r="AI18030" s="38"/>
    </row>
    <row r="18031" ht="15.75" customHeight="1">
      <c r="A18031" s="35"/>
      <c r="C18031" s="442"/>
      <c r="P18031" s="235"/>
      <c r="AI18031" s="38"/>
    </row>
    <row r="18032" ht="15.75" customHeight="1">
      <c r="A18032" s="35"/>
      <c r="C18032" s="442"/>
      <c r="P18032" s="235"/>
      <c r="AI18032" s="38"/>
    </row>
    <row r="18033" ht="15.75" customHeight="1">
      <c r="A18033" s="35"/>
      <c r="C18033" s="442"/>
      <c r="P18033" s="235"/>
      <c r="AI18033" s="38"/>
    </row>
    <row r="18034" ht="15.75" customHeight="1">
      <c r="A18034" s="35"/>
      <c r="C18034" s="442"/>
      <c r="P18034" s="235"/>
      <c r="AI18034" s="38"/>
    </row>
    <row r="18035" ht="15.75" customHeight="1">
      <c r="A18035" s="35"/>
      <c r="C18035" s="442"/>
      <c r="P18035" s="235"/>
      <c r="AI18035" s="38"/>
    </row>
    <row r="18036" ht="15.75" customHeight="1">
      <c r="A18036" s="35"/>
      <c r="C18036" s="442"/>
      <c r="P18036" s="235"/>
      <c r="AI18036" s="38"/>
    </row>
    <row r="18037" ht="15.75" customHeight="1">
      <c r="A18037" s="35"/>
      <c r="C18037" s="442"/>
      <c r="P18037" s="235"/>
      <c r="AI18037" s="38"/>
    </row>
    <row r="18038" ht="15.75" customHeight="1">
      <c r="A18038" s="35"/>
      <c r="C18038" s="442"/>
      <c r="P18038" s="235"/>
      <c r="AI18038" s="38"/>
    </row>
    <row r="18039" ht="15.75" customHeight="1">
      <c r="A18039" s="35"/>
      <c r="C18039" s="442"/>
      <c r="P18039" s="235"/>
      <c r="AI18039" s="38"/>
    </row>
    <row r="18040" ht="15.75" customHeight="1">
      <c r="A18040" s="35"/>
      <c r="C18040" s="442"/>
      <c r="P18040" s="235"/>
      <c r="AI18040" s="38"/>
    </row>
    <row r="18041" ht="15.75" customHeight="1">
      <c r="A18041" s="35"/>
      <c r="C18041" s="442"/>
      <c r="P18041" s="235"/>
      <c r="AI18041" s="38"/>
    </row>
    <row r="18042" ht="15.75" customHeight="1">
      <c r="A18042" s="35"/>
      <c r="C18042" s="442"/>
      <c r="P18042" s="235"/>
      <c r="AI18042" s="38"/>
    </row>
    <row r="18043" ht="15.75" customHeight="1">
      <c r="A18043" s="35"/>
      <c r="C18043" s="442"/>
      <c r="P18043" s="235"/>
      <c r="AI18043" s="38"/>
    </row>
    <row r="18044" ht="15.75" customHeight="1">
      <c r="A18044" s="35"/>
      <c r="C18044" s="442"/>
      <c r="P18044" s="235"/>
      <c r="AI18044" s="38"/>
    </row>
    <row r="18045" ht="15.75" customHeight="1">
      <c r="A18045" s="35"/>
      <c r="C18045" s="442"/>
      <c r="P18045" s="235"/>
      <c r="AI18045" s="38"/>
    </row>
    <row r="18046" ht="15.75" customHeight="1">
      <c r="A18046" s="35"/>
      <c r="C18046" s="442"/>
      <c r="P18046" s="235"/>
      <c r="AI18046" s="38"/>
    </row>
    <row r="18047" ht="15.75" customHeight="1">
      <c r="A18047" s="35"/>
      <c r="C18047" s="442"/>
      <c r="P18047" s="235"/>
      <c r="AI18047" s="38"/>
    </row>
    <row r="18048" ht="15.75" customHeight="1">
      <c r="A18048" s="35"/>
      <c r="C18048" s="442"/>
      <c r="P18048" s="235"/>
      <c r="AI18048" s="38"/>
    </row>
    <row r="18049" ht="15.75" customHeight="1">
      <c r="A18049" s="35"/>
      <c r="C18049" s="442"/>
      <c r="P18049" s="235"/>
      <c r="AI18049" s="38"/>
    </row>
    <row r="18050" ht="15.75" customHeight="1">
      <c r="A18050" s="35"/>
      <c r="C18050" s="442"/>
      <c r="P18050" s="235"/>
      <c r="AI18050" s="38"/>
    </row>
    <row r="18051" ht="15.75" customHeight="1">
      <c r="A18051" s="35"/>
      <c r="C18051" s="442"/>
      <c r="P18051" s="235"/>
      <c r="AI18051" s="38"/>
    </row>
    <row r="18052" ht="15.75" customHeight="1">
      <c r="A18052" s="35"/>
      <c r="C18052" s="442"/>
      <c r="P18052" s="235"/>
      <c r="AI18052" s="38"/>
    </row>
    <row r="18053" ht="15.75" customHeight="1">
      <c r="A18053" s="35"/>
      <c r="C18053" s="442"/>
      <c r="P18053" s="235"/>
      <c r="AI18053" s="38"/>
    </row>
    <row r="18054" ht="15.75" customHeight="1">
      <c r="A18054" s="35"/>
      <c r="C18054" s="442"/>
      <c r="P18054" s="235"/>
      <c r="AI18054" s="38"/>
    </row>
    <row r="18055" ht="15.75" customHeight="1">
      <c r="A18055" s="35"/>
      <c r="C18055" s="442"/>
      <c r="P18055" s="235"/>
      <c r="AI18055" s="38"/>
    </row>
    <row r="18056" ht="15.75" customHeight="1">
      <c r="A18056" s="35"/>
      <c r="C18056" s="442"/>
      <c r="P18056" s="235"/>
      <c r="AI18056" s="38"/>
    </row>
    <row r="18057" ht="15.75" customHeight="1">
      <c r="A18057" s="35"/>
      <c r="C18057" s="442"/>
      <c r="P18057" s="235"/>
      <c r="AI18057" s="38"/>
    </row>
    <row r="18058" ht="15.75" customHeight="1">
      <c r="A18058" s="35"/>
      <c r="C18058" s="442"/>
      <c r="P18058" s="235"/>
      <c r="AI18058" s="38"/>
    </row>
    <row r="18059" ht="15.75" customHeight="1">
      <c r="A18059" s="35"/>
      <c r="C18059" s="442"/>
      <c r="P18059" s="235"/>
      <c r="AI18059" s="38"/>
    </row>
    <row r="18060" ht="15.75" customHeight="1">
      <c r="A18060" s="35"/>
      <c r="C18060" s="442"/>
      <c r="P18060" s="235"/>
      <c r="AI18060" s="38"/>
    </row>
    <row r="18061" ht="15.75" customHeight="1">
      <c r="A18061" s="35"/>
      <c r="C18061" s="442"/>
      <c r="P18061" s="235"/>
      <c r="AI18061" s="38"/>
    </row>
    <row r="18062" ht="15.75" customHeight="1">
      <c r="A18062" s="35"/>
      <c r="C18062" s="442"/>
      <c r="P18062" s="235"/>
      <c r="AI18062" s="38"/>
    </row>
    <row r="18063" ht="15.75" customHeight="1">
      <c r="A18063" s="35"/>
      <c r="C18063" s="442"/>
      <c r="P18063" s="235"/>
      <c r="AI18063" s="38"/>
    </row>
    <row r="18064" ht="15.75" customHeight="1">
      <c r="A18064" s="35"/>
      <c r="C18064" s="442"/>
      <c r="P18064" s="235"/>
      <c r="AI18064" s="38"/>
    </row>
    <row r="18065" ht="15.75" customHeight="1">
      <c r="A18065" s="35"/>
      <c r="C18065" s="442"/>
      <c r="P18065" s="235"/>
      <c r="AI18065" s="38"/>
    </row>
    <row r="18066" ht="15.75" customHeight="1">
      <c r="A18066" s="35"/>
      <c r="C18066" s="442"/>
      <c r="P18066" s="235"/>
      <c r="AI18066" s="38"/>
    </row>
    <row r="18067" ht="15.75" customHeight="1">
      <c r="A18067" s="35"/>
      <c r="C18067" s="442"/>
      <c r="P18067" s="235"/>
      <c r="AI18067" s="38"/>
    </row>
    <row r="18068" ht="15.75" customHeight="1">
      <c r="A18068" s="35"/>
      <c r="C18068" s="442"/>
      <c r="P18068" s="235"/>
      <c r="AI18068" s="38"/>
    </row>
    <row r="18069" ht="15.75" customHeight="1">
      <c r="A18069" s="35"/>
      <c r="C18069" s="442"/>
      <c r="P18069" s="235"/>
      <c r="AI18069" s="38"/>
    </row>
    <row r="18070" ht="15.75" customHeight="1">
      <c r="A18070" s="35"/>
      <c r="C18070" s="442"/>
      <c r="P18070" s="235"/>
      <c r="AI18070" s="38"/>
    </row>
    <row r="18071" ht="15.75" customHeight="1">
      <c r="A18071" s="35"/>
      <c r="C18071" s="442"/>
      <c r="P18071" s="235"/>
      <c r="AI18071" s="38"/>
    </row>
    <row r="18072" ht="15.75" customHeight="1">
      <c r="A18072" s="35"/>
      <c r="C18072" s="442"/>
      <c r="P18072" s="235"/>
      <c r="AI18072" s="38"/>
    </row>
    <row r="18073" ht="15.75" customHeight="1">
      <c r="A18073" s="35"/>
      <c r="C18073" s="442"/>
      <c r="P18073" s="235"/>
      <c r="AI18073" s="38"/>
    </row>
    <row r="18074" ht="15.75" customHeight="1">
      <c r="A18074" s="35"/>
      <c r="C18074" s="442"/>
      <c r="P18074" s="235"/>
      <c r="AI18074" s="38"/>
    </row>
    <row r="18075" ht="15.75" customHeight="1">
      <c r="A18075" s="35"/>
      <c r="C18075" s="442"/>
      <c r="P18075" s="235"/>
      <c r="AI18075" s="38"/>
    </row>
    <row r="18076" ht="15.75" customHeight="1">
      <c r="A18076" s="35"/>
      <c r="C18076" s="442"/>
      <c r="P18076" s="235"/>
      <c r="AI18076" s="38"/>
    </row>
    <row r="18077" ht="15.75" customHeight="1">
      <c r="A18077" s="35"/>
      <c r="C18077" s="442"/>
      <c r="P18077" s="235"/>
      <c r="AI18077" s="38"/>
    </row>
    <row r="18078" ht="15.75" customHeight="1">
      <c r="A18078" s="35"/>
      <c r="C18078" s="442"/>
      <c r="P18078" s="235"/>
      <c r="AI18078" s="38"/>
    </row>
    <row r="18079" ht="15.75" customHeight="1">
      <c r="A18079" s="35"/>
      <c r="C18079" s="442"/>
      <c r="P18079" s="235"/>
      <c r="AI18079" s="38"/>
    </row>
    <row r="18080" ht="15.75" customHeight="1">
      <c r="A18080" s="35"/>
      <c r="C18080" s="442"/>
      <c r="P18080" s="235"/>
      <c r="AI18080" s="38"/>
    </row>
    <row r="18081" ht="15.75" customHeight="1">
      <c r="A18081" s="35"/>
      <c r="C18081" s="442"/>
      <c r="P18081" s="235"/>
      <c r="AI18081" s="38"/>
    </row>
    <row r="18082" ht="15.75" customHeight="1">
      <c r="A18082" s="35"/>
      <c r="C18082" s="442"/>
      <c r="P18082" s="235"/>
      <c r="AI18082" s="38"/>
    </row>
    <row r="18083" ht="15.75" customHeight="1">
      <c r="A18083" s="35"/>
      <c r="C18083" s="442"/>
      <c r="P18083" s="235"/>
      <c r="AI18083" s="38"/>
    </row>
    <row r="18084" ht="15.75" customHeight="1">
      <c r="A18084" s="35"/>
      <c r="C18084" s="442"/>
      <c r="P18084" s="235"/>
      <c r="AI18084" s="38"/>
    </row>
    <row r="18085" ht="15.75" customHeight="1">
      <c r="A18085" s="35"/>
      <c r="C18085" s="442"/>
      <c r="P18085" s="235"/>
      <c r="AI18085" s="38"/>
    </row>
    <row r="18086" ht="15.75" customHeight="1">
      <c r="A18086" s="35"/>
      <c r="C18086" s="442"/>
      <c r="P18086" s="235"/>
      <c r="AI18086" s="38"/>
    </row>
    <row r="18087" ht="15.75" customHeight="1">
      <c r="A18087" s="35"/>
      <c r="C18087" s="442"/>
      <c r="P18087" s="235"/>
      <c r="AI18087" s="38"/>
    </row>
    <row r="18088" ht="15.75" customHeight="1">
      <c r="A18088" s="35"/>
      <c r="C18088" s="442"/>
      <c r="P18088" s="235"/>
      <c r="AI18088" s="38"/>
    </row>
    <row r="18089" ht="15.75" customHeight="1">
      <c r="A18089" s="35"/>
      <c r="C18089" s="442"/>
      <c r="P18089" s="235"/>
      <c r="AI18089" s="38"/>
    </row>
    <row r="18090" ht="15.75" customHeight="1">
      <c r="A18090" s="35"/>
      <c r="C18090" s="442"/>
      <c r="P18090" s="235"/>
      <c r="AI18090" s="38"/>
    </row>
    <row r="18091" ht="15.75" customHeight="1">
      <c r="A18091" s="35"/>
      <c r="C18091" s="442"/>
      <c r="P18091" s="235"/>
      <c r="AI18091" s="38"/>
    </row>
    <row r="18092" ht="15.75" customHeight="1">
      <c r="A18092" s="35"/>
      <c r="C18092" s="442"/>
      <c r="P18092" s="235"/>
      <c r="AI18092" s="38"/>
    </row>
    <row r="18093" ht="15.75" customHeight="1">
      <c r="A18093" s="35"/>
      <c r="C18093" s="442"/>
      <c r="P18093" s="235"/>
      <c r="AI18093" s="38"/>
    </row>
    <row r="18094" ht="15.75" customHeight="1">
      <c r="A18094" s="35"/>
      <c r="C18094" s="442"/>
      <c r="P18094" s="235"/>
      <c r="AI18094" s="38"/>
    </row>
    <row r="18095" ht="15.75" customHeight="1">
      <c r="A18095" s="35"/>
      <c r="C18095" s="442"/>
      <c r="P18095" s="235"/>
      <c r="AI18095" s="38"/>
    </row>
    <row r="18096" ht="15.75" customHeight="1">
      <c r="A18096" s="35"/>
      <c r="C18096" s="442"/>
      <c r="P18096" s="235"/>
      <c r="AI18096" s="38"/>
    </row>
    <row r="18097" ht="15.75" customHeight="1">
      <c r="A18097" s="35"/>
      <c r="C18097" s="442"/>
      <c r="P18097" s="235"/>
      <c r="AI18097" s="38"/>
    </row>
    <row r="18098" ht="15.75" customHeight="1">
      <c r="A18098" s="35"/>
      <c r="C18098" s="442"/>
      <c r="P18098" s="235"/>
      <c r="AI18098" s="38"/>
    </row>
    <row r="18099" ht="15.75" customHeight="1">
      <c r="A18099" s="35"/>
      <c r="C18099" s="442"/>
      <c r="P18099" s="235"/>
      <c r="AI18099" s="38"/>
    </row>
    <row r="18100" ht="15.75" customHeight="1">
      <c r="A18100" s="35"/>
      <c r="C18100" s="442"/>
      <c r="P18100" s="235"/>
      <c r="AI18100" s="38"/>
    </row>
    <row r="18101" ht="15.75" customHeight="1">
      <c r="A18101" s="35"/>
      <c r="C18101" s="442"/>
      <c r="P18101" s="235"/>
      <c r="AI18101" s="38"/>
    </row>
    <row r="18102" ht="15.75" customHeight="1">
      <c r="A18102" s="35"/>
      <c r="C18102" s="442"/>
      <c r="P18102" s="235"/>
      <c r="AI18102" s="38"/>
    </row>
    <row r="18103" ht="15.75" customHeight="1">
      <c r="A18103" s="35"/>
      <c r="C18103" s="442"/>
      <c r="P18103" s="235"/>
      <c r="AI18103" s="38"/>
    </row>
    <row r="18104" ht="15.75" customHeight="1">
      <c r="A18104" s="35"/>
      <c r="C18104" s="442"/>
      <c r="P18104" s="235"/>
      <c r="AI18104" s="38"/>
    </row>
    <row r="18105" ht="15.75" customHeight="1">
      <c r="A18105" s="35"/>
      <c r="C18105" s="442"/>
      <c r="P18105" s="235"/>
      <c r="AI18105" s="38"/>
    </row>
    <row r="18106" ht="15.75" customHeight="1">
      <c r="A18106" s="35"/>
      <c r="C18106" s="442"/>
      <c r="P18106" s="235"/>
      <c r="AI18106" s="38"/>
    </row>
    <row r="18107" ht="15.75" customHeight="1">
      <c r="A18107" s="35"/>
      <c r="C18107" s="442"/>
      <c r="P18107" s="235"/>
      <c r="AI18107" s="38"/>
    </row>
    <row r="18108" ht="15.75" customHeight="1">
      <c r="A18108" s="35"/>
      <c r="C18108" s="442"/>
      <c r="P18108" s="235"/>
      <c r="AI18108" s="38"/>
    </row>
    <row r="18109" ht="15.75" customHeight="1">
      <c r="A18109" s="35"/>
      <c r="C18109" s="442"/>
      <c r="P18109" s="235"/>
      <c r="AI18109" s="38"/>
    </row>
    <row r="18110" ht="15.75" customHeight="1">
      <c r="A18110" s="35"/>
      <c r="C18110" s="442"/>
      <c r="P18110" s="235"/>
      <c r="AI18110" s="38"/>
    </row>
    <row r="18111" ht="15.75" customHeight="1">
      <c r="A18111" s="35"/>
      <c r="C18111" s="442"/>
      <c r="P18111" s="235"/>
      <c r="AI18111" s="38"/>
    </row>
    <row r="18112" ht="15.75" customHeight="1">
      <c r="A18112" s="35"/>
      <c r="C18112" s="442"/>
      <c r="P18112" s="235"/>
      <c r="AI18112" s="38"/>
    </row>
    <row r="18113" ht="15.75" customHeight="1">
      <c r="A18113" s="35"/>
      <c r="C18113" s="442"/>
      <c r="P18113" s="235"/>
      <c r="AI18113" s="38"/>
    </row>
    <row r="18114" ht="15.75" customHeight="1">
      <c r="A18114" s="35"/>
      <c r="C18114" s="442"/>
      <c r="P18114" s="235"/>
      <c r="AI18114" s="38"/>
    </row>
    <row r="18115" ht="15.75" customHeight="1">
      <c r="A18115" s="35"/>
      <c r="C18115" s="442"/>
      <c r="P18115" s="235"/>
      <c r="AI18115" s="38"/>
    </row>
    <row r="18116" ht="15.75" customHeight="1">
      <c r="A18116" s="35"/>
      <c r="C18116" s="442"/>
      <c r="P18116" s="235"/>
      <c r="AI18116" s="38"/>
    </row>
    <row r="18117" ht="15.75" customHeight="1">
      <c r="A18117" s="35"/>
      <c r="C18117" s="442"/>
      <c r="P18117" s="235"/>
      <c r="AI18117" s="38"/>
    </row>
    <row r="18118" ht="15.75" customHeight="1">
      <c r="A18118" s="35"/>
      <c r="C18118" s="442"/>
      <c r="P18118" s="235"/>
      <c r="AI18118" s="38"/>
    </row>
    <row r="18119" ht="15.75" customHeight="1">
      <c r="A18119" s="35"/>
      <c r="C18119" s="442"/>
      <c r="P18119" s="235"/>
      <c r="AI18119" s="38"/>
    </row>
    <row r="18120" ht="15.75" customHeight="1">
      <c r="A18120" s="35"/>
      <c r="C18120" s="442"/>
      <c r="P18120" s="235"/>
      <c r="AI18120" s="38"/>
    </row>
    <row r="18121" ht="15.75" customHeight="1">
      <c r="A18121" s="35"/>
      <c r="C18121" s="442"/>
      <c r="P18121" s="235"/>
      <c r="AI18121" s="38"/>
    </row>
    <row r="18122" ht="15.75" customHeight="1">
      <c r="A18122" s="35"/>
      <c r="C18122" s="442"/>
      <c r="P18122" s="235"/>
      <c r="AI18122" s="38"/>
    </row>
    <row r="18123" ht="15.75" customHeight="1">
      <c r="A18123" s="35"/>
      <c r="C18123" s="442"/>
      <c r="P18123" s="235"/>
      <c r="AI18123" s="38"/>
    </row>
    <row r="18124" ht="15.75" customHeight="1">
      <c r="A18124" s="35"/>
      <c r="C18124" s="442"/>
      <c r="P18124" s="235"/>
      <c r="AI18124" s="38"/>
    </row>
    <row r="18125" ht="15.75" customHeight="1">
      <c r="A18125" s="35"/>
      <c r="C18125" s="442"/>
      <c r="P18125" s="235"/>
      <c r="AI18125" s="38"/>
    </row>
    <row r="18126" ht="15.75" customHeight="1">
      <c r="A18126" s="35"/>
      <c r="C18126" s="442"/>
      <c r="P18126" s="235"/>
      <c r="AI18126" s="38"/>
    </row>
    <row r="18127" ht="15.75" customHeight="1">
      <c r="A18127" s="35"/>
      <c r="C18127" s="442"/>
      <c r="P18127" s="235"/>
      <c r="AI18127" s="38"/>
    </row>
    <row r="18128" ht="15.75" customHeight="1">
      <c r="A18128" s="35"/>
      <c r="C18128" s="442"/>
      <c r="P18128" s="235"/>
      <c r="AI18128" s="38"/>
    </row>
    <row r="18129" ht="15.75" customHeight="1">
      <c r="A18129" s="35"/>
      <c r="C18129" s="442"/>
      <c r="P18129" s="235"/>
      <c r="AI18129" s="38"/>
    </row>
    <row r="18130" ht="15.75" customHeight="1">
      <c r="A18130" s="35"/>
      <c r="C18130" s="442"/>
      <c r="P18130" s="235"/>
      <c r="AI18130" s="38"/>
    </row>
    <row r="18131" ht="15.75" customHeight="1">
      <c r="A18131" s="35"/>
      <c r="C18131" s="442"/>
      <c r="P18131" s="235"/>
      <c r="AI18131" s="38"/>
    </row>
    <row r="18132" ht="15.75" customHeight="1">
      <c r="A18132" s="35"/>
      <c r="C18132" s="442"/>
      <c r="P18132" s="235"/>
      <c r="AI18132" s="38"/>
    </row>
    <row r="18133" ht="15.75" customHeight="1">
      <c r="A18133" s="35"/>
      <c r="C18133" s="442"/>
      <c r="P18133" s="235"/>
      <c r="AI18133" s="38"/>
    </row>
    <row r="18134" ht="15.75" customHeight="1">
      <c r="A18134" s="35"/>
      <c r="C18134" s="442"/>
      <c r="P18134" s="235"/>
      <c r="AI18134" s="38"/>
    </row>
    <row r="18135" ht="15.75" customHeight="1">
      <c r="A18135" s="35"/>
      <c r="C18135" s="442"/>
      <c r="P18135" s="235"/>
      <c r="AI18135" s="38"/>
    </row>
    <row r="18136" ht="15.75" customHeight="1">
      <c r="A18136" s="35"/>
      <c r="C18136" s="442"/>
      <c r="P18136" s="235"/>
      <c r="AI18136" s="38"/>
    </row>
    <row r="18137" ht="15.75" customHeight="1">
      <c r="A18137" s="35"/>
      <c r="C18137" s="442"/>
      <c r="P18137" s="235"/>
      <c r="AI18137" s="38"/>
    </row>
    <row r="18138" ht="15.75" customHeight="1">
      <c r="A18138" s="35"/>
      <c r="C18138" s="442"/>
      <c r="P18138" s="235"/>
      <c r="AI18138" s="38"/>
    </row>
    <row r="18139" ht="15.75" customHeight="1">
      <c r="A18139" s="35"/>
      <c r="C18139" s="442"/>
      <c r="P18139" s="235"/>
      <c r="AI18139" s="38"/>
    </row>
    <row r="18140" ht="15.75" customHeight="1">
      <c r="A18140" s="35"/>
      <c r="C18140" s="442"/>
      <c r="P18140" s="235"/>
      <c r="AI18140" s="38"/>
    </row>
    <row r="18141" ht="15.75" customHeight="1">
      <c r="A18141" s="35"/>
      <c r="C18141" s="442"/>
      <c r="P18141" s="235"/>
      <c r="AI18141" s="38"/>
    </row>
    <row r="18142" ht="15.75" customHeight="1">
      <c r="A18142" s="35"/>
      <c r="C18142" s="442"/>
      <c r="P18142" s="235"/>
      <c r="AI18142" s="38"/>
    </row>
    <row r="18143" ht="15.75" customHeight="1">
      <c r="A18143" s="35"/>
      <c r="C18143" s="442"/>
      <c r="P18143" s="235"/>
      <c r="AI18143" s="38"/>
    </row>
    <row r="18144" ht="15.75" customHeight="1">
      <c r="A18144" s="35"/>
      <c r="C18144" s="442"/>
      <c r="P18144" s="235"/>
      <c r="AI18144" s="38"/>
    </row>
    <row r="18145" ht="15.75" customHeight="1">
      <c r="A18145" s="35"/>
      <c r="C18145" s="442"/>
      <c r="P18145" s="235"/>
      <c r="AI18145" s="38"/>
    </row>
    <row r="18146" ht="15.75" customHeight="1">
      <c r="A18146" s="35"/>
      <c r="C18146" s="442"/>
      <c r="P18146" s="235"/>
      <c r="AI18146" s="38"/>
    </row>
    <row r="18147" ht="15.75" customHeight="1">
      <c r="A18147" s="35"/>
      <c r="C18147" s="442"/>
      <c r="P18147" s="235"/>
      <c r="AI18147" s="38"/>
    </row>
    <row r="18148" ht="15.75" customHeight="1">
      <c r="A18148" s="35"/>
      <c r="C18148" s="442"/>
      <c r="P18148" s="235"/>
      <c r="AI18148" s="38"/>
    </row>
    <row r="18149" ht="15.75" customHeight="1">
      <c r="A18149" s="35"/>
      <c r="C18149" s="442"/>
      <c r="P18149" s="235"/>
      <c r="AI18149" s="38"/>
    </row>
    <row r="18150" ht="15.75" customHeight="1">
      <c r="A18150" s="35"/>
      <c r="C18150" s="442"/>
      <c r="P18150" s="235"/>
      <c r="AI18150" s="38"/>
    </row>
    <row r="18151" ht="15.75" customHeight="1">
      <c r="A18151" s="35"/>
      <c r="C18151" s="442"/>
      <c r="P18151" s="235"/>
      <c r="AI18151" s="38"/>
    </row>
    <row r="18152" ht="15.75" customHeight="1">
      <c r="A18152" s="35"/>
      <c r="C18152" s="442"/>
      <c r="P18152" s="235"/>
      <c r="AI18152" s="38"/>
    </row>
    <row r="18153" ht="15.75" customHeight="1">
      <c r="A18153" s="35"/>
      <c r="C18153" s="442"/>
      <c r="P18153" s="235"/>
      <c r="AI18153" s="38"/>
    </row>
    <row r="18154" ht="15.75" customHeight="1">
      <c r="A18154" s="35"/>
      <c r="C18154" s="442"/>
      <c r="P18154" s="235"/>
      <c r="AI18154" s="38"/>
    </row>
    <row r="18155" ht="15.75" customHeight="1">
      <c r="A18155" s="35"/>
      <c r="C18155" s="442"/>
      <c r="P18155" s="235"/>
      <c r="AI18155" s="38"/>
    </row>
    <row r="18156" ht="15.75" customHeight="1">
      <c r="A18156" s="35"/>
      <c r="C18156" s="442"/>
      <c r="P18156" s="235"/>
      <c r="AI18156" s="38"/>
    </row>
    <row r="18157" ht="15.75" customHeight="1">
      <c r="A18157" s="35"/>
      <c r="C18157" s="442"/>
      <c r="P18157" s="235"/>
      <c r="AI18157" s="38"/>
    </row>
    <row r="18158" ht="15.75" customHeight="1">
      <c r="A18158" s="35"/>
      <c r="C18158" s="442"/>
      <c r="P18158" s="235"/>
      <c r="AI18158" s="38"/>
    </row>
    <row r="18159" ht="15.75" customHeight="1">
      <c r="A18159" s="35"/>
      <c r="C18159" s="442"/>
      <c r="P18159" s="235"/>
      <c r="AI18159" s="38"/>
    </row>
    <row r="18160" ht="15.75" customHeight="1">
      <c r="A18160" s="35"/>
      <c r="C18160" s="442"/>
      <c r="P18160" s="235"/>
      <c r="AI18160" s="38"/>
    </row>
    <row r="18161" ht="15.75" customHeight="1">
      <c r="A18161" s="35"/>
      <c r="C18161" s="442"/>
      <c r="P18161" s="235"/>
      <c r="AI18161" s="38"/>
    </row>
    <row r="18162" ht="15.75" customHeight="1">
      <c r="A18162" s="35"/>
      <c r="C18162" s="442"/>
      <c r="P18162" s="235"/>
      <c r="AI18162" s="38"/>
    </row>
    <row r="18163" ht="15.75" customHeight="1">
      <c r="A18163" s="35"/>
      <c r="C18163" s="442"/>
      <c r="P18163" s="235"/>
      <c r="AI18163" s="38"/>
    </row>
    <row r="18164" ht="15.75" customHeight="1">
      <c r="A18164" s="35"/>
      <c r="C18164" s="442"/>
      <c r="P18164" s="235"/>
      <c r="AI18164" s="38"/>
    </row>
    <row r="18165" ht="15.75" customHeight="1">
      <c r="A18165" s="35"/>
      <c r="C18165" s="442"/>
      <c r="P18165" s="235"/>
      <c r="AI18165" s="38"/>
    </row>
    <row r="18166" ht="15.75" customHeight="1">
      <c r="A18166" s="35"/>
      <c r="C18166" s="442"/>
      <c r="P18166" s="235"/>
      <c r="AI18166" s="38"/>
    </row>
    <row r="18167" ht="15.75" customHeight="1">
      <c r="A18167" s="35"/>
      <c r="C18167" s="442"/>
      <c r="P18167" s="235"/>
      <c r="AI18167" s="38"/>
    </row>
    <row r="18168" ht="15.75" customHeight="1">
      <c r="A18168" s="35"/>
      <c r="C18168" s="442"/>
      <c r="P18168" s="235"/>
      <c r="AI18168" s="38"/>
    </row>
    <row r="18169" ht="15.75" customHeight="1">
      <c r="A18169" s="35"/>
      <c r="C18169" s="442"/>
      <c r="P18169" s="235"/>
      <c r="AI18169" s="38"/>
    </row>
    <row r="18170" ht="15.75" customHeight="1">
      <c r="A18170" s="35"/>
      <c r="C18170" s="442"/>
      <c r="P18170" s="235"/>
      <c r="AI18170" s="38"/>
    </row>
    <row r="18171" ht="15.75" customHeight="1">
      <c r="A18171" s="35"/>
      <c r="C18171" s="442"/>
      <c r="P18171" s="235"/>
      <c r="AI18171" s="38"/>
    </row>
    <row r="18172" ht="15.75" customHeight="1">
      <c r="A18172" s="35"/>
      <c r="C18172" s="442"/>
      <c r="P18172" s="235"/>
      <c r="AI18172" s="38"/>
    </row>
    <row r="18173" ht="15.75" customHeight="1">
      <c r="A18173" s="35"/>
      <c r="C18173" s="442"/>
      <c r="P18173" s="235"/>
      <c r="AI18173" s="38"/>
    </row>
    <row r="18174" ht="15.75" customHeight="1">
      <c r="A18174" s="35"/>
      <c r="C18174" s="442"/>
      <c r="P18174" s="235"/>
      <c r="AI18174" s="38"/>
    </row>
    <row r="18175" ht="15.75" customHeight="1">
      <c r="A18175" s="35"/>
      <c r="C18175" s="442"/>
      <c r="P18175" s="235"/>
      <c r="AI18175" s="38"/>
    </row>
    <row r="18176" ht="15.75" customHeight="1">
      <c r="A18176" s="35"/>
      <c r="C18176" s="442"/>
      <c r="P18176" s="235"/>
      <c r="AI18176" s="38"/>
    </row>
    <row r="18177" ht="15.75" customHeight="1">
      <c r="A18177" s="35"/>
      <c r="C18177" s="442"/>
      <c r="P18177" s="235"/>
      <c r="AI18177" s="38"/>
    </row>
    <row r="18178" ht="15.75" customHeight="1">
      <c r="A18178" s="35"/>
      <c r="C18178" s="442"/>
      <c r="P18178" s="235"/>
      <c r="AI18178" s="38"/>
    </row>
    <row r="18179" ht="15.75" customHeight="1">
      <c r="A18179" s="35"/>
      <c r="C18179" s="442"/>
      <c r="P18179" s="235"/>
      <c r="AI18179" s="38"/>
    </row>
    <row r="18180" ht="15.75" customHeight="1">
      <c r="A18180" s="35"/>
      <c r="C18180" s="442"/>
      <c r="P18180" s="235"/>
      <c r="AI18180" s="38"/>
    </row>
    <row r="18181" ht="15.75" customHeight="1">
      <c r="A18181" s="35"/>
      <c r="C18181" s="442"/>
      <c r="P18181" s="235"/>
      <c r="AI18181" s="38"/>
    </row>
    <row r="18182" ht="15.75" customHeight="1">
      <c r="A18182" s="35"/>
      <c r="C18182" s="442"/>
      <c r="P18182" s="235"/>
      <c r="AI18182" s="38"/>
    </row>
    <row r="18183" ht="15.75" customHeight="1">
      <c r="A18183" s="35"/>
      <c r="C18183" s="442"/>
      <c r="P18183" s="235"/>
      <c r="AI18183" s="38"/>
    </row>
    <row r="18184" ht="15.75" customHeight="1">
      <c r="A18184" s="35"/>
      <c r="C18184" s="442"/>
      <c r="P18184" s="235"/>
      <c r="AI18184" s="38"/>
    </row>
    <row r="18185" ht="15.75" customHeight="1">
      <c r="A18185" s="35"/>
      <c r="C18185" s="442"/>
      <c r="P18185" s="235"/>
      <c r="AI18185" s="38"/>
    </row>
    <row r="18186" ht="15.75" customHeight="1">
      <c r="A18186" s="35"/>
      <c r="C18186" s="442"/>
      <c r="P18186" s="235"/>
      <c r="AI18186" s="38"/>
    </row>
    <row r="18187" ht="15.75" customHeight="1">
      <c r="A18187" s="35"/>
      <c r="C18187" s="442"/>
      <c r="P18187" s="235"/>
      <c r="AI18187" s="38"/>
    </row>
    <row r="18188" ht="15.75" customHeight="1">
      <c r="A18188" s="35"/>
      <c r="C18188" s="442"/>
      <c r="P18188" s="235"/>
      <c r="AI18188" s="38"/>
    </row>
    <row r="18189" ht="15.75" customHeight="1">
      <c r="A18189" s="35"/>
      <c r="C18189" s="442"/>
      <c r="P18189" s="235"/>
      <c r="AI18189" s="38"/>
    </row>
    <row r="18190" ht="15.75" customHeight="1">
      <c r="A18190" s="35"/>
      <c r="C18190" s="442"/>
      <c r="P18190" s="235"/>
      <c r="AI18190" s="38"/>
    </row>
    <row r="18191" ht="15.75" customHeight="1">
      <c r="A18191" s="35"/>
      <c r="C18191" s="442"/>
      <c r="P18191" s="235"/>
      <c r="AI18191" s="38"/>
    </row>
    <row r="18192" ht="15.75" customHeight="1">
      <c r="A18192" s="35"/>
      <c r="C18192" s="442"/>
      <c r="P18192" s="235"/>
      <c r="AI18192" s="38"/>
    </row>
    <row r="18193" ht="15.75" customHeight="1">
      <c r="A18193" s="35"/>
      <c r="C18193" s="442"/>
      <c r="P18193" s="235"/>
      <c r="AI18193" s="38"/>
    </row>
    <row r="18194" ht="15.75" customHeight="1">
      <c r="A18194" s="35"/>
      <c r="C18194" s="442"/>
      <c r="P18194" s="235"/>
      <c r="AI18194" s="38"/>
    </row>
    <row r="18195" ht="15.75" customHeight="1">
      <c r="A18195" s="35"/>
      <c r="C18195" s="442"/>
      <c r="P18195" s="235"/>
      <c r="AI18195" s="38"/>
    </row>
    <row r="18196" ht="15.75" customHeight="1">
      <c r="A18196" s="35"/>
      <c r="C18196" s="442"/>
      <c r="P18196" s="235"/>
      <c r="AI18196" s="38"/>
    </row>
    <row r="18197" ht="15.75" customHeight="1">
      <c r="A18197" s="35"/>
      <c r="C18197" s="442"/>
      <c r="P18197" s="235"/>
      <c r="AI18197" s="38"/>
    </row>
    <row r="18198" ht="15.75" customHeight="1">
      <c r="A18198" s="35"/>
      <c r="C18198" s="442"/>
      <c r="P18198" s="235"/>
      <c r="AI18198" s="38"/>
    </row>
    <row r="18199" ht="15.75" customHeight="1">
      <c r="A18199" s="35"/>
      <c r="C18199" s="442"/>
      <c r="P18199" s="235"/>
      <c r="AI18199" s="38"/>
    </row>
    <row r="18200" ht="15.75" customHeight="1">
      <c r="A18200" s="35"/>
      <c r="C18200" s="442"/>
      <c r="P18200" s="235"/>
      <c r="AI18200" s="38"/>
    </row>
    <row r="18201" ht="15.75" customHeight="1">
      <c r="A18201" s="35"/>
      <c r="C18201" s="442"/>
      <c r="P18201" s="235"/>
      <c r="AI18201" s="38"/>
    </row>
    <row r="18202" ht="15.75" customHeight="1">
      <c r="A18202" s="35"/>
      <c r="C18202" s="442"/>
      <c r="P18202" s="235"/>
      <c r="AI18202" s="38"/>
    </row>
    <row r="18203" ht="15.75" customHeight="1">
      <c r="A18203" s="35"/>
      <c r="C18203" s="442"/>
      <c r="P18203" s="235"/>
      <c r="AI18203" s="38"/>
    </row>
    <row r="18204" ht="15.75" customHeight="1">
      <c r="A18204" s="35"/>
      <c r="C18204" s="442"/>
      <c r="P18204" s="235"/>
      <c r="AI18204" s="38"/>
    </row>
    <row r="18205" ht="15.75" customHeight="1">
      <c r="A18205" s="35"/>
      <c r="C18205" s="442"/>
      <c r="P18205" s="235"/>
      <c r="AI18205" s="38"/>
    </row>
    <row r="18206" ht="15.75" customHeight="1">
      <c r="A18206" s="35"/>
      <c r="C18206" s="442"/>
      <c r="P18206" s="235"/>
      <c r="AI18206" s="38"/>
    </row>
    <row r="18207" ht="15.75" customHeight="1">
      <c r="A18207" s="35"/>
      <c r="C18207" s="442"/>
      <c r="P18207" s="235"/>
      <c r="AI18207" s="38"/>
    </row>
    <row r="18208" ht="15.75" customHeight="1">
      <c r="A18208" s="35"/>
      <c r="C18208" s="442"/>
      <c r="P18208" s="235"/>
      <c r="AI18208" s="38"/>
    </row>
    <row r="18209" ht="15.75" customHeight="1">
      <c r="A18209" s="35"/>
      <c r="C18209" s="442"/>
      <c r="P18209" s="235"/>
      <c r="AI18209" s="38"/>
    </row>
    <row r="18210" ht="15.75" customHeight="1">
      <c r="A18210" s="35"/>
      <c r="C18210" s="442"/>
      <c r="P18210" s="235"/>
      <c r="AI18210" s="38"/>
    </row>
    <row r="18211" ht="15.75" customHeight="1">
      <c r="A18211" s="35"/>
      <c r="C18211" s="442"/>
      <c r="P18211" s="235"/>
      <c r="AI18211" s="38"/>
    </row>
    <row r="18212" ht="15.75" customHeight="1">
      <c r="A18212" s="35"/>
      <c r="C18212" s="442"/>
      <c r="P18212" s="235"/>
      <c r="AI18212" s="38"/>
    </row>
    <row r="18213" ht="15.75" customHeight="1">
      <c r="A18213" s="35"/>
      <c r="C18213" s="442"/>
      <c r="P18213" s="235"/>
      <c r="AI18213" s="38"/>
    </row>
    <row r="18214" ht="15.75" customHeight="1">
      <c r="A18214" s="35"/>
      <c r="C18214" s="442"/>
      <c r="P18214" s="235"/>
      <c r="AI18214" s="38"/>
    </row>
    <row r="18215" ht="15.75" customHeight="1">
      <c r="A18215" s="35"/>
      <c r="C18215" s="442"/>
      <c r="P18215" s="235"/>
      <c r="AI18215" s="38"/>
    </row>
    <row r="18216" ht="15.75" customHeight="1">
      <c r="A18216" s="35"/>
      <c r="C18216" s="442"/>
      <c r="P18216" s="235"/>
      <c r="AI18216" s="38"/>
    </row>
    <row r="18217" ht="15.75" customHeight="1">
      <c r="A18217" s="35"/>
      <c r="C18217" s="442"/>
      <c r="P18217" s="235"/>
      <c r="AI18217" s="38"/>
    </row>
    <row r="18218" ht="15.75" customHeight="1">
      <c r="A18218" s="35"/>
      <c r="C18218" s="442"/>
      <c r="P18218" s="235"/>
      <c r="AI18218" s="38"/>
    </row>
    <row r="18219" ht="15.75" customHeight="1">
      <c r="A18219" s="35"/>
      <c r="C18219" s="442"/>
      <c r="P18219" s="235"/>
      <c r="AI18219" s="38"/>
    </row>
    <row r="18220" ht="15.75" customHeight="1">
      <c r="A18220" s="35"/>
      <c r="C18220" s="442"/>
      <c r="P18220" s="235"/>
      <c r="AI18220" s="38"/>
    </row>
    <row r="18221" ht="15.75" customHeight="1">
      <c r="A18221" s="35"/>
      <c r="C18221" s="442"/>
      <c r="P18221" s="235"/>
      <c r="AI18221" s="38"/>
    </row>
    <row r="18222" ht="15.75" customHeight="1">
      <c r="A18222" s="35"/>
      <c r="C18222" s="442"/>
      <c r="P18222" s="235"/>
      <c r="AI18222" s="38"/>
    </row>
    <row r="18223" ht="15.75" customHeight="1">
      <c r="A18223" s="35"/>
      <c r="C18223" s="442"/>
      <c r="P18223" s="235"/>
      <c r="AI18223" s="38"/>
    </row>
    <row r="18224" ht="15.75" customHeight="1">
      <c r="A18224" s="35"/>
      <c r="C18224" s="442"/>
      <c r="P18224" s="235"/>
      <c r="AI18224" s="38"/>
    </row>
    <row r="18225" ht="15.75" customHeight="1">
      <c r="A18225" s="35"/>
      <c r="C18225" s="442"/>
      <c r="P18225" s="235"/>
      <c r="AI18225" s="38"/>
    </row>
    <row r="18226" ht="15.75" customHeight="1">
      <c r="A18226" s="35"/>
      <c r="C18226" s="442"/>
      <c r="P18226" s="235"/>
      <c r="AI18226" s="38"/>
    </row>
    <row r="18227" ht="15.75" customHeight="1">
      <c r="A18227" s="35"/>
      <c r="C18227" s="442"/>
      <c r="P18227" s="235"/>
      <c r="AI18227" s="38"/>
    </row>
    <row r="18228" ht="15.75" customHeight="1">
      <c r="A18228" s="35"/>
      <c r="C18228" s="442"/>
      <c r="P18228" s="235"/>
      <c r="AI18228" s="38"/>
    </row>
    <row r="18229" ht="15.75" customHeight="1">
      <c r="A18229" s="35"/>
      <c r="C18229" s="442"/>
      <c r="P18229" s="235"/>
      <c r="AI18229" s="38"/>
    </row>
    <row r="18230" ht="15.75" customHeight="1">
      <c r="A18230" s="35"/>
      <c r="C18230" s="442"/>
      <c r="P18230" s="235"/>
      <c r="AI18230" s="38"/>
    </row>
    <row r="18231" ht="15.75" customHeight="1">
      <c r="A18231" s="35"/>
      <c r="C18231" s="442"/>
      <c r="P18231" s="235"/>
      <c r="AI18231" s="38"/>
    </row>
    <row r="18232" ht="15.75" customHeight="1">
      <c r="A18232" s="35"/>
      <c r="C18232" s="442"/>
      <c r="P18232" s="235"/>
      <c r="AI18232" s="38"/>
    </row>
    <row r="18233" ht="15.75" customHeight="1">
      <c r="A18233" s="35"/>
      <c r="C18233" s="442"/>
      <c r="P18233" s="235"/>
      <c r="AI18233" s="38"/>
    </row>
    <row r="18234" ht="15.75" customHeight="1">
      <c r="A18234" s="35"/>
      <c r="C18234" s="442"/>
      <c r="P18234" s="235"/>
      <c r="AI18234" s="38"/>
    </row>
    <row r="18235" ht="15.75" customHeight="1">
      <c r="A18235" s="35"/>
      <c r="C18235" s="442"/>
      <c r="P18235" s="235"/>
      <c r="AI18235" s="38"/>
    </row>
    <row r="18236" ht="15.75" customHeight="1">
      <c r="A18236" s="35"/>
      <c r="C18236" s="442"/>
      <c r="P18236" s="235"/>
      <c r="AI18236" s="38"/>
    </row>
    <row r="18237" ht="15.75" customHeight="1">
      <c r="A18237" s="35"/>
      <c r="C18237" s="442"/>
      <c r="P18237" s="235"/>
      <c r="AI18237" s="38"/>
    </row>
    <row r="18238" ht="15.75" customHeight="1">
      <c r="A18238" s="35"/>
      <c r="C18238" s="442"/>
      <c r="P18238" s="235"/>
      <c r="AI18238" s="38"/>
    </row>
    <row r="18239" ht="15.75" customHeight="1">
      <c r="A18239" s="35"/>
      <c r="C18239" s="442"/>
      <c r="P18239" s="235"/>
      <c r="AI18239" s="38"/>
    </row>
    <row r="18240" ht="15.75" customHeight="1">
      <c r="A18240" s="35"/>
      <c r="C18240" s="442"/>
      <c r="P18240" s="235"/>
      <c r="AI18240" s="38"/>
    </row>
    <row r="18241" ht="15.75" customHeight="1">
      <c r="A18241" s="35"/>
      <c r="C18241" s="442"/>
      <c r="P18241" s="235"/>
      <c r="AI18241" s="38"/>
    </row>
    <row r="18242" ht="15.75" customHeight="1">
      <c r="A18242" s="35"/>
      <c r="C18242" s="442"/>
      <c r="P18242" s="235"/>
      <c r="AI18242" s="38"/>
    </row>
    <row r="18243" ht="15.75" customHeight="1">
      <c r="A18243" s="35"/>
      <c r="C18243" s="442"/>
      <c r="P18243" s="235"/>
      <c r="AI18243" s="38"/>
    </row>
    <row r="18244" ht="15.75" customHeight="1">
      <c r="A18244" s="35"/>
      <c r="C18244" s="442"/>
      <c r="P18244" s="235"/>
      <c r="AI18244" s="38"/>
    </row>
    <row r="18245" ht="15.75" customHeight="1">
      <c r="A18245" s="35"/>
      <c r="C18245" s="442"/>
      <c r="P18245" s="235"/>
      <c r="AI18245" s="38"/>
    </row>
    <row r="18246" ht="15.75" customHeight="1">
      <c r="A18246" s="35"/>
      <c r="C18246" s="442"/>
      <c r="P18246" s="235"/>
      <c r="AI18246" s="38"/>
    </row>
    <row r="18247" ht="15.75" customHeight="1">
      <c r="A18247" s="35"/>
      <c r="C18247" s="442"/>
      <c r="P18247" s="235"/>
      <c r="AI18247" s="38"/>
    </row>
    <row r="18248" ht="15.75" customHeight="1">
      <c r="A18248" s="35"/>
      <c r="C18248" s="442"/>
      <c r="P18248" s="235"/>
      <c r="AI18248" s="38"/>
    </row>
    <row r="18249" ht="15.75" customHeight="1">
      <c r="A18249" s="35"/>
      <c r="C18249" s="442"/>
      <c r="P18249" s="235"/>
      <c r="AI18249" s="38"/>
    </row>
    <row r="18250" ht="15.75" customHeight="1">
      <c r="A18250" s="35"/>
      <c r="C18250" s="442"/>
      <c r="P18250" s="235"/>
      <c r="AI18250" s="38"/>
    </row>
    <row r="18251" ht="15.75" customHeight="1">
      <c r="A18251" s="35"/>
      <c r="C18251" s="442"/>
      <c r="P18251" s="235"/>
      <c r="AI18251" s="38"/>
    </row>
    <row r="18252" ht="15.75" customHeight="1">
      <c r="A18252" s="35"/>
      <c r="C18252" s="442"/>
      <c r="P18252" s="235"/>
      <c r="AI18252" s="38"/>
    </row>
    <row r="18253" ht="15.75" customHeight="1">
      <c r="A18253" s="35"/>
      <c r="C18253" s="442"/>
      <c r="P18253" s="235"/>
      <c r="AI18253" s="38"/>
    </row>
    <row r="18254" ht="15.75" customHeight="1">
      <c r="A18254" s="35"/>
      <c r="C18254" s="442"/>
      <c r="P18254" s="235"/>
      <c r="AI18254" s="38"/>
    </row>
    <row r="18255" ht="15.75" customHeight="1">
      <c r="A18255" s="35"/>
      <c r="C18255" s="442"/>
      <c r="P18255" s="235"/>
      <c r="AI18255" s="38"/>
    </row>
    <row r="18256" ht="15.75" customHeight="1">
      <c r="A18256" s="35"/>
      <c r="C18256" s="442"/>
      <c r="P18256" s="235"/>
      <c r="AI18256" s="38"/>
    </row>
    <row r="18257" ht="15.75" customHeight="1">
      <c r="A18257" s="35"/>
      <c r="C18257" s="442"/>
      <c r="P18257" s="235"/>
      <c r="AI18257" s="38"/>
    </row>
    <row r="18258" ht="15.75" customHeight="1">
      <c r="A18258" s="35"/>
      <c r="C18258" s="442"/>
      <c r="P18258" s="235"/>
      <c r="AI18258" s="38"/>
    </row>
    <row r="18259" ht="15.75" customHeight="1">
      <c r="A18259" s="35"/>
      <c r="C18259" s="442"/>
      <c r="P18259" s="235"/>
      <c r="AI18259" s="38"/>
    </row>
    <row r="18260" ht="15.75" customHeight="1">
      <c r="A18260" s="35"/>
      <c r="C18260" s="442"/>
      <c r="P18260" s="235"/>
      <c r="AI18260" s="38"/>
    </row>
    <row r="18261" ht="15.75" customHeight="1">
      <c r="A18261" s="35"/>
      <c r="C18261" s="442"/>
      <c r="P18261" s="235"/>
      <c r="AI18261" s="38"/>
    </row>
    <row r="18262" ht="15.75" customHeight="1">
      <c r="A18262" s="35"/>
      <c r="C18262" s="442"/>
      <c r="P18262" s="235"/>
      <c r="AI18262" s="38"/>
    </row>
    <row r="18263" ht="15.75" customHeight="1">
      <c r="A18263" s="35"/>
      <c r="C18263" s="442"/>
      <c r="P18263" s="235"/>
      <c r="AI18263" s="38"/>
    </row>
    <row r="18264" ht="15.75" customHeight="1">
      <c r="A18264" s="35"/>
      <c r="C18264" s="442"/>
      <c r="P18264" s="235"/>
      <c r="AI18264" s="38"/>
    </row>
    <row r="18265" ht="15.75" customHeight="1">
      <c r="A18265" s="35"/>
      <c r="C18265" s="442"/>
      <c r="P18265" s="235"/>
      <c r="AI18265" s="38"/>
    </row>
    <row r="18266" ht="15.75" customHeight="1">
      <c r="A18266" s="35"/>
      <c r="C18266" s="442"/>
      <c r="P18266" s="235"/>
      <c r="AI18266" s="38"/>
    </row>
    <row r="18267" ht="15.75" customHeight="1">
      <c r="A18267" s="35"/>
      <c r="C18267" s="442"/>
      <c r="P18267" s="235"/>
      <c r="AI18267" s="38"/>
    </row>
    <row r="18268" ht="15.75" customHeight="1">
      <c r="A18268" s="35"/>
      <c r="C18268" s="442"/>
      <c r="P18268" s="235"/>
      <c r="AI18268" s="38"/>
    </row>
    <row r="18269" ht="15.75" customHeight="1">
      <c r="A18269" s="35"/>
      <c r="C18269" s="442"/>
      <c r="P18269" s="235"/>
      <c r="AI18269" s="38"/>
    </row>
    <row r="18270" ht="15.75" customHeight="1">
      <c r="A18270" s="35"/>
      <c r="C18270" s="442"/>
      <c r="P18270" s="235"/>
      <c r="AI18270" s="38"/>
    </row>
    <row r="18271" ht="15.75" customHeight="1">
      <c r="A18271" s="35"/>
      <c r="C18271" s="442"/>
      <c r="P18271" s="235"/>
      <c r="AI18271" s="38"/>
    </row>
    <row r="18272" ht="15.75" customHeight="1">
      <c r="A18272" s="35"/>
      <c r="C18272" s="442"/>
      <c r="P18272" s="235"/>
      <c r="AI18272" s="38"/>
    </row>
    <row r="18273" ht="15.75" customHeight="1">
      <c r="A18273" s="35"/>
      <c r="C18273" s="442"/>
      <c r="P18273" s="235"/>
      <c r="AI18273" s="38"/>
    </row>
    <row r="18274" ht="15.75" customHeight="1">
      <c r="A18274" s="35"/>
      <c r="C18274" s="442"/>
      <c r="P18274" s="235"/>
      <c r="AI18274" s="38"/>
    </row>
    <row r="18275" ht="15.75" customHeight="1">
      <c r="A18275" s="35"/>
      <c r="C18275" s="442"/>
      <c r="P18275" s="235"/>
      <c r="AI18275" s="38"/>
    </row>
    <row r="18276" ht="15.75" customHeight="1">
      <c r="A18276" s="35"/>
      <c r="C18276" s="442"/>
      <c r="P18276" s="235"/>
      <c r="AI18276" s="38"/>
    </row>
    <row r="18277" ht="15.75" customHeight="1">
      <c r="A18277" s="35"/>
      <c r="C18277" s="442"/>
      <c r="P18277" s="235"/>
      <c r="AI18277" s="38"/>
    </row>
    <row r="18278" ht="15.75" customHeight="1">
      <c r="A18278" s="35"/>
      <c r="C18278" s="442"/>
      <c r="P18278" s="235"/>
      <c r="AI18278" s="38"/>
    </row>
    <row r="18279" ht="15.75" customHeight="1">
      <c r="A18279" s="35"/>
      <c r="C18279" s="442"/>
      <c r="P18279" s="235"/>
      <c r="AI18279" s="38"/>
    </row>
    <row r="18280" ht="15.75" customHeight="1">
      <c r="A18280" s="35"/>
      <c r="C18280" s="442"/>
      <c r="P18280" s="235"/>
      <c r="AI18280" s="38"/>
    </row>
    <row r="18281" ht="15.75" customHeight="1">
      <c r="A18281" s="35"/>
      <c r="C18281" s="442"/>
      <c r="P18281" s="235"/>
      <c r="AI18281" s="38"/>
    </row>
    <row r="18282" ht="15.75" customHeight="1">
      <c r="A18282" s="35"/>
      <c r="C18282" s="442"/>
      <c r="P18282" s="235"/>
      <c r="AI18282" s="38"/>
    </row>
    <row r="18283" ht="15.75" customHeight="1">
      <c r="A18283" s="35"/>
      <c r="C18283" s="442"/>
      <c r="P18283" s="235"/>
      <c r="AI18283" s="38"/>
    </row>
    <row r="18284" ht="15.75" customHeight="1">
      <c r="A18284" s="35"/>
      <c r="C18284" s="442"/>
      <c r="P18284" s="235"/>
      <c r="AI18284" s="38"/>
    </row>
    <row r="18285" ht="15.75" customHeight="1">
      <c r="A18285" s="35"/>
      <c r="C18285" s="442"/>
      <c r="P18285" s="235"/>
      <c r="AI18285" s="38"/>
    </row>
    <row r="18286" ht="15.75" customHeight="1">
      <c r="A18286" s="35"/>
      <c r="C18286" s="442"/>
      <c r="P18286" s="235"/>
      <c r="AI18286" s="38"/>
    </row>
    <row r="18287" ht="15.75" customHeight="1">
      <c r="A18287" s="35"/>
      <c r="C18287" s="442"/>
      <c r="P18287" s="235"/>
      <c r="AI18287" s="38"/>
    </row>
    <row r="18288" ht="15.75" customHeight="1">
      <c r="A18288" s="35"/>
      <c r="C18288" s="442"/>
      <c r="P18288" s="235"/>
      <c r="AI18288" s="38"/>
    </row>
    <row r="18289" ht="15.75" customHeight="1">
      <c r="A18289" s="35"/>
      <c r="C18289" s="442"/>
      <c r="P18289" s="235"/>
      <c r="AI18289" s="38"/>
    </row>
    <row r="18290" ht="15.75" customHeight="1">
      <c r="A18290" s="35"/>
      <c r="C18290" s="442"/>
      <c r="P18290" s="235"/>
      <c r="AI18290" s="38"/>
    </row>
    <row r="18291" ht="15.75" customHeight="1">
      <c r="A18291" s="35"/>
      <c r="C18291" s="442"/>
      <c r="P18291" s="235"/>
      <c r="AI18291" s="38"/>
    </row>
    <row r="18292" ht="15.75" customHeight="1">
      <c r="A18292" s="35"/>
      <c r="C18292" s="442"/>
      <c r="P18292" s="235"/>
      <c r="AI18292" s="38"/>
    </row>
    <row r="18293" ht="15.75" customHeight="1">
      <c r="A18293" s="35"/>
      <c r="C18293" s="442"/>
      <c r="P18293" s="235"/>
      <c r="AI18293" s="38"/>
    </row>
    <row r="18294" ht="15.75" customHeight="1">
      <c r="A18294" s="35"/>
      <c r="C18294" s="442"/>
      <c r="P18294" s="235"/>
      <c r="AI18294" s="38"/>
    </row>
    <row r="18295" ht="15.75" customHeight="1">
      <c r="A18295" s="35"/>
      <c r="C18295" s="442"/>
      <c r="P18295" s="235"/>
      <c r="AI18295" s="38"/>
    </row>
    <row r="18296" ht="15.75" customHeight="1">
      <c r="A18296" s="35"/>
      <c r="C18296" s="442"/>
      <c r="P18296" s="235"/>
      <c r="AI18296" s="38"/>
    </row>
    <row r="18297" ht="15.75" customHeight="1">
      <c r="A18297" s="35"/>
      <c r="C18297" s="442"/>
      <c r="P18297" s="235"/>
      <c r="AI18297" s="38"/>
    </row>
    <row r="18298" ht="15.75" customHeight="1">
      <c r="A18298" s="35"/>
      <c r="C18298" s="442"/>
      <c r="P18298" s="235"/>
      <c r="AI18298" s="38"/>
    </row>
    <row r="18299" ht="15.75" customHeight="1">
      <c r="A18299" s="35"/>
      <c r="C18299" s="442"/>
      <c r="P18299" s="235"/>
      <c r="AI18299" s="38"/>
    </row>
    <row r="18300" ht="15.75" customHeight="1">
      <c r="A18300" s="35"/>
      <c r="C18300" s="442"/>
      <c r="P18300" s="235"/>
      <c r="AI18300" s="38"/>
    </row>
    <row r="18301" ht="15.75" customHeight="1">
      <c r="A18301" s="35"/>
      <c r="C18301" s="442"/>
      <c r="P18301" s="235"/>
      <c r="AI18301" s="38"/>
    </row>
    <row r="18302" ht="15.75" customHeight="1">
      <c r="A18302" s="35"/>
      <c r="C18302" s="442"/>
      <c r="P18302" s="235"/>
      <c r="AI18302" s="38"/>
    </row>
    <row r="18303" ht="15.75" customHeight="1">
      <c r="A18303" s="35"/>
      <c r="C18303" s="442"/>
      <c r="P18303" s="235"/>
      <c r="AI18303" s="38"/>
    </row>
    <row r="18304" ht="15.75" customHeight="1">
      <c r="A18304" s="35"/>
      <c r="C18304" s="442"/>
      <c r="P18304" s="235"/>
      <c r="AI18304" s="38"/>
    </row>
    <row r="18305" ht="15.75" customHeight="1">
      <c r="A18305" s="35"/>
      <c r="C18305" s="442"/>
      <c r="P18305" s="235"/>
      <c r="AI18305" s="38"/>
    </row>
    <row r="18306" ht="15.75" customHeight="1">
      <c r="A18306" s="35"/>
      <c r="C18306" s="442"/>
      <c r="P18306" s="235"/>
      <c r="AI18306" s="38"/>
    </row>
    <row r="18307" ht="15.75" customHeight="1">
      <c r="A18307" s="35"/>
      <c r="C18307" s="442"/>
      <c r="P18307" s="235"/>
      <c r="AI18307" s="38"/>
    </row>
    <row r="18308" ht="15.75" customHeight="1">
      <c r="A18308" s="35"/>
      <c r="C18308" s="442"/>
      <c r="P18308" s="235"/>
      <c r="AI18308" s="38"/>
    </row>
    <row r="18309" ht="15.75" customHeight="1">
      <c r="A18309" s="35"/>
      <c r="C18309" s="442"/>
      <c r="P18309" s="235"/>
      <c r="AI18309" s="38"/>
    </row>
    <row r="18310" ht="15.75" customHeight="1">
      <c r="A18310" s="35"/>
      <c r="C18310" s="442"/>
      <c r="P18310" s="235"/>
      <c r="AI18310" s="38"/>
    </row>
    <row r="18311" ht="15.75" customHeight="1">
      <c r="A18311" s="35"/>
      <c r="C18311" s="442"/>
      <c r="P18311" s="235"/>
      <c r="AI18311" s="38"/>
    </row>
    <row r="18312" ht="15.75" customHeight="1">
      <c r="A18312" s="35"/>
      <c r="C18312" s="442"/>
      <c r="P18312" s="235"/>
      <c r="AI18312" s="38"/>
    </row>
    <row r="18313" ht="15.75" customHeight="1">
      <c r="A18313" s="35"/>
      <c r="C18313" s="442"/>
      <c r="P18313" s="235"/>
      <c r="AI18313" s="38"/>
    </row>
    <row r="18314" ht="15.75" customHeight="1">
      <c r="A18314" s="35"/>
      <c r="C18314" s="442"/>
      <c r="P18314" s="235"/>
      <c r="AI18314" s="38"/>
    </row>
    <row r="18315" ht="15.75" customHeight="1">
      <c r="A18315" s="35"/>
      <c r="C18315" s="442"/>
      <c r="P18315" s="235"/>
      <c r="AI18315" s="38"/>
    </row>
    <row r="18316" ht="15.75" customHeight="1">
      <c r="A18316" s="35"/>
      <c r="C18316" s="442"/>
      <c r="P18316" s="235"/>
      <c r="AI18316" s="38"/>
    </row>
    <row r="18317" ht="15.75" customHeight="1">
      <c r="A18317" s="35"/>
      <c r="C18317" s="442"/>
      <c r="P18317" s="235"/>
      <c r="AI18317" s="38"/>
    </row>
    <row r="18318" ht="15.75" customHeight="1">
      <c r="A18318" s="35"/>
      <c r="C18318" s="442"/>
      <c r="P18318" s="235"/>
      <c r="AI18318" s="38"/>
    </row>
    <row r="18319" ht="15.75" customHeight="1">
      <c r="A18319" s="35"/>
      <c r="C18319" s="442"/>
      <c r="P18319" s="235"/>
      <c r="AI18319" s="38"/>
    </row>
    <row r="18320" ht="15.75" customHeight="1">
      <c r="A18320" s="35"/>
      <c r="C18320" s="442"/>
      <c r="P18320" s="235"/>
      <c r="AI18320" s="38"/>
    </row>
    <row r="18321" ht="15.75" customHeight="1">
      <c r="A18321" s="35"/>
      <c r="C18321" s="442"/>
      <c r="P18321" s="235"/>
      <c r="AI18321" s="38"/>
    </row>
    <row r="18322" ht="15.75" customHeight="1">
      <c r="A18322" s="35"/>
      <c r="C18322" s="442"/>
      <c r="P18322" s="235"/>
      <c r="AI18322" s="38"/>
    </row>
    <row r="18323" ht="15.75" customHeight="1">
      <c r="A18323" s="35"/>
      <c r="C18323" s="442"/>
      <c r="P18323" s="235"/>
      <c r="AI18323" s="38"/>
    </row>
    <row r="18324" ht="15.75" customHeight="1">
      <c r="A18324" s="35"/>
      <c r="C18324" s="442"/>
      <c r="P18324" s="235"/>
      <c r="AI18324" s="38"/>
    </row>
    <row r="18325" ht="15.75" customHeight="1">
      <c r="A18325" s="35"/>
      <c r="C18325" s="442"/>
      <c r="P18325" s="235"/>
      <c r="AI18325" s="38"/>
    </row>
    <row r="18326" ht="15.75" customHeight="1">
      <c r="A18326" s="35"/>
      <c r="C18326" s="442"/>
      <c r="P18326" s="235"/>
      <c r="AI18326" s="38"/>
    </row>
    <row r="18327" ht="15.75" customHeight="1">
      <c r="A18327" s="35"/>
      <c r="C18327" s="442"/>
      <c r="P18327" s="235"/>
      <c r="AI18327" s="38"/>
    </row>
    <row r="18328" ht="15.75" customHeight="1">
      <c r="A18328" s="35"/>
      <c r="C18328" s="442"/>
      <c r="P18328" s="235"/>
      <c r="AI18328" s="38"/>
    </row>
    <row r="18329" ht="15.75" customHeight="1">
      <c r="A18329" s="35"/>
      <c r="C18329" s="442"/>
      <c r="P18329" s="235"/>
      <c r="AI18329" s="38"/>
    </row>
    <row r="18330" ht="15.75" customHeight="1">
      <c r="A18330" s="35"/>
      <c r="C18330" s="442"/>
      <c r="P18330" s="235"/>
      <c r="AI18330" s="38"/>
    </row>
    <row r="18331" ht="15.75" customHeight="1">
      <c r="A18331" s="35"/>
      <c r="C18331" s="442"/>
      <c r="P18331" s="235"/>
      <c r="AI18331" s="38"/>
    </row>
    <row r="18332" ht="15.75" customHeight="1">
      <c r="A18332" s="35"/>
      <c r="C18332" s="442"/>
      <c r="P18332" s="235"/>
      <c r="AI18332" s="38"/>
    </row>
    <row r="18333" ht="15.75" customHeight="1">
      <c r="A18333" s="35"/>
      <c r="C18333" s="442"/>
      <c r="P18333" s="235"/>
      <c r="AI18333" s="38"/>
    </row>
    <row r="18334" ht="15.75" customHeight="1">
      <c r="A18334" s="35"/>
      <c r="C18334" s="442"/>
      <c r="P18334" s="235"/>
      <c r="AI18334" s="38"/>
    </row>
    <row r="18335" ht="15.75" customHeight="1">
      <c r="A18335" s="35"/>
      <c r="C18335" s="442"/>
      <c r="P18335" s="235"/>
      <c r="AI18335" s="38"/>
    </row>
    <row r="18336" ht="15.75" customHeight="1">
      <c r="A18336" s="35"/>
      <c r="C18336" s="442"/>
      <c r="P18336" s="235"/>
      <c r="AI18336" s="38"/>
    </row>
    <row r="18337" ht="15.75" customHeight="1">
      <c r="A18337" s="35"/>
      <c r="C18337" s="442"/>
      <c r="P18337" s="235"/>
      <c r="AI18337" s="38"/>
    </row>
    <row r="18338" ht="15.75" customHeight="1">
      <c r="A18338" s="35"/>
      <c r="C18338" s="442"/>
      <c r="P18338" s="235"/>
      <c r="AI18338" s="38"/>
    </row>
    <row r="18339" ht="15.75" customHeight="1">
      <c r="A18339" s="35"/>
      <c r="C18339" s="442"/>
      <c r="P18339" s="235"/>
      <c r="AI18339" s="38"/>
    </row>
    <row r="18340" ht="15.75" customHeight="1">
      <c r="A18340" s="35"/>
      <c r="C18340" s="442"/>
      <c r="P18340" s="235"/>
      <c r="AI18340" s="38"/>
    </row>
    <row r="18341" ht="15.75" customHeight="1">
      <c r="A18341" s="35"/>
      <c r="C18341" s="442"/>
      <c r="P18341" s="235"/>
      <c r="AI18341" s="38"/>
    </row>
    <row r="18342" ht="15.75" customHeight="1">
      <c r="A18342" s="35"/>
      <c r="C18342" s="442"/>
      <c r="P18342" s="235"/>
      <c r="AI18342" s="38"/>
    </row>
    <row r="18343" ht="15.75" customHeight="1">
      <c r="A18343" s="35"/>
      <c r="C18343" s="442"/>
      <c r="P18343" s="235"/>
      <c r="AI18343" s="38"/>
    </row>
    <row r="18344" ht="15.75" customHeight="1">
      <c r="A18344" s="35"/>
      <c r="C18344" s="442"/>
      <c r="P18344" s="235"/>
      <c r="AI18344" s="38"/>
    </row>
    <row r="18345" ht="15.75" customHeight="1">
      <c r="A18345" s="35"/>
      <c r="C18345" s="442"/>
      <c r="P18345" s="235"/>
      <c r="AI18345" s="38"/>
    </row>
    <row r="18346" ht="15.75" customHeight="1">
      <c r="A18346" s="35"/>
      <c r="C18346" s="442"/>
      <c r="P18346" s="235"/>
      <c r="AI18346" s="38"/>
    </row>
    <row r="18347" ht="15.75" customHeight="1">
      <c r="A18347" s="35"/>
      <c r="C18347" s="442"/>
      <c r="P18347" s="235"/>
      <c r="AI18347" s="38"/>
    </row>
    <row r="18348" ht="15.75" customHeight="1">
      <c r="A18348" s="35"/>
      <c r="C18348" s="442"/>
      <c r="P18348" s="235"/>
      <c r="AI18348" s="38"/>
    </row>
    <row r="18349" ht="15.75" customHeight="1">
      <c r="A18349" s="35"/>
      <c r="C18349" s="442"/>
      <c r="P18349" s="235"/>
      <c r="AI18349" s="38"/>
    </row>
    <row r="18350" ht="15.75" customHeight="1">
      <c r="A18350" s="35"/>
      <c r="C18350" s="442"/>
      <c r="P18350" s="235"/>
      <c r="AI18350" s="38"/>
    </row>
    <row r="18351" ht="15.75" customHeight="1">
      <c r="A18351" s="35"/>
      <c r="C18351" s="442"/>
      <c r="P18351" s="235"/>
      <c r="AI18351" s="38"/>
    </row>
    <row r="18352" ht="15.75" customHeight="1">
      <c r="A18352" s="35"/>
      <c r="C18352" s="442"/>
      <c r="P18352" s="235"/>
      <c r="AI18352" s="38"/>
    </row>
    <row r="18353" ht="15.75" customHeight="1">
      <c r="A18353" s="35"/>
      <c r="C18353" s="442"/>
      <c r="P18353" s="235"/>
      <c r="AI18353" s="38"/>
    </row>
    <row r="18354" ht="15.75" customHeight="1">
      <c r="A18354" s="35"/>
      <c r="C18354" s="442"/>
      <c r="P18354" s="235"/>
      <c r="AI18354" s="38"/>
    </row>
    <row r="18355" ht="15.75" customHeight="1">
      <c r="A18355" s="35"/>
      <c r="C18355" s="442"/>
      <c r="P18355" s="235"/>
      <c r="AI18355" s="38"/>
    </row>
    <row r="18356" ht="15.75" customHeight="1">
      <c r="A18356" s="35"/>
      <c r="C18356" s="442"/>
      <c r="P18356" s="235"/>
      <c r="AI18356" s="38"/>
    </row>
    <row r="18357" ht="15.75" customHeight="1">
      <c r="A18357" s="35"/>
      <c r="C18357" s="442"/>
      <c r="P18357" s="235"/>
      <c r="AI18357" s="38"/>
    </row>
    <row r="18358" ht="15.75" customHeight="1">
      <c r="A18358" s="35"/>
      <c r="C18358" s="442"/>
      <c r="P18358" s="235"/>
      <c r="AI18358" s="38"/>
    </row>
    <row r="18359" ht="15.75" customHeight="1">
      <c r="A18359" s="35"/>
      <c r="C18359" s="442"/>
      <c r="P18359" s="235"/>
      <c r="AI18359" s="38"/>
    </row>
    <row r="18360" ht="15.75" customHeight="1">
      <c r="A18360" s="35"/>
      <c r="C18360" s="442"/>
      <c r="P18360" s="235"/>
      <c r="AI18360" s="38"/>
    </row>
    <row r="18361" ht="15.75" customHeight="1">
      <c r="A18361" s="35"/>
      <c r="C18361" s="442"/>
      <c r="P18361" s="235"/>
      <c r="AI18361" s="38"/>
    </row>
    <row r="18362" ht="15.75" customHeight="1">
      <c r="A18362" s="35"/>
      <c r="C18362" s="442"/>
      <c r="P18362" s="235"/>
      <c r="AI18362" s="38"/>
    </row>
    <row r="18363" ht="15.75" customHeight="1">
      <c r="A18363" s="35"/>
      <c r="C18363" s="442"/>
      <c r="P18363" s="235"/>
      <c r="AI18363" s="38"/>
    </row>
    <row r="18364" ht="15.75" customHeight="1">
      <c r="A18364" s="35"/>
      <c r="C18364" s="442"/>
      <c r="P18364" s="235"/>
      <c r="AI18364" s="38"/>
    </row>
    <row r="18365" ht="15.75" customHeight="1">
      <c r="A18365" s="35"/>
      <c r="C18365" s="442"/>
      <c r="P18365" s="235"/>
      <c r="AI18365" s="38"/>
    </row>
    <row r="18366" ht="15.75" customHeight="1">
      <c r="A18366" s="35"/>
      <c r="C18366" s="442"/>
      <c r="P18366" s="235"/>
      <c r="AI18366" s="38"/>
    </row>
    <row r="18367" ht="15.75" customHeight="1">
      <c r="A18367" s="35"/>
      <c r="C18367" s="442"/>
      <c r="P18367" s="235"/>
      <c r="AI18367" s="38"/>
    </row>
    <row r="18368" ht="15.75" customHeight="1">
      <c r="A18368" s="35"/>
      <c r="C18368" s="442"/>
      <c r="P18368" s="235"/>
      <c r="AI18368" s="38"/>
    </row>
    <row r="18369" ht="15.75" customHeight="1">
      <c r="A18369" s="35"/>
      <c r="C18369" s="442"/>
      <c r="P18369" s="235"/>
      <c r="AI18369" s="38"/>
    </row>
    <row r="18370" ht="15.75" customHeight="1">
      <c r="A18370" s="35"/>
      <c r="C18370" s="442"/>
      <c r="P18370" s="235"/>
      <c r="AI18370" s="38"/>
    </row>
    <row r="18371" ht="15.75" customHeight="1">
      <c r="A18371" s="35"/>
      <c r="C18371" s="442"/>
      <c r="P18371" s="235"/>
      <c r="AI18371" s="38"/>
    </row>
    <row r="18372" ht="15.75" customHeight="1">
      <c r="A18372" s="35"/>
      <c r="C18372" s="442"/>
      <c r="P18372" s="235"/>
      <c r="AI18372" s="38"/>
    </row>
    <row r="18373" ht="15.75" customHeight="1">
      <c r="A18373" s="35"/>
      <c r="C18373" s="442"/>
      <c r="P18373" s="235"/>
      <c r="AI18373" s="38"/>
    </row>
    <row r="18374" ht="15.75" customHeight="1">
      <c r="A18374" s="35"/>
      <c r="C18374" s="442"/>
      <c r="P18374" s="235"/>
      <c r="AI18374" s="38"/>
    </row>
    <row r="18375" ht="15.75" customHeight="1">
      <c r="A18375" s="35"/>
      <c r="C18375" s="442"/>
      <c r="P18375" s="235"/>
      <c r="AI18375" s="38"/>
    </row>
    <row r="18376" ht="15.75" customHeight="1">
      <c r="A18376" s="35"/>
      <c r="C18376" s="442"/>
      <c r="P18376" s="235"/>
      <c r="AI18376" s="38"/>
    </row>
    <row r="18377" ht="15.75" customHeight="1">
      <c r="A18377" s="35"/>
      <c r="C18377" s="442"/>
      <c r="P18377" s="235"/>
      <c r="AI18377" s="38"/>
    </row>
    <row r="18378" ht="15.75" customHeight="1">
      <c r="A18378" s="35"/>
      <c r="C18378" s="442"/>
      <c r="P18378" s="235"/>
      <c r="AI18378" s="38"/>
    </row>
    <row r="18379" ht="15.75" customHeight="1">
      <c r="A18379" s="35"/>
      <c r="C18379" s="442"/>
      <c r="P18379" s="235"/>
      <c r="AI18379" s="38"/>
    </row>
    <row r="18380" ht="15.75" customHeight="1">
      <c r="A18380" s="35"/>
      <c r="C18380" s="442"/>
      <c r="P18380" s="235"/>
      <c r="AI18380" s="38"/>
    </row>
    <row r="18381" ht="15.75" customHeight="1">
      <c r="A18381" s="35"/>
      <c r="C18381" s="442"/>
      <c r="P18381" s="235"/>
      <c r="AI18381" s="38"/>
    </row>
    <row r="18382" ht="15.75" customHeight="1">
      <c r="A18382" s="35"/>
      <c r="C18382" s="442"/>
      <c r="P18382" s="235"/>
      <c r="AI18382" s="38"/>
    </row>
    <row r="18383" ht="15.75" customHeight="1">
      <c r="A18383" s="35"/>
      <c r="C18383" s="442"/>
      <c r="P18383" s="235"/>
      <c r="AI18383" s="38"/>
    </row>
    <row r="18384" ht="15.75" customHeight="1">
      <c r="A18384" s="35"/>
      <c r="C18384" s="442"/>
      <c r="P18384" s="235"/>
      <c r="AI18384" s="38"/>
    </row>
    <row r="18385" ht="15.75" customHeight="1">
      <c r="A18385" s="35"/>
      <c r="C18385" s="442"/>
      <c r="P18385" s="235"/>
      <c r="AI18385" s="38"/>
    </row>
    <row r="18386" ht="15.75" customHeight="1">
      <c r="A18386" s="35"/>
      <c r="C18386" s="442"/>
      <c r="P18386" s="235"/>
      <c r="AI18386" s="38"/>
    </row>
    <row r="18387" ht="15.75" customHeight="1">
      <c r="A18387" s="35"/>
      <c r="C18387" s="442"/>
      <c r="P18387" s="235"/>
      <c r="AI18387" s="38"/>
    </row>
    <row r="18388" ht="15.75" customHeight="1">
      <c r="A18388" s="35"/>
      <c r="C18388" s="442"/>
      <c r="P18388" s="235"/>
      <c r="AI18388" s="38"/>
    </row>
    <row r="18389" ht="15.75" customHeight="1">
      <c r="A18389" s="35"/>
      <c r="C18389" s="442"/>
      <c r="P18389" s="235"/>
      <c r="AI18389" s="38"/>
    </row>
    <row r="18390" ht="15.75" customHeight="1">
      <c r="A18390" s="35"/>
      <c r="C18390" s="442"/>
      <c r="P18390" s="235"/>
      <c r="AI18390" s="38"/>
    </row>
    <row r="18391" ht="15.75" customHeight="1">
      <c r="A18391" s="35"/>
      <c r="C18391" s="442"/>
      <c r="P18391" s="235"/>
      <c r="AI18391" s="38"/>
    </row>
    <row r="18392" ht="15.75" customHeight="1">
      <c r="A18392" s="35"/>
      <c r="C18392" s="442"/>
      <c r="P18392" s="235"/>
      <c r="AI18392" s="38"/>
    </row>
    <row r="18393" ht="15.75" customHeight="1">
      <c r="A18393" s="35"/>
      <c r="C18393" s="442"/>
      <c r="P18393" s="235"/>
      <c r="AI18393" s="38"/>
    </row>
    <row r="18394" ht="15.75" customHeight="1">
      <c r="A18394" s="35"/>
      <c r="C18394" s="442"/>
      <c r="P18394" s="235"/>
      <c r="AI18394" s="38"/>
    </row>
    <row r="18395" ht="15.75" customHeight="1">
      <c r="A18395" s="35"/>
      <c r="C18395" s="442"/>
      <c r="P18395" s="235"/>
      <c r="AI18395" s="38"/>
    </row>
    <row r="18396" ht="15.75" customHeight="1">
      <c r="A18396" s="35"/>
      <c r="C18396" s="442"/>
      <c r="P18396" s="235"/>
      <c r="AI18396" s="38"/>
    </row>
    <row r="18397" ht="15.75" customHeight="1">
      <c r="A18397" s="35"/>
      <c r="C18397" s="442"/>
      <c r="P18397" s="235"/>
      <c r="AI18397" s="38"/>
    </row>
    <row r="18398" ht="15.75" customHeight="1">
      <c r="A18398" s="35"/>
      <c r="C18398" s="442"/>
      <c r="P18398" s="235"/>
      <c r="AI18398" s="38"/>
    </row>
    <row r="18399" ht="15.75" customHeight="1">
      <c r="A18399" s="35"/>
      <c r="C18399" s="442"/>
      <c r="P18399" s="235"/>
      <c r="AI18399" s="38"/>
    </row>
    <row r="18400" ht="15.75" customHeight="1">
      <c r="A18400" s="35"/>
      <c r="C18400" s="442"/>
      <c r="P18400" s="235"/>
      <c r="AI18400" s="38"/>
    </row>
    <row r="18401" ht="15.75" customHeight="1">
      <c r="A18401" s="35"/>
      <c r="C18401" s="442"/>
      <c r="P18401" s="235"/>
      <c r="AI18401" s="38"/>
    </row>
    <row r="18402" ht="15.75" customHeight="1">
      <c r="A18402" s="35"/>
      <c r="C18402" s="442"/>
      <c r="P18402" s="235"/>
      <c r="AI18402" s="38"/>
    </row>
    <row r="18403" ht="15.75" customHeight="1">
      <c r="A18403" s="35"/>
      <c r="C18403" s="442"/>
      <c r="P18403" s="235"/>
      <c r="AI18403" s="38"/>
    </row>
    <row r="18404" ht="15.75" customHeight="1">
      <c r="A18404" s="35"/>
      <c r="C18404" s="442"/>
      <c r="P18404" s="235"/>
      <c r="AI18404" s="38"/>
    </row>
    <row r="18405" ht="15.75" customHeight="1">
      <c r="A18405" s="35"/>
      <c r="C18405" s="442"/>
      <c r="P18405" s="235"/>
      <c r="AI18405" s="38"/>
    </row>
    <row r="18406" ht="15.75" customHeight="1">
      <c r="A18406" s="35"/>
      <c r="C18406" s="442"/>
      <c r="P18406" s="235"/>
      <c r="AI18406" s="38"/>
    </row>
    <row r="18407" ht="15.75" customHeight="1">
      <c r="A18407" s="35"/>
      <c r="C18407" s="442"/>
      <c r="P18407" s="235"/>
      <c r="AI18407" s="38"/>
    </row>
    <row r="18408" ht="15.75" customHeight="1">
      <c r="A18408" s="35"/>
      <c r="C18408" s="442"/>
      <c r="P18408" s="235"/>
      <c r="AI18408" s="38"/>
    </row>
    <row r="18409" ht="15.75" customHeight="1">
      <c r="A18409" s="35"/>
      <c r="C18409" s="442"/>
      <c r="P18409" s="235"/>
      <c r="AI18409" s="38"/>
    </row>
    <row r="18410" ht="15.75" customHeight="1">
      <c r="A18410" s="35"/>
      <c r="C18410" s="442"/>
      <c r="P18410" s="235"/>
      <c r="AI18410" s="38"/>
    </row>
    <row r="18411" ht="15.75" customHeight="1">
      <c r="A18411" s="35"/>
      <c r="C18411" s="442"/>
      <c r="P18411" s="235"/>
      <c r="AI18411" s="38"/>
    </row>
    <row r="18412" ht="15.75" customHeight="1">
      <c r="A18412" s="35"/>
      <c r="C18412" s="442"/>
      <c r="P18412" s="235"/>
      <c r="AI18412" s="38"/>
    </row>
    <row r="18413" ht="15.75" customHeight="1">
      <c r="A18413" s="35"/>
      <c r="C18413" s="442"/>
      <c r="P18413" s="235"/>
      <c r="AI18413" s="38"/>
    </row>
    <row r="18414" ht="15.75" customHeight="1">
      <c r="A18414" s="35"/>
      <c r="C18414" s="442"/>
      <c r="P18414" s="235"/>
      <c r="AI18414" s="38"/>
    </row>
    <row r="18415" ht="15.75" customHeight="1">
      <c r="A18415" s="35"/>
      <c r="C18415" s="442"/>
      <c r="P18415" s="235"/>
      <c r="AI18415" s="38"/>
    </row>
    <row r="18416" ht="15.75" customHeight="1">
      <c r="A18416" s="35"/>
      <c r="C18416" s="442"/>
      <c r="P18416" s="235"/>
      <c r="AI18416" s="38"/>
    </row>
    <row r="18417" ht="15.75" customHeight="1">
      <c r="A18417" s="35"/>
      <c r="C18417" s="442"/>
      <c r="P18417" s="235"/>
      <c r="AI18417" s="38"/>
    </row>
    <row r="18418" ht="15.75" customHeight="1">
      <c r="A18418" s="35"/>
      <c r="C18418" s="442"/>
      <c r="P18418" s="235"/>
      <c r="AI18418" s="38"/>
    </row>
    <row r="18419" ht="15.75" customHeight="1">
      <c r="A18419" s="35"/>
      <c r="C18419" s="442"/>
      <c r="P18419" s="235"/>
      <c r="AI18419" s="38"/>
    </row>
    <row r="18420" ht="15.75" customHeight="1">
      <c r="A18420" s="35"/>
      <c r="C18420" s="442"/>
      <c r="P18420" s="235"/>
      <c r="AI18420" s="38"/>
    </row>
    <row r="18421" ht="15.75" customHeight="1">
      <c r="A18421" s="35"/>
      <c r="C18421" s="442"/>
      <c r="P18421" s="235"/>
      <c r="AI18421" s="38"/>
    </row>
    <row r="18422" ht="15.75" customHeight="1">
      <c r="A18422" s="35"/>
      <c r="C18422" s="442"/>
      <c r="P18422" s="235"/>
      <c r="AI18422" s="38"/>
    </row>
    <row r="18423" ht="15.75" customHeight="1">
      <c r="A18423" s="35"/>
      <c r="C18423" s="442"/>
      <c r="P18423" s="235"/>
      <c r="AI18423" s="38"/>
    </row>
    <row r="18424" ht="15.75" customHeight="1">
      <c r="A18424" s="35"/>
      <c r="C18424" s="442"/>
      <c r="P18424" s="235"/>
      <c r="AI18424" s="38"/>
    </row>
    <row r="18425" ht="15.75" customHeight="1">
      <c r="A18425" s="35"/>
      <c r="C18425" s="442"/>
      <c r="P18425" s="235"/>
      <c r="AI18425" s="38"/>
    </row>
    <row r="18426" ht="15.75" customHeight="1">
      <c r="A18426" s="35"/>
      <c r="C18426" s="442"/>
      <c r="P18426" s="235"/>
      <c r="AI18426" s="38"/>
    </row>
    <row r="18427" ht="15.75" customHeight="1">
      <c r="A18427" s="35"/>
      <c r="C18427" s="442"/>
      <c r="P18427" s="235"/>
      <c r="AI18427" s="38"/>
    </row>
    <row r="18428" ht="15.75" customHeight="1">
      <c r="A18428" s="35"/>
      <c r="C18428" s="442"/>
      <c r="P18428" s="235"/>
      <c r="AI18428" s="38"/>
    </row>
    <row r="18429" ht="15.75" customHeight="1">
      <c r="A18429" s="35"/>
      <c r="C18429" s="442"/>
      <c r="P18429" s="235"/>
      <c r="AI18429" s="38"/>
    </row>
    <row r="18430" ht="15.75" customHeight="1">
      <c r="A18430" s="35"/>
      <c r="C18430" s="442"/>
      <c r="P18430" s="235"/>
      <c r="AI18430" s="38"/>
    </row>
    <row r="18431" ht="15.75" customHeight="1">
      <c r="A18431" s="35"/>
      <c r="C18431" s="442"/>
      <c r="P18431" s="235"/>
      <c r="AI18431" s="38"/>
    </row>
    <row r="18432" ht="15.75" customHeight="1">
      <c r="A18432" s="35"/>
      <c r="C18432" s="442"/>
      <c r="P18432" s="235"/>
      <c r="AI18432" s="38"/>
    </row>
    <row r="18433" ht="15.75" customHeight="1">
      <c r="A18433" s="35"/>
      <c r="C18433" s="442"/>
      <c r="P18433" s="235"/>
      <c r="AI18433" s="38"/>
    </row>
    <row r="18434" ht="15.75" customHeight="1">
      <c r="A18434" s="35"/>
      <c r="C18434" s="442"/>
      <c r="P18434" s="235"/>
      <c r="AI18434" s="38"/>
    </row>
    <row r="18435" ht="15.75" customHeight="1">
      <c r="A18435" s="35"/>
      <c r="C18435" s="442"/>
      <c r="P18435" s="235"/>
      <c r="AI18435" s="38"/>
    </row>
    <row r="18436" ht="15.75" customHeight="1">
      <c r="A18436" s="35"/>
      <c r="C18436" s="442"/>
      <c r="P18436" s="235"/>
      <c r="AI18436" s="38"/>
    </row>
    <row r="18437" ht="15.75" customHeight="1">
      <c r="A18437" s="35"/>
      <c r="C18437" s="442"/>
      <c r="P18437" s="235"/>
      <c r="AI18437" s="38"/>
    </row>
    <row r="18438" ht="15.75" customHeight="1">
      <c r="A18438" s="35"/>
      <c r="C18438" s="442"/>
      <c r="P18438" s="235"/>
      <c r="AI18438" s="38"/>
    </row>
    <row r="18439" ht="15.75" customHeight="1">
      <c r="A18439" s="35"/>
      <c r="C18439" s="442"/>
      <c r="P18439" s="235"/>
      <c r="AI18439" s="38"/>
    </row>
    <row r="18440" ht="15.75" customHeight="1">
      <c r="A18440" s="35"/>
      <c r="C18440" s="442"/>
      <c r="P18440" s="235"/>
      <c r="AI18440" s="38"/>
    </row>
    <row r="18441" ht="15.75" customHeight="1">
      <c r="A18441" s="35"/>
      <c r="C18441" s="442"/>
      <c r="P18441" s="235"/>
      <c r="AI18441" s="38"/>
    </row>
    <row r="18442" ht="15.75" customHeight="1">
      <c r="A18442" s="35"/>
      <c r="C18442" s="442"/>
      <c r="P18442" s="235"/>
      <c r="AI18442" s="38"/>
    </row>
    <row r="18443" ht="15.75" customHeight="1">
      <c r="A18443" s="35"/>
      <c r="C18443" s="442"/>
      <c r="P18443" s="235"/>
      <c r="AI18443" s="38"/>
    </row>
    <row r="18444" ht="15.75" customHeight="1">
      <c r="A18444" s="35"/>
      <c r="C18444" s="442"/>
      <c r="P18444" s="235"/>
      <c r="AI18444" s="38"/>
    </row>
    <row r="18445" ht="15.75" customHeight="1">
      <c r="A18445" s="35"/>
      <c r="C18445" s="442"/>
      <c r="P18445" s="235"/>
      <c r="AI18445" s="38"/>
    </row>
    <row r="18446" ht="15.75" customHeight="1">
      <c r="A18446" s="35"/>
      <c r="C18446" s="442"/>
      <c r="P18446" s="235"/>
      <c r="AI18446" s="38"/>
    </row>
    <row r="18447" ht="15.75" customHeight="1">
      <c r="A18447" s="35"/>
      <c r="C18447" s="442"/>
      <c r="P18447" s="235"/>
      <c r="AI18447" s="38"/>
    </row>
    <row r="18448" ht="15.75" customHeight="1">
      <c r="A18448" s="35"/>
      <c r="C18448" s="442"/>
      <c r="P18448" s="235"/>
      <c r="AI18448" s="38"/>
    </row>
    <row r="18449" ht="15.75" customHeight="1">
      <c r="A18449" s="35"/>
      <c r="C18449" s="442"/>
      <c r="P18449" s="235"/>
      <c r="AI18449" s="38"/>
    </row>
    <row r="18450" ht="15.75" customHeight="1">
      <c r="A18450" s="35"/>
      <c r="C18450" s="442"/>
      <c r="P18450" s="235"/>
      <c r="AI18450" s="38"/>
    </row>
    <row r="18451" ht="15.75" customHeight="1">
      <c r="A18451" s="35"/>
      <c r="C18451" s="442"/>
      <c r="P18451" s="235"/>
      <c r="AI18451" s="38"/>
    </row>
    <row r="18452" ht="15.75" customHeight="1">
      <c r="A18452" s="35"/>
      <c r="C18452" s="442"/>
      <c r="P18452" s="235"/>
      <c r="AI18452" s="38"/>
    </row>
    <row r="18453" ht="15.75" customHeight="1">
      <c r="A18453" s="35"/>
      <c r="C18453" s="442"/>
      <c r="P18453" s="235"/>
      <c r="AI18453" s="38"/>
    </row>
    <row r="18454" ht="15.75" customHeight="1">
      <c r="A18454" s="35"/>
      <c r="C18454" s="442"/>
      <c r="P18454" s="235"/>
      <c r="AI18454" s="38"/>
    </row>
    <row r="18455" ht="15.75" customHeight="1">
      <c r="A18455" s="35"/>
      <c r="C18455" s="442"/>
      <c r="P18455" s="235"/>
      <c r="AI18455" s="38"/>
    </row>
    <row r="18456" ht="15.75" customHeight="1">
      <c r="A18456" s="35"/>
      <c r="C18456" s="442"/>
      <c r="P18456" s="235"/>
      <c r="AI18456" s="38"/>
    </row>
    <row r="18457" ht="15.75" customHeight="1">
      <c r="A18457" s="35"/>
      <c r="C18457" s="442"/>
      <c r="P18457" s="235"/>
      <c r="AI18457" s="38"/>
    </row>
    <row r="18458" ht="15.75" customHeight="1">
      <c r="A18458" s="35"/>
      <c r="C18458" s="442"/>
      <c r="P18458" s="235"/>
      <c r="AI18458" s="38"/>
    </row>
    <row r="18459" ht="15.75" customHeight="1">
      <c r="A18459" s="35"/>
      <c r="C18459" s="442"/>
      <c r="P18459" s="235"/>
      <c r="AI18459" s="38"/>
    </row>
    <row r="18460" ht="15.75" customHeight="1">
      <c r="A18460" s="35"/>
      <c r="C18460" s="442"/>
      <c r="P18460" s="235"/>
      <c r="AI18460" s="38"/>
    </row>
    <row r="18461" ht="15.75" customHeight="1">
      <c r="A18461" s="35"/>
      <c r="C18461" s="442"/>
      <c r="P18461" s="235"/>
      <c r="AI18461" s="38"/>
    </row>
    <row r="18462" ht="15.75" customHeight="1">
      <c r="A18462" s="35"/>
      <c r="C18462" s="442"/>
      <c r="P18462" s="235"/>
      <c r="AI18462" s="38"/>
    </row>
    <row r="18463" ht="15.75" customHeight="1">
      <c r="A18463" s="35"/>
      <c r="C18463" s="442"/>
      <c r="P18463" s="235"/>
      <c r="AI18463" s="38"/>
    </row>
    <row r="18464" ht="15.75" customHeight="1">
      <c r="A18464" s="35"/>
      <c r="C18464" s="442"/>
      <c r="P18464" s="235"/>
      <c r="AI18464" s="38"/>
    </row>
    <row r="18465" ht="15.75" customHeight="1">
      <c r="A18465" s="35"/>
      <c r="C18465" s="442"/>
      <c r="P18465" s="235"/>
      <c r="AI18465" s="38"/>
    </row>
    <row r="18466" ht="15.75" customHeight="1">
      <c r="A18466" s="35"/>
      <c r="C18466" s="442"/>
      <c r="P18466" s="235"/>
      <c r="AI18466" s="38"/>
    </row>
    <row r="18467" ht="15.75" customHeight="1">
      <c r="A18467" s="35"/>
      <c r="C18467" s="442"/>
      <c r="P18467" s="235"/>
      <c r="AI18467" s="38"/>
    </row>
    <row r="18468" ht="15.75" customHeight="1">
      <c r="A18468" s="35"/>
      <c r="C18468" s="442"/>
      <c r="P18468" s="235"/>
      <c r="AI18468" s="38"/>
    </row>
    <row r="18469" ht="15.75" customHeight="1">
      <c r="A18469" s="35"/>
      <c r="C18469" s="442"/>
      <c r="P18469" s="235"/>
      <c r="AI18469" s="38"/>
    </row>
    <row r="18470" ht="15.75" customHeight="1">
      <c r="A18470" s="35"/>
      <c r="C18470" s="442"/>
      <c r="P18470" s="235"/>
      <c r="AI18470" s="38"/>
    </row>
    <row r="18471" ht="15.75" customHeight="1">
      <c r="A18471" s="35"/>
      <c r="C18471" s="442"/>
      <c r="P18471" s="235"/>
      <c r="AI18471" s="38"/>
    </row>
    <row r="18472" ht="15.75" customHeight="1">
      <c r="A18472" s="35"/>
      <c r="C18472" s="442"/>
      <c r="P18472" s="235"/>
      <c r="AI18472" s="38"/>
    </row>
    <row r="18473" ht="15.75" customHeight="1">
      <c r="A18473" s="35"/>
      <c r="C18473" s="442"/>
      <c r="P18473" s="235"/>
      <c r="AI18473" s="38"/>
    </row>
    <row r="18474" ht="15.75" customHeight="1">
      <c r="A18474" s="35"/>
      <c r="C18474" s="442"/>
      <c r="P18474" s="235"/>
      <c r="AI18474" s="38"/>
    </row>
    <row r="18475" ht="15.75" customHeight="1">
      <c r="A18475" s="35"/>
      <c r="C18475" s="442"/>
      <c r="P18475" s="235"/>
      <c r="AI18475" s="38"/>
    </row>
    <row r="18476" ht="15.75" customHeight="1">
      <c r="A18476" s="35"/>
      <c r="C18476" s="442"/>
      <c r="P18476" s="235"/>
      <c r="AI18476" s="38"/>
    </row>
    <row r="18477" ht="15.75" customHeight="1">
      <c r="A18477" s="35"/>
      <c r="C18477" s="442"/>
      <c r="P18477" s="235"/>
      <c r="AI18477" s="38"/>
    </row>
    <row r="18478" ht="15.75" customHeight="1">
      <c r="A18478" s="35"/>
      <c r="C18478" s="442"/>
      <c r="P18478" s="235"/>
      <c r="AI18478" s="38"/>
    </row>
    <row r="18479" ht="15.75" customHeight="1">
      <c r="A18479" s="35"/>
      <c r="C18479" s="442"/>
      <c r="P18479" s="235"/>
      <c r="AI18479" s="38"/>
    </row>
    <row r="18480" ht="15.75" customHeight="1">
      <c r="A18480" s="35"/>
      <c r="C18480" s="442"/>
      <c r="P18480" s="235"/>
      <c r="AI18480" s="38"/>
    </row>
    <row r="18481" ht="15.75" customHeight="1">
      <c r="A18481" s="35"/>
      <c r="C18481" s="442"/>
      <c r="P18481" s="235"/>
      <c r="AI18481" s="38"/>
    </row>
    <row r="18482" ht="15.75" customHeight="1">
      <c r="A18482" s="35"/>
      <c r="C18482" s="442"/>
      <c r="P18482" s="235"/>
      <c r="AI18482" s="38"/>
    </row>
    <row r="18483" ht="15.75" customHeight="1">
      <c r="A18483" s="35"/>
      <c r="C18483" s="442"/>
      <c r="P18483" s="235"/>
      <c r="AI18483" s="38"/>
    </row>
    <row r="18484" ht="15.75" customHeight="1">
      <c r="A18484" s="35"/>
      <c r="C18484" s="442"/>
      <c r="P18484" s="235"/>
      <c r="AI18484" s="38"/>
    </row>
    <row r="18485" ht="15.75" customHeight="1">
      <c r="A18485" s="35"/>
      <c r="C18485" s="442"/>
      <c r="P18485" s="235"/>
      <c r="AI18485" s="38"/>
    </row>
    <row r="18486" ht="15.75" customHeight="1">
      <c r="A18486" s="35"/>
      <c r="C18486" s="442"/>
      <c r="P18486" s="235"/>
      <c r="AI18486" s="38"/>
    </row>
    <row r="18487" ht="15.75" customHeight="1">
      <c r="A18487" s="35"/>
      <c r="C18487" s="442"/>
      <c r="P18487" s="235"/>
      <c r="AI18487" s="38"/>
    </row>
    <row r="18488" ht="15.75" customHeight="1">
      <c r="A18488" s="35"/>
      <c r="C18488" s="442"/>
      <c r="P18488" s="235"/>
      <c r="AI18488" s="38"/>
    </row>
    <row r="18489" ht="15.75" customHeight="1">
      <c r="A18489" s="35"/>
      <c r="C18489" s="442"/>
      <c r="P18489" s="235"/>
      <c r="AI18489" s="38"/>
    </row>
    <row r="18490" ht="15.75" customHeight="1">
      <c r="A18490" s="35"/>
      <c r="C18490" s="442"/>
      <c r="P18490" s="235"/>
      <c r="AI18490" s="38"/>
    </row>
    <row r="18491" ht="15.75" customHeight="1">
      <c r="A18491" s="35"/>
      <c r="C18491" s="442"/>
      <c r="P18491" s="235"/>
      <c r="AI18491" s="38"/>
    </row>
    <row r="18492" ht="15.75" customHeight="1">
      <c r="A18492" s="35"/>
      <c r="C18492" s="442"/>
      <c r="P18492" s="235"/>
      <c r="AI18492" s="38"/>
    </row>
    <row r="18493" ht="15.75" customHeight="1">
      <c r="A18493" s="35"/>
      <c r="C18493" s="442"/>
      <c r="P18493" s="235"/>
      <c r="AI18493" s="38"/>
    </row>
    <row r="18494" ht="15.75" customHeight="1">
      <c r="A18494" s="35"/>
      <c r="C18494" s="442"/>
      <c r="P18494" s="235"/>
      <c r="AI18494" s="38"/>
    </row>
    <row r="18495" ht="15.75" customHeight="1">
      <c r="A18495" s="35"/>
      <c r="C18495" s="442"/>
      <c r="P18495" s="235"/>
      <c r="AI18495" s="38"/>
    </row>
    <row r="18496" ht="15.75" customHeight="1">
      <c r="A18496" s="35"/>
      <c r="C18496" s="442"/>
      <c r="P18496" s="235"/>
      <c r="AI18496" s="38"/>
    </row>
    <row r="18497" ht="15.75" customHeight="1">
      <c r="A18497" s="35"/>
      <c r="C18497" s="442"/>
      <c r="P18497" s="235"/>
      <c r="AI18497" s="38"/>
    </row>
    <row r="18498" ht="15.75" customHeight="1">
      <c r="A18498" s="35"/>
      <c r="C18498" s="442"/>
      <c r="P18498" s="235"/>
      <c r="AI18498" s="38"/>
    </row>
    <row r="18499" ht="15.75" customHeight="1">
      <c r="A18499" s="35"/>
      <c r="C18499" s="442"/>
      <c r="P18499" s="235"/>
      <c r="AI18499" s="38"/>
    </row>
    <row r="18500" ht="15.75" customHeight="1">
      <c r="A18500" s="35"/>
      <c r="C18500" s="442"/>
      <c r="P18500" s="235"/>
      <c r="AI18500" s="38"/>
    </row>
    <row r="18501" ht="15.75" customHeight="1">
      <c r="A18501" s="35"/>
      <c r="C18501" s="442"/>
      <c r="P18501" s="235"/>
      <c r="AI18501" s="38"/>
    </row>
    <row r="18502" ht="15.75" customHeight="1">
      <c r="A18502" s="35"/>
      <c r="C18502" s="442"/>
      <c r="P18502" s="235"/>
      <c r="AI18502" s="38"/>
    </row>
    <row r="18503" ht="15.75" customHeight="1">
      <c r="A18503" s="35"/>
      <c r="C18503" s="442"/>
      <c r="P18503" s="235"/>
      <c r="AI18503" s="38"/>
    </row>
    <row r="18504" ht="15.75" customHeight="1">
      <c r="A18504" s="35"/>
      <c r="C18504" s="442"/>
      <c r="P18504" s="235"/>
      <c r="AI18504" s="38"/>
    </row>
    <row r="18505" ht="15.75" customHeight="1">
      <c r="A18505" s="35"/>
      <c r="C18505" s="442"/>
      <c r="P18505" s="235"/>
      <c r="AI18505" s="38"/>
    </row>
    <row r="18506" ht="15.75" customHeight="1">
      <c r="A18506" s="35"/>
      <c r="C18506" s="442"/>
      <c r="P18506" s="235"/>
      <c r="AI18506" s="38"/>
    </row>
    <row r="18507" ht="15.75" customHeight="1">
      <c r="A18507" s="35"/>
      <c r="C18507" s="442"/>
      <c r="P18507" s="235"/>
      <c r="AI18507" s="38"/>
    </row>
    <row r="18508" ht="15.75" customHeight="1">
      <c r="A18508" s="35"/>
      <c r="C18508" s="442"/>
      <c r="P18508" s="235"/>
      <c r="AI18508" s="38"/>
    </row>
    <row r="18509" ht="15.75" customHeight="1">
      <c r="A18509" s="35"/>
      <c r="C18509" s="442"/>
      <c r="P18509" s="235"/>
      <c r="AI18509" s="38"/>
    </row>
    <row r="18510" ht="15.75" customHeight="1">
      <c r="A18510" s="35"/>
      <c r="C18510" s="442"/>
      <c r="P18510" s="235"/>
      <c r="AI18510" s="38"/>
    </row>
    <row r="18511" ht="15.75" customHeight="1">
      <c r="A18511" s="35"/>
      <c r="C18511" s="442"/>
      <c r="P18511" s="235"/>
      <c r="AI18511" s="38"/>
    </row>
    <row r="18512" ht="15.75" customHeight="1">
      <c r="A18512" s="35"/>
      <c r="C18512" s="442"/>
      <c r="P18512" s="235"/>
      <c r="AI18512" s="38"/>
    </row>
    <row r="18513" ht="15.75" customHeight="1">
      <c r="A18513" s="35"/>
      <c r="C18513" s="442"/>
      <c r="P18513" s="235"/>
      <c r="AI18513" s="38"/>
    </row>
    <row r="18514" ht="15.75" customHeight="1">
      <c r="A18514" s="35"/>
      <c r="C18514" s="442"/>
      <c r="P18514" s="235"/>
      <c r="AI18514" s="38"/>
    </row>
    <row r="18515" ht="15.75" customHeight="1">
      <c r="A18515" s="35"/>
      <c r="C18515" s="442"/>
      <c r="P18515" s="235"/>
      <c r="AI18515" s="38"/>
    </row>
    <row r="18516" ht="15.75" customHeight="1">
      <c r="A18516" s="35"/>
      <c r="C18516" s="442"/>
      <c r="P18516" s="235"/>
      <c r="AI18516" s="38"/>
    </row>
    <row r="18517" ht="15.75" customHeight="1">
      <c r="A18517" s="35"/>
      <c r="C18517" s="442"/>
      <c r="P18517" s="235"/>
      <c r="AI18517" s="38"/>
    </row>
    <row r="18518" ht="15.75" customHeight="1">
      <c r="A18518" s="35"/>
      <c r="C18518" s="442"/>
      <c r="P18518" s="235"/>
      <c r="AI18518" s="38"/>
    </row>
    <row r="18519" ht="15.75" customHeight="1">
      <c r="A18519" s="35"/>
      <c r="C18519" s="442"/>
      <c r="P18519" s="235"/>
      <c r="AI18519" s="38"/>
    </row>
    <row r="18520" ht="15.75" customHeight="1">
      <c r="A18520" s="35"/>
      <c r="C18520" s="442"/>
      <c r="P18520" s="235"/>
      <c r="AI18520" s="38"/>
    </row>
    <row r="18521" ht="15.75" customHeight="1">
      <c r="A18521" s="35"/>
      <c r="C18521" s="442"/>
      <c r="P18521" s="235"/>
      <c r="AI18521" s="38"/>
    </row>
    <row r="18522" ht="15.75" customHeight="1">
      <c r="A18522" s="35"/>
      <c r="C18522" s="442"/>
      <c r="P18522" s="235"/>
      <c r="AI18522" s="38"/>
    </row>
    <row r="18523" ht="15.75" customHeight="1">
      <c r="A18523" s="35"/>
      <c r="C18523" s="442"/>
      <c r="P18523" s="235"/>
      <c r="AI18523" s="38"/>
    </row>
    <row r="18524" ht="15.75" customHeight="1">
      <c r="A18524" s="35"/>
      <c r="C18524" s="442"/>
      <c r="P18524" s="235"/>
      <c r="AI18524" s="38"/>
    </row>
    <row r="18525" ht="15.75" customHeight="1">
      <c r="A18525" s="35"/>
      <c r="C18525" s="442"/>
      <c r="P18525" s="235"/>
      <c r="AI18525" s="38"/>
    </row>
    <row r="18526" ht="15.75" customHeight="1">
      <c r="A18526" s="35"/>
      <c r="C18526" s="442"/>
      <c r="P18526" s="235"/>
      <c r="AI18526" s="38"/>
    </row>
    <row r="18527" ht="15.75" customHeight="1">
      <c r="A18527" s="35"/>
      <c r="C18527" s="442"/>
      <c r="P18527" s="235"/>
      <c r="AI18527" s="38"/>
    </row>
    <row r="18528" ht="15.75" customHeight="1">
      <c r="A18528" s="35"/>
      <c r="C18528" s="442"/>
      <c r="P18528" s="235"/>
      <c r="AI18528" s="38"/>
    </row>
    <row r="18529" ht="15.75" customHeight="1">
      <c r="A18529" s="35"/>
      <c r="C18529" s="442"/>
      <c r="P18529" s="235"/>
      <c r="AI18529" s="38"/>
    </row>
    <row r="18530" ht="15.75" customHeight="1">
      <c r="A18530" s="35"/>
      <c r="C18530" s="442"/>
      <c r="P18530" s="235"/>
      <c r="AI18530" s="38"/>
    </row>
    <row r="18531" ht="15.75" customHeight="1">
      <c r="A18531" s="35"/>
      <c r="C18531" s="442"/>
      <c r="P18531" s="235"/>
      <c r="AI18531" s="38"/>
    </row>
    <row r="18532" ht="15.75" customHeight="1">
      <c r="A18532" s="35"/>
      <c r="C18532" s="442"/>
      <c r="P18532" s="235"/>
      <c r="AI18532" s="38"/>
    </row>
    <row r="18533" ht="15.75" customHeight="1">
      <c r="A18533" s="35"/>
      <c r="C18533" s="442"/>
      <c r="P18533" s="235"/>
      <c r="AI18533" s="38"/>
    </row>
    <row r="18534" ht="15.75" customHeight="1">
      <c r="A18534" s="35"/>
      <c r="C18534" s="442"/>
      <c r="P18534" s="235"/>
      <c r="AI18534" s="38"/>
    </row>
    <row r="18535" ht="15.75" customHeight="1">
      <c r="A18535" s="35"/>
      <c r="C18535" s="442"/>
      <c r="P18535" s="235"/>
      <c r="AI18535" s="38"/>
    </row>
    <row r="18536" ht="15.75" customHeight="1">
      <c r="A18536" s="35"/>
      <c r="C18536" s="442"/>
      <c r="P18536" s="235"/>
      <c r="AI18536" s="38"/>
    </row>
    <row r="18537" ht="15.75" customHeight="1">
      <c r="A18537" s="35"/>
      <c r="C18537" s="442"/>
      <c r="P18537" s="235"/>
      <c r="AI18537" s="38"/>
    </row>
    <row r="18538" ht="15.75" customHeight="1">
      <c r="A18538" s="35"/>
      <c r="C18538" s="442"/>
      <c r="P18538" s="235"/>
      <c r="AI18538" s="38"/>
    </row>
    <row r="18539" ht="15.75" customHeight="1">
      <c r="A18539" s="35"/>
      <c r="C18539" s="442"/>
      <c r="P18539" s="235"/>
      <c r="AI18539" s="38"/>
    </row>
    <row r="18540" ht="15.75" customHeight="1">
      <c r="A18540" s="35"/>
      <c r="C18540" s="442"/>
      <c r="P18540" s="235"/>
      <c r="AI18540" s="38"/>
    </row>
    <row r="18541" ht="15.75" customHeight="1">
      <c r="A18541" s="35"/>
      <c r="C18541" s="442"/>
      <c r="P18541" s="235"/>
      <c r="AI18541" s="38"/>
    </row>
    <row r="18542" ht="15.75" customHeight="1">
      <c r="A18542" s="35"/>
      <c r="C18542" s="442"/>
      <c r="P18542" s="235"/>
      <c r="AI18542" s="38"/>
    </row>
    <row r="18543" ht="15.75" customHeight="1">
      <c r="A18543" s="35"/>
      <c r="C18543" s="442"/>
      <c r="P18543" s="235"/>
      <c r="AI18543" s="38"/>
    </row>
    <row r="18544" ht="15.75" customHeight="1">
      <c r="A18544" s="35"/>
      <c r="C18544" s="442"/>
      <c r="P18544" s="235"/>
      <c r="AI18544" s="38"/>
    </row>
    <row r="18545" ht="15.75" customHeight="1">
      <c r="A18545" s="35"/>
      <c r="C18545" s="442"/>
      <c r="P18545" s="235"/>
      <c r="AI18545" s="38"/>
    </row>
    <row r="18546" ht="15.75" customHeight="1">
      <c r="A18546" s="35"/>
      <c r="C18546" s="442"/>
      <c r="P18546" s="235"/>
      <c r="AI18546" s="38"/>
    </row>
    <row r="18547" ht="15.75" customHeight="1">
      <c r="A18547" s="35"/>
      <c r="C18547" s="442"/>
      <c r="P18547" s="235"/>
      <c r="AI18547" s="38"/>
    </row>
    <row r="18548" ht="15.75" customHeight="1">
      <c r="A18548" s="35"/>
      <c r="C18548" s="442"/>
      <c r="P18548" s="235"/>
      <c r="AI18548" s="38"/>
    </row>
    <row r="18549" ht="15.75" customHeight="1">
      <c r="A18549" s="35"/>
      <c r="C18549" s="442"/>
      <c r="P18549" s="235"/>
      <c r="AI18549" s="38"/>
    </row>
    <row r="18550" ht="15.75" customHeight="1">
      <c r="A18550" s="35"/>
      <c r="C18550" s="442"/>
      <c r="P18550" s="235"/>
      <c r="AI18550" s="38"/>
    </row>
    <row r="18551" ht="15.75" customHeight="1">
      <c r="A18551" s="35"/>
      <c r="C18551" s="442"/>
      <c r="P18551" s="235"/>
      <c r="AI18551" s="38"/>
    </row>
    <row r="18552" ht="15.75" customHeight="1">
      <c r="A18552" s="35"/>
      <c r="C18552" s="442"/>
      <c r="P18552" s="235"/>
      <c r="AI18552" s="38"/>
    </row>
    <row r="18553" ht="15.75" customHeight="1">
      <c r="A18553" s="35"/>
      <c r="C18553" s="442"/>
      <c r="P18553" s="235"/>
      <c r="AI18553" s="38"/>
    </row>
    <row r="18554" ht="15.75" customHeight="1">
      <c r="A18554" s="35"/>
      <c r="C18554" s="442"/>
      <c r="P18554" s="235"/>
      <c r="AI18554" s="38"/>
    </row>
    <row r="18555" ht="15.75" customHeight="1">
      <c r="A18555" s="35"/>
      <c r="C18555" s="442"/>
      <c r="P18555" s="235"/>
      <c r="AI18555" s="38"/>
    </row>
    <row r="18556" ht="15.75" customHeight="1">
      <c r="A18556" s="35"/>
      <c r="C18556" s="442"/>
      <c r="P18556" s="235"/>
      <c r="AI18556" s="38"/>
    </row>
    <row r="18557" ht="15.75" customHeight="1">
      <c r="A18557" s="35"/>
      <c r="C18557" s="442"/>
      <c r="P18557" s="235"/>
      <c r="AI18557" s="38"/>
    </row>
    <row r="18558" ht="15.75" customHeight="1">
      <c r="A18558" s="35"/>
      <c r="C18558" s="442"/>
      <c r="P18558" s="235"/>
      <c r="AI18558" s="38"/>
    </row>
    <row r="18559" ht="15.75" customHeight="1">
      <c r="A18559" s="35"/>
      <c r="C18559" s="442"/>
      <c r="P18559" s="235"/>
      <c r="AI18559" s="38"/>
    </row>
    <row r="18560" ht="15.75" customHeight="1">
      <c r="A18560" s="35"/>
      <c r="C18560" s="442"/>
      <c r="P18560" s="235"/>
      <c r="AI18560" s="38"/>
    </row>
    <row r="18561" ht="15.75" customHeight="1">
      <c r="A18561" s="35"/>
      <c r="C18561" s="442"/>
      <c r="P18561" s="235"/>
      <c r="AI18561" s="38"/>
    </row>
    <row r="18562" ht="15.75" customHeight="1">
      <c r="A18562" s="35"/>
      <c r="C18562" s="442"/>
      <c r="P18562" s="235"/>
      <c r="AI18562" s="38"/>
    </row>
    <row r="18563" ht="15.75" customHeight="1">
      <c r="A18563" s="35"/>
      <c r="C18563" s="442"/>
      <c r="P18563" s="235"/>
      <c r="AI18563" s="38"/>
    </row>
    <row r="18564" ht="15.75" customHeight="1">
      <c r="A18564" s="35"/>
      <c r="C18564" s="442"/>
      <c r="P18564" s="235"/>
      <c r="AI18564" s="38"/>
    </row>
    <row r="18565" ht="15.75" customHeight="1">
      <c r="A18565" s="35"/>
      <c r="C18565" s="442"/>
      <c r="P18565" s="235"/>
      <c r="AI18565" s="38"/>
    </row>
    <row r="18566" ht="15.75" customHeight="1">
      <c r="A18566" s="35"/>
      <c r="C18566" s="442"/>
      <c r="P18566" s="235"/>
      <c r="AI18566" s="38"/>
    </row>
    <row r="18567" ht="15.75" customHeight="1">
      <c r="A18567" s="35"/>
      <c r="C18567" s="442"/>
      <c r="P18567" s="235"/>
      <c r="AI18567" s="38"/>
    </row>
    <row r="18568" ht="15.75" customHeight="1">
      <c r="A18568" s="35"/>
      <c r="C18568" s="442"/>
      <c r="P18568" s="235"/>
      <c r="AI18568" s="38"/>
    </row>
    <row r="18569" ht="15.75" customHeight="1">
      <c r="A18569" s="35"/>
      <c r="C18569" s="442"/>
      <c r="P18569" s="235"/>
      <c r="AI18569" s="38"/>
    </row>
    <row r="18570" ht="15.75" customHeight="1">
      <c r="A18570" s="35"/>
      <c r="C18570" s="442"/>
      <c r="P18570" s="235"/>
      <c r="AI18570" s="38"/>
    </row>
    <row r="18571" ht="15.75" customHeight="1">
      <c r="A18571" s="35"/>
      <c r="C18571" s="442"/>
      <c r="P18571" s="235"/>
      <c r="AI18571" s="38"/>
    </row>
    <row r="18572" ht="15.75" customHeight="1">
      <c r="A18572" s="35"/>
      <c r="C18572" s="442"/>
      <c r="P18572" s="235"/>
      <c r="AI18572" s="38"/>
    </row>
    <row r="18573" ht="15.75" customHeight="1">
      <c r="A18573" s="35"/>
      <c r="C18573" s="442"/>
      <c r="P18573" s="235"/>
      <c r="AI18573" s="38"/>
    </row>
    <row r="18574" ht="15.75" customHeight="1">
      <c r="A18574" s="35"/>
      <c r="C18574" s="442"/>
      <c r="P18574" s="235"/>
      <c r="AI18574" s="38"/>
    </row>
    <row r="18575" ht="15.75" customHeight="1">
      <c r="A18575" s="35"/>
      <c r="C18575" s="442"/>
      <c r="P18575" s="235"/>
      <c r="AI18575" s="38"/>
    </row>
    <row r="18576" ht="15.75" customHeight="1">
      <c r="A18576" s="35"/>
      <c r="C18576" s="442"/>
      <c r="P18576" s="235"/>
      <c r="AI18576" s="38"/>
    </row>
    <row r="18577" ht="15.75" customHeight="1">
      <c r="A18577" s="35"/>
      <c r="C18577" s="442"/>
      <c r="P18577" s="235"/>
      <c r="AI18577" s="38"/>
    </row>
    <row r="18578" ht="15.75" customHeight="1">
      <c r="A18578" s="35"/>
      <c r="C18578" s="442"/>
      <c r="P18578" s="235"/>
      <c r="AI18578" s="38"/>
    </row>
    <row r="18579" ht="15.75" customHeight="1">
      <c r="A18579" s="35"/>
      <c r="C18579" s="442"/>
      <c r="P18579" s="235"/>
      <c r="AI18579" s="38"/>
    </row>
    <row r="18580" ht="15.75" customHeight="1">
      <c r="A18580" s="35"/>
      <c r="C18580" s="442"/>
      <c r="P18580" s="235"/>
      <c r="AI18580" s="38"/>
    </row>
    <row r="18581" ht="15.75" customHeight="1">
      <c r="A18581" s="35"/>
      <c r="C18581" s="442"/>
      <c r="P18581" s="235"/>
      <c r="AI18581" s="38"/>
    </row>
    <row r="18582" ht="15.75" customHeight="1">
      <c r="A18582" s="35"/>
      <c r="C18582" s="442"/>
      <c r="P18582" s="235"/>
      <c r="AI18582" s="38"/>
    </row>
    <row r="18583" ht="15.75" customHeight="1">
      <c r="A18583" s="35"/>
      <c r="C18583" s="442"/>
      <c r="P18583" s="235"/>
      <c r="AI18583" s="38"/>
    </row>
    <row r="18584" ht="15.75" customHeight="1">
      <c r="A18584" s="35"/>
      <c r="C18584" s="442"/>
      <c r="P18584" s="235"/>
      <c r="AI18584" s="38"/>
    </row>
    <row r="18585" ht="15.75" customHeight="1">
      <c r="A18585" s="35"/>
      <c r="C18585" s="442"/>
      <c r="P18585" s="235"/>
      <c r="AI18585" s="38"/>
    </row>
    <row r="18586" ht="15.75" customHeight="1">
      <c r="A18586" s="35"/>
      <c r="C18586" s="442"/>
      <c r="P18586" s="235"/>
      <c r="AI18586" s="38"/>
    </row>
    <row r="18587" ht="15.75" customHeight="1">
      <c r="A18587" s="35"/>
      <c r="C18587" s="442"/>
      <c r="P18587" s="235"/>
      <c r="AI18587" s="38"/>
    </row>
    <row r="18588" ht="15.75" customHeight="1">
      <c r="A18588" s="35"/>
      <c r="C18588" s="442"/>
      <c r="P18588" s="235"/>
      <c r="AI18588" s="38"/>
    </row>
    <row r="18589" ht="15.75" customHeight="1">
      <c r="A18589" s="35"/>
      <c r="C18589" s="442"/>
      <c r="P18589" s="235"/>
      <c r="AI18589" s="38"/>
    </row>
    <row r="18590" ht="15.75" customHeight="1">
      <c r="A18590" s="35"/>
      <c r="C18590" s="442"/>
      <c r="P18590" s="235"/>
      <c r="AI18590" s="38"/>
    </row>
    <row r="18591" ht="15.75" customHeight="1">
      <c r="A18591" s="35"/>
      <c r="C18591" s="442"/>
      <c r="P18591" s="235"/>
      <c r="AI18591" s="38"/>
    </row>
    <row r="18592" ht="15.75" customHeight="1">
      <c r="A18592" s="35"/>
      <c r="C18592" s="442"/>
      <c r="P18592" s="235"/>
      <c r="AI18592" s="38"/>
    </row>
    <row r="18593" ht="15.75" customHeight="1">
      <c r="A18593" s="35"/>
      <c r="C18593" s="442"/>
      <c r="P18593" s="235"/>
      <c r="AI18593" s="38"/>
    </row>
    <row r="18594" ht="15.75" customHeight="1">
      <c r="A18594" s="35"/>
      <c r="C18594" s="442"/>
      <c r="P18594" s="235"/>
      <c r="AI18594" s="38"/>
    </row>
    <row r="18595" ht="15.75" customHeight="1">
      <c r="A18595" s="35"/>
      <c r="C18595" s="442"/>
      <c r="P18595" s="235"/>
      <c r="AI18595" s="38"/>
    </row>
    <row r="18596" ht="15.75" customHeight="1">
      <c r="A18596" s="35"/>
      <c r="C18596" s="442"/>
      <c r="P18596" s="235"/>
      <c r="AI18596" s="38"/>
    </row>
    <row r="18597" ht="15.75" customHeight="1">
      <c r="A18597" s="35"/>
      <c r="C18597" s="442"/>
      <c r="P18597" s="235"/>
      <c r="AI18597" s="38"/>
    </row>
    <row r="18598" ht="15.75" customHeight="1">
      <c r="A18598" s="35"/>
      <c r="C18598" s="442"/>
      <c r="P18598" s="235"/>
      <c r="AI18598" s="38"/>
    </row>
    <row r="18599" ht="15.75" customHeight="1">
      <c r="A18599" s="35"/>
      <c r="C18599" s="442"/>
      <c r="P18599" s="235"/>
      <c r="AI18599" s="38"/>
    </row>
    <row r="18600" ht="15.75" customHeight="1">
      <c r="A18600" s="35"/>
      <c r="C18600" s="442"/>
      <c r="P18600" s="235"/>
      <c r="AI18600" s="38"/>
    </row>
    <row r="18601" ht="15.75" customHeight="1">
      <c r="A18601" s="35"/>
      <c r="C18601" s="442"/>
      <c r="P18601" s="235"/>
      <c r="AI18601" s="38"/>
    </row>
    <row r="18602" ht="15.75" customHeight="1">
      <c r="A18602" s="35"/>
      <c r="C18602" s="442"/>
      <c r="P18602" s="235"/>
      <c r="AI18602" s="38"/>
    </row>
    <row r="18603" ht="15.75" customHeight="1">
      <c r="A18603" s="35"/>
      <c r="C18603" s="442"/>
      <c r="P18603" s="235"/>
      <c r="AI18603" s="38"/>
    </row>
    <row r="18604" ht="15.75" customHeight="1">
      <c r="A18604" s="35"/>
      <c r="C18604" s="442"/>
      <c r="P18604" s="235"/>
      <c r="AI18604" s="38"/>
    </row>
    <row r="18605" ht="15.75" customHeight="1">
      <c r="A18605" s="35"/>
      <c r="C18605" s="442"/>
      <c r="P18605" s="235"/>
      <c r="AI18605" s="38"/>
    </row>
    <row r="18606" ht="15.75" customHeight="1">
      <c r="A18606" s="35"/>
      <c r="C18606" s="442"/>
      <c r="P18606" s="235"/>
      <c r="AI18606" s="38"/>
    </row>
    <row r="18607" ht="15.75" customHeight="1">
      <c r="A18607" s="35"/>
      <c r="C18607" s="442"/>
      <c r="P18607" s="235"/>
      <c r="AI18607" s="38"/>
    </row>
    <row r="18608" ht="15.75" customHeight="1">
      <c r="A18608" s="35"/>
      <c r="C18608" s="442"/>
      <c r="P18608" s="235"/>
      <c r="AI18608" s="38"/>
    </row>
    <row r="18609" ht="15.75" customHeight="1">
      <c r="A18609" s="35"/>
      <c r="C18609" s="442"/>
      <c r="P18609" s="235"/>
      <c r="AI18609" s="38"/>
    </row>
    <row r="18610" ht="15.75" customHeight="1">
      <c r="A18610" s="35"/>
      <c r="C18610" s="442"/>
      <c r="P18610" s="235"/>
      <c r="AI18610" s="38"/>
    </row>
    <row r="18611" ht="15.75" customHeight="1">
      <c r="A18611" s="35"/>
      <c r="C18611" s="442"/>
      <c r="P18611" s="235"/>
      <c r="AI18611" s="38"/>
    </row>
    <row r="18612" ht="15.75" customHeight="1">
      <c r="A18612" s="35"/>
      <c r="C18612" s="442"/>
      <c r="P18612" s="235"/>
      <c r="AI18612" s="38"/>
    </row>
    <row r="18613" ht="15.75" customHeight="1">
      <c r="A18613" s="35"/>
      <c r="C18613" s="442"/>
      <c r="P18613" s="235"/>
      <c r="AI18613" s="38"/>
    </row>
    <row r="18614" ht="15.75" customHeight="1">
      <c r="A18614" s="35"/>
      <c r="C18614" s="442"/>
      <c r="P18614" s="235"/>
      <c r="AI18614" s="38"/>
    </row>
    <row r="18615" ht="15.75" customHeight="1">
      <c r="A18615" s="35"/>
      <c r="C18615" s="442"/>
      <c r="P18615" s="235"/>
      <c r="AI18615" s="38"/>
    </row>
    <row r="18616" ht="15.75" customHeight="1">
      <c r="A18616" s="35"/>
      <c r="C18616" s="442"/>
      <c r="P18616" s="235"/>
      <c r="AI18616" s="38"/>
    </row>
    <row r="18617" ht="15.75" customHeight="1">
      <c r="A18617" s="35"/>
      <c r="C18617" s="442"/>
      <c r="P18617" s="235"/>
      <c r="AI18617" s="38"/>
    </row>
    <row r="18618" ht="15.75" customHeight="1">
      <c r="A18618" s="35"/>
      <c r="C18618" s="442"/>
      <c r="P18618" s="235"/>
      <c r="AI18618" s="38"/>
    </row>
    <row r="18619" ht="15.75" customHeight="1">
      <c r="A18619" s="35"/>
      <c r="C18619" s="442"/>
      <c r="P18619" s="235"/>
      <c r="AI18619" s="38"/>
    </row>
    <row r="18620" ht="15.75" customHeight="1">
      <c r="A18620" s="35"/>
      <c r="C18620" s="442"/>
      <c r="P18620" s="235"/>
      <c r="AI18620" s="38"/>
    </row>
    <row r="18621" ht="15.75" customHeight="1">
      <c r="A18621" s="35"/>
      <c r="C18621" s="442"/>
      <c r="P18621" s="235"/>
      <c r="AI18621" s="38"/>
    </row>
    <row r="18622" ht="15.75" customHeight="1">
      <c r="A18622" s="35"/>
      <c r="C18622" s="442"/>
      <c r="P18622" s="235"/>
      <c r="AI18622" s="38"/>
    </row>
    <row r="18623" ht="15.75" customHeight="1">
      <c r="A18623" s="35"/>
      <c r="C18623" s="442"/>
      <c r="P18623" s="235"/>
      <c r="AI18623" s="38"/>
    </row>
    <row r="18624" ht="15.75" customHeight="1">
      <c r="A18624" s="35"/>
      <c r="C18624" s="442"/>
      <c r="P18624" s="235"/>
      <c r="AI18624" s="38"/>
    </row>
    <row r="18625" ht="15.75" customHeight="1">
      <c r="A18625" s="35"/>
      <c r="C18625" s="442"/>
      <c r="P18625" s="235"/>
      <c r="AI18625" s="38"/>
    </row>
    <row r="18626" ht="15.75" customHeight="1">
      <c r="A18626" s="35"/>
      <c r="C18626" s="442"/>
      <c r="P18626" s="235"/>
      <c r="AI18626" s="38"/>
    </row>
    <row r="18627" ht="15.75" customHeight="1">
      <c r="A18627" s="35"/>
      <c r="C18627" s="442"/>
      <c r="P18627" s="235"/>
      <c r="AI18627" s="38"/>
    </row>
    <row r="18628" ht="15.75" customHeight="1">
      <c r="A18628" s="35"/>
      <c r="C18628" s="442"/>
      <c r="P18628" s="235"/>
      <c r="AI18628" s="38"/>
    </row>
    <row r="18629" ht="15.75" customHeight="1">
      <c r="A18629" s="35"/>
      <c r="C18629" s="442"/>
      <c r="P18629" s="235"/>
      <c r="AI18629" s="38"/>
    </row>
    <row r="18630" ht="15.75" customHeight="1">
      <c r="A18630" s="35"/>
      <c r="C18630" s="442"/>
      <c r="P18630" s="235"/>
      <c r="AI18630" s="38"/>
    </row>
    <row r="18631" ht="15.75" customHeight="1">
      <c r="A18631" s="35"/>
      <c r="C18631" s="442"/>
      <c r="P18631" s="235"/>
      <c r="AI18631" s="38"/>
    </row>
    <row r="18632" ht="15.75" customHeight="1">
      <c r="A18632" s="35"/>
      <c r="C18632" s="442"/>
      <c r="P18632" s="235"/>
      <c r="AI18632" s="38"/>
    </row>
    <row r="18633" ht="15.75" customHeight="1">
      <c r="A18633" s="35"/>
      <c r="C18633" s="442"/>
      <c r="P18633" s="235"/>
      <c r="AI18633" s="38"/>
    </row>
    <row r="18634" ht="15.75" customHeight="1">
      <c r="A18634" s="35"/>
      <c r="C18634" s="442"/>
      <c r="P18634" s="235"/>
      <c r="AI18634" s="38"/>
    </row>
    <row r="18635" ht="15.75" customHeight="1">
      <c r="A18635" s="35"/>
      <c r="C18635" s="442"/>
      <c r="P18635" s="235"/>
      <c r="AI18635" s="38"/>
    </row>
    <row r="18636" ht="15.75" customHeight="1">
      <c r="A18636" s="35"/>
      <c r="C18636" s="442"/>
      <c r="P18636" s="235"/>
      <c r="AI18636" s="38"/>
    </row>
    <row r="18637" ht="15.75" customHeight="1">
      <c r="A18637" s="35"/>
      <c r="C18637" s="442"/>
      <c r="P18637" s="235"/>
      <c r="AI18637" s="38"/>
    </row>
    <row r="18638" ht="15.75" customHeight="1">
      <c r="A18638" s="35"/>
      <c r="C18638" s="442"/>
      <c r="P18638" s="235"/>
      <c r="AI18638" s="38"/>
    </row>
    <row r="18639" ht="15.75" customHeight="1">
      <c r="A18639" s="35"/>
      <c r="C18639" s="442"/>
      <c r="P18639" s="235"/>
      <c r="AI18639" s="38"/>
    </row>
    <row r="18640" ht="15.75" customHeight="1">
      <c r="A18640" s="35"/>
      <c r="C18640" s="442"/>
      <c r="P18640" s="235"/>
      <c r="AI18640" s="38"/>
    </row>
    <row r="18641" ht="15.75" customHeight="1">
      <c r="A18641" s="35"/>
      <c r="C18641" s="442"/>
      <c r="P18641" s="235"/>
      <c r="AI18641" s="38"/>
    </row>
    <row r="18642" ht="15.75" customHeight="1">
      <c r="A18642" s="35"/>
      <c r="C18642" s="442"/>
      <c r="P18642" s="235"/>
      <c r="AI18642" s="38"/>
    </row>
    <row r="18643" ht="15.75" customHeight="1">
      <c r="A18643" s="35"/>
      <c r="C18643" s="442"/>
      <c r="P18643" s="235"/>
      <c r="AI18643" s="38"/>
    </row>
    <row r="18644" ht="15.75" customHeight="1">
      <c r="A18644" s="35"/>
      <c r="C18644" s="442"/>
      <c r="P18644" s="235"/>
      <c r="AI18644" s="38"/>
    </row>
    <row r="18645" ht="15.75" customHeight="1">
      <c r="A18645" s="35"/>
      <c r="C18645" s="442"/>
      <c r="P18645" s="235"/>
      <c r="AI18645" s="38"/>
    </row>
    <row r="18646" ht="15.75" customHeight="1">
      <c r="A18646" s="35"/>
      <c r="C18646" s="442"/>
      <c r="P18646" s="235"/>
      <c r="AI18646" s="38"/>
    </row>
    <row r="18647" ht="15.75" customHeight="1">
      <c r="A18647" s="35"/>
      <c r="C18647" s="442"/>
      <c r="P18647" s="235"/>
      <c r="AI18647" s="38"/>
    </row>
    <row r="18648" ht="15.75" customHeight="1">
      <c r="A18648" s="35"/>
      <c r="C18648" s="442"/>
      <c r="P18648" s="235"/>
      <c r="AI18648" s="38"/>
    </row>
    <row r="18649" ht="15.75" customHeight="1">
      <c r="A18649" s="35"/>
      <c r="C18649" s="442"/>
      <c r="P18649" s="235"/>
      <c r="AI18649" s="38"/>
    </row>
    <row r="18650" ht="15.75" customHeight="1">
      <c r="A18650" s="35"/>
      <c r="C18650" s="442"/>
      <c r="P18650" s="235"/>
      <c r="AI18650" s="38"/>
    </row>
    <row r="18651" ht="15.75" customHeight="1">
      <c r="A18651" s="35"/>
      <c r="C18651" s="442"/>
      <c r="P18651" s="235"/>
      <c r="AI18651" s="38"/>
    </row>
    <row r="18652" ht="15.75" customHeight="1">
      <c r="A18652" s="35"/>
      <c r="C18652" s="442"/>
      <c r="P18652" s="235"/>
      <c r="AI18652" s="38"/>
    </row>
    <row r="18653" ht="15.75" customHeight="1">
      <c r="A18653" s="35"/>
      <c r="C18653" s="442"/>
      <c r="P18653" s="235"/>
      <c r="AI18653" s="38"/>
    </row>
    <row r="18654" ht="15.75" customHeight="1">
      <c r="A18654" s="35"/>
      <c r="C18654" s="442"/>
      <c r="P18654" s="235"/>
      <c r="AI18654" s="38"/>
    </row>
    <row r="18655" ht="15.75" customHeight="1">
      <c r="A18655" s="35"/>
      <c r="C18655" s="442"/>
      <c r="P18655" s="235"/>
      <c r="AI18655" s="38"/>
    </row>
    <row r="18656" ht="15.75" customHeight="1">
      <c r="A18656" s="35"/>
      <c r="C18656" s="442"/>
      <c r="P18656" s="235"/>
      <c r="AI18656" s="38"/>
    </row>
    <row r="18657" ht="15.75" customHeight="1">
      <c r="A18657" s="35"/>
      <c r="C18657" s="442"/>
      <c r="P18657" s="235"/>
      <c r="AI18657" s="38"/>
    </row>
    <row r="18658" ht="15.75" customHeight="1">
      <c r="A18658" s="35"/>
      <c r="C18658" s="442"/>
      <c r="P18658" s="235"/>
      <c r="AI18658" s="38"/>
    </row>
    <row r="18659" ht="15.75" customHeight="1">
      <c r="A18659" s="35"/>
      <c r="C18659" s="442"/>
      <c r="P18659" s="235"/>
      <c r="AI18659" s="38"/>
    </row>
    <row r="18660" ht="15.75" customHeight="1">
      <c r="A18660" s="35"/>
      <c r="C18660" s="442"/>
      <c r="P18660" s="235"/>
      <c r="AI18660" s="38"/>
    </row>
    <row r="18661" ht="15.75" customHeight="1">
      <c r="A18661" s="35"/>
      <c r="C18661" s="442"/>
      <c r="P18661" s="235"/>
      <c r="AI18661" s="38"/>
    </row>
    <row r="18662" ht="15.75" customHeight="1">
      <c r="A18662" s="35"/>
      <c r="C18662" s="442"/>
      <c r="P18662" s="235"/>
      <c r="AI18662" s="38"/>
    </row>
    <row r="18663" ht="15.75" customHeight="1">
      <c r="A18663" s="35"/>
      <c r="C18663" s="442"/>
      <c r="P18663" s="235"/>
      <c r="AI18663" s="38"/>
    </row>
    <row r="18664" ht="15.75" customHeight="1">
      <c r="A18664" s="35"/>
      <c r="C18664" s="442"/>
      <c r="P18664" s="235"/>
      <c r="AI18664" s="38"/>
    </row>
    <row r="18665" ht="15.75" customHeight="1">
      <c r="A18665" s="35"/>
      <c r="C18665" s="442"/>
      <c r="P18665" s="235"/>
      <c r="AI18665" s="38"/>
    </row>
    <row r="18666" ht="15.75" customHeight="1">
      <c r="A18666" s="35"/>
      <c r="C18666" s="442"/>
      <c r="P18666" s="235"/>
      <c r="AI18666" s="38"/>
    </row>
    <row r="18667" ht="15.75" customHeight="1">
      <c r="A18667" s="35"/>
      <c r="C18667" s="442"/>
      <c r="P18667" s="235"/>
      <c r="AI18667" s="38"/>
    </row>
    <row r="18668" ht="15.75" customHeight="1">
      <c r="A18668" s="35"/>
      <c r="C18668" s="442"/>
      <c r="P18668" s="235"/>
      <c r="AI18668" s="38"/>
    </row>
    <row r="18669" ht="15.75" customHeight="1">
      <c r="A18669" s="35"/>
      <c r="C18669" s="442"/>
      <c r="P18669" s="235"/>
      <c r="AI18669" s="38"/>
    </row>
    <row r="18670" ht="15.75" customHeight="1">
      <c r="A18670" s="35"/>
      <c r="C18670" s="442"/>
      <c r="P18670" s="235"/>
      <c r="AI18670" s="38"/>
    </row>
    <row r="18671" ht="15.75" customHeight="1">
      <c r="A18671" s="35"/>
      <c r="C18671" s="442"/>
      <c r="P18671" s="235"/>
      <c r="AI18671" s="38"/>
    </row>
    <row r="18672" ht="15.75" customHeight="1">
      <c r="A18672" s="35"/>
      <c r="C18672" s="442"/>
      <c r="P18672" s="235"/>
      <c r="AI18672" s="38"/>
    </row>
    <row r="18673" ht="15.75" customHeight="1">
      <c r="A18673" s="35"/>
      <c r="C18673" s="442"/>
      <c r="P18673" s="235"/>
      <c r="AI18673" s="38"/>
    </row>
    <row r="18674" ht="15.75" customHeight="1">
      <c r="A18674" s="35"/>
      <c r="C18674" s="442"/>
      <c r="P18674" s="235"/>
      <c r="AI18674" s="38"/>
    </row>
    <row r="18675" ht="15.75" customHeight="1">
      <c r="A18675" s="35"/>
      <c r="C18675" s="442"/>
      <c r="P18675" s="235"/>
      <c r="AI18675" s="38"/>
    </row>
    <row r="18676" ht="15.75" customHeight="1">
      <c r="A18676" s="35"/>
      <c r="C18676" s="442"/>
      <c r="P18676" s="235"/>
      <c r="AI18676" s="38"/>
    </row>
    <row r="18677" ht="15.75" customHeight="1">
      <c r="A18677" s="35"/>
      <c r="C18677" s="442"/>
      <c r="P18677" s="235"/>
      <c r="AI18677" s="38"/>
    </row>
    <row r="18678" ht="15.75" customHeight="1">
      <c r="A18678" s="35"/>
      <c r="C18678" s="442"/>
      <c r="P18678" s="235"/>
      <c r="AI18678" s="38"/>
    </row>
    <row r="18679" ht="15.75" customHeight="1">
      <c r="A18679" s="35"/>
      <c r="C18679" s="442"/>
      <c r="P18679" s="235"/>
      <c r="AI18679" s="38"/>
    </row>
    <row r="18680" ht="15.75" customHeight="1">
      <c r="A18680" s="35"/>
      <c r="C18680" s="442"/>
      <c r="P18680" s="235"/>
      <c r="AI18680" s="38"/>
    </row>
    <row r="18681" ht="15.75" customHeight="1">
      <c r="A18681" s="35"/>
      <c r="C18681" s="442"/>
      <c r="P18681" s="235"/>
      <c r="AI18681" s="38"/>
    </row>
    <row r="18682" ht="15.75" customHeight="1">
      <c r="A18682" s="35"/>
      <c r="C18682" s="442"/>
      <c r="P18682" s="235"/>
      <c r="AI18682" s="38"/>
    </row>
    <row r="18683" ht="15.75" customHeight="1">
      <c r="A18683" s="35"/>
      <c r="C18683" s="442"/>
      <c r="P18683" s="235"/>
      <c r="AI18683" s="38"/>
    </row>
    <row r="18684" ht="15.75" customHeight="1">
      <c r="A18684" s="35"/>
      <c r="C18684" s="442"/>
      <c r="P18684" s="235"/>
      <c r="AI18684" s="38"/>
    </row>
    <row r="18685" ht="15.75" customHeight="1">
      <c r="A18685" s="35"/>
      <c r="C18685" s="442"/>
      <c r="P18685" s="235"/>
      <c r="AI18685" s="38"/>
    </row>
    <row r="18686" ht="15.75" customHeight="1">
      <c r="A18686" s="35"/>
      <c r="C18686" s="442"/>
      <c r="P18686" s="235"/>
      <c r="AI18686" s="38"/>
    </row>
    <row r="18687" ht="15.75" customHeight="1">
      <c r="A18687" s="35"/>
      <c r="C18687" s="442"/>
      <c r="P18687" s="235"/>
      <c r="AI18687" s="38"/>
    </row>
    <row r="18688" ht="15.75" customHeight="1">
      <c r="A18688" s="35"/>
      <c r="C18688" s="442"/>
      <c r="P18688" s="235"/>
      <c r="AI18688" s="38"/>
    </row>
    <row r="18689" ht="15.75" customHeight="1">
      <c r="A18689" s="35"/>
      <c r="C18689" s="442"/>
      <c r="P18689" s="235"/>
      <c r="AI18689" s="38"/>
    </row>
    <row r="18690" ht="15.75" customHeight="1">
      <c r="A18690" s="35"/>
      <c r="C18690" s="442"/>
      <c r="P18690" s="235"/>
      <c r="AI18690" s="38"/>
    </row>
    <row r="18691" ht="15.75" customHeight="1">
      <c r="A18691" s="35"/>
      <c r="C18691" s="442"/>
      <c r="P18691" s="235"/>
      <c r="AI18691" s="38"/>
    </row>
    <row r="18692" ht="15.75" customHeight="1">
      <c r="A18692" s="35"/>
      <c r="C18692" s="442"/>
      <c r="P18692" s="235"/>
      <c r="AI18692" s="38"/>
    </row>
    <row r="18693" ht="15.75" customHeight="1">
      <c r="A18693" s="35"/>
      <c r="C18693" s="442"/>
      <c r="P18693" s="235"/>
      <c r="AI18693" s="38"/>
    </row>
    <row r="18694" ht="15.75" customHeight="1">
      <c r="A18694" s="35"/>
      <c r="C18694" s="442"/>
      <c r="P18694" s="235"/>
      <c r="AI18694" s="38"/>
    </row>
    <row r="18695" ht="15.75" customHeight="1">
      <c r="A18695" s="35"/>
      <c r="C18695" s="442"/>
      <c r="P18695" s="235"/>
      <c r="AI18695" s="38"/>
    </row>
    <row r="18696" ht="15.75" customHeight="1">
      <c r="A18696" s="35"/>
      <c r="C18696" s="442"/>
      <c r="P18696" s="235"/>
      <c r="AI18696" s="38"/>
    </row>
    <row r="18697" ht="15.75" customHeight="1">
      <c r="A18697" s="35"/>
      <c r="C18697" s="442"/>
      <c r="P18697" s="235"/>
      <c r="AI18697" s="38"/>
    </row>
    <row r="18698" ht="15.75" customHeight="1">
      <c r="A18698" s="35"/>
      <c r="C18698" s="442"/>
      <c r="P18698" s="235"/>
      <c r="AI18698" s="38"/>
    </row>
    <row r="18699" ht="15.75" customHeight="1">
      <c r="A18699" s="35"/>
      <c r="C18699" s="442"/>
      <c r="P18699" s="235"/>
      <c r="AI18699" s="38"/>
    </row>
    <row r="18700" ht="15.75" customHeight="1">
      <c r="A18700" s="35"/>
      <c r="C18700" s="442"/>
      <c r="P18700" s="235"/>
      <c r="AI18700" s="38"/>
    </row>
    <row r="18701" ht="15.75" customHeight="1">
      <c r="A18701" s="35"/>
      <c r="C18701" s="442"/>
      <c r="P18701" s="235"/>
      <c r="AI18701" s="38"/>
    </row>
    <row r="18702" ht="15.75" customHeight="1">
      <c r="A18702" s="35"/>
      <c r="C18702" s="442"/>
      <c r="P18702" s="235"/>
      <c r="AI18702" s="38"/>
    </row>
    <row r="18703" ht="15.75" customHeight="1">
      <c r="A18703" s="35"/>
      <c r="C18703" s="442"/>
      <c r="P18703" s="235"/>
      <c r="AI18703" s="38"/>
    </row>
    <row r="18704" ht="15.75" customHeight="1">
      <c r="A18704" s="35"/>
      <c r="C18704" s="442"/>
      <c r="P18704" s="235"/>
      <c r="AI18704" s="38"/>
    </row>
    <row r="18705" ht="15.75" customHeight="1">
      <c r="A18705" s="35"/>
      <c r="C18705" s="442"/>
      <c r="P18705" s="235"/>
      <c r="AI18705" s="38"/>
    </row>
    <row r="18706" ht="15.75" customHeight="1">
      <c r="A18706" s="35"/>
      <c r="C18706" s="442"/>
      <c r="P18706" s="235"/>
      <c r="AI18706" s="38"/>
    </row>
    <row r="18707" ht="15.75" customHeight="1">
      <c r="A18707" s="35"/>
      <c r="C18707" s="442"/>
      <c r="P18707" s="235"/>
      <c r="AI18707" s="38"/>
    </row>
    <row r="18708" ht="15.75" customHeight="1">
      <c r="A18708" s="35"/>
      <c r="C18708" s="442"/>
      <c r="P18708" s="235"/>
      <c r="AI18708" s="38"/>
    </row>
    <row r="18709" ht="15.75" customHeight="1">
      <c r="A18709" s="35"/>
      <c r="C18709" s="442"/>
      <c r="P18709" s="235"/>
      <c r="AI18709" s="38"/>
    </row>
    <row r="18710" ht="15.75" customHeight="1">
      <c r="A18710" s="35"/>
      <c r="C18710" s="442"/>
      <c r="P18710" s="235"/>
      <c r="AI18710" s="38"/>
    </row>
    <row r="18711" ht="15.75" customHeight="1">
      <c r="A18711" s="35"/>
      <c r="C18711" s="442"/>
      <c r="P18711" s="235"/>
      <c r="AI18711" s="38"/>
    </row>
    <row r="18712" ht="15.75" customHeight="1">
      <c r="A18712" s="35"/>
      <c r="C18712" s="442"/>
      <c r="P18712" s="235"/>
      <c r="AI18712" s="38"/>
    </row>
    <row r="18713" ht="15.75" customHeight="1">
      <c r="A18713" s="35"/>
      <c r="C18713" s="442"/>
      <c r="P18713" s="235"/>
      <c r="AI18713" s="38"/>
    </row>
    <row r="18714" ht="15.75" customHeight="1">
      <c r="A18714" s="35"/>
      <c r="C18714" s="442"/>
      <c r="P18714" s="235"/>
      <c r="AI18714" s="38"/>
    </row>
    <row r="18715" ht="15.75" customHeight="1">
      <c r="A18715" s="35"/>
      <c r="C18715" s="442"/>
      <c r="P18715" s="235"/>
      <c r="AI18715" s="38"/>
    </row>
    <row r="18716" ht="15.75" customHeight="1">
      <c r="A18716" s="35"/>
      <c r="C18716" s="442"/>
      <c r="P18716" s="235"/>
      <c r="AI18716" s="38"/>
    </row>
    <row r="18717" ht="15.75" customHeight="1">
      <c r="A18717" s="35"/>
      <c r="C18717" s="442"/>
      <c r="P18717" s="235"/>
      <c r="AI18717" s="38"/>
    </row>
    <row r="18718" ht="15.75" customHeight="1">
      <c r="A18718" s="35"/>
      <c r="C18718" s="442"/>
      <c r="P18718" s="235"/>
      <c r="AI18718" s="38"/>
    </row>
    <row r="18719" ht="15.75" customHeight="1">
      <c r="A18719" s="35"/>
      <c r="C18719" s="442"/>
      <c r="P18719" s="235"/>
      <c r="AI18719" s="38"/>
    </row>
    <row r="18720" ht="15.75" customHeight="1">
      <c r="A18720" s="35"/>
      <c r="C18720" s="442"/>
      <c r="P18720" s="235"/>
      <c r="AI18720" s="38"/>
    </row>
    <row r="18721" ht="15.75" customHeight="1">
      <c r="A18721" s="35"/>
      <c r="C18721" s="442"/>
      <c r="P18721" s="235"/>
      <c r="AI18721" s="38"/>
    </row>
    <row r="18722" ht="15.75" customHeight="1">
      <c r="A18722" s="35"/>
      <c r="C18722" s="442"/>
      <c r="P18722" s="235"/>
      <c r="AI18722" s="38"/>
    </row>
    <row r="18723" ht="15.75" customHeight="1">
      <c r="A18723" s="35"/>
      <c r="C18723" s="442"/>
      <c r="P18723" s="235"/>
      <c r="AI18723" s="38"/>
    </row>
    <row r="18724" ht="15.75" customHeight="1">
      <c r="A18724" s="35"/>
      <c r="C18724" s="442"/>
      <c r="P18724" s="235"/>
      <c r="AI18724" s="38"/>
    </row>
    <row r="18725" ht="15.75" customHeight="1">
      <c r="A18725" s="35"/>
      <c r="C18725" s="442"/>
      <c r="P18725" s="235"/>
      <c r="AI18725" s="38"/>
    </row>
    <row r="18726" ht="15.75" customHeight="1">
      <c r="A18726" s="35"/>
      <c r="C18726" s="442"/>
      <c r="P18726" s="235"/>
      <c r="AI18726" s="38"/>
    </row>
    <row r="18727" ht="15.75" customHeight="1">
      <c r="A18727" s="35"/>
      <c r="C18727" s="442"/>
      <c r="P18727" s="235"/>
      <c r="AI18727" s="38"/>
    </row>
    <row r="18728" ht="15.75" customHeight="1">
      <c r="A18728" s="35"/>
      <c r="C18728" s="442"/>
      <c r="P18728" s="235"/>
      <c r="AI18728" s="38"/>
    </row>
    <row r="18729" ht="15.75" customHeight="1">
      <c r="A18729" s="35"/>
      <c r="C18729" s="442"/>
      <c r="P18729" s="235"/>
      <c r="AI18729" s="38"/>
    </row>
    <row r="18730" ht="15.75" customHeight="1">
      <c r="A18730" s="35"/>
      <c r="C18730" s="442"/>
      <c r="P18730" s="235"/>
      <c r="AI18730" s="38"/>
    </row>
    <row r="18731" ht="15.75" customHeight="1">
      <c r="A18731" s="35"/>
      <c r="C18731" s="442"/>
      <c r="P18731" s="235"/>
      <c r="AI18731" s="38"/>
    </row>
    <row r="18732" ht="15.75" customHeight="1">
      <c r="A18732" s="35"/>
      <c r="C18732" s="442"/>
      <c r="P18732" s="235"/>
      <c r="AI18732" s="38"/>
    </row>
    <row r="18733" ht="15.75" customHeight="1">
      <c r="A18733" s="35"/>
      <c r="C18733" s="442"/>
      <c r="P18733" s="235"/>
      <c r="AI18733" s="38"/>
    </row>
    <row r="18734" ht="15.75" customHeight="1">
      <c r="A18734" s="35"/>
      <c r="C18734" s="442"/>
      <c r="P18734" s="235"/>
      <c r="AI18734" s="38"/>
    </row>
    <row r="18735" ht="15.75" customHeight="1">
      <c r="A18735" s="35"/>
      <c r="C18735" s="442"/>
      <c r="P18735" s="235"/>
      <c r="AI18735" s="38"/>
    </row>
    <row r="18736" ht="15.75" customHeight="1">
      <c r="A18736" s="35"/>
      <c r="C18736" s="442"/>
      <c r="P18736" s="235"/>
      <c r="AI18736" s="38"/>
    </row>
    <row r="18737" ht="15.75" customHeight="1">
      <c r="A18737" s="35"/>
      <c r="C18737" s="442"/>
      <c r="P18737" s="235"/>
      <c r="AI18737" s="38"/>
    </row>
    <row r="18738" ht="15.75" customHeight="1">
      <c r="A18738" s="35"/>
      <c r="C18738" s="442"/>
      <c r="P18738" s="235"/>
      <c r="AI18738" s="38"/>
    </row>
    <row r="18739" ht="15.75" customHeight="1">
      <c r="A18739" s="35"/>
      <c r="C18739" s="442"/>
      <c r="P18739" s="235"/>
      <c r="AI18739" s="38"/>
    </row>
    <row r="18740" ht="15.75" customHeight="1">
      <c r="A18740" s="35"/>
      <c r="C18740" s="442"/>
      <c r="P18740" s="235"/>
      <c r="AI18740" s="38"/>
    </row>
    <row r="18741" ht="15.75" customHeight="1">
      <c r="A18741" s="35"/>
      <c r="C18741" s="442"/>
      <c r="P18741" s="235"/>
      <c r="AI18741" s="38"/>
    </row>
    <row r="18742" ht="15.75" customHeight="1">
      <c r="A18742" s="35"/>
      <c r="C18742" s="442"/>
      <c r="P18742" s="235"/>
      <c r="AI18742" s="38"/>
    </row>
    <row r="18743" ht="15.75" customHeight="1">
      <c r="A18743" s="35"/>
      <c r="C18743" s="442"/>
      <c r="P18743" s="235"/>
      <c r="AI18743" s="38"/>
    </row>
    <row r="18744" ht="15.75" customHeight="1">
      <c r="A18744" s="35"/>
      <c r="C18744" s="442"/>
      <c r="P18744" s="235"/>
      <c r="AI18744" s="38"/>
    </row>
    <row r="18745" ht="15.75" customHeight="1">
      <c r="A18745" s="35"/>
      <c r="C18745" s="442"/>
      <c r="P18745" s="235"/>
      <c r="AI18745" s="38"/>
    </row>
    <row r="18746" ht="15.75" customHeight="1">
      <c r="A18746" s="35"/>
      <c r="C18746" s="442"/>
      <c r="P18746" s="235"/>
      <c r="AI18746" s="38"/>
    </row>
    <row r="18747" ht="15.75" customHeight="1">
      <c r="A18747" s="35"/>
      <c r="C18747" s="442"/>
      <c r="P18747" s="235"/>
      <c r="AI18747" s="38"/>
    </row>
    <row r="18748" ht="15.75" customHeight="1">
      <c r="A18748" s="35"/>
      <c r="C18748" s="442"/>
      <c r="P18748" s="235"/>
      <c r="AI18748" s="38"/>
    </row>
    <row r="18749" ht="15.75" customHeight="1">
      <c r="A18749" s="35"/>
      <c r="C18749" s="442"/>
      <c r="P18749" s="235"/>
      <c r="AI18749" s="38"/>
    </row>
    <row r="18750" ht="15.75" customHeight="1">
      <c r="A18750" s="35"/>
      <c r="C18750" s="442"/>
      <c r="P18750" s="235"/>
      <c r="AI18750" s="38"/>
    </row>
    <row r="18751" ht="15.75" customHeight="1">
      <c r="A18751" s="35"/>
      <c r="C18751" s="442"/>
      <c r="P18751" s="235"/>
      <c r="AI18751" s="38"/>
    </row>
    <row r="18752" ht="15.75" customHeight="1">
      <c r="A18752" s="35"/>
      <c r="C18752" s="442"/>
      <c r="P18752" s="235"/>
      <c r="AI18752" s="38"/>
    </row>
    <row r="18753" ht="15.75" customHeight="1">
      <c r="A18753" s="35"/>
      <c r="C18753" s="442"/>
      <c r="P18753" s="235"/>
      <c r="AI18753" s="38"/>
    </row>
    <row r="18754" ht="15.75" customHeight="1">
      <c r="A18754" s="35"/>
      <c r="C18754" s="442"/>
      <c r="P18754" s="235"/>
      <c r="AI18754" s="38"/>
    </row>
    <row r="18755" ht="15.75" customHeight="1">
      <c r="A18755" s="35"/>
      <c r="C18755" s="442"/>
      <c r="P18755" s="235"/>
      <c r="AI18755" s="38"/>
    </row>
    <row r="18756" ht="15.75" customHeight="1">
      <c r="A18756" s="35"/>
      <c r="C18756" s="442"/>
      <c r="P18756" s="235"/>
      <c r="AI18756" s="38"/>
    </row>
    <row r="18757" ht="15.75" customHeight="1">
      <c r="A18757" s="35"/>
      <c r="C18757" s="442"/>
      <c r="P18757" s="235"/>
      <c r="AI18757" s="38"/>
    </row>
    <row r="18758" ht="15.75" customHeight="1">
      <c r="A18758" s="35"/>
      <c r="C18758" s="442"/>
      <c r="P18758" s="235"/>
      <c r="AI18758" s="38"/>
    </row>
    <row r="18759" ht="15.75" customHeight="1">
      <c r="A18759" s="35"/>
      <c r="C18759" s="442"/>
      <c r="P18759" s="235"/>
      <c r="AI18759" s="38"/>
    </row>
    <row r="18760" ht="15.75" customHeight="1">
      <c r="A18760" s="35"/>
      <c r="C18760" s="442"/>
      <c r="P18760" s="235"/>
      <c r="AI18760" s="38"/>
    </row>
    <row r="18761" ht="15.75" customHeight="1">
      <c r="A18761" s="35"/>
      <c r="C18761" s="442"/>
      <c r="P18761" s="235"/>
      <c r="AI18761" s="38"/>
    </row>
    <row r="18762" ht="15.75" customHeight="1">
      <c r="A18762" s="35"/>
      <c r="C18762" s="442"/>
      <c r="P18762" s="235"/>
      <c r="AI18762" s="38"/>
    </row>
    <row r="18763" ht="15.75" customHeight="1">
      <c r="A18763" s="35"/>
      <c r="C18763" s="442"/>
      <c r="P18763" s="235"/>
      <c r="AI18763" s="38"/>
    </row>
    <row r="18764" ht="15.75" customHeight="1">
      <c r="A18764" s="35"/>
      <c r="C18764" s="442"/>
      <c r="P18764" s="235"/>
      <c r="AI18764" s="38"/>
    </row>
    <row r="18765" ht="15.75" customHeight="1">
      <c r="A18765" s="35"/>
      <c r="C18765" s="442"/>
      <c r="P18765" s="235"/>
      <c r="AI18765" s="38"/>
    </row>
    <row r="18766" ht="15.75" customHeight="1">
      <c r="A18766" s="35"/>
      <c r="C18766" s="442"/>
      <c r="P18766" s="235"/>
      <c r="AI18766" s="38"/>
    </row>
    <row r="18767" ht="15.75" customHeight="1">
      <c r="A18767" s="35"/>
      <c r="C18767" s="442"/>
      <c r="P18767" s="235"/>
      <c r="AI18767" s="38"/>
    </row>
    <row r="18768" ht="15.75" customHeight="1">
      <c r="A18768" s="35"/>
      <c r="C18768" s="442"/>
      <c r="P18768" s="235"/>
      <c r="AI18768" s="38"/>
    </row>
    <row r="18769" ht="15.75" customHeight="1">
      <c r="A18769" s="35"/>
      <c r="C18769" s="442"/>
      <c r="P18769" s="235"/>
      <c r="AI18769" s="38"/>
    </row>
    <row r="18770" ht="15.75" customHeight="1">
      <c r="A18770" s="35"/>
      <c r="C18770" s="442"/>
      <c r="P18770" s="235"/>
      <c r="AI18770" s="38"/>
    </row>
    <row r="18771" ht="15.75" customHeight="1">
      <c r="A18771" s="35"/>
      <c r="C18771" s="442"/>
      <c r="P18771" s="235"/>
      <c r="AI18771" s="38"/>
    </row>
    <row r="18772" ht="15.75" customHeight="1">
      <c r="A18772" s="35"/>
      <c r="C18772" s="442"/>
      <c r="P18772" s="235"/>
      <c r="AI18772" s="38"/>
    </row>
    <row r="18773" ht="15.75" customHeight="1">
      <c r="A18773" s="35"/>
      <c r="C18773" s="442"/>
      <c r="P18773" s="235"/>
      <c r="AI18773" s="38"/>
    </row>
    <row r="18774" ht="15.75" customHeight="1">
      <c r="A18774" s="35"/>
      <c r="C18774" s="442"/>
      <c r="P18774" s="235"/>
      <c r="AI18774" s="38"/>
    </row>
    <row r="18775" ht="15.75" customHeight="1">
      <c r="A18775" s="35"/>
      <c r="C18775" s="442"/>
      <c r="P18775" s="235"/>
      <c r="AI18775" s="38"/>
    </row>
    <row r="18776" ht="15.75" customHeight="1">
      <c r="A18776" s="35"/>
      <c r="C18776" s="442"/>
      <c r="P18776" s="235"/>
      <c r="AI18776" s="38"/>
    </row>
    <row r="18777" ht="15.75" customHeight="1">
      <c r="A18777" s="35"/>
      <c r="C18777" s="442"/>
      <c r="P18777" s="235"/>
      <c r="AI18777" s="38"/>
    </row>
    <row r="18778" ht="15.75" customHeight="1">
      <c r="A18778" s="35"/>
      <c r="C18778" s="442"/>
      <c r="P18778" s="235"/>
      <c r="AI18778" s="38"/>
    </row>
    <row r="18779" ht="15.75" customHeight="1">
      <c r="A18779" s="35"/>
      <c r="C18779" s="442"/>
      <c r="P18779" s="235"/>
      <c r="AI18779" s="38"/>
    </row>
    <row r="18780" ht="15.75" customHeight="1">
      <c r="A18780" s="35"/>
      <c r="C18780" s="442"/>
      <c r="P18780" s="235"/>
      <c r="AI18780" s="38"/>
    </row>
    <row r="18781" ht="15.75" customHeight="1">
      <c r="A18781" s="35"/>
      <c r="C18781" s="442"/>
      <c r="P18781" s="235"/>
      <c r="AI18781" s="38"/>
    </row>
    <row r="18782" ht="15.75" customHeight="1">
      <c r="A18782" s="35"/>
      <c r="C18782" s="442"/>
      <c r="P18782" s="235"/>
      <c r="AI18782" s="38"/>
    </row>
    <row r="18783" ht="15.75" customHeight="1">
      <c r="A18783" s="35"/>
      <c r="C18783" s="442"/>
      <c r="P18783" s="235"/>
      <c r="AI18783" s="38"/>
    </row>
    <row r="18784" ht="15.75" customHeight="1">
      <c r="A18784" s="35"/>
      <c r="C18784" s="442"/>
      <c r="P18784" s="235"/>
      <c r="AI18784" s="38"/>
    </row>
    <row r="18785" ht="15.75" customHeight="1">
      <c r="A18785" s="35"/>
      <c r="C18785" s="442"/>
      <c r="P18785" s="235"/>
      <c r="AI18785" s="38"/>
    </row>
    <row r="18786" ht="15.75" customHeight="1">
      <c r="A18786" s="35"/>
      <c r="C18786" s="442"/>
      <c r="P18786" s="235"/>
      <c r="AI18786" s="38"/>
    </row>
    <row r="18787" ht="15.75" customHeight="1">
      <c r="A18787" s="35"/>
      <c r="C18787" s="442"/>
      <c r="P18787" s="235"/>
      <c r="AI18787" s="38"/>
    </row>
    <row r="18788" ht="15.75" customHeight="1">
      <c r="A18788" s="35"/>
      <c r="C18788" s="442"/>
      <c r="P18788" s="235"/>
      <c r="AI18788" s="38"/>
    </row>
    <row r="18789" ht="15.75" customHeight="1">
      <c r="A18789" s="35"/>
      <c r="C18789" s="442"/>
      <c r="P18789" s="235"/>
      <c r="AI18789" s="38"/>
    </row>
    <row r="18790" ht="15.75" customHeight="1">
      <c r="A18790" s="35"/>
      <c r="C18790" s="442"/>
      <c r="P18790" s="235"/>
      <c r="AI18790" s="38"/>
    </row>
    <row r="18791" ht="15.75" customHeight="1">
      <c r="A18791" s="35"/>
      <c r="C18791" s="442"/>
      <c r="P18791" s="235"/>
      <c r="AI18791" s="38"/>
    </row>
    <row r="18792" ht="15.75" customHeight="1">
      <c r="A18792" s="35"/>
      <c r="C18792" s="442"/>
      <c r="P18792" s="235"/>
      <c r="AI18792" s="38"/>
    </row>
    <row r="18793" ht="15.75" customHeight="1">
      <c r="A18793" s="35"/>
      <c r="C18793" s="442"/>
      <c r="P18793" s="235"/>
      <c r="AI18793" s="38"/>
    </row>
    <row r="18794" ht="15.75" customHeight="1">
      <c r="A18794" s="35"/>
      <c r="C18794" s="442"/>
      <c r="P18794" s="235"/>
      <c r="AI18794" s="38"/>
    </row>
    <row r="18795" ht="15.75" customHeight="1">
      <c r="A18795" s="35"/>
      <c r="C18795" s="442"/>
      <c r="P18795" s="235"/>
      <c r="AI18795" s="38"/>
    </row>
    <row r="18796" ht="15.75" customHeight="1">
      <c r="A18796" s="35"/>
      <c r="C18796" s="442"/>
      <c r="P18796" s="235"/>
      <c r="AI18796" s="38"/>
    </row>
    <row r="18797" ht="15.75" customHeight="1">
      <c r="A18797" s="35"/>
      <c r="C18797" s="442"/>
      <c r="P18797" s="235"/>
      <c r="AI18797" s="38"/>
    </row>
    <row r="18798" ht="15.75" customHeight="1">
      <c r="A18798" s="35"/>
      <c r="C18798" s="442"/>
      <c r="P18798" s="235"/>
      <c r="AI18798" s="38"/>
    </row>
    <row r="18799" ht="15.75" customHeight="1">
      <c r="A18799" s="35"/>
      <c r="C18799" s="442"/>
      <c r="P18799" s="235"/>
      <c r="AI18799" s="38"/>
    </row>
    <row r="18800" ht="15.75" customHeight="1">
      <c r="A18800" s="35"/>
      <c r="C18800" s="442"/>
      <c r="P18800" s="235"/>
      <c r="AI18800" s="38"/>
    </row>
    <row r="18801" ht="15.75" customHeight="1">
      <c r="A18801" s="35"/>
      <c r="C18801" s="442"/>
      <c r="P18801" s="235"/>
      <c r="AI18801" s="38"/>
    </row>
    <row r="18802" ht="15.75" customHeight="1">
      <c r="A18802" s="35"/>
      <c r="C18802" s="442"/>
      <c r="P18802" s="235"/>
      <c r="AI18802" s="38"/>
    </row>
    <row r="18803" ht="15.75" customHeight="1">
      <c r="A18803" s="35"/>
      <c r="C18803" s="442"/>
      <c r="P18803" s="235"/>
      <c r="AI18803" s="38"/>
    </row>
    <row r="18804" ht="15.75" customHeight="1">
      <c r="A18804" s="35"/>
      <c r="C18804" s="442"/>
      <c r="P18804" s="235"/>
      <c r="AI18804" s="38"/>
    </row>
    <row r="18805" ht="15.75" customHeight="1">
      <c r="A18805" s="35"/>
      <c r="C18805" s="442"/>
      <c r="P18805" s="235"/>
      <c r="AI18805" s="38"/>
    </row>
    <row r="18806" ht="15.75" customHeight="1">
      <c r="A18806" s="35"/>
      <c r="C18806" s="442"/>
      <c r="P18806" s="235"/>
      <c r="AI18806" s="38"/>
    </row>
    <row r="18807" ht="15.75" customHeight="1">
      <c r="A18807" s="35"/>
      <c r="C18807" s="442"/>
      <c r="P18807" s="235"/>
      <c r="AI18807" s="38"/>
    </row>
    <row r="18808" ht="15.75" customHeight="1">
      <c r="A18808" s="35"/>
      <c r="C18808" s="442"/>
      <c r="P18808" s="235"/>
      <c r="AI18808" s="38"/>
    </row>
    <row r="18809" ht="15.75" customHeight="1">
      <c r="A18809" s="35"/>
      <c r="C18809" s="442"/>
      <c r="P18809" s="235"/>
      <c r="AI18809" s="38"/>
    </row>
    <row r="18810" ht="15.75" customHeight="1">
      <c r="A18810" s="35"/>
      <c r="C18810" s="442"/>
      <c r="P18810" s="235"/>
      <c r="AI18810" s="38"/>
    </row>
    <row r="18811" ht="15.75" customHeight="1">
      <c r="A18811" s="35"/>
      <c r="C18811" s="442"/>
      <c r="P18811" s="235"/>
      <c r="AI18811" s="38"/>
    </row>
    <row r="18812" ht="15.75" customHeight="1">
      <c r="A18812" s="35"/>
      <c r="C18812" s="442"/>
      <c r="P18812" s="235"/>
      <c r="AI18812" s="38"/>
    </row>
    <row r="18813" ht="15.75" customHeight="1">
      <c r="A18813" s="35"/>
      <c r="C18813" s="442"/>
      <c r="P18813" s="235"/>
      <c r="AI18813" s="38"/>
    </row>
    <row r="18814" ht="15.75" customHeight="1">
      <c r="A18814" s="35"/>
      <c r="C18814" s="442"/>
      <c r="P18814" s="235"/>
      <c r="AI18814" s="38"/>
    </row>
    <row r="18815" ht="15.75" customHeight="1">
      <c r="A18815" s="35"/>
      <c r="C18815" s="442"/>
      <c r="P18815" s="235"/>
      <c r="AI18815" s="38"/>
    </row>
    <row r="18816" ht="15.75" customHeight="1">
      <c r="A18816" s="35"/>
      <c r="C18816" s="442"/>
      <c r="P18816" s="235"/>
      <c r="AI18816" s="38"/>
    </row>
    <row r="18817" ht="15.75" customHeight="1">
      <c r="A18817" s="35"/>
      <c r="C18817" s="442"/>
      <c r="P18817" s="235"/>
      <c r="AI18817" s="38"/>
    </row>
    <row r="18818" ht="15.75" customHeight="1">
      <c r="A18818" s="35"/>
      <c r="C18818" s="442"/>
      <c r="P18818" s="235"/>
      <c r="AI18818" s="38"/>
    </row>
    <row r="18819" ht="15.75" customHeight="1">
      <c r="A18819" s="35"/>
      <c r="C18819" s="442"/>
      <c r="P18819" s="235"/>
      <c r="AI18819" s="38"/>
    </row>
    <row r="18820" ht="15.75" customHeight="1">
      <c r="A18820" s="35"/>
      <c r="C18820" s="442"/>
      <c r="P18820" s="235"/>
      <c r="AI18820" s="38"/>
    </row>
    <row r="18821" ht="15.75" customHeight="1">
      <c r="A18821" s="35"/>
      <c r="C18821" s="442"/>
      <c r="P18821" s="235"/>
      <c r="AI18821" s="38"/>
    </row>
    <row r="18822" ht="15.75" customHeight="1">
      <c r="A18822" s="35"/>
      <c r="C18822" s="442"/>
      <c r="P18822" s="235"/>
      <c r="AI18822" s="38"/>
    </row>
    <row r="18823" ht="15.75" customHeight="1">
      <c r="A18823" s="35"/>
      <c r="C18823" s="442"/>
      <c r="P18823" s="235"/>
      <c r="AI18823" s="38"/>
    </row>
    <row r="18824" ht="15.75" customHeight="1">
      <c r="A18824" s="35"/>
      <c r="C18824" s="442"/>
      <c r="P18824" s="235"/>
      <c r="AI18824" s="38"/>
    </row>
    <row r="18825" ht="15.75" customHeight="1">
      <c r="A18825" s="35"/>
      <c r="C18825" s="442"/>
      <c r="P18825" s="235"/>
      <c r="AI18825" s="38"/>
    </row>
    <row r="18826" ht="15.75" customHeight="1">
      <c r="A18826" s="35"/>
      <c r="C18826" s="442"/>
      <c r="P18826" s="235"/>
      <c r="AI18826" s="38"/>
    </row>
    <row r="18827" ht="15.75" customHeight="1">
      <c r="A18827" s="35"/>
      <c r="C18827" s="442"/>
      <c r="P18827" s="235"/>
      <c r="AI18827" s="38"/>
    </row>
    <row r="18828" ht="15.75" customHeight="1">
      <c r="A18828" s="35"/>
      <c r="C18828" s="442"/>
      <c r="P18828" s="235"/>
      <c r="AI18828" s="38"/>
    </row>
    <row r="18829" ht="15.75" customHeight="1">
      <c r="A18829" s="35"/>
      <c r="C18829" s="442"/>
      <c r="P18829" s="235"/>
      <c r="AI18829" s="38"/>
    </row>
    <row r="18830" ht="15.75" customHeight="1">
      <c r="A18830" s="35"/>
      <c r="C18830" s="442"/>
      <c r="P18830" s="235"/>
      <c r="AI18830" s="38"/>
    </row>
    <row r="18831" ht="15.75" customHeight="1">
      <c r="A18831" s="35"/>
      <c r="C18831" s="442"/>
      <c r="P18831" s="235"/>
      <c r="AI18831" s="38"/>
    </row>
    <row r="18832" ht="15.75" customHeight="1">
      <c r="A18832" s="35"/>
      <c r="C18832" s="442"/>
      <c r="P18832" s="235"/>
      <c r="AI18832" s="38"/>
    </row>
    <row r="18833" ht="15.75" customHeight="1">
      <c r="A18833" s="35"/>
      <c r="C18833" s="442"/>
      <c r="P18833" s="235"/>
      <c r="AI18833" s="38"/>
    </row>
    <row r="18834" ht="15.75" customHeight="1">
      <c r="A18834" s="35"/>
      <c r="C18834" s="442"/>
      <c r="P18834" s="235"/>
      <c r="AI18834" s="38"/>
    </row>
    <row r="18835" ht="15.75" customHeight="1">
      <c r="A18835" s="35"/>
      <c r="C18835" s="442"/>
      <c r="P18835" s="235"/>
      <c r="AI18835" s="38"/>
    </row>
    <row r="18836" ht="15.75" customHeight="1">
      <c r="A18836" s="35"/>
      <c r="C18836" s="442"/>
      <c r="P18836" s="235"/>
      <c r="AI18836" s="38"/>
    </row>
    <row r="18837" ht="15.75" customHeight="1">
      <c r="A18837" s="35"/>
      <c r="C18837" s="442"/>
      <c r="P18837" s="235"/>
      <c r="AI18837" s="38"/>
    </row>
    <row r="18838" ht="15.75" customHeight="1">
      <c r="A18838" s="35"/>
      <c r="C18838" s="442"/>
      <c r="P18838" s="235"/>
      <c r="AI18838" s="38"/>
    </row>
    <row r="18839" ht="15.75" customHeight="1">
      <c r="A18839" s="35"/>
      <c r="C18839" s="442"/>
      <c r="P18839" s="235"/>
      <c r="AI18839" s="38"/>
    </row>
    <row r="18840" ht="15.75" customHeight="1">
      <c r="A18840" s="35"/>
      <c r="C18840" s="442"/>
      <c r="P18840" s="235"/>
      <c r="AI18840" s="38"/>
    </row>
    <row r="18841" ht="15.75" customHeight="1">
      <c r="A18841" s="35"/>
      <c r="C18841" s="442"/>
      <c r="P18841" s="235"/>
      <c r="AI18841" s="38"/>
    </row>
    <row r="18842" ht="15.75" customHeight="1">
      <c r="A18842" s="35"/>
      <c r="C18842" s="442"/>
      <c r="P18842" s="235"/>
      <c r="AI18842" s="38"/>
    </row>
    <row r="18843" ht="15.75" customHeight="1">
      <c r="A18843" s="35"/>
      <c r="C18843" s="442"/>
      <c r="P18843" s="235"/>
      <c r="AI18843" s="38"/>
    </row>
    <row r="18844" ht="15.75" customHeight="1">
      <c r="A18844" s="35"/>
      <c r="C18844" s="442"/>
      <c r="P18844" s="235"/>
      <c r="AI18844" s="38"/>
    </row>
    <row r="18845" ht="15.75" customHeight="1">
      <c r="A18845" s="35"/>
      <c r="C18845" s="442"/>
      <c r="P18845" s="235"/>
      <c r="AI18845" s="38"/>
    </row>
    <row r="18846" ht="15.75" customHeight="1">
      <c r="A18846" s="35"/>
      <c r="C18846" s="442"/>
      <c r="P18846" s="235"/>
      <c r="AI18846" s="38"/>
    </row>
    <row r="18847" ht="15.75" customHeight="1">
      <c r="A18847" s="35"/>
      <c r="C18847" s="442"/>
      <c r="P18847" s="235"/>
      <c r="AI18847" s="38"/>
    </row>
    <row r="18848" ht="15.75" customHeight="1">
      <c r="A18848" s="35"/>
      <c r="C18848" s="442"/>
      <c r="P18848" s="235"/>
      <c r="AI18848" s="38"/>
    </row>
    <row r="18849" ht="15.75" customHeight="1">
      <c r="A18849" s="35"/>
      <c r="C18849" s="442"/>
      <c r="P18849" s="235"/>
      <c r="AI18849" s="38"/>
    </row>
    <row r="18850" ht="15.75" customHeight="1">
      <c r="A18850" s="35"/>
      <c r="C18850" s="442"/>
      <c r="P18850" s="235"/>
      <c r="AI18850" s="38"/>
    </row>
    <row r="18851" ht="15.75" customHeight="1">
      <c r="A18851" s="35"/>
      <c r="C18851" s="442"/>
      <c r="P18851" s="235"/>
      <c r="AI18851" s="38"/>
    </row>
    <row r="18852" ht="15.75" customHeight="1">
      <c r="A18852" s="35"/>
      <c r="C18852" s="442"/>
      <c r="P18852" s="235"/>
      <c r="AI18852" s="38"/>
    </row>
    <row r="18853" ht="15.75" customHeight="1">
      <c r="A18853" s="35"/>
      <c r="C18853" s="442"/>
      <c r="P18853" s="235"/>
      <c r="AI18853" s="38"/>
    </row>
    <row r="18854" ht="15.75" customHeight="1">
      <c r="A18854" s="35"/>
      <c r="C18854" s="442"/>
      <c r="P18854" s="235"/>
      <c r="AI18854" s="38"/>
    </row>
    <row r="18855" ht="15.75" customHeight="1">
      <c r="A18855" s="35"/>
      <c r="C18855" s="442"/>
      <c r="P18855" s="235"/>
      <c r="AI18855" s="38"/>
    </row>
    <row r="18856" ht="15.75" customHeight="1">
      <c r="A18856" s="35"/>
      <c r="C18856" s="442"/>
      <c r="P18856" s="235"/>
      <c r="AI18856" s="38"/>
    </row>
    <row r="18857" ht="15.75" customHeight="1">
      <c r="A18857" s="35"/>
      <c r="C18857" s="442"/>
      <c r="P18857" s="235"/>
      <c r="AI18857" s="38"/>
    </row>
    <row r="18858" ht="15.75" customHeight="1">
      <c r="A18858" s="35"/>
      <c r="C18858" s="442"/>
      <c r="P18858" s="235"/>
      <c r="AI18858" s="38"/>
    </row>
    <row r="18859" ht="15.75" customHeight="1">
      <c r="A18859" s="35"/>
      <c r="C18859" s="442"/>
      <c r="P18859" s="235"/>
      <c r="AI18859" s="38"/>
    </row>
    <row r="18860" ht="15.75" customHeight="1">
      <c r="A18860" s="35"/>
      <c r="C18860" s="442"/>
      <c r="P18860" s="235"/>
      <c r="AI18860" s="38"/>
    </row>
    <row r="18861" ht="15.75" customHeight="1">
      <c r="A18861" s="35"/>
      <c r="C18861" s="442"/>
      <c r="P18861" s="235"/>
      <c r="AI18861" s="38"/>
    </row>
    <row r="18862" ht="15.75" customHeight="1">
      <c r="A18862" s="35"/>
      <c r="C18862" s="442"/>
      <c r="P18862" s="235"/>
      <c r="AI18862" s="38"/>
    </row>
    <row r="18863" ht="15.75" customHeight="1">
      <c r="A18863" s="35"/>
      <c r="C18863" s="442"/>
      <c r="P18863" s="235"/>
      <c r="AI18863" s="38"/>
    </row>
    <row r="18864" ht="15.75" customHeight="1">
      <c r="A18864" s="35"/>
      <c r="C18864" s="442"/>
      <c r="P18864" s="235"/>
      <c r="AI18864" s="38"/>
    </row>
    <row r="18865" ht="15.75" customHeight="1">
      <c r="A18865" s="35"/>
      <c r="C18865" s="442"/>
      <c r="P18865" s="235"/>
      <c r="AI18865" s="38"/>
    </row>
    <row r="18866" ht="15.75" customHeight="1">
      <c r="A18866" s="35"/>
      <c r="C18866" s="442"/>
      <c r="P18866" s="235"/>
      <c r="AI18866" s="38"/>
    </row>
    <row r="18867" ht="15.75" customHeight="1">
      <c r="A18867" s="35"/>
      <c r="C18867" s="442"/>
      <c r="P18867" s="235"/>
      <c r="AI18867" s="38"/>
    </row>
    <row r="18868" ht="15.75" customHeight="1">
      <c r="A18868" s="35"/>
      <c r="C18868" s="442"/>
      <c r="P18868" s="235"/>
      <c r="AI18868" s="38"/>
    </row>
    <row r="18869" ht="15.75" customHeight="1">
      <c r="A18869" s="35"/>
      <c r="C18869" s="442"/>
      <c r="P18869" s="235"/>
      <c r="AI18869" s="38"/>
    </row>
    <row r="18870" ht="15.75" customHeight="1">
      <c r="A18870" s="35"/>
      <c r="C18870" s="442"/>
      <c r="P18870" s="235"/>
      <c r="AI18870" s="38"/>
    </row>
    <row r="18871" ht="15.75" customHeight="1">
      <c r="A18871" s="35"/>
      <c r="C18871" s="442"/>
      <c r="P18871" s="235"/>
      <c r="AI18871" s="38"/>
    </row>
    <row r="18872" ht="15.75" customHeight="1">
      <c r="A18872" s="35"/>
      <c r="C18872" s="442"/>
      <c r="P18872" s="235"/>
      <c r="AI18872" s="38"/>
    </row>
    <row r="18873" ht="15.75" customHeight="1">
      <c r="A18873" s="35"/>
      <c r="C18873" s="442"/>
      <c r="P18873" s="235"/>
      <c r="AI18873" s="38"/>
    </row>
    <row r="18874" ht="15.75" customHeight="1">
      <c r="A18874" s="35"/>
      <c r="C18874" s="442"/>
      <c r="P18874" s="235"/>
      <c r="AI18874" s="38"/>
    </row>
    <row r="18875" ht="15.75" customHeight="1">
      <c r="A18875" s="35"/>
      <c r="C18875" s="442"/>
      <c r="P18875" s="235"/>
      <c r="AI18875" s="38"/>
    </row>
    <row r="18876" ht="15.75" customHeight="1">
      <c r="A18876" s="35"/>
      <c r="C18876" s="442"/>
      <c r="P18876" s="235"/>
      <c r="AI18876" s="38"/>
    </row>
    <row r="18877" ht="15.75" customHeight="1">
      <c r="A18877" s="35"/>
      <c r="C18877" s="442"/>
      <c r="P18877" s="235"/>
      <c r="AI18877" s="38"/>
    </row>
    <row r="18878" ht="15.75" customHeight="1">
      <c r="A18878" s="35"/>
      <c r="C18878" s="442"/>
      <c r="P18878" s="235"/>
      <c r="AI18878" s="38"/>
    </row>
    <row r="18879" ht="15.75" customHeight="1">
      <c r="A18879" s="35"/>
      <c r="C18879" s="442"/>
      <c r="P18879" s="235"/>
      <c r="AI18879" s="38"/>
    </row>
    <row r="18880" ht="15.75" customHeight="1">
      <c r="A18880" s="35"/>
      <c r="C18880" s="442"/>
      <c r="P18880" s="235"/>
      <c r="AI18880" s="38"/>
    </row>
    <row r="18881" ht="15.75" customHeight="1">
      <c r="A18881" s="35"/>
      <c r="C18881" s="442"/>
      <c r="P18881" s="235"/>
      <c r="AI18881" s="38"/>
    </row>
    <row r="18882" ht="15.75" customHeight="1">
      <c r="A18882" s="35"/>
      <c r="C18882" s="442"/>
      <c r="P18882" s="235"/>
      <c r="AI18882" s="38"/>
    </row>
    <row r="18883" ht="15.75" customHeight="1">
      <c r="A18883" s="35"/>
      <c r="C18883" s="442"/>
      <c r="P18883" s="235"/>
      <c r="AI18883" s="38"/>
    </row>
    <row r="18884" ht="15.75" customHeight="1">
      <c r="A18884" s="35"/>
      <c r="C18884" s="442"/>
      <c r="P18884" s="235"/>
      <c r="AI18884" s="38"/>
    </row>
    <row r="18885" ht="15.75" customHeight="1">
      <c r="A18885" s="35"/>
      <c r="C18885" s="442"/>
      <c r="P18885" s="235"/>
      <c r="AI18885" s="38"/>
    </row>
    <row r="18886" ht="15.75" customHeight="1">
      <c r="A18886" s="35"/>
      <c r="C18886" s="442"/>
      <c r="P18886" s="235"/>
      <c r="AI18886" s="38"/>
    </row>
    <row r="18887" ht="15.75" customHeight="1">
      <c r="A18887" s="35"/>
      <c r="C18887" s="442"/>
      <c r="P18887" s="235"/>
      <c r="AI18887" s="38"/>
    </row>
    <row r="18888" ht="15.75" customHeight="1">
      <c r="A18888" s="35"/>
      <c r="C18888" s="442"/>
      <c r="P18888" s="235"/>
      <c r="AI18888" s="38"/>
    </row>
    <row r="18889" ht="15.75" customHeight="1">
      <c r="A18889" s="35"/>
      <c r="C18889" s="442"/>
      <c r="P18889" s="235"/>
      <c r="AI18889" s="38"/>
    </row>
    <row r="18890" ht="15.75" customHeight="1">
      <c r="A18890" s="35"/>
      <c r="C18890" s="442"/>
      <c r="P18890" s="235"/>
      <c r="AI18890" s="38"/>
    </row>
    <row r="18891" ht="15.75" customHeight="1">
      <c r="A18891" s="35"/>
      <c r="C18891" s="442"/>
      <c r="P18891" s="235"/>
      <c r="AI18891" s="38"/>
    </row>
    <row r="18892" ht="15.75" customHeight="1">
      <c r="A18892" s="35"/>
      <c r="C18892" s="442"/>
      <c r="P18892" s="235"/>
      <c r="AI18892" s="38"/>
    </row>
    <row r="18893" ht="15.75" customHeight="1">
      <c r="A18893" s="35"/>
      <c r="C18893" s="442"/>
      <c r="P18893" s="235"/>
      <c r="AI18893" s="38"/>
    </row>
    <row r="18894" ht="15.75" customHeight="1">
      <c r="A18894" s="35"/>
      <c r="C18894" s="442"/>
      <c r="P18894" s="235"/>
      <c r="AI18894" s="38"/>
    </row>
    <row r="18895" ht="15.75" customHeight="1">
      <c r="A18895" s="35"/>
      <c r="C18895" s="442"/>
      <c r="P18895" s="235"/>
      <c r="AI18895" s="38"/>
    </row>
    <row r="18896" ht="15.75" customHeight="1">
      <c r="A18896" s="35"/>
      <c r="C18896" s="442"/>
      <c r="P18896" s="235"/>
      <c r="AI18896" s="38"/>
    </row>
    <row r="18897" ht="15.75" customHeight="1">
      <c r="A18897" s="35"/>
      <c r="C18897" s="442"/>
      <c r="P18897" s="235"/>
      <c r="AI18897" s="38"/>
    </row>
    <row r="18898" ht="15.75" customHeight="1">
      <c r="A18898" s="35"/>
      <c r="C18898" s="442"/>
      <c r="P18898" s="235"/>
      <c r="AI18898" s="38"/>
    </row>
    <row r="18899" ht="15.75" customHeight="1">
      <c r="A18899" s="35"/>
      <c r="C18899" s="442"/>
      <c r="P18899" s="235"/>
      <c r="AI18899" s="38"/>
    </row>
    <row r="18900" ht="15.75" customHeight="1">
      <c r="A18900" s="35"/>
      <c r="C18900" s="442"/>
      <c r="P18900" s="235"/>
      <c r="AI18900" s="38"/>
    </row>
    <row r="18901" ht="15.75" customHeight="1">
      <c r="A18901" s="35"/>
      <c r="C18901" s="442"/>
      <c r="P18901" s="235"/>
      <c r="AI18901" s="38"/>
    </row>
    <row r="18902" ht="15.75" customHeight="1">
      <c r="A18902" s="35"/>
      <c r="C18902" s="442"/>
      <c r="P18902" s="235"/>
      <c r="AI18902" s="38"/>
    </row>
    <row r="18903" ht="15.75" customHeight="1">
      <c r="A18903" s="35"/>
      <c r="C18903" s="442"/>
      <c r="P18903" s="235"/>
      <c r="AI18903" s="38"/>
    </row>
    <row r="18904" ht="15.75" customHeight="1">
      <c r="A18904" s="35"/>
      <c r="C18904" s="442"/>
      <c r="P18904" s="235"/>
      <c r="AI18904" s="38"/>
    </row>
    <row r="18905" ht="15.75" customHeight="1">
      <c r="A18905" s="35"/>
      <c r="C18905" s="442"/>
      <c r="P18905" s="235"/>
      <c r="AI18905" s="38"/>
    </row>
    <row r="18906" ht="15.75" customHeight="1">
      <c r="A18906" s="35"/>
      <c r="C18906" s="442"/>
      <c r="P18906" s="235"/>
      <c r="AI18906" s="38"/>
    </row>
    <row r="18907" ht="15.75" customHeight="1">
      <c r="A18907" s="35"/>
      <c r="C18907" s="442"/>
      <c r="P18907" s="235"/>
      <c r="AI18907" s="38"/>
    </row>
    <row r="18908" ht="15.75" customHeight="1">
      <c r="A18908" s="35"/>
      <c r="C18908" s="442"/>
      <c r="P18908" s="235"/>
      <c r="AI18908" s="38"/>
    </row>
    <row r="18909" ht="15.75" customHeight="1">
      <c r="A18909" s="35"/>
      <c r="C18909" s="442"/>
      <c r="P18909" s="235"/>
      <c r="AI18909" s="38"/>
    </row>
    <row r="18910" ht="15.75" customHeight="1">
      <c r="A18910" s="35"/>
      <c r="C18910" s="442"/>
      <c r="P18910" s="235"/>
      <c r="AI18910" s="38"/>
    </row>
    <row r="18911" ht="15.75" customHeight="1">
      <c r="A18911" s="35"/>
      <c r="C18911" s="442"/>
      <c r="P18911" s="235"/>
      <c r="AI18911" s="38"/>
    </row>
    <row r="18912" ht="15.75" customHeight="1">
      <c r="A18912" s="35"/>
      <c r="C18912" s="442"/>
      <c r="P18912" s="235"/>
      <c r="AI18912" s="38"/>
    </row>
    <row r="18913" ht="15.75" customHeight="1">
      <c r="A18913" s="35"/>
      <c r="C18913" s="442"/>
      <c r="P18913" s="235"/>
      <c r="AI18913" s="38"/>
    </row>
    <row r="18914" ht="15.75" customHeight="1">
      <c r="A18914" s="35"/>
      <c r="C18914" s="442"/>
      <c r="P18914" s="235"/>
      <c r="AI18914" s="38"/>
    </row>
    <row r="18915" ht="15.75" customHeight="1">
      <c r="A18915" s="35"/>
      <c r="C18915" s="442"/>
      <c r="P18915" s="235"/>
      <c r="AI18915" s="38"/>
    </row>
    <row r="18916" ht="15.75" customHeight="1">
      <c r="A18916" s="35"/>
      <c r="C18916" s="442"/>
      <c r="P18916" s="235"/>
      <c r="AI18916" s="38"/>
    </row>
    <row r="18917" ht="15.75" customHeight="1">
      <c r="A18917" s="35"/>
      <c r="C18917" s="442"/>
      <c r="P18917" s="235"/>
      <c r="AI18917" s="38"/>
    </row>
    <row r="18918" ht="15.75" customHeight="1">
      <c r="A18918" s="35"/>
      <c r="C18918" s="442"/>
      <c r="P18918" s="235"/>
      <c r="AI18918" s="38"/>
    </row>
    <row r="18919" ht="15.75" customHeight="1">
      <c r="A18919" s="35"/>
      <c r="C18919" s="442"/>
      <c r="P18919" s="235"/>
      <c r="AI18919" s="38"/>
    </row>
    <row r="18920" ht="15.75" customHeight="1">
      <c r="A18920" s="35"/>
      <c r="C18920" s="442"/>
      <c r="P18920" s="235"/>
      <c r="AI18920" s="38"/>
    </row>
    <row r="18921" ht="15.75" customHeight="1">
      <c r="A18921" s="35"/>
      <c r="C18921" s="442"/>
      <c r="P18921" s="235"/>
      <c r="AI18921" s="38"/>
    </row>
    <row r="18922" ht="15.75" customHeight="1">
      <c r="A18922" s="35"/>
      <c r="C18922" s="442"/>
      <c r="P18922" s="235"/>
      <c r="AI18922" s="38"/>
    </row>
    <row r="18923" ht="15.75" customHeight="1">
      <c r="A18923" s="35"/>
      <c r="C18923" s="442"/>
      <c r="P18923" s="235"/>
      <c r="AI18923" s="38"/>
    </row>
    <row r="18924" ht="15.75" customHeight="1">
      <c r="A18924" s="35"/>
      <c r="C18924" s="442"/>
      <c r="P18924" s="235"/>
      <c r="AI18924" s="38"/>
    </row>
    <row r="18925" ht="15.75" customHeight="1">
      <c r="A18925" s="35"/>
      <c r="C18925" s="442"/>
      <c r="P18925" s="235"/>
      <c r="AI18925" s="38"/>
    </row>
    <row r="18926" ht="15.75" customHeight="1">
      <c r="A18926" s="35"/>
      <c r="C18926" s="442"/>
      <c r="P18926" s="235"/>
      <c r="AI18926" s="38"/>
    </row>
    <row r="18927" ht="15.75" customHeight="1">
      <c r="A18927" s="35"/>
      <c r="C18927" s="442"/>
      <c r="P18927" s="235"/>
      <c r="AI18927" s="38"/>
    </row>
    <row r="18928" ht="15.75" customHeight="1">
      <c r="A18928" s="35"/>
      <c r="C18928" s="442"/>
      <c r="P18928" s="235"/>
      <c r="AI18928" s="38"/>
    </row>
    <row r="18929" ht="15.75" customHeight="1">
      <c r="A18929" s="35"/>
      <c r="C18929" s="442"/>
      <c r="P18929" s="235"/>
      <c r="AI18929" s="38"/>
    </row>
    <row r="18930" ht="15.75" customHeight="1">
      <c r="A18930" s="35"/>
      <c r="C18930" s="442"/>
      <c r="P18930" s="235"/>
      <c r="AI18930" s="38"/>
    </row>
    <row r="18931" ht="15.75" customHeight="1">
      <c r="A18931" s="35"/>
      <c r="C18931" s="442"/>
      <c r="P18931" s="235"/>
      <c r="AI18931" s="38"/>
    </row>
    <row r="18932" ht="15.75" customHeight="1">
      <c r="A18932" s="35"/>
      <c r="C18932" s="442"/>
      <c r="P18932" s="235"/>
      <c r="AI18932" s="38"/>
    </row>
    <row r="18933" ht="15.75" customHeight="1">
      <c r="A18933" s="35"/>
      <c r="C18933" s="442"/>
      <c r="P18933" s="235"/>
      <c r="AI18933" s="38"/>
    </row>
    <row r="18934" ht="15.75" customHeight="1">
      <c r="A18934" s="35"/>
      <c r="C18934" s="442"/>
      <c r="P18934" s="235"/>
      <c r="AI18934" s="38"/>
    </row>
    <row r="18935" ht="15.75" customHeight="1">
      <c r="A18935" s="35"/>
      <c r="C18935" s="442"/>
      <c r="P18935" s="235"/>
      <c r="AI18935" s="38"/>
    </row>
    <row r="18936" ht="15.75" customHeight="1">
      <c r="A18936" s="35"/>
      <c r="C18936" s="442"/>
      <c r="P18936" s="235"/>
      <c r="AI18936" s="38"/>
    </row>
    <row r="18937" ht="15.75" customHeight="1">
      <c r="A18937" s="35"/>
      <c r="C18937" s="442"/>
      <c r="P18937" s="235"/>
      <c r="AI18937" s="38"/>
    </row>
    <row r="18938" ht="15.75" customHeight="1">
      <c r="A18938" s="35"/>
      <c r="C18938" s="442"/>
      <c r="P18938" s="235"/>
      <c r="AI18938" s="38"/>
    </row>
    <row r="18939" ht="15.75" customHeight="1">
      <c r="A18939" s="35"/>
      <c r="C18939" s="442"/>
      <c r="P18939" s="235"/>
      <c r="AI18939" s="38"/>
    </row>
    <row r="18940" ht="15.75" customHeight="1">
      <c r="A18940" s="35"/>
      <c r="C18940" s="442"/>
      <c r="P18940" s="235"/>
      <c r="AI18940" s="38"/>
    </row>
    <row r="18941" ht="15.75" customHeight="1">
      <c r="A18941" s="35"/>
      <c r="C18941" s="442"/>
      <c r="P18941" s="235"/>
      <c r="AI18941" s="38"/>
    </row>
    <row r="18942" ht="15.75" customHeight="1">
      <c r="A18942" s="35"/>
      <c r="C18942" s="442"/>
      <c r="P18942" s="235"/>
      <c r="AI18942" s="38"/>
    </row>
    <row r="18943" ht="15.75" customHeight="1">
      <c r="A18943" s="35"/>
      <c r="C18943" s="442"/>
      <c r="P18943" s="235"/>
      <c r="AI18943" s="38"/>
    </row>
    <row r="18944" ht="15.75" customHeight="1">
      <c r="A18944" s="35"/>
      <c r="C18944" s="442"/>
      <c r="P18944" s="235"/>
      <c r="AI18944" s="38"/>
    </row>
    <row r="18945" ht="15.75" customHeight="1">
      <c r="A18945" s="35"/>
      <c r="C18945" s="442"/>
      <c r="P18945" s="235"/>
      <c r="AI18945" s="38"/>
    </row>
    <row r="18946" ht="15.75" customHeight="1">
      <c r="A18946" s="35"/>
      <c r="C18946" s="442"/>
      <c r="P18946" s="235"/>
      <c r="AI18946" s="38"/>
    </row>
    <row r="18947" ht="15.75" customHeight="1">
      <c r="A18947" s="35"/>
      <c r="C18947" s="442"/>
      <c r="P18947" s="235"/>
      <c r="AI18947" s="38"/>
    </row>
    <row r="18948" ht="15.75" customHeight="1">
      <c r="A18948" s="35"/>
      <c r="C18948" s="442"/>
      <c r="P18948" s="235"/>
      <c r="AI18948" s="38"/>
    </row>
    <row r="18949" ht="15.75" customHeight="1">
      <c r="A18949" s="35"/>
      <c r="C18949" s="442"/>
      <c r="P18949" s="235"/>
      <c r="AI18949" s="38"/>
    </row>
    <row r="18950" ht="15.75" customHeight="1">
      <c r="A18950" s="35"/>
      <c r="C18950" s="442"/>
      <c r="P18950" s="235"/>
      <c r="AI18950" s="38"/>
    </row>
    <row r="18951" ht="15.75" customHeight="1">
      <c r="A18951" s="35"/>
      <c r="C18951" s="442"/>
      <c r="P18951" s="235"/>
      <c r="AI18951" s="38"/>
    </row>
    <row r="18952" ht="15.75" customHeight="1">
      <c r="A18952" s="35"/>
      <c r="C18952" s="442"/>
      <c r="P18952" s="235"/>
      <c r="AI18952" s="38"/>
    </row>
    <row r="18953" ht="15.75" customHeight="1">
      <c r="A18953" s="35"/>
      <c r="C18953" s="442"/>
      <c r="P18953" s="235"/>
      <c r="AI18953" s="38"/>
    </row>
    <row r="18954" ht="15.75" customHeight="1">
      <c r="A18954" s="35"/>
      <c r="C18954" s="442"/>
      <c r="P18954" s="235"/>
      <c r="AI18954" s="38"/>
    </row>
    <row r="18955" ht="15.75" customHeight="1">
      <c r="A18955" s="35"/>
      <c r="C18955" s="442"/>
      <c r="P18955" s="235"/>
      <c r="AI18955" s="38"/>
    </row>
    <row r="18956" ht="15.75" customHeight="1">
      <c r="A18956" s="35"/>
      <c r="C18956" s="442"/>
      <c r="P18956" s="235"/>
      <c r="AI18956" s="38"/>
    </row>
    <row r="18957" ht="15.75" customHeight="1">
      <c r="A18957" s="35"/>
      <c r="C18957" s="442"/>
      <c r="P18957" s="235"/>
      <c r="AI18957" s="38"/>
    </row>
    <row r="18958" ht="15.75" customHeight="1">
      <c r="A18958" s="35"/>
      <c r="C18958" s="442"/>
      <c r="P18958" s="235"/>
      <c r="AI18958" s="38"/>
    </row>
    <row r="18959" ht="15.75" customHeight="1">
      <c r="A18959" s="35"/>
      <c r="C18959" s="442"/>
      <c r="P18959" s="235"/>
      <c r="AI18959" s="38"/>
    </row>
    <row r="18960" ht="15.75" customHeight="1">
      <c r="A18960" s="35"/>
      <c r="C18960" s="442"/>
      <c r="P18960" s="235"/>
      <c r="AI18960" s="38"/>
    </row>
    <row r="18961" ht="15.75" customHeight="1">
      <c r="A18961" s="35"/>
      <c r="C18961" s="442"/>
      <c r="P18961" s="235"/>
      <c r="AI18961" s="38"/>
    </row>
    <row r="18962" ht="15.75" customHeight="1">
      <c r="A18962" s="35"/>
      <c r="C18962" s="442"/>
      <c r="P18962" s="235"/>
      <c r="AI18962" s="38"/>
    </row>
    <row r="18963" ht="15.75" customHeight="1">
      <c r="A18963" s="35"/>
      <c r="C18963" s="442"/>
      <c r="P18963" s="235"/>
      <c r="AI18963" s="38"/>
    </row>
    <row r="18964" ht="15.75" customHeight="1">
      <c r="A18964" s="35"/>
      <c r="C18964" s="442"/>
      <c r="P18964" s="235"/>
      <c r="AI18964" s="38"/>
    </row>
    <row r="18965" ht="15.75" customHeight="1">
      <c r="A18965" s="35"/>
      <c r="C18965" s="442"/>
      <c r="P18965" s="235"/>
      <c r="AI18965" s="38"/>
    </row>
    <row r="18966" ht="15.75" customHeight="1">
      <c r="A18966" s="35"/>
      <c r="C18966" s="442"/>
      <c r="P18966" s="235"/>
      <c r="AI18966" s="38"/>
    </row>
    <row r="18967" ht="15.75" customHeight="1">
      <c r="A18967" s="35"/>
      <c r="C18967" s="442"/>
      <c r="P18967" s="235"/>
      <c r="AI18967" s="38"/>
    </row>
    <row r="18968" ht="15.75" customHeight="1">
      <c r="A18968" s="35"/>
      <c r="C18968" s="442"/>
      <c r="P18968" s="235"/>
      <c r="AI18968" s="38"/>
    </row>
    <row r="18969" ht="15.75" customHeight="1">
      <c r="A18969" s="35"/>
      <c r="C18969" s="442"/>
      <c r="P18969" s="235"/>
      <c r="AI18969" s="38"/>
    </row>
    <row r="18970" ht="15.75" customHeight="1">
      <c r="A18970" s="35"/>
      <c r="C18970" s="442"/>
      <c r="P18970" s="235"/>
      <c r="AI18970" s="38"/>
    </row>
    <row r="18971" ht="15.75" customHeight="1">
      <c r="A18971" s="35"/>
      <c r="C18971" s="442"/>
      <c r="P18971" s="235"/>
      <c r="AI18971" s="38"/>
    </row>
    <row r="18972" ht="15.75" customHeight="1">
      <c r="A18972" s="35"/>
      <c r="C18972" s="442"/>
      <c r="P18972" s="235"/>
      <c r="AI18972" s="38"/>
    </row>
    <row r="18973" ht="15.75" customHeight="1">
      <c r="A18973" s="35"/>
      <c r="C18973" s="442"/>
      <c r="P18973" s="235"/>
      <c r="AI18973" s="38"/>
    </row>
    <row r="18974" ht="15.75" customHeight="1">
      <c r="A18974" s="35"/>
      <c r="C18974" s="442"/>
      <c r="P18974" s="235"/>
      <c r="AI18974" s="38"/>
    </row>
    <row r="18975" ht="15.75" customHeight="1">
      <c r="A18975" s="35"/>
      <c r="C18975" s="442"/>
      <c r="P18975" s="235"/>
      <c r="AI18975" s="38"/>
    </row>
    <row r="18976" ht="15.75" customHeight="1">
      <c r="A18976" s="35"/>
      <c r="C18976" s="442"/>
      <c r="P18976" s="235"/>
      <c r="AI18976" s="38"/>
    </row>
    <row r="18977" ht="15.75" customHeight="1">
      <c r="A18977" s="35"/>
      <c r="C18977" s="442"/>
      <c r="P18977" s="235"/>
      <c r="AI18977" s="38"/>
    </row>
    <row r="18978" ht="15.75" customHeight="1">
      <c r="A18978" s="35"/>
      <c r="C18978" s="442"/>
      <c r="P18978" s="235"/>
      <c r="AI18978" s="38"/>
    </row>
    <row r="18979" ht="15.75" customHeight="1">
      <c r="A18979" s="35"/>
      <c r="C18979" s="442"/>
      <c r="P18979" s="235"/>
      <c r="AI18979" s="38"/>
    </row>
    <row r="18980" ht="15.75" customHeight="1">
      <c r="A18980" s="35"/>
      <c r="C18980" s="442"/>
      <c r="P18980" s="235"/>
      <c r="AI18980" s="38"/>
    </row>
    <row r="18981" ht="15.75" customHeight="1">
      <c r="A18981" s="35"/>
      <c r="C18981" s="442"/>
      <c r="P18981" s="235"/>
      <c r="AI18981" s="38"/>
    </row>
    <row r="18982" ht="15.75" customHeight="1">
      <c r="A18982" s="35"/>
      <c r="C18982" s="442"/>
      <c r="P18982" s="235"/>
      <c r="AI18982" s="38"/>
    </row>
    <row r="18983" ht="15.75" customHeight="1">
      <c r="A18983" s="35"/>
      <c r="C18983" s="442"/>
      <c r="P18983" s="235"/>
      <c r="AI18983" s="38"/>
    </row>
    <row r="18984" ht="15.75" customHeight="1">
      <c r="A18984" s="35"/>
      <c r="C18984" s="442"/>
      <c r="P18984" s="235"/>
      <c r="AI18984" s="38"/>
    </row>
    <row r="18985" ht="15.75" customHeight="1">
      <c r="A18985" s="35"/>
      <c r="C18985" s="442"/>
      <c r="P18985" s="235"/>
      <c r="AI18985" s="38"/>
    </row>
    <row r="18986" ht="15.75" customHeight="1">
      <c r="A18986" s="35"/>
      <c r="C18986" s="442"/>
      <c r="P18986" s="235"/>
      <c r="AI18986" s="38"/>
    </row>
    <row r="18987" ht="15.75" customHeight="1">
      <c r="A18987" s="35"/>
      <c r="C18987" s="442"/>
      <c r="P18987" s="235"/>
      <c r="AI18987" s="38"/>
    </row>
    <row r="18988" ht="15.75" customHeight="1">
      <c r="A18988" s="35"/>
      <c r="C18988" s="442"/>
      <c r="P18988" s="235"/>
      <c r="AI18988" s="38"/>
    </row>
    <row r="18989" ht="15.75" customHeight="1">
      <c r="A18989" s="35"/>
      <c r="C18989" s="442"/>
      <c r="P18989" s="235"/>
      <c r="AI18989" s="38"/>
    </row>
    <row r="18990" ht="15.75" customHeight="1">
      <c r="A18990" s="35"/>
      <c r="C18990" s="442"/>
      <c r="P18990" s="235"/>
      <c r="AI18990" s="38"/>
    </row>
    <row r="18991" ht="15.75" customHeight="1">
      <c r="A18991" s="35"/>
      <c r="C18991" s="442"/>
      <c r="P18991" s="235"/>
      <c r="AI18991" s="38"/>
    </row>
    <row r="18992" ht="15.75" customHeight="1">
      <c r="A18992" s="35"/>
      <c r="C18992" s="442"/>
      <c r="P18992" s="235"/>
      <c r="AI18992" s="38"/>
    </row>
    <row r="18993" ht="15.75" customHeight="1">
      <c r="A18993" s="35"/>
      <c r="C18993" s="442"/>
      <c r="P18993" s="235"/>
      <c r="AI18993" s="38"/>
    </row>
    <row r="18994" ht="15.75" customHeight="1">
      <c r="A18994" s="35"/>
      <c r="C18994" s="442"/>
      <c r="P18994" s="235"/>
      <c r="AI18994" s="38"/>
    </row>
    <row r="18995" ht="15.75" customHeight="1">
      <c r="A18995" s="35"/>
      <c r="C18995" s="442"/>
      <c r="P18995" s="235"/>
      <c r="AI18995" s="38"/>
    </row>
    <row r="18996" ht="15.75" customHeight="1">
      <c r="A18996" s="35"/>
      <c r="C18996" s="442"/>
      <c r="P18996" s="235"/>
      <c r="AI18996" s="38"/>
    </row>
    <row r="18997" ht="15.75" customHeight="1">
      <c r="A18997" s="35"/>
      <c r="C18997" s="442"/>
      <c r="P18997" s="235"/>
      <c r="AI18997" s="38"/>
    </row>
    <row r="18998" ht="15.75" customHeight="1">
      <c r="A18998" s="35"/>
      <c r="C18998" s="442"/>
      <c r="P18998" s="235"/>
      <c r="AI18998" s="38"/>
    </row>
    <row r="18999" ht="15.75" customHeight="1">
      <c r="A18999" s="35"/>
      <c r="C18999" s="442"/>
      <c r="P18999" s="235"/>
      <c r="AI18999" s="38"/>
    </row>
    <row r="19000" ht="15.75" customHeight="1">
      <c r="A19000" s="35"/>
      <c r="C19000" s="442"/>
      <c r="P19000" s="235"/>
      <c r="AI19000" s="38"/>
    </row>
    <row r="19001" ht="15.75" customHeight="1">
      <c r="A19001" s="35"/>
      <c r="C19001" s="442"/>
      <c r="P19001" s="235"/>
      <c r="AI19001" s="38"/>
    </row>
    <row r="19002" ht="15.75" customHeight="1">
      <c r="A19002" s="35"/>
      <c r="C19002" s="442"/>
      <c r="P19002" s="235"/>
      <c r="AI19002" s="38"/>
    </row>
    <row r="19003" ht="15.75" customHeight="1">
      <c r="A19003" s="35"/>
      <c r="C19003" s="442"/>
      <c r="P19003" s="235"/>
      <c r="AI19003" s="38"/>
    </row>
    <row r="19004" ht="15.75" customHeight="1">
      <c r="A19004" s="35"/>
      <c r="C19004" s="442"/>
      <c r="P19004" s="235"/>
      <c r="AI19004" s="38"/>
    </row>
    <row r="19005" ht="15.75" customHeight="1">
      <c r="A19005" s="35"/>
      <c r="C19005" s="442"/>
      <c r="P19005" s="235"/>
      <c r="AI19005" s="38"/>
    </row>
    <row r="19006" ht="15.75" customHeight="1">
      <c r="A19006" s="35"/>
      <c r="C19006" s="442"/>
      <c r="P19006" s="235"/>
      <c r="AI19006" s="38"/>
    </row>
    <row r="19007" ht="15.75" customHeight="1">
      <c r="A19007" s="35"/>
      <c r="C19007" s="442"/>
      <c r="P19007" s="235"/>
      <c r="AI19007" s="38"/>
    </row>
    <row r="19008" ht="15.75" customHeight="1">
      <c r="A19008" s="35"/>
      <c r="C19008" s="442"/>
      <c r="P19008" s="235"/>
      <c r="AI19008" s="38"/>
    </row>
    <row r="19009" ht="15.75" customHeight="1">
      <c r="A19009" s="35"/>
      <c r="C19009" s="442"/>
      <c r="P19009" s="235"/>
      <c r="AI19009" s="38"/>
    </row>
    <row r="19010" ht="15.75" customHeight="1">
      <c r="A19010" s="35"/>
      <c r="C19010" s="442"/>
      <c r="P19010" s="235"/>
      <c r="AI19010" s="38"/>
    </row>
    <row r="19011" ht="15.75" customHeight="1">
      <c r="A19011" s="35"/>
      <c r="C19011" s="442"/>
      <c r="P19011" s="235"/>
      <c r="AI19011" s="38"/>
    </row>
    <row r="19012" ht="15.75" customHeight="1">
      <c r="A19012" s="35"/>
      <c r="C19012" s="442"/>
      <c r="P19012" s="235"/>
      <c r="AI19012" s="38"/>
    </row>
    <row r="19013" ht="15.75" customHeight="1">
      <c r="A19013" s="35"/>
      <c r="C19013" s="442"/>
      <c r="P19013" s="235"/>
      <c r="AI19013" s="38"/>
    </row>
    <row r="19014" ht="15.75" customHeight="1">
      <c r="A19014" s="35"/>
      <c r="C19014" s="442"/>
      <c r="P19014" s="235"/>
      <c r="AI19014" s="38"/>
    </row>
    <row r="19015" ht="15.75" customHeight="1">
      <c r="A19015" s="35"/>
      <c r="C19015" s="442"/>
      <c r="P19015" s="235"/>
      <c r="AI19015" s="38"/>
    </row>
    <row r="19016" ht="15.75" customHeight="1">
      <c r="A19016" s="35"/>
      <c r="C19016" s="442"/>
      <c r="P19016" s="235"/>
      <c r="AI19016" s="38"/>
    </row>
    <row r="19017" ht="15.75" customHeight="1">
      <c r="A19017" s="35"/>
      <c r="C19017" s="442"/>
      <c r="P19017" s="235"/>
      <c r="AI19017" s="38"/>
    </row>
    <row r="19018" ht="15.75" customHeight="1">
      <c r="A19018" s="35"/>
      <c r="C19018" s="442"/>
      <c r="P19018" s="235"/>
      <c r="AI19018" s="38"/>
    </row>
    <row r="19019" ht="15.75" customHeight="1">
      <c r="A19019" s="35"/>
      <c r="C19019" s="442"/>
      <c r="P19019" s="235"/>
      <c r="AI19019" s="38"/>
    </row>
    <row r="19020" ht="15.75" customHeight="1">
      <c r="A19020" s="35"/>
      <c r="C19020" s="442"/>
      <c r="P19020" s="235"/>
      <c r="AI19020" s="38"/>
    </row>
    <row r="19021" ht="15.75" customHeight="1">
      <c r="A19021" s="35"/>
      <c r="C19021" s="442"/>
      <c r="P19021" s="235"/>
      <c r="AI19021" s="38"/>
    </row>
    <row r="19022" ht="15.75" customHeight="1">
      <c r="A19022" s="35"/>
      <c r="C19022" s="442"/>
      <c r="P19022" s="235"/>
      <c r="AI19022" s="38"/>
    </row>
    <row r="19023" ht="15.75" customHeight="1">
      <c r="A19023" s="35"/>
      <c r="C19023" s="442"/>
      <c r="P19023" s="235"/>
      <c r="AI19023" s="38"/>
    </row>
    <row r="19024" ht="15.75" customHeight="1">
      <c r="A19024" s="35"/>
      <c r="C19024" s="442"/>
      <c r="P19024" s="235"/>
      <c r="AI19024" s="38"/>
    </row>
    <row r="19025" ht="15.75" customHeight="1">
      <c r="A19025" s="35"/>
      <c r="C19025" s="442"/>
      <c r="P19025" s="235"/>
      <c r="AI19025" s="38"/>
    </row>
    <row r="19026" ht="15.75" customHeight="1">
      <c r="A19026" s="35"/>
      <c r="C19026" s="442"/>
      <c r="P19026" s="235"/>
      <c r="AI19026" s="38"/>
    </row>
    <row r="19027" ht="15.75" customHeight="1">
      <c r="A19027" s="35"/>
      <c r="C19027" s="442"/>
      <c r="P19027" s="235"/>
      <c r="AI19027" s="38"/>
    </row>
    <row r="19028" ht="15.75" customHeight="1">
      <c r="A19028" s="35"/>
      <c r="C19028" s="442"/>
      <c r="P19028" s="235"/>
      <c r="AI19028" s="38"/>
    </row>
    <row r="19029" ht="15.75" customHeight="1">
      <c r="A19029" s="35"/>
      <c r="C19029" s="442"/>
      <c r="P19029" s="235"/>
      <c r="AI19029" s="38"/>
    </row>
    <row r="19030" ht="15.75" customHeight="1">
      <c r="A19030" s="35"/>
      <c r="C19030" s="442"/>
      <c r="P19030" s="235"/>
      <c r="AI19030" s="38"/>
    </row>
    <row r="19031" ht="15.75" customHeight="1">
      <c r="A19031" s="35"/>
      <c r="C19031" s="442"/>
      <c r="P19031" s="235"/>
      <c r="AI19031" s="38"/>
    </row>
    <row r="19032" ht="15.75" customHeight="1">
      <c r="A19032" s="35"/>
      <c r="C19032" s="442"/>
      <c r="P19032" s="235"/>
      <c r="AI19032" s="38"/>
    </row>
    <row r="19033" ht="15.75" customHeight="1">
      <c r="A19033" s="35"/>
      <c r="C19033" s="442"/>
      <c r="P19033" s="235"/>
      <c r="AI19033" s="38"/>
    </row>
    <row r="19034" ht="15.75" customHeight="1">
      <c r="A19034" s="35"/>
      <c r="C19034" s="442"/>
      <c r="P19034" s="235"/>
      <c r="AI19034" s="38"/>
    </row>
    <row r="19035" ht="15.75" customHeight="1">
      <c r="A19035" s="35"/>
      <c r="C19035" s="442"/>
      <c r="P19035" s="235"/>
      <c r="AI19035" s="38"/>
    </row>
    <row r="19036" ht="15.75" customHeight="1">
      <c r="A19036" s="35"/>
      <c r="C19036" s="442"/>
      <c r="P19036" s="235"/>
      <c r="AI19036" s="38"/>
    </row>
    <row r="19037" ht="15.75" customHeight="1">
      <c r="A19037" s="35"/>
      <c r="C19037" s="442"/>
      <c r="P19037" s="235"/>
      <c r="AI19037" s="38"/>
    </row>
    <row r="19038" ht="15.75" customHeight="1">
      <c r="A19038" s="35"/>
      <c r="C19038" s="442"/>
      <c r="P19038" s="235"/>
      <c r="AI19038" s="38"/>
    </row>
    <row r="19039" ht="15.75" customHeight="1">
      <c r="A19039" s="35"/>
      <c r="C19039" s="442"/>
      <c r="P19039" s="235"/>
      <c r="AI19039" s="38"/>
    </row>
    <row r="19040" ht="15.75" customHeight="1">
      <c r="A19040" s="35"/>
      <c r="C19040" s="442"/>
      <c r="P19040" s="235"/>
      <c r="AI19040" s="38"/>
    </row>
    <row r="19041" ht="15.75" customHeight="1">
      <c r="A19041" s="35"/>
      <c r="C19041" s="442"/>
      <c r="P19041" s="235"/>
      <c r="AI19041" s="38"/>
    </row>
    <row r="19042" ht="15.75" customHeight="1">
      <c r="A19042" s="35"/>
      <c r="C19042" s="442"/>
      <c r="P19042" s="235"/>
      <c r="AI19042" s="38"/>
    </row>
    <row r="19043" ht="15.75" customHeight="1">
      <c r="A19043" s="35"/>
      <c r="C19043" s="442"/>
      <c r="P19043" s="235"/>
      <c r="AI19043" s="38"/>
    </row>
    <row r="19044" ht="15.75" customHeight="1">
      <c r="A19044" s="35"/>
      <c r="C19044" s="442"/>
      <c r="P19044" s="235"/>
      <c r="AI19044" s="38"/>
    </row>
    <row r="19045" ht="15.75" customHeight="1">
      <c r="A19045" s="35"/>
      <c r="C19045" s="442"/>
      <c r="P19045" s="235"/>
      <c r="AI19045" s="38"/>
    </row>
    <row r="19046" ht="15.75" customHeight="1">
      <c r="A19046" s="35"/>
      <c r="C19046" s="442"/>
      <c r="P19046" s="235"/>
      <c r="AI19046" s="38"/>
    </row>
    <row r="19047" ht="15.75" customHeight="1">
      <c r="A19047" s="35"/>
      <c r="C19047" s="442"/>
      <c r="P19047" s="235"/>
      <c r="AI19047" s="38"/>
    </row>
    <row r="19048" ht="15.75" customHeight="1">
      <c r="A19048" s="35"/>
      <c r="C19048" s="442"/>
      <c r="P19048" s="235"/>
      <c r="AI19048" s="38"/>
    </row>
    <row r="19049" ht="15.75" customHeight="1">
      <c r="A19049" s="35"/>
      <c r="C19049" s="442"/>
      <c r="P19049" s="235"/>
      <c r="AI19049" s="38"/>
    </row>
    <row r="19050" ht="15.75" customHeight="1">
      <c r="A19050" s="35"/>
      <c r="C19050" s="442"/>
      <c r="P19050" s="235"/>
      <c r="AI19050" s="38"/>
    </row>
    <row r="19051" ht="15.75" customHeight="1">
      <c r="A19051" s="35"/>
      <c r="C19051" s="442"/>
      <c r="P19051" s="235"/>
      <c r="AI19051" s="38"/>
    </row>
    <row r="19052" ht="15.75" customHeight="1">
      <c r="A19052" s="35"/>
      <c r="C19052" s="442"/>
      <c r="P19052" s="235"/>
      <c r="AI19052" s="38"/>
    </row>
    <row r="19053" ht="15.75" customHeight="1">
      <c r="A19053" s="35"/>
      <c r="C19053" s="442"/>
      <c r="P19053" s="235"/>
      <c r="AI19053" s="38"/>
    </row>
    <row r="19054" ht="15.75" customHeight="1">
      <c r="A19054" s="35"/>
      <c r="C19054" s="442"/>
      <c r="P19054" s="235"/>
      <c r="AI19054" s="38"/>
    </row>
    <row r="19055" ht="15.75" customHeight="1">
      <c r="A19055" s="35"/>
      <c r="C19055" s="442"/>
      <c r="P19055" s="235"/>
      <c r="AI19055" s="38"/>
    </row>
    <row r="19056" ht="15.75" customHeight="1">
      <c r="A19056" s="35"/>
      <c r="C19056" s="442"/>
      <c r="P19056" s="235"/>
      <c r="AI19056" s="38"/>
    </row>
    <row r="19057" ht="15.75" customHeight="1">
      <c r="A19057" s="35"/>
      <c r="C19057" s="442"/>
      <c r="P19057" s="235"/>
      <c r="AI19057" s="38"/>
    </row>
    <row r="19058" ht="15.75" customHeight="1">
      <c r="A19058" s="35"/>
      <c r="C19058" s="442"/>
      <c r="P19058" s="235"/>
      <c r="AI19058" s="38"/>
    </row>
    <row r="19059" ht="15.75" customHeight="1">
      <c r="A19059" s="35"/>
      <c r="C19059" s="442"/>
      <c r="P19059" s="235"/>
      <c r="AI19059" s="38"/>
    </row>
    <row r="19060" ht="15.75" customHeight="1">
      <c r="A19060" s="35"/>
      <c r="C19060" s="442"/>
      <c r="P19060" s="235"/>
      <c r="AI19060" s="38"/>
    </row>
    <row r="19061" ht="15.75" customHeight="1">
      <c r="A19061" s="35"/>
      <c r="C19061" s="442"/>
      <c r="P19061" s="235"/>
      <c r="AI19061" s="38"/>
    </row>
    <row r="19062" ht="15.75" customHeight="1">
      <c r="A19062" s="35"/>
      <c r="C19062" s="442"/>
      <c r="P19062" s="235"/>
      <c r="AI19062" s="38"/>
    </row>
    <row r="19063" ht="15.75" customHeight="1">
      <c r="A19063" s="35"/>
      <c r="C19063" s="442"/>
      <c r="P19063" s="235"/>
      <c r="AI19063" s="38"/>
    </row>
    <row r="19064" ht="15.75" customHeight="1">
      <c r="A19064" s="35"/>
      <c r="C19064" s="442"/>
      <c r="P19064" s="235"/>
      <c r="AI19064" s="38"/>
    </row>
    <row r="19065" ht="15.75" customHeight="1">
      <c r="A19065" s="35"/>
      <c r="C19065" s="442"/>
      <c r="P19065" s="235"/>
      <c r="AI19065" s="38"/>
    </row>
    <row r="19066" ht="15.75" customHeight="1">
      <c r="A19066" s="35"/>
      <c r="C19066" s="442"/>
      <c r="P19066" s="235"/>
      <c r="AI19066" s="38"/>
    </row>
    <row r="19067" ht="15.75" customHeight="1">
      <c r="A19067" s="35"/>
      <c r="C19067" s="442"/>
      <c r="P19067" s="235"/>
      <c r="AI19067" s="38"/>
    </row>
    <row r="19068" ht="15.75" customHeight="1">
      <c r="A19068" s="35"/>
      <c r="C19068" s="442"/>
      <c r="P19068" s="235"/>
      <c r="AI19068" s="38"/>
    </row>
    <row r="19069" ht="15.75" customHeight="1">
      <c r="A19069" s="35"/>
      <c r="C19069" s="442"/>
      <c r="P19069" s="235"/>
      <c r="AI19069" s="38"/>
    </row>
    <row r="19070" ht="15.75" customHeight="1">
      <c r="A19070" s="35"/>
      <c r="C19070" s="442"/>
      <c r="P19070" s="235"/>
      <c r="AI19070" s="38"/>
    </row>
    <row r="19071" ht="15.75" customHeight="1">
      <c r="A19071" s="35"/>
      <c r="C19071" s="442"/>
      <c r="P19071" s="235"/>
      <c r="AI19071" s="38"/>
    </row>
    <row r="19072" ht="15.75" customHeight="1">
      <c r="A19072" s="35"/>
      <c r="C19072" s="442"/>
      <c r="P19072" s="235"/>
      <c r="AI19072" s="38"/>
    </row>
    <row r="19073" ht="15.75" customHeight="1">
      <c r="A19073" s="35"/>
      <c r="C19073" s="442"/>
      <c r="P19073" s="235"/>
      <c r="AI19073" s="38"/>
    </row>
    <row r="19074" ht="15.75" customHeight="1">
      <c r="A19074" s="35"/>
      <c r="C19074" s="442"/>
      <c r="P19074" s="235"/>
      <c r="AI19074" s="38"/>
    </row>
    <row r="19075" ht="15.75" customHeight="1">
      <c r="A19075" s="35"/>
      <c r="C19075" s="442"/>
      <c r="P19075" s="235"/>
      <c r="AI19075" s="38"/>
    </row>
    <row r="19076" ht="15.75" customHeight="1">
      <c r="A19076" s="35"/>
      <c r="C19076" s="442"/>
      <c r="P19076" s="235"/>
      <c r="AI19076" s="38"/>
    </row>
    <row r="19077" ht="15.75" customHeight="1">
      <c r="A19077" s="35"/>
      <c r="C19077" s="442"/>
      <c r="P19077" s="235"/>
      <c r="AI19077" s="38"/>
    </row>
    <row r="19078" ht="15.75" customHeight="1">
      <c r="A19078" s="35"/>
      <c r="C19078" s="442"/>
      <c r="P19078" s="235"/>
      <c r="AI19078" s="38"/>
    </row>
    <row r="19079" ht="15.75" customHeight="1">
      <c r="A19079" s="35"/>
      <c r="C19079" s="442"/>
      <c r="P19079" s="235"/>
      <c r="AI19079" s="38"/>
    </row>
    <row r="19080" ht="15.75" customHeight="1">
      <c r="A19080" s="35"/>
      <c r="C19080" s="442"/>
      <c r="P19080" s="235"/>
      <c r="AI19080" s="38"/>
    </row>
    <row r="19081" ht="15.75" customHeight="1">
      <c r="A19081" s="35"/>
      <c r="C19081" s="442"/>
      <c r="P19081" s="235"/>
      <c r="AI19081" s="38"/>
    </row>
    <row r="19082" ht="15.75" customHeight="1">
      <c r="A19082" s="35"/>
      <c r="C19082" s="442"/>
      <c r="P19082" s="235"/>
      <c r="AI19082" s="38"/>
    </row>
    <row r="19083" ht="15.75" customHeight="1">
      <c r="A19083" s="35"/>
      <c r="C19083" s="442"/>
      <c r="P19083" s="235"/>
      <c r="AI19083" s="38"/>
    </row>
    <row r="19084" ht="15.75" customHeight="1">
      <c r="A19084" s="35"/>
      <c r="C19084" s="442"/>
      <c r="P19084" s="235"/>
      <c r="AI19084" s="38"/>
    </row>
    <row r="19085" ht="15.75" customHeight="1">
      <c r="A19085" s="35"/>
      <c r="C19085" s="442"/>
      <c r="P19085" s="235"/>
      <c r="AI19085" s="38"/>
    </row>
    <row r="19086" ht="15.75" customHeight="1">
      <c r="A19086" s="35"/>
      <c r="C19086" s="442"/>
      <c r="P19086" s="235"/>
      <c r="AI19086" s="38"/>
    </row>
    <row r="19087" ht="15.75" customHeight="1">
      <c r="A19087" s="35"/>
      <c r="C19087" s="442"/>
      <c r="P19087" s="235"/>
      <c r="AI19087" s="38"/>
    </row>
    <row r="19088" ht="15.75" customHeight="1">
      <c r="A19088" s="35"/>
      <c r="C19088" s="442"/>
      <c r="P19088" s="235"/>
      <c r="AI19088" s="38"/>
    </row>
    <row r="19089" ht="15.75" customHeight="1">
      <c r="A19089" s="35"/>
      <c r="C19089" s="442"/>
      <c r="P19089" s="235"/>
      <c r="AI19089" s="38"/>
    </row>
    <row r="19090" ht="15.75" customHeight="1">
      <c r="A19090" s="35"/>
      <c r="C19090" s="442"/>
      <c r="P19090" s="235"/>
      <c r="AI19090" s="38"/>
    </row>
    <row r="19091" ht="15.75" customHeight="1">
      <c r="A19091" s="35"/>
      <c r="C19091" s="442"/>
      <c r="P19091" s="235"/>
      <c r="AI19091" s="38"/>
    </row>
    <row r="19092" ht="15.75" customHeight="1">
      <c r="A19092" s="35"/>
      <c r="C19092" s="442"/>
      <c r="P19092" s="235"/>
      <c r="AI19092" s="38"/>
    </row>
    <row r="19093" ht="15.75" customHeight="1">
      <c r="A19093" s="35"/>
      <c r="C19093" s="442"/>
      <c r="P19093" s="235"/>
      <c r="AI19093" s="38"/>
    </row>
    <row r="19094" ht="15.75" customHeight="1">
      <c r="A19094" s="35"/>
      <c r="C19094" s="442"/>
      <c r="P19094" s="235"/>
      <c r="AI19094" s="38"/>
    </row>
    <row r="19095" ht="15.75" customHeight="1">
      <c r="A19095" s="35"/>
      <c r="C19095" s="442"/>
      <c r="P19095" s="235"/>
      <c r="AI19095" s="38"/>
    </row>
    <row r="19096" ht="15.75" customHeight="1">
      <c r="A19096" s="35"/>
      <c r="C19096" s="442"/>
      <c r="P19096" s="235"/>
      <c r="AI19096" s="38"/>
    </row>
    <row r="19097" ht="15.75" customHeight="1">
      <c r="A19097" s="35"/>
      <c r="C19097" s="442"/>
      <c r="P19097" s="235"/>
      <c r="AI19097" s="38"/>
    </row>
    <row r="19098" ht="15.75" customHeight="1">
      <c r="A19098" s="35"/>
      <c r="C19098" s="442"/>
      <c r="P19098" s="235"/>
      <c r="AI19098" s="38"/>
    </row>
    <row r="19099" ht="15.75" customHeight="1">
      <c r="A19099" s="35"/>
      <c r="C19099" s="442"/>
      <c r="P19099" s="235"/>
      <c r="AI19099" s="38"/>
    </row>
    <row r="19100" ht="15.75" customHeight="1">
      <c r="A19100" s="35"/>
      <c r="C19100" s="442"/>
      <c r="P19100" s="235"/>
      <c r="AI19100" s="38"/>
    </row>
    <row r="19101" ht="15.75" customHeight="1">
      <c r="A19101" s="35"/>
      <c r="C19101" s="442"/>
      <c r="P19101" s="235"/>
      <c r="AI19101" s="38"/>
    </row>
    <row r="19102" ht="15.75" customHeight="1">
      <c r="A19102" s="35"/>
      <c r="C19102" s="442"/>
      <c r="P19102" s="235"/>
      <c r="AI19102" s="38"/>
    </row>
    <row r="19103" ht="15.75" customHeight="1">
      <c r="A19103" s="35"/>
      <c r="C19103" s="442"/>
      <c r="P19103" s="235"/>
      <c r="AI19103" s="38"/>
    </row>
    <row r="19104" ht="15.75" customHeight="1">
      <c r="A19104" s="35"/>
      <c r="C19104" s="442"/>
      <c r="P19104" s="235"/>
      <c r="AI19104" s="38"/>
    </row>
    <row r="19105" ht="15.75" customHeight="1">
      <c r="A19105" s="35"/>
      <c r="C19105" s="442"/>
      <c r="P19105" s="235"/>
      <c r="AI19105" s="38"/>
    </row>
    <row r="19106" ht="15.75" customHeight="1">
      <c r="A19106" s="35"/>
      <c r="C19106" s="442"/>
      <c r="P19106" s="235"/>
      <c r="AI19106" s="38"/>
    </row>
    <row r="19107" ht="15.75" customHeight="1">
      <c r="A19107" s="35"/>
      <c r="C19107" s="442"/>
      <c r="P19107" s="235"/>
      <c r="AI19107" s="38"/>
    </row>
    <row r="19108" ht="15.75" customHeight="1">
      <c r="A19108" s="35"/>
      <c r="C19108" s="442"/>
      <c r="P19108" s="235"/>
      <c r="AI19108" s="38"/>
    </row>
    <row r="19109" ht="15.75" customHeight="1">
      <c r="A19109" s="35"/>
      <c r="C19109" s="442"/>
      <c r="P19109" s="235"/>
      <c r="AI19109" s="38"/>
    </row>
    <row r="19110" ht="15.75" customHeight="1">
      <c r="A19110" s="35"/>
      <c r="C19110" s="442"/>
      <c r="P19110" s="235"/>
      <c r="AI19110" s="38"/>
    </row>
    <row r="19111" ht="15.75" customHeight="1">
      <c r="A19111" s="35"/>
      <c r="C19111" s="442"/>
      <c r="P19111" s="235"/>
      <c r="AI19111" s="38"/>
    </row>
    <row r="19112" ht="15.75" customHeight="1">
      <c r="A19112" s="35"/>
      <c r="C19112" s="442"/>
      <c r="P19112" s="235"/>
      <c r="AI19112" s="38"/>
    </row>
    <row r="19113" ht="15.75" customHeight="1">
      <c r="A19113" s="35"/>
      <c r="C19113" s="442"/>
      <c r="P19113" s="235"/>
      <c r="AI19113" s="38"/>
    </row>
    <row r="19114" ht="15.75" customHeight="1">
      <c r="A19114" s="35"/>
      <c r="C19114" s="442"/>
      <c r="P19114" s="235"/>
      <c r="AI19114" s="38"/>
    </row>
    <row r="19115" ht="15.75" customHeight="1">
      <c r="A19115" s="35"/>
      <c r="C19115" s="442"/>
      <c r="P19115" s="235"/>
      <c r="AI19115" s="38"/>
    </row>
    <row r="19116" ht="15.75" customHeight="1">
      <c r="A19116" s="35"/>
      <c r="C19116" s="442"/>
      <c r="P19116" s="235"/>
      <c r="AI19116" s="38"/>
    </row>
    <row r="19117" ht="15.75" customHeight="1">
      <c r="A19117" s="35"/>
      <c r="C19117" s="442"/>
      <c r="P19117" s="235"/>
      <c r="AI19117" s="38"/>
    </row>
    <row r="19118" ht="15.75" customHeight="1">
      <c r="A19118" s="35"/>
      <c r="C19118" s="442"/>
      <c r="P19118" s="235"/>
      <c r="AI19118" s="38"/>
    </row>
    <row r="19119" ht="15.75" customHeight="1">
      <c r="A19119" s="35"/>
      <c r="C19119" s="442"/>
      <c r="P19119" s="235"/>
      <c r="AI19119" s="38"/>
    </row>
    <row r="19120" ht="15.75" customHeight="1">
      <c r="A19120" s="35"/>
      <c r="C19120" s="442"/>
      <c r="P19120" s="235"/>
      <c r="AI19120" s="38"/>
    </row>
    <row r="19121" ht="15.75" customHeight="1">
      <c r="A19121" s="35"/>
      <c r="C19121" s="442"/>
      <c r="P19121" s="235"/>
      <c r="AI19121" s="38"/>
    </row>
    <row r="19122" ht="15.75" customHeight="1">
      <c r="A19122" s="35"/>
      <c r="C19122" s="442"/>
      <c r="P19122" s="235"/>
      <c r="AI19122" s="38"/>
    </row>
    <row r="19123" ht="15.75" customHeight="1">
      <c r="A19123" s="35"/>
      <c r="C19123" s="442"/>
      <c r="P19123" s="235"/>
      <c r="AI19123" s="38"/>
    </row>
    <row r="19124" ht="15.75" customHeight="1">
      <c r="A19124" s="35"/>
      <c r="C19124" s="442"/>
      <c r="P19124" s="235"/>
      <c r="AI19124" s="38"/>
    </row>
    <row r="19125" ht="15.75" customHeight="1">
      <c r="A19125" s="35"/>
      <c r="C19125" s="442"/>
      <c r="P19125" s="235"/>
      <c r="AI19125" s="38"/>
    </row>
    <row r="19126" ht="15.75" customHeight="1">
      <c r="A19126" s="35"/>
      <c r="C19126" s="442"/>
      <c r="P19126" s="235"/>
      <c r="AI19126" s="38"/>
    </row>
    <row r="19127" ht="15.75" customHeight="1">
      <c r="A19127" s="35"/>
      <c r="C19127" s="442"/>
      <c r="P19127" s="235"/>
      <c r="AI19127" s="38"/>
    </row>
    <row r="19128" ht="15.75" customHeight="1">
      <c r="A19128" s="35"/>
      <c r="C19128" s="442"/>
      <c r="P19128" s="235"/>
      <c r="AI19128" s="38"/>
    </row>
    <row r="19129" ht="15.75" customHeight="1">
      <c r="A19129" s="35"/>
      <c r="C19129" s="442"/>
      <c r="P19129" s="235"/>
      <c r="AI19129" s="38"/>
    </row>
    <row r="19130" ht="15.75" customHeight="1">
      <c r="A19130" s="35"/>
      <c r="C19130" s="442"/>
      <c r="P19130" s="235"/>
      <c r="AI19130" s="38"/>
    </row>
    <row r="19131" ht="15.75" customHeight="1">
      <c r="A19131" s="35"/>
      <c r="C19131" s="442"/>
      <c r="P19131" s="235"/>
      <c r="AI19131" s="38"/>
    </row>
    <row r="19132" ht="15.75" customHeight="1">
      <c r="A19132" s="35"/>
      <c r="C19132" s="442"/>
      <c r="P19132" s="235"/>
      <c r="AI19132" s="38"/>
    </row>
    <row r="19133" ht="15.75" customHeight="1">
      <c r="A19133" s="35"/>
      <c r="C19133" s="442"/>
      <c r="P19133" s="235"/>
      <c r="AI19133" s="38"/>
    </row>
    <row r="19134" ht="15.75" customHeight="1">
      <c r="A19134" s="35"/>
      <c r="C19134" s="442"/>
      <c r="P19134" s="235"/>
      <c r="AI19134" s="38"/>
    </row>
    <row r="19135" ht="15.75" customHeight="1">
      <c r="A19135" s="35"/>
      <c r="C19135" s="442"/>
      <c r="P19135" s="235"/>
      <c r="AI19135" s="38"/>
    </row>
    <row r="19136" ht="15.75" customHeight="1">
      <c r="A19136" s="35"/>
      <c r="C19136" s="442"/>
      <c r="P19136" s="235"/>
      <c r="AI19136" s="38"/>
    </row>
    <row r="19137" ht="15.75" customHeight="1">
      <c r="A19137" s="35"/>
      <c r="C19137" s="442"/>
      <c r="P19137" s="235"/>
      <c r="AI19137" s="38"/>
    </row>
    <row r="19138" ht="15.75" customHeight="1">
      <c r="A19138" s="35"/>
      <c r="C19138" s="442"/>
      <c r="P19138" s="235"/>
      <c r="AI19138" s="38"/>
    </row>
    <row r="19139" ht="15.75" customHeight="1">
      <c r="A19139" s="35"/>
      <c r="C19139" s="442"/>
      <c r="P19139" s="235"/>
      <c r="AI19139" s="38"/>
    </row>
    <row r="19140" ht="15.75" customHeight="1">
      <c r="A19140" s="35"/>
      <c r="C19140" s="442"/>
      <c r="P19140" s="235"/>
      <c r="AI19140" s="38"/>
    </row>
    <row r="19141" ht="15.75" customHeight="1">
      <c r="A19141" s="35"/>
      <c r="C19141" s="442"/>
      <c r="P19141" s="235"/>
      <c r="AI19141" s="38"/>
    </row>
    <row r="19142" ht="15.75" customHeight="1">
      <c r="A19142" s="35"/>
      <c r="C19142" s="442"/>
      <c r="P19142" s="235"/>
      <c r="AI19142" s="38"/>
    </row>
    <row r="19143" ht="15.75" customHeight="1">
      <c r="A19143" s="35"/>
      <c r="C19143" s="442"/>
      <c r="P19143" s="235"/>
      <c r="AI19143" s="38"/>
    </row>
    <row r="19144" ht="15.75" customHeight="1">
      <c r="A19144" s="35"/>
      <c r="C19144" s="442"/>
      <c r="P19144" s="235"/>
      <c r="AI19144" s="38"/>
    </row>
    <row r="19145" ht="15.75" customHeight="1">
      <c r="A19145" s="35"/>
      <c r="C19145" s="442"/>
      <c r="P19145" s="235"/>
      <c r="AI19145" s="38"/>
    </row>
    <row r="19146" ht="15.75" customHeight="1">
      <c r="A19146" s="35"/>
      <c r="C19146" s="442"/>
      <c r="P19146" s="235"/>
      <c r="AI19146" s="38"/>
    </row>
    <row r="19147" ht="15.75" customHeight="1">
      <c r="A19147" s="35"/>
      <c r="C19147" s="442"/>
      <c r="P19147" s="235"/>
      <c r="AI19147" s="38"/>
    </row>
    <row r="19148" ht="15.75" customHeight="1">
      <c r="A19148" s="35"/>
      <c r="C19148" s="442"/>
      <c r="P19148" s="235"/>
      <c r="AI19148" s="38"/>
    </row>
    <row r="19149" ht="15.75" customHeight="1">
      <c r="A19149" s="35"/>
      <c r="C19149" s="442"/>
      <c r="P19149" s="235"/>
      <c r="AI19149" s="38"/>
    </row>
    <row r="19150" ht="15.75" customHeight="1">
      <c r="A19150" s="35"/>
      <c r="C19150" s="442"/>
      <c r="P19150" s="235"/>
      <c r="AI19150" s="38"/>
    </row>
    <row r="19151" ht="15.75" customHeight="1">
      <c r="A19151" s="35"/>
      <c r="C19151" s="442"/>
      <c r="P19151" s="235"/>
      <c r="AI19151" s="38"/>
    </row>
    <row r="19152" ht="15.75" customHeight="1">
      <c r="A19152" s="35"/>
      <c r="C19152" s="442"/>
      <c r="P19152" s="235"/>
      <c r="AI19152" s="38"/>
    </row>
    <row r="19153" ht="15.75" customHeight="1">
      <c r="A19153" s="35"/>
      <c r="C19153" s="442"/>
      <c r="P19153" s="235"/>
      <c r="AI19153" s="38"/>
    </row>
    <row r="19154" ht="15.75" customHeight="1">
      <c r="A19154" s="35"/>
      <c r="C19154" s="442"/>
      <c r="P19154" s="235"/>
      <c r="AI19154" s="38"/>
    </row>
    <row r="19155" ht="15.75" customHeight="1">
      <c r="A19155" s="35"/>
      <c r="C19155" s="442"/>
      <c r="P19155" s="235"/>
      <c r="AI19155" s="38"/>
    </row>
    <row r="19156" ht="15.75" customHeight="1">
      <c r="A19156" s="35"/>
      <c r="C19156" s="442"/>
      <c r="P19156" s="235"/>
      <c r="AI19156" s="38"/>
    </row>
    <row r="19157" ht="15.75" customHeight="1">
      <c r="A19157" s="35"/>
      <c r="C19157" s="442"/>
      <c r="P19157" s="235"/>
      <c r="AI19157" s="38"/>
    </row>
    <row r="19158" ht="15.75" customHeight="1">
      <c r="A19158" s="35"/>
      <c r="C19158" s="442"/>
      <c r="P19158" s="235"/>
      <c r="AI19158" s="38"/>
    </row>
    <row r="19159" ht="15.75" customHeight="1">
      <c r="A19159" s="35"/>
      <c r="C19159" s="442"/>
      <c r="P19159" s="235"/>
      <c r="AI19159" s="38"/>
    </row>
    <row r="19160" ht="15.75" customHeight="1">
      <c r="A19160" s="35"/>
      <c r="C19160" s="442"/>
      <c r="P19160" s="235"/>
      <c r="AI19160" s="38"/>
    </row>
    <row r="19161" ht="15.75" customHeight="1">
      <c r="A19161" s="35"/>
      <c r="C19161" s="442"/>
      <c r="P19161" s="235"/>
      <c r="AI19161" s="38"/>
    </row>
    <row r="19162" ht="15.75" customHeight="1">
      <c r="A19162" s="35"/>
      <c r="C19162" s="442"/>
      <c r="P19162" s="235"/>
      <c r="AI19162" s="38"/>
    </row>
    <row r="19163" ht="15.75" customHeight="1">
      <c r="A19163" s="35"/>
      <c r="C19163" s="442"/>
      <c r="P19163" s="235"/>
      <c r="AI19163" s="38"/>
    </row>
    <row r="19164" ht="15.75" customHeight="1">
      <c r="A19164" s="35"/>
      <c r="C19164" s="442"/>
      <c r="P19164" s="235"/>
      <c r="AI19164" s="38"/>
    </row>
    <row r="19165" ht="15.75" customHeight="1">
      <c r="A19165" s="35"/>
      <c r="C19165" s="442"/>
      <c r="P19165" s="235"/>
      <c r="AI19165" s="38"/>
    </row>
    <row r="19166" ht="15.75" customHeight="1">
      <c r="A19166" s="35"/>
      <c r="C19166" s="442"/>
      <c r="P19166" s="235"/>
      <c r="AI19166" s="38"/>
    </row>
    <row r="19167" ht="15.75" customHeight="1">
      <c r="A19167" s="35"/>
      <c r="C19167" s="442"/>
      <c r="P19167" s="235"/>
      <c r="AI19167" s="38"/>
    </row>
    <row r="19168" ht="15.75" customHeight="1">
      <c r="A19168" s="35"/>
      <c r="C19168" s="442"/>
      <c r="P19168" s="235"/>
      <c r="AI19168" s="38"/>
    </row>
    <row r="19169" ht="15.75" customHeight="1">
      <c r="A19169" s="35"/>
      <c r="C19169" s="442"/>
      <c r="P19169" s="235"/>
      <c r="AI19169" s="38"/>
    </row>
    <row r="19170" ht="15.75" customHeight="1">
      <c r="A19170" s="35"/>
      <c r="C19170" s="442"/>
      <c r="P19170" s="235"/>
      <c r="AI19170" s="38"/>
    </row>
    <row r="19171" ht="15.75" customHeight="1">
      <c r="A19171" s="35"/>
      <c r="C19171" s="442"/>
      <c r="P19171" s="235"/>
      <c r="AI19171" s="38"/>
    </row>
    <row r="19172" ht="15.75" customHeight="1">
      <c r="A19172" s="35"/>
      <c r="C19172" s="442"/>
      <c r="P19172" s="235"/>
      <c r="AI19172" s="38"/>
    </row>
    <row r="19173" ht="15.75" customHeight="1">
      <c r="A19173" s="35"/>
      <c r="C19173" s="442"/>
      <c r="P19173" s="235"/>
      <c r="AI19173" s="38"/>
    </row>
    <row r="19174" ht="15.75" customHeight="1">
      <c r="A19174" s="35"/>
      <c r="C19174" s="442"/>
      <c r="P19174" s="235"/>
      <c r="AI19174" s="38"/>
    </row>
    <row r="19175" ht="15.75" customHeight="1">
      <c r="A19175" s="35"/>
      <c r="C19175" s="442"/>
      <c r="P19175" s="235"/>
      <c r="AI19175" s="38"/>
    </row>
    <row r="19176" ht="15.75" customHeight="1">
      <c r="A19176" s="35"/>
      <c r="C19176" s="442"/>
      <c r="P19176" s="235"/>
      <c r="AI19176" s="38"/>
    </row>
    <row r="19177" ht="15.75" customHeight="1">
      <c r="A19177" s="35"/>
      <c r="C19177" s="442"/>
      <c r="P19177" s="235"/>
      <c r="AI19177" s="38"/>
    </row>
    <row r="19178" ht="15.75" customHeight="1">
      <c r="A19178" s="35"/>
      <c r="C19178" s="442"/>
      <c r="P19178" s="235"/>
      <c r="AI19178" s="38"/>
    </row>
    <row r="19179" ht="15.75" customHeight="1">
      <c r="A19179" s="35"/>
      <c r="C19179" s="442"/>
      <c r="P19179" s="235"/>
      <c r="AI19179" s="38"/>
    </row>
    <row r="19180" ht="15.75" customHeight="1">
      <c r="A19180" s="35"/>
      <c r="C19180" s="442"/>
      <c r="P19180" s="235"/>
      <c r="AI19180" s="38"/>
    </row>
    <row r="19181" ht="15.75" customHeight="1">
      <c r="A19181" s="35"/>
      <c r="C19181" s="442"/>
      <c r="P19181" s="235"/>
      <c r="AI19181" s="38"/>
    </row>
    <row r="19182" ht="15.75" customHeight="1">
      <c r="A19182" s="35"/>
      <c r="C19182" s="442"/>
      <c r="P19182" s="235"/>
      <c r="AI19182" s="38"/>
    </row>
    <row r="19183" ht="15.75" customHeight="1">
      <c r="A19183" s="35"/>
      <c r="C19183" s="442"/>
      <c r="P19183" s="235"/>
      <c r="AI19183" s="38"/>
    </row>
    <row r="19184" ht="15.75" customHeight="1">
      <c r="A19184" s="35"/>
      <c r="C19184" s="442"/>
      <c r="P19184" s="235"/>
      <c r="AI19184" s="38"/>
    </row>
    <row r="19185" ht="15.75" customHeight="1">
      <c r="A19185" s="35"/>
      <c r="C19185" s="442"/>
      <c r="P19185" s="235"/>
      <c r="AI19185" s="38"/>
    </row>
    <row r="19186" ht="15.75" customHeight="1">
      <c r="A19186" s="35"/>
      <c r="C19186" s="442"/>
      <c r="P19186" s="235"/>
      <c r="AI19186" s="38"/>
    </row>
    <row r="19187" ht="15.75" customHeight="1">
      <c r="A19187" s="35"/>
      <c r="C19187" s="442"/>
      <c r="P19187" s="235"/>
      <c r="AI19187" s="38"/>
    </row>
    <row r="19188" ht="15.75" customHeight="1">
      <c r="A19188" s="35"/>
      <c r="C19188" s="442"/>
      <c r="P19188" s="235"/>
      <c r="AI19188" s="38"/>
    </row>
    <row r="19189" ht="15.75" customHeight="1">
      <c r="A19189" s="35"/>
      <c r="C19189" s="442"/>
      <c r="P19189" s="235"/>
      <c r="AI19189" s="38"/>
    </row>
    <row r="19190" ht="15.75" customHeight="1">
      <c r="A19190" s="35"/>
      <c r="C19190" s="442"/>
      <c r="P19190" s="235"/>
      <c r="AI19190" s="38"/>
    </row>
    <row r="19191" ht="15.75" customHeight="1">
      <c r="A19191" s="35"/>
      <c r="C19191" s="442"/>
      <c r="P19191" s="235"/>
      <c r="AI19191" s="38"/>
    </row>
    <row r="19192" ht="15.75" customHeight="1">
      <c r="A19192" s="35"/>
      <c r="C19192" s="442"/>
      <c r="P19192" s="235"/>
      <c r="AI19192" s="38"/>
    </row>
    <row r="19193" ht="15.75" customHeight="1">
      <c r="A19193" s="35"/>
      <c r="C19193" s="442"/>
      <c r="P19193" s="235"/>
      <c r="AI19193" s="38"/>
    </row>
    <row r="19194" ht="15.75" customHeight="1">
      <c r="A19194" s="35"/>
      <c r="C19194" s="442"/>
      <c r="P19194" s="235"/>
      <c r="AI19194" s="38"/>
    </row>
    <row r="19195" ht="15.75" customHeight="1">
      <c r="A19195" s="35"/>
      <c r="C19195" s="442"/>
      <c r="P19195" s="235"/>
      <c r="AI19195" s="38"/>
    </row>
    <row r="19196" ht="15.75" customHeight="1">
      <c r="A19196" s="35"/>
      <c r="C19196" s="442"/>
      <c r="P19196" s="235"/>
      <c r="AI19196" s="38"/>
    </row>
    <row r="19197" ht="15.75" customHeight="1">
      <c r="A19197" s="35"/>
      <c r="C19197" s="442"/>
      <c r="P19197" s="235"/>
      <c r="AI19197" s="38"/>
    </row>
    <row r="19198" ht="15.75" customHeight="1">
      <c r="A19198" s="35"/>
      <c r="C19198" s="442"/>
      <c r="P19198" s="235"/>
      <c r="AI19198" s="38"/>
    </row>
    <row r="19199" ht="15.75" customHeight="1">
      <c r="A19199" s="35"/>
      <c r="C19199" s="442"/>
      <c r="P19199" s="235"/>
      <c r="AI19199" s="38"/>
    </row>
    <row r="19200" ht="15.75" customHeight="1">
      <c r="A19200" s="35"/>
      <c r="C19200" s="442"/>
      <c r="P19200" s="235"/>
      <c r="AI19200" s="38"/>
    </row>
    <row r="19201" ht="15.75" customHeight="1">
      <c r="A19201" s="35"/>
      <c r="C19201" s="442"/>
      <c r="P19201" s="235"/>
      <c r="AI19201" s="38"/>
    </row>
    <row r="19202" ht="15.75" customHeight="1">
      <c r="A19202" s="35"/>
      <c r="C19202" s="442"/>
      <c r="P19202" s="235"/>
      <c r="AI19202" s="38"/>
    </row>
    <row r="19203" ht="15.75" customHeight="1">
      <c r="A19203" s="35"/>
      <c r="C19203" s="442"/>
      <c r="P19203" s="235"/>
      <c r="AI19203" s="38"/>
    </row>
    <row r="19204" ht="15.75" customHeight="1">
      <c r="A19204" s="35"/>
      <c r="C19204" s="442"/>
      <c r="P19204" s="235"/>
      <c r="AI19204" s="38"/>
    </row>
    <row r="19205" ht="15.75" customHeight="1">
      <c r="A19205" s="35"/>
      <c r="C19205" s="442"/>
      <c r="P19205" s="235"/>
      <c r="AI19205" s="38"/>
    </row>
    <row r="19206" ht="15.75" customHeight="1">
      <c r="A19206" s="35"/>
      <c r="C19206" s="442"/>
      <c r="P19206" s="235"/>
      <c r="AI19206" s="38"/>
    </row>
    <row r="19207" ht="15.75" customHeight="1">
      <c r="A19207" s="35"/>
      <c r="C19207" s="442"/>
      <c r="P19207" s="235"/>
      <c r="AI19207" s="38"/>
    </row>
    <row r="19208" ht="15.75" customHeight="1">
      <c r="A19208" s="35"/>
      <c r="C19208" s="442"/>
      <c r="P19208" s="235"/>
      <c r="AI19208" s="38"/>
    </row>
    <row r="19209" ht="15.75" customHeight="1">
      <c r="A19209" s="35"/>
      <c r="C19209" s="442"/>
      <c r="P19209" s="235"/>
      <c r="AI19209" s="38"/>
    </row>
    <row r="19210" ht="15.75" customHeight="1">
      <c r="A19210" s="35"/>
      <c r="C19210" s="442"/>
      <c r="P19210" s="235"/>
      <c r="AI19210" s="38"/>
    </row>
    <row r="19211" ht="15.75" customHeight="1">
      <c r="A19211" s="35"/>
      <c r="C19211" s="442"/>
      <c r="P19211" s="235"/>
      <c r="AI19211" s="38"/>
    </row>
    <row r="19212" ht="15.75" customHeight="1">
      <c r="A19212" s="35"/>
      <c r="C19212" s="442"/>
      <c r="P19212" s="235"/>
      <c r="AI19212" s="38"/>
    </row>
    <row r="19213" ht="15.75" customHeight="1">
      <c r="A19213" s="35"/>
      <c r="C19213" s="442"/>
      <c r="P19213" s="235"/>
      <c r="AI19213" s="38"/>
    </row>
    <row r="19214" ht="15.75" customHeight="1">
      <c r="A19214" s="35"/>
      <c r="C19214" s="442"/>
      <c r="P19214" s="235"/>
      <c r="AI19214" s="38"/>
    </row>
    <row r="19215" ht="15.75" customHeight="1">
      <c r="A19215" s="35"/>
      <c r="C19215" s="442"/>
      <c r="P19215" s="235"/>
      <c r="AI19215" s="38"/>
    </row>
    <row r="19216" ht="15.75" customHeight="1">
      <c r="A19216" s="35"/>
      <c r="C19216" s="442"/>
      <c r="P19216" s="235"/>
      <c r="AI19216" s="38"/>
    </row>
    <row r="19217" ht="15.75" customHeight="1">
      <c r="A19217" s="35"/>
      <c r="C19217" s="442"/>
      <c r="P19217" s="235"/>
      <c r="AI19217" s="38"/>
    </row>
    <row r="19218" ht="15.75" customHeight="1">
      <c r="A19218" s="35"/>
      <c r="C19218" s="442"/>
      <c r="P19218" s="235"/>
      <c r="AI19218" s="38"/>
    </row>
    <row r="19219" ht="15.75" customHeight="1">
      <c r="A19219" s="35"/>
      <c r="C19219" s="442"/>
      <c r="P19219" s="235"/>
      <c r="AI19219" s="38"/>
    </row>
    <row r="19220" ht="15.75" customHeight="1">
      <c r="A19220" s="35"/>
      <c r="C19220" s="442"/>
      <c r="P19220" s="235"/>
      <c r="AI19220" s="38"/>
    </row>
    <row r="19221" ht="15.75" customHeight="1">
      <c r="A19221" s="35"/>
      <c r="C19221" s="442"/>
      <c r="P19221" s="235"/>
      <c r="AI19221" s="38"/>
    </row>
    <row r="19222" ht="15.75" customHeight="1">
      <c r="A19222" s="35"/>
      <c r="C19222" s="442"/>
      <c r="P19222" s="235"/>
      <c r="AI19222" s="38"/>
    </row>
    <row r="19223" ht="15.75" customHeight="1">
      <c r="A19223" s="35"/>
      <c r="C19223" s="442"/>
      <c r="P19223" s="235"/>
      <c r="AI19223" s="38"/>
    </row>
    <row r="19224" ht="15.75" customHeight="1">
      <c r="A19224" s="35"/>
      <c r="C19224" s="442"/>
      <c r="P19224" s="235"/>
      <c r="AI19224" s="38"/>
    </row>
    <row r="19225" ht="15.75" customHeight="1">
      <c r="A19225" s="35"/>
      <c r="C19225" s="442"/>
      <c r="P19225" s="235"/>
      <c r="AI19225" s="38"/>
    </row>
    <row r="19226" ht="15.75" customHeight="1">
      <c r="A19226" s="35"/>
      <c r="C19226" s="442"/>
      <c r="P19226" s="235"/>
      <c r="AI19226" s="38"/>
    </row>
    <row r="19227" ht="15.75" customHeight="1">
      <c r="A19227" s="35"/>
      <c r="C19227" s="442"/>
      <c r="P19227" s="235"/>
      <c r="AI19227" s="38"/>
    </row>
    <row r="19228" ht="15.75" customHeight="1">
      <c r="A19228" s="35"/>
      <c r="C19228" s="442"/>
      <c r="P19228" s="235"/>
      <c r="AI19228" s="38"/>
    </row>
    <row r="19229" ht="15.75" customHeight="1">
      <c r="A19229" s="35"/>
      <c r="C19229" s="442"/>
      <c r="P19229" s="235"/>
      <c r="AI19229" s="38"/>
    </row>
    <row r="19230" ht="15.75" customHeight="1">
      <c r="A19230" s="35"/>
      <c r="C19230" s="442"/>
      <c r="P19230" s="235"/>
      <c r="AI19230" s="38"/>
    </row>
    <row r="19231" ht="15.75" customHeight="1">
      <c r="A19231" s="35"/>
      <c r="C19231" s="442"/>
      <c r="P19231" s="235"/>
      <c r="AI19231" s="38"/>
    </row>
    <row r="19232" ht="15.75" customHeight="1">
      <c r="A19232" s="35"/>
      <c r="C19232" s="442"/>
      <c r="P19232" s="235"/>
      <c r="AI19232" s="38"/>
    </row>
    <row r="19233" ht="15.75" customHeight="1">
      <c r="A19233" s="35"/>
      <c r="C19233" s="442"/>
      <c r="P19233" s="235"/>
      <c r="AI19233" s="38"/>
    </row>
    <row r="19234" ht="15.75" customHeight="1">
      <c r="A19234" s="35"/>
      <c r="C19234" s="442"/>
      <c r="P19234" s="235"/>
      <c r="AI19234" s="38"/>
    </row>
    <row r="19235" ht="15.75" customHeight="1">
      <c r="A19235" s="35"/>
      <c r="C19235" s="442"/>
      <c r="P19235" s="235"/>
      <c r="AI19235" s="38"/>
    </row>
    <row r="19236" ht="15.75" customHeight="1">
      <c r="A19236" s="35"/>
      <c r="C19236" s="442"/>
      <c r="P19236" s="235"/>
      <c r="AI19236" s="38"/>
    </row>
    <row r="19237" ht="15.75" customHeight="1">
      <c r="A19237" s="35"/>
      <c r="C19237" s="442"/>
      <c r="P19237" s="235"/>
      <c r="AI19237" s="38"/>
    </row>
    <row r="19238" ht="15.75" customHeight="1">
      <c r="A19238" s="35"/>
      <c r="C19238" s="442"/>
      <c r="P19238" s="235"/>
      <c r="AI19238" s="38"/>
    </row>
    <row r="19239" ht="15.75" customHeight="1">
      <c r="A19239" s="35"/>
      <c r="C19239" s="442"/>
      <c r="P19239" s="235"/>
      <c r="AI19239" s="38"/>
    </row>
    <row r="19240" ht="15.75" customHeight="1">
      <c r="A19240" s="35"/>
      <c r="C19240" s="442"/>
      <c r="P19240" s="235"/>
      <c r="AI19240" s="38"/>
    </row>
    <row r="19241" ht="15.75" customHeight="1">
      <c r="A19241" s="35"/>
      <c r="C19241" s="442"/>
      <c r="P19241" s="235"/>
      <c r="AI19241" s="38"/>
    </row>
    <row r="19242" ht="15.75" customHeight="1">
      <c r="A19242" s="35"/>
      <c r="C19242" s="442"/>
      <c r="P19242" s="235"/>
      <c r="AI19242" s="38"/>
    </row>
    <row r="19243" ht="15.75" customHeight="1">
      <c r="A19243" s="35"/>
      <c r="C19243" s="442"/>
      <c r="P19243" s="235"/>
      <c r="AI19243" s="38"/>
    </row>
    <row r="19244" ht="15.75" customHeight="1">
      <c r="A19244" s="35"/>
      <c r="C19244" s="442"/>
      <c r="P19244" s="235"/>
      <c r="AI19244" s="38"/>
    </row>
    <row r="19245" ht="15.75" customHeight="1">
      <c r="A19245" s="35"/>
      <c r="C19245" s="442"/>
      <c r="P19245" s="235"/>
      <c r="AI19245" s="38"/>
    </row>
    <row r="19246" ht="15.75" customHeight="1">
      <c r="A19246" s="35"/>
      <c r="C19246" s="442"/>
      <c r="P19246" s="235"/>
      <c r="AI19246" s="38"/>
    </row>
    <row r="19247" ht="15.75" customHeight="1">
      <c r="A19247" s="35"/>
      <c r="C19247" s="442"/>
      <c r="P19247" s="235"/>
      <c r="AI19247" s="38"/>
    </row>
    <row r="19248" ht="15.75" customHeight="1">
      <c r="A19248" s="35"/>
      <c r="C19248" s="442"/>
      <c r="P19248" s="235"/>
      <c r="AI19248" s="38"/>
    </row>
    <row r="19249" ht="15.75" customHeight="1">
      <c r="A19249" s="35"/>
      <c r="C19249" s="442"/>
      <c r="P19249" s="235"/>
      <c r="AI19249" s="38"/>
    </row>
    <row r="19250" ht="15.75" customHeight="1">
      <c r="A19250" s="35"/>
      <c r="C19250" s="442"/>
      <c r="P19250" s="235"/>
      <c r="AI19250" s="38"/>
    </row>
    <row r="19251" ht="15.75" customHeight="1">
      <c r="A19251" s="35"/>
      <c r="C19251" s="442"/>
      <c r="P19251" s="235"/>
      <c r="AI19251" s="38"/>
    </row>
    <row r="19252" ht="15.75" customHeight="1">
      <c r="A19252" s="35"/>
      <c r="C19252" s="442"/>
      <c r="P19252" s="235"/>
      <c r="AI19252" s="38"/>
    </row>
    <row r="19253" ht="15.75" customHeight="1">
      <c r="A19253" s="35"/>
      <c r="C19253" s="442"/>
      <c r="P19253" s="235"/>
      <c r="AI19253" s="38"/>
    </row>
    <row r="19254" ht="15.75" customHeight="1">
      <c r="A19254" s="35"/>
      <c r="C19254" s="442"/>
      <c r="P19254" s="235"/>
      <c r="AI19254" s="38"/>
    </row>
    <row r="19255" ht="15.75" customHeight="1">
      <c r="A19255" s="35"/>
      <c r="C19255" s="442"/>
      <c r="P19255" s="235"/>
      <c r="AI19255" s="38"/>
    </row>
    <row r="19256" ht="15.75" customHeight="1">
      <c r="A19256" s="35"/>
      <c r="C19256" s="442"/>
      <c r="P19256" s="235"/>
      <c r="AI19256" s="38"/>
    </row>
    <row r="19257" ht="15.75" customHeight="1">
      <c r="A19257" s="35"/>
      <c r="C19257" s="442"/>
      <c r="P19257" s="235"/>
      <c r="AI19257" s="38"/>
    </row>
    <row r="19258" ht="15.75" customHeight="1">
      <c r="A19258" s="35"/>
      <c r="C19258" s="442"/>
      <c r="P19258" s="235"/>
      <c r="AI19258" s="38"/>
    </row>
    <row r="19259" ht="15.75" customHeight="1">
      <c r="A19259" s="35"/>
      <c r="C19259" s="442"/>
      <c r="P19259" s="235"/>
      <c r="AI19259" s="38"/>
    </row>
    <row r="19260" ht="15.75" customHeight="1">
      <c r="A19260" s="35"/>
      <c r="C19260" s="442"/>
      <c r="P19260" s="235"/>
      <c r="AI19260" s="38"/>
    </row>
    <row r="19261" ht="15.75" customHeight="1">
      <c r="A19261" s="35"/>
      <c r="C19261" s="442"/>
      <c r="P19261" s="235"/>
      <c r="AI19261" s="38"/>
    </row>
    <row r="19262" ht="15.75" customHeight="1">
      <c r="A19262" s="35"/>
      <c r="C19262" s="442"/>
      <c r="P19262" s="235"/>
      <c r="AI19262" s="38"/>
    </row>
    <row r="19263" ht="15.75" customHeight="1">
      <c r="A19263" s="35"/>
      <c r="C19263" s="442"/>
      <c r="P19263" s="235"/>
      <c r="AI19263" s="38"/>
    </row>
    <row r="19264" ht="15.75" customHeight="1">
      <c r="A19264" s="35"/>
      <c r="C19264" s="442"/>
      <c r="P19264" s="235"/>
      <c r="AI19264" s="38"/>
    </row>
    <row r="19265" ht="15.75" customHeight="1">
      <c r="A19265" s="35"/>
      <c r="C19265" s="442"/>
      <c r="P19265" s="235"/>
      <c r="AI19265" s="38"/>
    </row>
    <row r="19266" ht="15.75" customHeight="1">
      <c r="A19266" s="35"/>
      <c r="C19266" s="442"/>
      <c r="P19266" s="235"/>
      <c r="AI19266" s="38"/>
    </row>
    <row r="19267" ht="15.75" customHeight="1">
      <c r="A19267" s="35"/>
      <c r="C19267" s="442"/>
      <c r="P19267" s="235"/>
      <c r="AI19267" s="38"/>
    </row>
    <row r="19268" ht="15.75" customHeight="1">
      <c r="A19268" s="35"/>
      <c r="C19268" s="442"/>
      <c r="P19268" s="235"/>
      <c r="AI19268" s="38"/>
    </row>
    <row r="19269" ht="15.75" customHeight="1">
      <c r="A19269" s="35"/>
      <c r="C19269" s="442"/>
      <c r="P19269" s="235"/>
      <c r="AI19269" s="38"/>
    </row>
    <row r="19270" ht="15.75" customHeight="1">
      <c r="A19270" s="35"/>
      <c r="C19270" s="442"/>
      <c r="P19270" s="235"/>
      <c r="AI19270" s="38"/>
    </row>
    <row r="19271" ht="15.75" customHeight="1">
      <c r="A19271" s="35"/>
      <c r="C19271" s="442"/>
      <c r="P19271" s="235"/>
      <c r="AI19271" s="38"/>
    </row>
    <row r="19272" ht="15.75" customHeight="1">
      <c r="A19272" s="35"/>
      <c r="C19272" s="442"/>
      <c r="P19272" s="235"/>
      <c r="AI19272" s="38"/>
    </row>
    <row r="19273" ht="15.75" customHeight="1">
      <c r="A19273" s="35"/>
      <c r="C19273" s="442"/>
      <c r="P19273" s="235"/>
      <c r="AI19273" s="38"/>
    </row>
    <row r="19274" ht="15.75" customHeight="1">
      <c r="A19274" s="35"/>
      <c r="C19274" s="442"/>
      <c r="P19274" s="235"/>
      <c r="AI19274" s="38"/>
    </row>
    <row r="19275" ht="15.75" customHeight="1">
      <c r="A19275" s="35"/>
      <c r="C19275" s="442"/>
      <c r="P19275" s="235"/>
      <c r="AI19275" s="38"/>
    </row>
    <row r="19276" ht="15.75" customHeight="1">
      <c r="A19276" s="35"/>
      <c r="C19276" s="442"/>
      <c r="P19276" s="235"/>
      <c r="AI19276" s="38"/>
    </row>
    <row r="19277" ht="15.75" customHeight="1">
      <c r="A19277" s="35"/>
      <c r="C19277" s="442"/>
      <c r="P19277" s="235"/>
      <c r="AI19277" s="38"/>
    </row>
    <row r="19278" ht="15.75" customHeight="1">
      <c r="A19278" s="35"/>
      <c r="C19278" s="442"/>
      <c r="P19278" s="235"/>
      <c r="AI19278" s="38"/>
    </row>
    <row r="19279" ht="15.75" customHeight="1">
      <c r="A19279" s="35"/>
      <c r="C19279" s="442"/>
      <c r="P19279" s="235"/>
      <c r="AI19279" s="38"/>
    </row>
    <row r="19280" ht="15.75" customHeight="1">
      <c r="A19280" s="35"/>
      <c r="C19280" s="442"/>
      <c r="P19280" s="235"/>
      <c r="AI19280" s="38"/>
    </row>
    <row r="19281" ht="15.75" customHeight="1">
      <c r="A19281" s="35"/>
      <c r="C19281" s="442"/>
      <c r="P19281" s="235"/>
      <c r="AI19281" s="38"/>
    </row>
    <row r="19282" ht="15.75" customHeight="1">
      <c r="A19282" s="35"/>
      <c r="C19282" s="442"/>
      <c r="P19282" s="235"/>
      <c r="AI19282" s="38"/>
    </row>
    <row r="19283" ht="15.75" customHeight="1">
      <c r="A19283" s="35"/>
      <c r="C19283" s="442"/>
      <c r="P19283" s="235"/>
      <c r="AI19283" s="38"/>
    </row>
    <row r="19284" ht="15.75" customHeight="1">
      <c r="A19284" s="35"/>
      <c r="C19284" s="442"/>
      <c r="P19284" s="235"/>
      <c r="AI19284" s="38"/>
    </row>
    <row r="19285" ht="15.75" customHeight="1">
      <c r="A19285" s="35"/>
      <c r="C19285" s="442"/>
      <c r="P19285" s="235"/>
      <c r="AI19285" s="38"/>
    </row>
    <row r="19286" ht="15.75" customHeight="1">
      <c r="A19286" s="35"/>
      <c r="C19286" s="442"/>
      <c r="P19286" s="235"/>
      <c r="AI19286" s="38"/>
    </row>
    <row r="19287" ht="15.75" customHeight="1">
      <c r="A19287" s="35"/>
      <c r="C19287" s="442"/>
      <c r="P19287" s="235"/>
      <c r="AI19287" s="38"/>
    </row>
    <row r="19288" ht="15.75" customHeight="1">
      <c r="A19288" s="35"/>
      <c r="C19288" s="442"/>
      <c r="P19288" s="235"/>
      <c r="AI19288" s="38"/>
    </row>
    <row r="19289" ht="15.75" customHeight="1">
      <c r="A19289" s="35"/>
      <c r="C19289" s="442"/>
      <c r="P19289" s="235"/>
      <c r="AI19289" s="38"/>
    </row>
    <row r="19290" ht="15.75" customHeight="1">
      <c r="A19290" s="35"/>
      <c r="C19290" s="442"/>
      <c r="P19290" s="235"/>
      <c r="AI19290" s="38"/>
    </row>
    <row r="19291" ht="15.75" customHeight="1">
      <c r="A19291" s="35"/>
      <c r="C19291" s="442"/>
      <c r="P19291" s="235"/>
      <c r="AI19291" s="38"/>
    </row>
    <row r="19292" ht="15.75" customHeight="1">
      <c r="A19292" s="35"/>
      <c r="C19292" s="442"/>
      <c r="P19292" s="235"/>
      <c r="AI19292" s="38"/>
    </row>
    <row r="19293" ht="15.75" customHeight="1">
      <c r="A19293" s="35"/>
      <c r="C19293" s="442"/>
      <c r="P19293" s="235"/>
      <c r="AI19293" s="38"/>
    </row>
    <row r="19294" ht="15.75" customHeight="1">
      <c r="A19294" s="35"/>
      <c r="C19294" s="442"/>
      <c r="P19294" s="235"/>
      <c r="AI19294" s="38"/>
    </row>
    <row r="19295" ht="15.75" customHeight="1">
      <c r="A19295" s="35"/>
      <c r="C19295" s="442"/>
      <c r="P19295" s="235"/>
      <c r="AI19295" s="38"/>
    </row>
    <row r="19296" ht="15.75" customHeight="1">
      <c r="A19296" s="35"/>
      <c r="C19296" s="442"/>
      <c r="P19296" s="235"/>
      <c r="AI19296" s="38"/>
    </row>
    <row r="19297" ht="15.75" customHeight="1">
      <c r="A19297" s="35"/>
      <c r="C19297" s="442"/>
      <c r="P19297" s="235"/>
      <c r="AI19297" s="38"/>
    </row>
    <row r="19298" ht="15.75" customHeight="1">
      <c r="A19298" s="35"/>
      <c r="C19298" s="442"/>
      <c r="P19298" s="235"/>
      <c r="AI19298" s="38"/>
    </row>
    <row r="19299" ht="15.75" customHeight="1">
      <c r="A19299" s="35"/>
      <c r="C19299" s="442"/>
      <c r="P19299" s="235"/>
      <c r="AI19299" s="38"/>
    </row>
    <row r="19300" ht="15.75" customHeight="1">
      <c r="A19300" s="35"/>
      <c r="C19300" s="442"/>
      <c r="P19300" s="235"/>
      <c r="AI19300" s="38"/>
    </row>
    <row r="19301" ht="15.75" customHeight="1">
      <c r="A19301" s="35"/>
      <c r="C19301" s="442"/>
      <c r="P19301" s="235"/>
      <c r="AI19301" s="38"/>
    </row>
    <row r="19302" ht="15.75" customHeight="1">
      <c r="A19302" s="35"/>
      <c r="C19302" s="442"/>
      <c r="P19302" s="235"/>
      <c r="AI19302" s="38"/>
    </row>
    <row r="19303" ht="15.75" customHeight="1">
      <c r="A19303" s="35"/>
      <c r="C19303" s="442"/>
      <c r="P19303" s="235"/>
      <c r="AI19303" s="38"/>
    </row>
    <row r="19304" ht="15.75" customHeight="1">
      <c r="A19304" s="35"/>
      <c r="C19304" s="442"/>
      <c r="P19304" s="235"/>
      <c r="AI19304" s="38"/>
    </row>
    <row r="19305" ht="15.75" customHeight="1">
      <c r="A19305" s="35"/>
      <c r="C19305" s="442"/>
      <c r="P19305" s="235"/>
      <c r="AI19305" s="38"/>
    </row>
    <row r="19306" ht="15.75" customHeight="1">
      <c r="A19306" s="35"/>
      <c r="C19306" s="442"/>
      <c r="P19306" s="235"/>
      <c r="AI19306" s="38"/>
    </row>
    <row r="19307" ht="15.75" customHeight="1">
      <c r="A19307" s="35"/>
      <c r="C19307" s="442"/>
      <c r="P19307" s="235"/>
      <c r="AI19307" s="38"/>
    </row>
    <row r="19308" ht="15.75" customHeight="1">
      <c r="A19308" s="35"/>
      <c r="C19308" s="442"/>
      <c r="P19308" s="235"/>
      <c r="AI19308" s="38"/>
    </row>
    <row r="19309" ht="15.75" customHeight="1">
      <c r="A19309" s="35"/>
      <c r="C19309" s="442"/>
      <c r="P19309" s="235"/>
      <c r="AI19309" s="38"/>
    </row>
    <row r="19310" ht="15.75" customHeight="1">
      <c r="A19310" s="35"/>
      <c r="C19310" s="442"/>
      <c r="P19310" s="235"/>
      <c r="AI19310" s="38"/>
    </row>
    <row r="19311" ht="15.75" customHeight="1">
      <c r="A19311" s="35"/>
      <c r="C19311" s="442"/>
      <c r="P19311" s="235"/>
      <c r="AI19311" s="38"/>
    </row>
    <row r="19312" ht="15.75" customHeight="1">
      <c r="A19312" s="35"/>
      <c r="C19312" s="442"/>
      <c r="P19312" s="235"/>
      <c r="AI19312" s="38"/>
    </row>
    <row r="19313" ht="15.75" customHeight="1">
      <c r="A19313" s="35"/>
      <c r="C19313" s="442"/>
      <c r="P19313" s="235"/>
      <c r="AI19313" s="38"/>
    </row>
    <row r="19314" ht="15.75" customHeight="1">
      <c r="A19314" s="35"/>
      <c r="C19314" s="442"/>
      <c r="P19314" s="235"/>
      <c r="AI19314" s="38"/>
    </row>
    <row r="19315" ht="15.75" customHeight="1">
      <c r="A19315" s="35"/>
      <c r="C19315" s="442"/>
      <c r="P19315" s="235"/>
      <c r="AI19315" s="38"/>
    </row>
    <row r="19316" ht="15.75" customHeight="1">
      <c r="A19316" s="35"/>
      <c r="C19316" s="442"/>
      <c r="P19316" s="235"/>
      <c r="AI19316" s="38"/>
    </row>
    <row r="19317" ht="15.75" customHeight="1">
      <c r="A19317" s="35"/>
      <c r="C19317" s="442"/>
      <c r="P19317" s="235"/>
      <c r="AI19317" s="38"/>
    </row>
    <row r="19318" ht="15.75" customHeight="1">
      <c r="A19318" s="35"/>
      <c r="C19318" s="442"/>
      <c r="P19318" s="235"/>
      <c r="AI19318" s="38"/>
    </row>
    <row r="19319" ht="15.75" customHeight="1">
      <c r="A19319" s="35"/>
      <c r="C19319" s="442"/>
      <c r="P19319" s="235"/>
      <c r="AI19319" s="38"/>
    </row>
    <row r="19320" ht="15.75" customHeight="1">
      <c r="A19320" s="35"/>
      <c r="C19320" s="442"/>
      <c r="P19320" s="235"/>
      <c r="AI19320" s="38"/>
    </row>
    <row r="19321" ht="15.75" customHeight="1">
      <c r="A19321" s="35"/>
      <c r="C19321" s="442"/>
      <c r="P19321" s="235"/>
      <c r="AI19321" s="38"/>
    </row>
    <row r="19322" ht="15.75" customHeight="1">
      <c r="A19322" s="35"/>
      <c r="C19322" s="442"/>
      <c r="P19322" s="235"/>
      <c r="AI19322" s="38"/>
    </row>
    <row r="19323" ht="15.75" customHeight="1">
      <c r="A19323" s="35"/>
      <c r="C19323" s="442"/>
      <c r="P19323" s="235"/>
      <c r="AI19323" s="38"/>
    </row>
    <row r="19324" ht="15.75" customHeight="1">
      <c r="A19324" s="35"/>
      <c r="C19324" s="442"/>
      <c r="P19324" s="235"/>
      <c r="AI19324" s="38"/>
    </row>
    <row r="19325" ht="15.75" customHeight="1">
      <c r="A19325" s="35"/>
      <c r="C19325" s="442"/>
      <c r="P19325" s="235"/>
      <c r="AI19325" s="38"/>
    </row>
    <row r="19326" ht="15.75" customHeight="1">
      <c r="A19326" s="35"/>
      <c r="C19326" s="442"/>
      <c r="P19326" s="235"/>
      <c r="AI19326" s="38"/>
    </row>
    <row r="19327" ht="15.75" customHeight="1">
      <c r="A19327" s="35"/>
      <c r="C19327" s="442"/>
      <c r="P19327" s="235"/>
      <c r="AI19327" s="38"/>
    </row>
    <row r="19328" ht="15.75" customHeight="1">
      <c r="A19328" s="35"/>
      <c r="C19328" s="442"/>
      <c r="P19328" s="235"/>
      <c r="AI19328" s="38"/>
    </row>
    <row r="19329" ht="15.75" customHeight="1">
      <c r="A19329" s="35"/>
      <c r="C19329" s="442"/>
      <c r="P19329" s="235"/>
      <c r="AI19329" s="38"/>
    </row>
    <row r="19330" ht="15.75" customHeight="1">
      <c r="A19330" s="35"/>
      <c r="C19330" s="442"/>
      <c r="P19330" s="235"/>
      <c r="AI19330" s="38"/>
    </row>
    <row r="19331" ht="15.75" customHeight="1">
      <c r="A19331" s="35"/>
      <c r="C19331" s="442"/>
      <c r="P19331" s="235"/>
      <c r="AI19331" s="38"/>
    </row>
    <row r="19332" ht="15.75" customHeight="1">
      <c r="A19332" s="35"/>
      <c r="C19332" s="442"/>
      <c r="P19332" s="235"/>
      <c r="AI19332" s="38"/>
    </row>
    <row r="19333" ht="15.75" customHeight="1">
      <c r="A19333" s="35"/>
      <c r="C19333" s="442"/>
      <c r="P19333" s="235"/>
      <c r="AI19333" s="38"/>
    </row>
    <row r="19334" ht="15.75" customHeight="1">
      <c r="A19334" s="35"/>
      <c r="C19334" s="442"/>
      <c r="P19334" s="235"/>
      <c r="AI19334" s="38"/>
    </row>
    <row r="19335" ht="15.75" customHeight="1">
      <c r="A19335" s="35"/>
      <c r="C19335" s="442"/>
      <c r="P19335" s="235"/>
      <c r="AI19335" s="38"/>
    </row>
    <row r="19336" ht="15.75" customHeight="1">
      <c r="A19336" s="35"/>
      <c r="C19336" s="442"/>
      <c r="P19336" s="235"/>
      <c r="AI19336" s="38"/>
    </row>
    <row r="19337" ht="15.75" customHeight="1">
      <c r="A19337" s="35"/>
      <c r="C19337" s="442"/>
      <c r="P19337" s="235"/>
      <c r="AI19337" s="38"/>
    </row>
    <row r="19338" ht="15.75" customHeight="1">
      <c r="A19338" s="35"/>
      <c r="C19338" s="442"/>
      <c r="P19338" s="235"/>
      <c r="AI19338" s="38"/>
    </row>
    <row r="19339" ht="15.75" customHeight="1">
      <c r="A19339" s="35"/>
      <c r="C19339" s="442"/>
      <c r="P19339" s="235"/>
      <c r="AI19339" s="38"/>
    </row>
    <row r="19340" ht="15.75" customHeight="1">
      <c r="A19340" s="35"/>
      <c r="C19340" s="442"/>
      <c r="P19340" s="235"/>
      <c r="AI19340" s="38"/>
    </row>
    <row r="19341" ht="15.75" customHeight="1">
      <c r="A19341" s="35"/>
      <c r="C19341" s="442"/>
      <c r="P19341" s="235"/>
      <c r="AI19341" s="38"/>
    </row>
    <row r="19342" ht="15.75" customHeight="1">
      <c r="A19342" s="35"/>
      <c r="C19342" s="442"/>
      <c r="P19342" s="235"/>
      <c r="AI19342" s="38"/>
    </row>
    <row r="19343" ht="15.75" customHeight="1">
      <c r="A19343" s="35"/>
      <c r="C19343" s="442"/>
      <c r="P19343" s="235"/>
      <c r="AI19343" s="38"/>
    </row>
    <row r="19344" ht="15.75" customHeight="1">
      <c r="A19344" s="35"/>
      <c r="C19344" s="442"/>
      <c r="P19344" s="235"/>
      <c r="AI19344" s="38"/>
    </row>
    <row r="19345" ht="15.75" customHeight="1">
      <c r="A19345" s="35"/>
      <c r="C19345" s="442"/>
      <c r="P19345" s="235"/>
      <c r="AI19345" s="38"/>
    </row>
    <row r="19346" ht="15.75" customHeight="1">
      <c r="A19346" s="35"/>
      <c r="C19346" s="442"/>
      <c r="P19346" s="235"/>
      <c r="AI19346" s="38"/>
    </row>
    <row r="19347" ht="15.75" customHeight="1">
      <c r="A19347" s="35"/>
      <c r="C19347" s="442"/>
      <c r="P19347" s="235"/>
      <c r="AI19347" s="38"/>
    </row>
    <row r="19348" ht="15.75" customHeight="1">
      <c r="A19348" s="35"/>
      <c r="C19348" s="442"/>
      <c r="P19348" s="235"/>
      <c r="AI19348" s="38"/>
    </row>
    <row r="19349" ht="15.75" customHeight="1">
      <c r="A19349" s="35"/>
      <c r="C19349" s="442"/>
      <c r="P19349" s="235"/>
      <c r="AI19349" s="38"/>
    </row>
    <row r="19350" ht="15.75" customHeight="1">
      <c r="A19350" s="35"/>
      <c r="C19350" s="442"/>
      <c r="P19350" s="235"/>
      <c r="AI19350" s="38"/>
    </row>
    <row r="19351" ht="15.75" customHeight="1">
      <c r="A19351" s="35"/>
      <c r="C19351" s="442"/>
      <c r="P19351" s="235"/>
      <c r="AI19351" s="38"/>
    </row>
    <row r="19352" ht="15.75" customHeight="1">
      <c r="A19352" s="35"/>
      <c r="C19352" s="442"/>
      <c r="P19352" s="235"/>
      <c r="AI19352" s="38"/>
    </row>
    <row r="19353" ht="15.75" customHeight="1">
      <c r="A19353" s="35"/>
      <c r="C19353" s="442"/>
      <c r="P19353" s="235"/>
      <c r="AI19353" s="38"/>
    </row>
    <row r="19354" ht="15.75" customHeight="1">
      <c r="A19354" s="35"/>
      <c r="C19354" s="442"/>
      <c r="P19354" s="235"/>
      <c r="AI19354" s="38"/>
    </row>
    <row r="19355" ht="15.75" customHeight="1">
      <c r="A19355" s="35"/>
      <c r="C19355" s="442"/>
      <c r="P19355" s="235"/>
      <c r="AI19355" s="38"/>
    </row>
    <row r="19356" ht="15.75" customHeight="1">
      <c r="A19356" s="35"/>
      <c r="C19356" s="442"/>
      <c r="P19356" s="235"/>
      <c r="AI19356" s="38"/>
    </row>
    <row r="19357" ht="15.75" customHeight="1">
      <c r="A19357" s="35"/>
      <c r="C19357" s="442"/>
      <c r="P19357" s="235"/>
      <c r="AI19357" s="38"/>
    </row>
    <row r="19358" ht="15.75" customHeight="1">
      <c r="A19358" s="35"/>
      <c r="C19358" s="442"/>
      <c r="P19358" s="235"/>
      <c r="AI19358" s="38"/>
    </row>
    <row r="19359" ht="15.75" customHeight="1">
      <c r="A19359" s="35"/>
      <c r="C19359" s="442"/>
      <c r="P19359" s="235"/>
      <c r="AI19359" s="38"/>
    </row>
    <row r="19360" ht="15.75" customHeight="1">
      <c r="A19360" s="35"/>
      <c r="C19360" s="442"/>
      <c r="P19360" s="235"/>
      <c r="AI19360" s="38"/>
    </row>
    <row r="19361" ht="15.75" customHeight="1">
      <c r="A19361" s="35"/>
      <c r="C19361" s="442"/>
      <c r="P19361" s="235"/>
      <c r="AI19361" s="38"/>
    </row>
    <row r="19362" ht="15.75" customHeight="1">
      <c r="A19362" s="35"/>
      <c r="C19362" s="442"/>
      <c r="P19362" s="235"/>
      <c r="AI19362" s="38"/>
    </row>
    <row r="19363" ht="15.75" customHeight="1">
      <c r="A19363" s="35"/>
      <c r="C19363" s="442"/>
      <c r="P19363" s="235"/>
      <c r="AI19363" s="38"/>
    </row>
    <row r="19364" ht="15.75" customHeight="1">
      <c r="A19364" s="35"/>
      <c r="C19364" s="442"/>
      <c r="P19364" s="235"/>
      <c r="AI19364" s="38"/>
    </row>
    <row r="19365" ht="15.75" customHeight="1">
      <c r="A19365" s="35"/>
      <c r="C19365" s="442"/>
      <c r="P19365" s="235"/>
      <c r="AI19365" s="38"/>
    </row>
    <row r="19366" ht="15.75" customHeight="1">
      <c r="A19366" s="35"/>
      <c r="C19366" s="442"/>
      <c r="P19366" s="235"/>
      <c r="AI19366" s="38"/>
    </row>
    <row r="19367" ht="15.75" customHeight="1">
      <c r="A19367" s="35"/>
      <c r="C19367" s="442"/>
      <c r="P19367" s="235"/>
      <c r="AI19367" s="38"/>
    </row>
    <row r="19368" ht="15.75" customHeight="1">
      <c r="A19368" s="35"/>
      <c r="C19368" s="442"/>
      <c r="P19368" s="235"/>
      <c r="AI19368" s="38"/>
    </row>
    <row r="19369" ht="15.75" customHeight="1">
      <c r="A19369" s="35"/>
      <c r="C19369" s="442"/>
      <c r="P19369" s="235"/>
      <c r="AI19369" s="38"/>
    </row>
    <row r="19370" ht="15.75" customHeight="1">
      <c r="A19370" s="35"/>
      <c r="C19370" s="442"/>
      <c r="P19370" s="235"/>
      <c r="AI19370" s="38"/>
    </row>
    <row r="19371" ht="15.75" customHeight="1">
      <c r="A19371" s="35"/>
      <c r="C19371" s="442"/>
      <c r="P19371" s="235"/>
      <c r="AI19371" s="38"/>
    </row>
    <row r="19372" ht="15.75" customHeight="1">
      <c r="A19372" s="35"/>
      <c r="C19372" s="442"/>
      <c r="P19372" s="235"/>
      <c r="AI19372" s="38"/>
    </row>
    <row r="19373" ht="15.75" customHeight="1">
      <c r="A19373" s="35"/>
      <c r="C19373" s="442"/>
      <c r="P19373" s="235"/>
      <c r="AI19373" s="38"/>
    </row>
    <row r="19374" ht="15.75" customHeight="1">
      <c r="A19374" s="35"/>
      <c r="C19374" s="442"/>
      <c r="P19374" s="235"/>
      <c r="AI19374" s="38"/>
    </row>
    <row r="19375" ht="15.75" customHeight="1">
      <c r="A19375" s="35"/>
      <c r="C19375" s="442"/>
      <c r="P19375" s="235"/>
      <c r="AI19375" s="38"/>
    </row>
    <row r="19376" ht="15.75" customHeight="1">
      <c r="A19376" s="35"/>
      <c r="C19376" s="442"/>
      <c r="P19376" s="235"/>
      <c r="AI19376" s="38"/>
    </row>
    <row r="19377" ht="15.75" customHeight="1">
      <c r="A19377" s="35"/>
      <c r="C19377" s="442"/>
      <c r="P19377" s="235"/>
      <c r="AI19377" s="38"/>
    </row>
    <row r="19378" ht="15.75" customHeight="1">
      <c r="A19378" s="35"/>
      <c r="C19378" s="442"/>
      <c r="P19378" s="235"/>
      <c r="AI19378" s="38"/>
    </row>
    <row r="19379" ht="15.75" customHeight="1">
      <c r="A19379" s="35"/>
      <c r="C19379" s="442"/>
      <c r="P19379" s="235"/>
      <c r="AI19379" s="38"/>
    </row>
    <row r="19380" ht="15.75" customHeight="1">
      <c r="A19380" s="35"/>
      <c r="C19380" s="442"/>
      <c r="P19380" s="235"/>
      <c r="AI19380" s="38"/>
    </row>
    <row r="19381" ht="15.75" customHeight="1">
      <c r="A19381" s="35"/>
      <c r="C19381" s="442"/>
      <c r="P19381" s="235"/>
      <c r="AI19381" s="38"/>
    </row>
    <row r="19382" ht="15.75" customHeight="1">
      <c r="A19382" s="35"/>
      <c r="C19382" s="442"/>
      <c r="P19382" s="235"/>
      <c r="AI19382" s="38"/>
    </row>
    <row r="19383" ht="15.75" customHeight="1">
      <c r="A19383" s="35"/>
      <c r="C19383" s="442"/>
      <c r="P19383" s="235"/>
      <c r="AI19383" s="38"/>
    </row>
    <row r="19384" ht="15.75" customHeight="1">
      <c r="A19384" s="35"/>
      <c r="C19384" s="442"/>
      <c r="P19384" s="235"/>
      <c r="AI19384" s="38"/>
    </row>
    <row r="19385" ht="15.75" customHeight="1">
      <c r="A19385" s="35"/>
      <c r="C19385" s="442"/>
      <c r="P19385" s="235"/>
      <c r="AI19385" s="38"/>
    </row>
    <row r="19386" ht="15.75" customHeight="1">
      <c r="A19386" s="35"/>
      <c r="C19386" s="442"/>
      <c r="P19386" s="235"/>
      <c r="AI19386" s="38"/>
    </row>
    <row r="19387" ht="15.75" customHeight="1">
      <c r="A19387" s="35"/>
      <c r="C19387" s="442"/>
      <c r="P19387" s="235"/>
      <c r="AI19387" s="38"/>
    </row>
    <row r="19388" ht="15.75" customHeight="1">
      <c r="A19388" s="35"/>
      <c r="C19388" s="442"/>
      <c r="P19388" s="235"/>
      <c r="AI19388" s="38"/>
    </row>
    <row r="19389" ht="15.75" customHeight="1">
      <c r="A19389" s="35"/>
      <c r="C19389" s="442"/>
      <c r="P19389" s="235"/>
      <c r="AI19389" s="38"/>
    </row>
    <row r="19390" ht="15.75" customHeight="1">
      <c r="A19390" s="35"/>
      <c r="C19390" s="442"/>
      <c r="P19390" s="235"/>
      <c r="AI19390" s="38"/>
    </row>
    <row r="19391" ht="15.75" customHeight="1">
      <c r="A19391" s="35"/>
      <c r="C19391" s="442"/>
      <c r="P19391" s="235"/>
      <c r="AI19391" s="38"/>
    </row>
    <row r="19392" ht="15.75" customHeight="1">
      <c r="A19392" s="35"/>
      <c r="C19392" s="442"/>
      <c r="P19392" s="235"/>
      <c r="AI19392" s="38"/>
    </row>
    <row r="19393" ht="15.75" customHeight="1">
      <c r="A19393" s="35"/>
      <c r="C19393" s="442"/>
      <c r="P19393" s="235"/>
      <c r="AI19393" s="38"/>
    </row>
    <row r="19394" ht="15.75" customHeight="1">
      <c r="A19394" s="35"/>
      <c r="C19394" s="442"/>
      <c r="P19394" s="235"/>
      <c r="AI19394" s="38"/>
    </row>
    <row r="19395" ht="15.75" customHeight="1">
      <c r="A19395" s="35"/>
      <c r="C19395" s="442"/>
      <c r="P19395" s="235"/>
      <c r="AI19395" s="38"/>
    </row>
    <row r="19396" ht="15.75" customHeight="1">
      <c r="A19396" s="35"/>
      <c r="C19396" s="442"/>
      <c r="P19396" s="235"/>
      <c r="AI19396" s="38"/>
    </row>
    <row r="19397" ht="15.75" customHeight="1">
      <c r="A19397" s="35"/>
      <c r="C19397" s="442"/>
      <c r="P19397" s="235"/>
      <c r="AI19397" s="38"/>
    </row>
    <row r="19398" ht="15.75" customHeight="1">
      <c r="A19398" s="35"/>
      <c r="C19398" s="442"/>
      <c r="P19398" s="235"/>
      <c r="AI19398" s="38"/>
    </row>
    <row r="19399" ht="15.75" customHeight="1">
      <c r="A19399" s="35"/>
      <c r="C19399" s="442"/>
      <c r="P19399" s="235"/>
      <c r="AI19399" s="38"/>
    </row>
    <row r="19400" ht="15.75" customHeight="1">
      <c r="A19400" s="35"/>
      <c r="C19400" s="442"/>
      <c r="P19400" s="235"/>
      <c r="AI19400" s="38"/>
    </row>
    <row r="19401" ht="15.75" customHeight="1">
      <c r="A19401" s="35"/>
      <c r="C19401" s="442"/>
      <c r="P19401" s="235"/>
      <c r="AI19401" s="38"/>
    </row>
    <row r="19402" ht="15.75" customHeight="1">
      <c r="A19402" s="35"/>
      <c r="C19402" s="442"/>
      <c r="P19402" s="235"/>
      <c r="AI19402" s="38"/>
    </row>
    <row r="19403" ht="15.75" customHeight="1">
      <c r="A19403" s="35"/>
      <c r="C19403" s="442"/>
      <c r="P19403" s="235"/>
      <c r="AI19403" s="38"/>
    </row>
    <row r="19404" ht="15.75" customHeight="1">
      <c r="A19404" s="35"/>
      <c r="C19404" s="442"/>
      <c r="P19404" s="235"/>
      <c r="AI19404" s="38"/>
    </row>
    <row r="19405" ht="15.75" customHeight="1">
      <c r="A19405" s="35"/>
      <c r="C19405" s="442"/>
      <c r="P19405" s="235"/>
      <c r="AI19405" s="38"/>
    </row>
    <row r="19406" ht="15.75" customHeight="1">
      <c r="A19406" s="35"/>
      <c r="C19406" s="442"/>
      <c r="P19406" s="235"/>
      <c r="AI19406" s="38"/>
    </row>
    <row r="19407" ht="15.75" customHeight="1">
      <c r="A19407" s="35"/>
      <c r="C19407" s="442"/>
      <c r="P19407" s="235"/>
      <c r="AI19407" s="38"/>
    </row>
    <row r="19408" ht="15.75" customHeight="1">
      <c r="A19408" s="35"/>
      <c r="C19408" s="442"/>
      <c r="P19408" s="235"/>
      <c r="AI19408" s="38"/>
    </row>
    <row r="19409" ht="15.75" customHeight="1">
      <c r="A19409" s="35"/>
      <c r="C19409" s="442"/>
      <c r="P19409" s="235"/>
      <c r="AI19409" s="38"/>
    </row>
    <row r="19410" ht="15.75" customHeight="1">
      <c r="A19410" s="35"/>
      <c r="C19410" s="442"/>
      <c r="P19410" s="235"/>
      <c r="AI19410" s="38"/>
    </row>
    <row r="19411" ht="15.75" customHeight="1">
      <c r="A19411" s="35"/>
      <c r="C19411" s="442"/>
      <c r="P19411" s="235"/>
      <c r="AI19411" s="38"/>
    </row>
    <row r="19412" ht="15.75" customHeight="1">
      <c r="A19412" s="35"/>
      <c r="C19412" s="442"/>
      <c r="P19412" s="235"/>
      <c r="AI19412" s="38"/>
    </row>
    <row r="19413" ht="15.75" customHeight="1">
      <c r="A19413" s="35"/>
      <c r="C19413" s="442"/>
      <c r="P19413" s="235"/>
      <c r="AI19413" s="38"/>
    </row>
    <row r="19414" ht="15.75" customHeight="1">
      <c r="A19414" s="35"/>
      <c r="C19414" s="442"/>
      <c r="P19414" s="235"/>
      <c r="AI19414" s="38"/>
    </row>
    <row r="19415" ht="15.75" customHeight="1">
      <c r="A19415" s="35"/>
      <c r="C19415" s="442"/>
      <c r="P19415" s="235"/>
      <c r="AI19415" s="38"/>
    </row>
    <row r="19416" ht="15.75" customHeight="1">
      <c r="A19416" s="35"/>
      <c r="C19416" s="442"/>
      <c r="P19416" s="235"/>
      <c r="AI19416" s="38"/>
    </row>
    <row r="19417" ht="15.75" customHeight="1">
      <c r="A19417" s="35"/>
      <c r="C19417" s="442"/>
      <c r="P19417" s="235"/>
      <c r="AI19417" s="38"/>
    </row>
    <row r="19418" ht="15.75" customHeight="1">
      <c r="A19418" s="35"/>
      <c r="C19418" s="442"/>
      <c r="P19418" s="235"/>
      <c r="AI19418" s="38"/>
    </row>
    <row r="19419" ht="15.75" customHeight="1">
      <c r="A19419" s="35"/>
      <c r="C19419" s="442"/>
      <c r="P19419" s="235"/>
      <c r="AI19419" s="38"/>
    </row>
    <row r="19420" ht="15.75" customHeight="1">
      <c r="A19420" s="35"/>
      <c r="C19420" s="442"/>
      <c r="P19420" s="235"/>
      <c r="AI19420" s="38"/>
    </row>
    <row r="19421" ht="15.75" customHeight="1">
      <c r="A19421" s="35"/>
      <c r="C19421" s="442"/>
      <c r="P19421" s="235"/>
      <c r="AI19421" s="38"/>
    </row>
    <row r="19422" ht="15.75" customHeight="1">
      <c r="A19422" s="35"/>
      <c r="C19422" s="442"/>
      <c r="P19422" s="235"/>
      <c r="AI19422" s="38"/>
    </row>
    <row r="19423" ht="15.75" customHeight="1">
      <c r="A19423" s="35"/>
      <c r="C19423" s="442"/>
      <c r="P19423" s="235"/>
      <c r="AI19423" s="38"/>
    </row>
    <row r="19424" ht="15.75" customHeight="1">
      <c r="A19424" s="35"/>
      <c r="C19424" s="442"/>
      <c r="P19424" s="235"/>
      <c r="AI19424" s="38"/>
    </row>
    <row r="19425" ht="15.75" customHeight="1">
      <c r="A19425" s="35"/>
      <c r="C19425" s="442"/>
      <c r="P19425" s="235"/>
      <c r="AI19425" s="38"/>
    </row>
    <row r="19426" ht="15.75" customHeight="1">
      <c r="A19426" s="35"/>
      <c r="C19426" s="442"/>
      <c r="P19426" s="235"/>
      <c r="AI19426" s="38"/>
    </row>
    <row r="19427" ht="15.75" customHeight="1">
      <c r="A19427" s="35"/>
      <c r="C19427" s="442"/>
      <c r="P19427" s="235"/>
      <c r="AI19427" s="38"/>
    </row>
    <row r="19428" ht="15.75" customHeight="1">
      <c r="A19428" s="35"/>
      <c r="C19428" s="442"/>
      <c r="P19428" s="235"/>
      <c r="AI19428" s="38"/>
    </row>
    <row r="19429" ht="15.75" customHeight="1">
      <c r="A19429" s="35"/>
      <c r="C19429" s="442"/>
      <c r="P19429" s="235"/>
      <c r="AI19429" s="38"/>
    </row>
    <row r="19430" ht="15.75" customHeight="1">
      <c r="A19430" s="35"/>
      <c r="C19430" s="442"/>
      <c r="P19430" s="235"/>
      <c r="AI19430" s="38"/>
    </row>
    <row r="19431" ht="15.75" customHeight="1">
      <c r="A19431" s="35"/>
      <c r="C19431" s="442"/>
      <c r="P19431" s="235"/>
      <c r="AI19431" s="38"/>
    </row>
    <row r="19432" ht="15.75" customHeight="1">
      <c r="A19432" s="35"/>
      <c r="C19432" s="442"/>
      <c r="P19432" s="235"/>
      <c r="AI19432" s="38"/>
    </row>
    <row r="19433" ht="15.75" customHeight="1">
      <c r="A19433" s="35"/>
      <c r="C19433" s="442"/>
      <c r="P19433" s="235"/>
      <c r="AI19433" s="38"/>
    </row>
    <row r="19434" ht="15.75" customHeight="1">
      <c r="A19434" s="35"/>
      <c r="C19434" s="442"/>
      <c r="P19434" s="235"/>
      <c r="AI19434" s="38"/>
    </row>
    <row r="19435" ht="15.75" customHeight="1">
      <c r="A19435" s="35"/>
      <c r="C19435" s="442"/>
      <c r="P19435" s="235"/>
      <c r="AI19435" s="38"/>
    </row>
    <row r="19436" ht="15.75" customHeight="1">
      <c r="A19436" s="35"/>
      <c r="C19436" s="442"/>
      <c r="P19436" s="235"/>
      <c r="AI19436" s="38"/>
    </row>
    <row r="19437" ht="15.75" customHeight="1">
      <c r="A19437" s="35"/>
      <c r="C19437" s="442"/>
      <c r="P19437" s="235"/>
      <c r="AI19437" s="38"/>
    </row>
    <row r="19438" ht="15.75" customHeight="1">
      <c r="A19438" s="35"/>
      <c r="C19438" s="442"/>
      <c r="P19438" s="235"/>
      <c r="AI19438" s="38"/>
    </row>
    <row r="19439" ht="15.75" customHeight="1">
      <c r="A19439" s="35"/>
      <c r="C19439" s="442"/>
      <c r="P19439" s="235"/>
      <c r="AI19439" s="38"/>
    </row>
    <row r="19440" ht="15.75" customHeight="1">
      <c r="A19440" s="35"/>
      <c r="C19440" s="442"/>
      <c r="P19440" s="235"/>
      <c r="AI19440" s="38"/>
    </row>
    <row r="19441" ht="15.75" customHeight="1">
      <c r="A19441" s="35"/>
      <c r="C19441" s="442"/>
      <c r="P19441" s="235"/>
      <c r="AI19441" s="38"/>
    </row>
    <row r="19442" ht="15.75" customHeight="1">
      <c r="A19442" s="35"/>
      <c r="C19442" s="442"/>
      <c r="P19442" s="235"/>
      <c r="AI19442" s="38"/>
    </row>
    <row r="19443" ht="15.75" customHeight="1">
      <c r="A19443" s="35"/>
      <c r="C19443" s="442"/>
      <c r="P19443" s="235"/>
      <c r="AI19443" s="38"/>
    </row>
    <row r="19444" ht="15.75" customHeight="1">
      <c r="A19444" s="35"/>
      <c r="C19444" s="442"/>
      <c r="P19444" s="235"/>
      <c r="AI19444" s="38"/>
    </row>
    <row r="19445" ht="15.75" customHeight="1">
      <c r="A19445" s="35"/>
      <c r="C19445" s="442"/>
      <c r="P19445" s="235"/>
      <c r="AI19445" s="38"/>
    </row>
    <row r="19446" ht="15.75" customHeight="1">
      <c r="A19446" s="35"/>
      <c r="C19446" s="442"/>
      <c r="P19446" s="235"/>
      <c r="AI19446" s="38"/>
    </row>
    <row r="19447" ht="15.75" customHeight="1">
      <c r="A19447" s="35"/>
      <c r="C19447" s="442"/>
      <c r="P19447" s="235"/>
      <c r="AI19447" s="38"/>
    </row>
    <row r="19448" ht="15.75" customHeight="1">
      <c r="A19448" s="35"/>
      <c r="C19448" s="442"/>
      <c r="P19448" s="235"/>
      <c r="AI19448" s="38"/>
    </row>
    <row r="19449" ht="15.75" customHeight="1">
      <c r="A19449" s="35"/>
      <c r="C19449" s="442"/>
      <c r="P19449" s="235"/>
      <c r="AI19449" s="38"/>
    </row>
    <row r="19450" ht="15.75" customHeight="1">
      <c r="A19450" s="35"/>
      <c r="C19450" s="442"/>
      <c r="P19450" s="235"/>
      <c r="AI19450" s="38"/>
    </row>
    <row r="19451" ht="15.75" customHeight="1">
      <c r="A19451" s="35"/>
      <c r="C19451" s="442"/>
      <c r="P19451" s="235"/>
      <c r="AI19451" s="38"/>
    </row>
    <row r="19452" ht="15.75" customHeight="1">
      <c r="A19452" s="35"/>
      <c r="C19452" s="442"/>
      <c r="P19452" s="235"/>
      <c r="AI19452" s="38"/>
    </row>
    <row r="19453" ht="15.75" customHeight="1">
      <c r="A19453" s="35"/>
      <c r="C19453" s="442"/>
      <c r="P19453" s="235"/>
      <c r="AI19453" s="38"/>
    </row>
    <row r="19454" ht="15.75" customHeight="1">
      <c r="A19454" s="35"/>
      <c r="C19454" s="442"/>
      <c r="P19454" s="235"/>
      <c r="AI19454" s="38"/>
    </row>
    <row r="19455" ht="15.75" customHeight="1">
      <c r="A19455" s="35"/>
      <c r="C19455" s="442"/>
      <c r="P19455" s="235"/>
      <c r="AI19455" s="38"/>
    </row>
    <row r="19456" ht="15.75" customHeight="1">
      <c r="A19456" s="35"/>
      <c r="C19456" s="442"/>
      <c r="P19456" s="235"/>
      <c r="AI19456" s="38"/>
    </row>
    <row r="19457" ht="15.75" customHeight="1">
      <c r="A19457" s="35"/>
      <c r="C19457" s="442"/>
      <c r="P19457" s="235"/>
      <c r="AI19457" s="38"/>
    </row>
    <row r="19458" ht="15.75" customHeight="1">
      <c r="A19458" s="35"/>
      <c r="C19458" s="442"/>
      <c r="P19458" s="235"/>
      <c r="AI19458" s="38"/>
    </row>
    <row r="19459" ht="15.75" customHeight="1">
      <c r="A19459" s="35"/>
      <c r="C19459" s="442"/>
      <c r="P19459" s="235"/>
      <c r="AI19459" s="38"/>
    </row>
    <row r="19460" ht="15.75" customHeight="1">
      <c r="A19460" s="35"/>
      <c r="C19460" s="442"/>
      <c r="P19460" s="235"/>
      <c r="AI19460" s="38"/>
    </row>
    <row r="19461" ht="15.75" customHeight="1">
      <c r="A19461" s="35"/>
      <c r="C19461" s="442"/>
      <c r="P19461" s="235"/>
      <c r="AI19461" s="38"/>
    </row>
    <row r="19462" ht="15.75" customHeight="1">
      <c r="A19462" s="35"/>
      <c r="C19462" s="442"/>
      <c r="P19462" s="235"/>
      <c r="AI19462" s="38"/>
    </row>
    <row r="19463" ht="15.75" customHeight="1">
      <c r="A19463" s="35"/>
      <c r="C19463" s="442"/>
      <c r="P19463" s="235"/>
      <c r="AI19463" s="38"/>
    </row>
    <row r="19464" ht="15.75" customHeight="1">
      <c r="A19464" s="35"/>
      <c r="C19464" s="442"/>
      <c r="P19464" s="235"/>
      <c r="AI19464" s="38"/>
    </row>
    <row r="19465" ht="15.75" customHeight="1">
      <c r="A19465" s="35"/>
      <c r="C19465" s="442"/>
      <c r="P19465" s="235"/>
      <c r="AI19465" s="38"/>
    </row>
    <row r="19466" ht="15.75" customHeight="1">
      <c r="A19466" s="35"/>
      <c r="C19466" s="442"/>
      <c r="P19466" s="235"/>
      <c r="AI19466" s="38"/>
    </row>
    <row r="19467" ht="15.75" customHeight="1">
      <c r="A19467" s="35"/>
      <c r="C19467" s="442"/>
      <c r="P19467" s="235"/>
      <c r="AI19467" s="38"/>
    </row>
    <row r="19468" ht="15.75" customHeight="1">
      <c r="A19468" s="35"/>
      <c r="C19468" s="442"/>
      <c r="P19468" s="235"/>
      <c r="AI19468" s="38"/>
    </row>
    <row r="19469" ht="15.75" customHeight="1">
      <c r="A19469" s="35"/>
      <c r="C19469" s="442"/>
      <c r="P19469" s="235"/>
      <c r="AI19469" s="38"/>
    </row>
    <row r="19470" ht="15.75" customHeight="1">
      <c r="A19470" s="35"/>
      <c r="C19470" s="442"/>
      <c r="P19470" s="235"/>
      <c r="AI19470" s="38"/>
    </row>
    <row r="19471" ht="15.75" customHeight="1">
      <c r="A19471" s="35"/>
      <c r="C19471" s="442"/>
      <c r="P19471" s="235"/>
      <c r="AI19471" s="38"/>
    </row>
    <row r="19472" ht="15.75" customHeight="1">
      <c r="A19472" s="35"/>
      <c r="C19472" s="442"/>
      <c r="P19472" s="235"/>
      <c r="AI19472" s="38"/>
    </row>
    <row r="19473" ht="15.75" customHeight="1">
      <c r="A19473" s="35"/>
      <c r="C19473" s="442"/>
      <c r="P19473" s="235"/>
      <c r="AI19473" s="38"/>
    </row>
    <row r="19474" ht="15.75" customHeight="1">
      <c r="A19474" s="35"/>
      <c r="C19474" s="442"/>
      <c r="P19474" s="235"/>
      <c r="AI19474" s="38"/>
    </row>
    <row r="19475" ht="15.75" customHeight="1">
      <c r="A19475" s="35"/>
      <c r="C19475" s="442"/>
      <c r="P19475" s="235"/>
      <c r="AI19475" s="38"/>
    </row>
    <row r="19476" ht="15.75" customHeight="1">
      <c r="A19476" s="35"/>
      <c r="C19476" s="442"/>
      <c r="P19476" s="235"/>
      <c r="AI19476" s="38"/>
    </row>
    <row r="19477" ht="15.75" customHeight="1">
      <c r="A19477" s="35"/>
      <c r="C19477" s="442"/>
      <c r="P19477" s="235"/>
      <c r="AI19477" s="38"/>
    </row>
    <row r="19478" ht="15.75" customHeight="1">
      <c r="A19478" s="35"/>
      <c r="C19478" s="442"/>
      <c r="P19478" s="235"/>
      <c r="AI19478" s="38"/>
    </row>
    <row r="19479" ht="15.75" customHeight="1">
      <c r="A19479" s="35"/>
      <c r="C19479" s="442"/>
      <c r="P19479" s="235"/>
      <c r="AI19479" s="38"/>
    </row>
    <row r="19480" ht="15.75" customHeight="1">
      <c r="A19480" s="35"/>
      <c r="C19480" s="442"/>
      <c r="P19480" s="235"/>
      <c r="AI19480" s="38"/>
    </row>
    <row r="19481" ht="15.75" customHeight="1">
      <c r="A19481" s="35"/>
      <c r="C19481" s="442"/>
      <c r="P19481" s="235"/>
      <c r="AI19481" s="38"/>
    </row>
    <row r="19482" ht="15.75" customHeight="1">
      <c r="A19482" s="35"/>
      <c r="C19482" s="442"/>
      <c r="P19482" s="235"/>
      <c r="AI19482" s="38"/>
    </row>
    <row r="19483" ht="15.75" customHeight="1">
      <c r="A19483" s="35"/>
      <c r="C19483" s="442"/>
      <c r="P19483" s="235"/>
      <c r="AI19483" s="38"/>
    </row>
    <row r="19484" ht="15.75" customHeight="1">
      <c r="A19484" s="35"/>
      <c r="C19484" s="442"/>
      <c r="P19484" s="235"/>
      <c r="AI19484" s="38"/>
    </row>
    <row r="19485" ht="15.75" customHeight="1">
      <c r="A19485" s="35"/>
      <c r="C19485" s="442"/>
      <c r="P19485" s="235"/>
      <c r="AI19485" s="38"/>
    </row>
    <row r="19486" ht="15.75" customHeight="1">
      <c r="A19486" s="35"/>
      <c r="C19486" s="442"/>
      <c r="P19486" s="235"/>
      <c r="AI19486" s="38"/>
    </row>
    <row r="19487" ht="15.75" customHeight="1">
      <c r="A19487" s="35"/>
      <c r="C19487" s="442"/>
      <c r="P19487" s="235"/>
      <c r="AI19487" s="38"/>
    </row>
    <row r="19488" ht="15.75" customHeight="1">
      <c r="A19488" s="35"/>
      <c r="C19488" s="442"/>
      <c r="P19488" s="235"/>
      <c r="AI19488" s="38"/>
    </row>
    <row r="19489" ht="15.75" customHeight="1">
      <c r="A19489" s="35"/>
      <c r="C19489" s="442"/>
      <c r="P19489" s="235"/>
      <c r="AI19489" s="38"/>
    </row>
    <row r="19490" ht="15.75" customHeight="1">
      <c r="A19490" s="35"/>
      <c r="C19490" s="442"/>
      <c r="P19490" s="235"/>
      <c r="AI19490" s="38"/>
    </row>
    <row r="19491" ht="15.75" customHeight="1">
      <c r="A19491" s="35"/>
      <c r="C19491" s="442"/>
      <c r="P19491" s="235"/>
      <c r="AI19491" s="38"/>
    </row>
    <row r="19492" ht="15.75" customHeight="1">
      <c r="A19492" s="35"/>
      <c r="C19492" s="442"/>
      <c r="P19492" s="235"/>
      <c r="AI19492" s="38"/>
    </row>
    <row r="19493" ht="15.75" customHeight="1">
      <c r="A19493" s="35"/>
      <c r="C19493" s="442"/>
      <c r="P19493" s="235"/>
      <c r="AI19493" s="38"/>
    </row>
    <row r="19494" ht="15.75" customHeight="1">
      <c r="A19494" s="35"/>
      <c r="C19494" s="442"/>
      <c r="P19494" s="235"/>
      <c r="AI19494" s="38"/>
    </row>
    <row r="19495" ht="15.75" customHeight="1">
      <c r="A19495" s="35"/>
      <c r="C19495" s="442"/>
      <c r="P19495" s="235"/>
      <c r="AI19495" s="38"/>
    </row>
    <row r="19496" ht="15.75" customHeight="1">
      <c r="A19496" s="35"/>
      <c r="C19496" s="442"/>
      <c r="P19496" s="235"/>
      <c r="AI19496" s="38"/>
    </row>
    <row r="19497" ht="15.75" customHeight="1">
      <c r="A19497" s="35"/>
      <c r="C19497" s="442"/>
      <c r="P19497" s="235"/>
      <c r="AI19497" s="38"/>
    </row>
    <row r="19498" ht="15.75" customHeight="1">
      <c r="A19498" s="35"/>
      <c r="C19498" s="442"/>
      <c r="P19498" s="235"/>
      <c r="AI19498" s="38"/>
    </row>
    <row r="19499" ht="15.75" customHeight="1">
      <c r="A19499" s="35"/>
      <c r="C19499" s="442"/>
      <c r="P19499" s="235"/>
      <c r="AI19499" s="38"/>
    </row>
    <row r="19500" ht="15.75" customHeight="1">
      <c r="A19500" s="35"/>
      <c r="C19500" s="442"/>
      <c r="P19500" s="235"/>
      <c r="AI19500" s="38"/>
    </row>
    <row r="19501" ht="15.75" customHeight="1">
      <c r="A19501" s="35"/>
      <c r="C19501" s="442"/>
      <c r="P19501" s="235"/>
      <c r="AI19501" s="38"/>
    </row>
    <row r="19502" ht="15.75" customHeight="1">
      <c r="A19502" s="35"/>
      <c r="C19502" s="442"/>
      <c r="P19502" s="235"/>
      <c r="AI19502" s="38"/>
    </row>
    <row r="19503" ht="15.75" customHeight="1">
      <c r="A19503" s="35"/>
      <c r="C19503" s="442"/>
      <c r="P19503" s="235"/>
      <c r="AI19503" s="38"/>
    </row>
    <row r="19504" ht="15.75" customHeight="1">
      <c r="A19504" s="35"/>
      <c r="C19504" s="442"/>
      <c r="P19504" s="235"/>
      <c r="AI19504" s="38"/>
    </row>
    <row r="19505" ht="15.75" customHeight="1">
      <c r="A19505" s="35"/>
      <c r="C19505" s="442"/>
      <c r="P19505" s="235"/>
      <c r="AI19505" s="38"/>
    </row>
    <row r="19506" ht="15.75" customHeight="1">
      <c r="A19506" s="35"/>
      <c r="C19506" s="442"/>
      <c r="P19506" s="235"/>
      <c r="AI19506" s="38"/>
    </row>
    <row r="19507" ht="15.75" customHeight="1">
      <c r="A19507" s="35"/>
      <c r="C19507" s="442"/>
      <c r="P19507" s="235"/>
      <c r="AI19507" s="38"/>
    </row>
    <row r="19508" ht="15.75" customHeight="1">
      <c r="A19508" s="35"/>
      <c r="C19508" s="442"/>
      <c r="P19508" s="235"/>
      <c r="AI19508" s="38"/>
    </row>
    <row r="19509" ht="15.75" customHeight="1">
      <c r="A19509" s="35"/>
      <c r="C19509" s="442"/>
      <c r="P19509" s="235"/>
      <c r="AI19509" s="38"/>
    </row>
    <row r="19510" ht="15.75" customHeight="1">
      <c r="A19510" s="35"/>
      <c r="C19510" s="442"/>
      <c r="P19510" s="235"/>
      <c r="AI19510" s="38"/>
    </row>
    <row r="19511" ht="15.75" customHeight="1">
      <c r="A19511" s="35"/>
      <c r="C19511" s="442"/>
      <c r="P19511" s="235"/>
      <c r="AI19511" s="38"/>
    </row>
    <row r="19512" ht="15.75" customHeight="1">
      <c r="A19512" s="35"/>
      <c r="C19512" s="442"/>
      <c r="P19512" s="235"/>
      <c r="AI19512" s="38"/>
    </row>
    <row r="19513" ht="15.75" customHeight="1">
      <c r="A19513" s="35"/>
      <c r="C19513" s="442"/>
      <c r="P19513" s="235"/>
      <c r="AI19513" s="38"/>
    </row>
    <row r="19514" ht="15.75" customHeight="1">
      <c r="A19514" s="35"/>
      <c r="C19514" s="442"/>
      <c r="P19514" s="235"/>
      <c r="AI19514" s="38"/>
    </row>
    <row r="19515" ht="15.75" customHeight="1">
      <c r="A19515" s="35"/>
      <c r="C19515" s="442"/>
      <c r="P19515" s="235"/>
      <c r="AI19515" s="38"/>
    </row>
    <row r="19516" ht="15.75" customHeight="1">
      <c r="A19516" s="35"/>
      <c r="C19516" s="442"/>
      <c r="P19516" s="235"/>
      <c r="AI19516" s="38"/>
    </row>
    <row r="19517" ht="15.75" customHeight="1">
      <c r="A19517" s="35"/>
      <c r="C19517" s="442"/>
      <c r="P19517" s="235"/>
      <c r="AI19517" s="38"/>
    </row>
    <row r="19518" ht="15.75" customHeight="1">
      <c r="A19518" s="35"/>
      <c r="C19518" s="442"/>
      <c r="P19518" s="235"/>
      <c r="AI19518" s="38"/>
    </row>
    <row r="19519" ht="15.75" customHeight="1">
      <c r="A19519" s="35"/>
      <c r="C19519" s="442"/>
      <c r="P19519" s="235"/>
      <c r="AI19519" s="38"/>
    </row>
    <row r="19520" ht="15.75" customHeight="1">
      <c r="A19520" s="35"/>
      <c r="C19520" s="442"/>
      <c r="P19520" s="235"/>
      <c r="AI19520" s="38"/>
    </row>
    <row r="19521" ht="15.75" customHeight="1">
      <c r="A19521" s="35"/>
      <c r="C19521" s="442"/>
      <c r="P19521" s="235"/>
      <c r="AI19521" s="38"/>
    </row>
    <row r="19522" ht="15.75" customHeight="1">
      <c r="A19522" s="35"/>
      <c r="C19522" s="442"/>
      <c r="P19522" s="235"/>
      <c r="AI19522" s="38"/>
    </row>
    <row r="19523" ht="15.75" customHeight="1">
      <c r="A19523" s="35"/>
      <c r="C19523" s="442"/>
      <c r="P19523" s="235"/>
      <c r="AI19523" s="38"/>
    </row>
    <row r="19524" ht="15.75" customHeight="1">
      <c r="A19524" s="35"/>
      <c r="C19524" s="442"/>
      <c r="P19524" s="235"/>
      <c r="AI19524" s="38"/>
    </row>
    <row r="19525" ht="15.75" customHeight="1">
      <c r="A19525" s="35"/>
      <c r="C19525" s="442"/>
      <c r="P19525" s="235"/>
      <c r="AI19525" s="38"/>
    </row>
    <row r="19526" ht="15.75" customHeight="1">
      <c r="A19526" s="35"/>
      <c r="C19526" s="442"/>
      <c r="P19526" s="235"/>
      <c r="AI19526" s="38"/>
    </row>
    <row r="19527" ht="15.75" customHeight="1">
      <c r="A19527" s="35"/>
      <c r="C19527" s="442"/>
      <c r="P19527" s="235"/>
      <c r="AI19527" s="38"/>
    </row>
    <row r="19528" ht="15.75" customHeight="1">
      <c r="A19528" s="35"/>
      <c r="C19528" s="442"/>
      <c r="P19528" s="235"/>
      <c r="AI19528" s="38"/>
    </row>
    <row r="19529" ht="15.75" customHeight="1">
      <c r="A19529" s="35"/>
      <c r="C19529" s="442"/>
      <c r="P19529" s="235"/>
      <c r="AI19529" s="38"/>
    </row>
    <row r="19530" ht="15.75" customHeight="1">
      <c r="A19530" s="35"/>
      <c r="C19530" s="442"/>
      <c r="P19530" s="235"/>
      <c r="AI19530" s="38"/>
    </row>
    <row r="19531" ht="15.75" customHeight="1">
      <c r="A19531" s="35"/>
      <c r="C19531" s="442"/>
      <c r="P19531" s="235"/>
      <c r="AI19531" s="38"/>
    </row>
    <row r="19532" ht="15.75" customHeight="1">
      <c r="A19532" s="35"/>
      <c r="C19532" s="442"/>
      <c r="P19532" s="235"/>
      <c r="AI19532" s="38"/>
    </row>
    <row r="19533" ht="15.75" customHeight="1">
      <c r="A19533" s="35"/>
      <c r="C19533" s="442"/>
      <c r="P19533" s="235"/>
      <c r="AI19533" s="38"/>
    </row>
    <row r="19534" ht="15.75" customHeight="1">
      <c r="A19534" s="35"/>
      <c r="C19534" s="442"/>
      <c r="P19534" s="235"/>
      <c r="AI19534" s="38"/>
    </row>
    <row r="19535" ht="15.75" customHeight="1">
      <c r="A19535" s="35"/>
      <c r="C19535" s="442"/>
      <c r="P19535" s="235"/>
      <c r="AI19535" s="38"/>
    </row>
    <row r="19536" ht="15.75" customHeight="1">
      <c r="A19536" s="35"/>
      <c r="C19536" s="442"/>
      <c r="P19536" s="235"/>
      <c r="AI19536" s="38"/>
    </row>
    <row r="19537" ht="15.75" customHeight="1">
      <c r="A19537" s="35"/>
      <c r="C19537" s="442"/>
      <c r="P19537" s="235"/>
      <c r="AI19537" s="38"/>
    </row>
    <row r="19538" ht="15.75" customHeight="1">
      <c r="A19538" s="35"/>
      <c r="C19538" s="442"/>
      <c r="P19538" s="235"/>
      <c r="AI19538" s="38"/>
    </row>
    <row r="19539" ht="15.75" customHeight="1">
      <c r="A19539" s="35"/>
      <c r="C19539" s="442"/>
      <c r="P19539" s="235"/>
      <c r="AI19539" s="38"/>
    </row>
    <row r="19540" ht="15.75" customHeight="1">
      <c r="A19540" s="35"/>
      <c r="C19540" s="442"/>
      <c r="P19540" s="235"/>
      <c r="AI19540" s="38"/>
    </row>
    <row r="19541" ht="15.75" customHeight="1">
      <c r="A19541" s="35"/>
      <c r="C19541" s="442"/>
      <c r="P19541" s="235"/>
      <c r="AI19541" s="38"/>
    </row>
    <row r="19542" ht="15.75" customHeight="1">
      <c r="A19542" s="35"/>
      <c r="C19542" s="442"/>
      <c r="P19542" s="235"/>
      <c r="AI19542" s="38"/>
    </row>
    <row r="19543" ht="15.75" customHeight="1">
      <c r="A19543" s="35"/>
      <c r="C19543" s="442"/>
      <c r="P19543" s="235"/>
      <c r="AI19543" s="38"/>
    </row>
    <row r="19544" ht="15.75" customHeight="1">
      <c r="A19544" s="35"/>
      <c r="C19544" s="442"/>
      <c r="P19544" s="235"/>
      <c r="AI19544" s="38"/>
    </row>
    <row r="19545" ht="15.75" customHeight="1">
      <c r="A19545" s="35"/>
      <c r="C19545" s="442"/>
      <c r="P19545" s="235"/>
      <c r="AI19545" s="38"/>
    </row>
    <row r="19546" ht="15.75" customHeight="1">
      <c r="A19546" s="35"/>
      <c r="C19546" s="442"/>
      <c r="P19546" s="235"/>
      <c r="AI19546" s="38"/>
    </row>
    <row r="19547" ht="15.75" customHeight="1">
      <c r="A19547" s="35"/>
      <c r="C19547" s="442"/>
      <c r="P19547" s="235"/>
      <c r="AI19547" s="38"/>
    </row>
    <row r="19548" ht="15.75" customHeight="1">
      <c r="A19548" s="35"/>
      <c r="C19548" s="442"/>
      <c r="P19548" s="235"/>
      <c r="AI19548" s="38"/>
    </row>
    <row r="19549" ht="15.75" customHeight="1">
      <c r="A19549" s="35"/>
      <c r="C19549" s="442"/>
      <c r="P19549" s="235"/>
      <c r="AI19549" s="38"/>
    </row>
    <row r="19550" ht="15.75" customHeight="1">
      <c r="A19550" s="35"/>
      <c r="C19550" s="442"/>
      <c r="P19550" s="235"/>
      <c r="AI19550" s="38"/>
    </row>
    <row r="19551" ht="15.75" customHeight="1">
      <c r="A19551" s="35"/>
      <c r="C19551" s="442"/>
      <c r="P19551" s="235"/>
      <c r="AI19551" s="38"/>
    </row>
    <row r="19552" ht="15.75" customHeight="1">
      <c r="A19552" s="35"/>
      <c r="C19552" s="442"/>
      <c r="P19552" s="235"/>
      <c r="AI19552" s="38"/>
    </row>
    <row r="19553" ht="15.75" customHeight="1">
      <c r="A19553" s="35"/>
      <c r="C19553" s="442"/>
      <c r="P19553" s="235"/>
      <c r="AI19553" s="38"/>
    </row>
    <row r="19554" ht="15.75" customHeight="1">
      <c r="A19554" s="35"/>
      <c r="C19554" s="442"/>
      <c r="P19554" s="235"/>
      <c r="AI19554" s="38"/>
    </row>
    <row r="19555" ht="15.75" customHeight="1">
      <c r="A19555" s="35"/>
      <c r="C19555" s="442"/>
      <c r="P19555" s="235"/>
      <c r="AI19555" s="38"/>
    </row>
    <row r="19556" ht="15.75" customHeight="1">
      <c r="A19556" s="35"/>
      <c r="C19556" s="442"/>
      <c r="P19556" s="235"/>
      <c r="AI19556" s="38"/>
    </row>
    <row r="19557" ht="15.75" customHeight="1">
      <c r="A19557" s="35"/>
      <c r="C19557" s="442"/>
      <c r="P19557" s="235"/>
      <c r="AI19557" s="38"/>
    </row>
    <row r="19558" ht="15.75" customHeight="1">
      <c r="A19558" s="35"/>
      <c r="C19558" s="442"/>
      <c r="P19558" s="235"/>
      <c r="AI19558" s="38"/>
    </row>
    <row r="19559" ht="15.75" customHeight="1">
      <c r="A19559" s="35"/>
      <c r="C19559" s="442"/>
      <c r="P19559" s="235"/>
      <c r="AI19559" s="38"/>
    </row>
    <row r="19560" ht="15.75" customHeight="1">
      <c r="A19560" s="35"/>
      <c r="C19560" s="442"/>
      <c r="P19560" s="235"/>
      <c r="AI19560" s="38"/>
    </row>
    <row r="19561" ht="15.75" customHeight="1">
      <c r="A19561" s="35"/>
      <c r="C19561" s="442"/>
      <c r="P19561" s="235"/>
      <c r="AI19561" s="38"/>
    </row>
    <row r="19562" ht="15.75" customHeight="1">
      <c r="A19562" s="35"/>
      <c r="C19562" s="442"/>
      <c r="P19562" s="235"/>
      <c r="AI19562" s="38"/>
    </row>
    <row r="19563" ht="15.75" customHeight="1">
      <c r="A19563" s="35"/>
      <c r="C19563" s="442"/>
      <c r="P19563" s="235"/>
      <c r="AI19563" s="38"/>
    </row>
    <row r="19564" ht="15.75" customHeight="1">
      <c r="A19564" s="35"/>
      <c r="C19564" s="442"/>
      <c r="P19564" s="235"/>
      <c r="AI19564" s="38"/>
    </row>
    <row r="19565" ht="15.75" customHeight="1">
      <c r="A19565" s="35"/>
      <c r="C19565" s="442"/>
      <c r="P19565" s="235"/>
      <c r="AI19565" s="38"/>
    </row>
    <row r="19566" ht="15.75" customHeight="1">
      <c r="A19566" s="35"/>
      <c r="C19566" s="442"/>
      <c r="P19566" s="235"/>
      <c r="AI19566" s="38"/>
    </row>
    <row r="19567" ht="15.75" customHeight="1">
      <c r="A19567" s="35"/>
      <c r="C19567" s="442"/>
      <c r="P19567" s="235"/>
      <c r="AI19567" s="38"/>
    </row>
    <row r="19568" ht="15.75" customHeight="1">
      <c r="A19568" s="35"/>
      <c r="C19568" s="442"/>
      <c r="P19568" s="235"/>
      <c r="AI19568" s="38"/>
    </row>
    <row r="19569" ht="15.75" customHeight="1">
      <c r="A19569" s="35"/>
      <c r="C19569" s="442"/>
      <c r="P19569" s="235"/>
      <c r="AI19569" s="38"/>
    </row>
    <row r="19570" ht="15.75" customHeight="1">
      <c r="A19570" s="35"/>
      <c r="C19570" s="442"/>
      <c r="P19570" s="235"/>
      <c r="AI19570" s="38"/>
    </row>
    <row r="19571" ht="15.75" customHeight="1">
      <c r="A19571" s="35"/>
      <c r="C19571" s="442"/>
      <c r="P19571" s="235"/>
      <c r="AI19571" s="38"/>
    </row>
    <row r="19572" ht="15.75" customHeight="1">
      <c r="A19572" s="35"/>
      <c r="C19572" s="442"/>
      <c r="P19572" s="235"/>
      <c r="AI19572" s="38"/>
    </row>
    <row r="19573" ht="15.75" customHeight="1">
      <c r="A19573" s="35"/>
      <c r="C19573" s="442"/>
      <c r="P19573" s="235"/>
      <c r="AI19573" s="38"/>
    </row>
    <row r="19574" ht="15.75" customHeight="1">
      <c r="A19574" s="35"/>
      <c r="C19574" s="442"/>
      <c r="P19574" s="235"/>
      <c r="AI19574" s="38"/>
    </row>
    <row r="19575" ht="15.75" customHeight="1">
      <c r="A19575" s="35"/>
      <c r="C19575" s="442"/>
      <c r="P19575" s="235"/>
      <c r="AI19575" s="38"/>
    </row>
    <row r="19576" ht="15.75" customHeight="1">
      <c r="A19576" s="35"/>
      <c r="C19576" s="442"/>
      <c r="P19576" s="235"/>
      <c r="AI19576" s="38"/>
    </row>
    <row r="19577" ht="15.75" customHeight="1">
      <c r="A19577" s="35"/>
      <c r="C19577" s="442"/>
      <c r="P19577" s="235"/>
      <c r="AI19577" s="38"/>
    </row>
    <row r="19578" ht="15.75" customHeight="1">
      <c r="A19578" s="35"/>
      <c r="C19578" s="442"/>
      <c r="P19578" s="235"/>
      <c r="AI19578" s="38"/>
    </row>
    <row r="19579" ht="15.75" customHeight="1">
      <c r="A19579" s="35"/>
      <c r="C19579" s="442"/>
      <c r="P19579" s="235"/>
      <c r="AI19579" s="38"/>
    </row>
    <row r="19580" ht="15.75" customHeight="1">
      <c r="A19580" s="35"/>
      <c r="C19580" s="442"/>
      <c r="P19580" s="235"/>
      <c r="AI19580" s="38"/>
    </row>
    <row r="19581" ht="15.75" customHeight="1">
      <c r="A19581" s="35"/>
      <c r="C19581" s="442"/>
      <c r="P19581" s="235"/>
      <c r="AI19581" s="38"/>
    </row>
    <row r="19582" ht="15.75" customHeight="1">
      <c r="A19582" s="35"/>
      <c r="C19582" s="442"/>
      <c r="P19582" s="235"/>
      <c r="AI19582" s="38"/>
    </row>
    <row r="19583" ht="15.75" customHeight="1">
      <c r="A19583" s="35"/>
      <c r="C19583" s="442"/>
      <c r="P19583" s="235"/>
      <c r="AI19583" s="38"/>
    </row>
    <row r="19584" ht="15.75" customHeight="1">
      <c r="A19584" s="35"/>
      <c r="C19584" s="442"/>
      <c r="P19584" s="235"/>
      <c r="AI19584" s="38"/>
    </row>
    <row r="19585" ht="15.75" customHeight="1">
      <c r="A19585" s="35"/>
      <c r="C19585" s="442"/>
      <c r="P19585" s="235"/>
      <c r="AI19585" s="38"/>
    </row>
    <row r="19586" ht="15.75" customHeight="1">
      <c r="A19586" s="35"/>
      <c r="C19586" s="442"/>
      <c r="P19586" s="235"/>
      <c r="AI19586" s="38"/>
    </row>
    <row r="19587" ht="15.75" customHeight="1">
      <c r="A19587" s="35"/>
      <c r="C19587" s="442"/>
      <c r="P19587" s="235"/>
      <c r="AI19587" s="38"/>
    </row>
    <row r="19588" ht="15.75" customHeight="1">
      <c r="A19588" s="35"/>
      <c r="C19588" s="442"/>
      <c r="P19588" s="235"/>
      <c r="AI19588" s="38"/>
    </row>
    <row r="19589" ht="15.75" customHeight="1">
      <c r="A19589" s="35"/>
      <c r="C19589" s="442"/>
      <c r="P19589" s="235"/>
      <c r="AI19589" s="38"/>
    </row>
    <row r="19590" ht="15.75" customHeight="1">
      <c r="A19590" s="35"/>
      <c r="C19590" s="442"/>
      <c r="P19590" s="235"/>
      <c r="AI19590" s="38"/>
    </row>
    <row r="19591" ht="15.75" customHeight="1">
      <c r="A19591" s="35"/>
      <c r="C19591" s="442"/>
      <c r="P19591" s="235"/>
      <c r="AI19591" s="38"/>
    </row>
    <row r="19592" ht="15.75" customHeight="1">
      <c r="A19592" s="35"/>
      <c r="C19592" s="442"/>
      <c r="P19592" s="235"/>
      <c r="AI19592" s="38"/>
    </row>
    <row r="19593" ht="15.75" customHeight="1">
      <c r="A19593" s="35"/>
      <c r="C19593" s="442"/>
      <c r="P19593" s="235"/>
      <c r="AI19593" s="38"/>
    </row>
    <row r="19594" ht="15.75" customHeight="1">
      <c r="A19594" s="35"/>
      <c r="C19594" s="442"/>
      <c r="P19594" s="235"/>
      <c r="AI19594" s="38"/>
    </row>
    <row r="19595" ht="15.75" customHeight="1">
      <c r="A19595" s="35"/>
      <c r="C19595" s="442"/>
      <c r="P19595" s="235"/>
      <c r="AI19595" s="38"/>
    </row>
    <row r="19596" ht="15.75" customHeight="1">
      <c r="A19596" s="35"/>
      <c r="C19596" s="442"/>
      <c r="P19596" s="235"/>
      <c r="AI19596" s="38"/>
    </row>
    <row r="19597" ht="15.75" customHeight="1">
      <c r="A19597" s="35"/>
      <c r="C19597" s="442"/>
      <c r="P19597" s="235"/>
      <c r="AI19597" s="38"/>
    </row>
    <row r="19598" ht="15.75" customHeight="1">
      <c r="A19598" s="35"/>
      <c r="C19598" s="442"/>
      <c r="P19598" s="235"/>
      <c r="AI19598" s="38"/>
    </row>
    <row r="19599" ht="15.75" customHeight="1">
      <c r="A19599" s="35"/>
      <c r="C19599" s="442"/>
      <c r="P19599" s="235"/>
      <c r="AI19599" s="38"/>
    </row>
    <row r="19600" ht="15.75" customHeight="1">
      <c r="A19600" s="35"/>
      <c r="C19600" s="442"/>
      <c r="P19600" s="235"/>
      <c r="AI19600" s="38"/>
    </row>
    <row r="19601" ht="15.75" customHeight="1">
      <c r="A19601" s="35"/>
      <c r="C19601" s="442"/>
      <c r="P19601" s="235"/>
      <c r="AI19601" s="38"/>
    </row>
    <row r="19602" ht="15.75" customHeight="1">
      <c r="A19602" s="35"/>
      <c r="C19602" s="442"/>
      <c r="P19602" s="235"/>
      <c r="AI19602" s="38"/>
    </row>
    <row r="19603" ht="15.75" customHeight="1">
      <c r="A19603" s="35"/>
      <c r="C19603" s="442"/>
      <c r="P19603" s="235"/>
      <c r="AI19603" s="38"/>
    </row>
    <row r="19604" ht="15.75" customHeight="1">
      <c r="A19604" s="35"/>
      <c r="C19604" s="442"/>
      <c r="P19604" s="235"/>
      <c r="AI19604" s="38"/>
    </row>
    <row r="19605" ht="15.75" customHeight="1">
      <c r="A19605" s="35"/>
      <c r="C19605" s="442"/>
      <c r="P19605" s="235"/>
      <c r="AI19605" s="38"/>
    </row>
    <row r="19606" ht="15.75" customHeight="1">
      <c r="A19606" s="35"/>
      <c r="C19606" s="442"/>
      <c r="P19606" s="235"/>
      <c r="AI19606" s="38"/>
    </row>
    <row r="19607" ht="15.75" customHeight="1">
      <c r="A19607" s="35"/>
      <c r="C19607" s="442"/>
      <c r="P19607" s="235"/>
      <c r="AI19607" s="38"/>
    </row>
    <row r="19608" ht="15.75" customHeight="1">
      <c r="A19608" s="35"/>
      <c r="C19608" s="442"/>
      <c r="P19608" s="235"/>
      <c r="AI19608" s="38"/>
    </row>
    <row r="19609" ht="15.75" customHeight="1">
      <c r="A19609" s="35"/>
      <c r="C19609" s="442"/>
      <c r="P19609" s="235"/>
      <c r="AI19609" s="38"/>
    </row>
    <row r="19610" ht="15.75" customHeight="1">
      <c r="A19610" s="35"/>
      <c r="C19610" s="442"/>
      <c r="P19610" s="235"/>
      <c r="AI19610" s="38"/>
    </row>
    <row r="19611" ht="15.75" customHeight="1">
      <c r="A19611" s="35"/>
      <c r="C19611" s="442"/>
      <c r="P19611" s="235"/>
      <c r="AI19611" s="38"/>
    </row>
    <row r="19612" ht="15.75" customHeight="1">
      <c r="A19612" s="35"/>
      <c r="C19612" s="442"/>
      <c r="P19612" s="235"/>
      <c r="AI19612" s="38"/>
    </row>
    <row r="19613" ht="15.75" customHeight="1">
      <c r="A19613" s="35"/>
      <c r="C19613" s="442"/>
      <c r="P19613" s="235"/>
      <c r="AI19613" s="38"/>
    </row>
    <row r="19614" ht="15.75" customHeight="1">
      <c r="A19614" s="35"/>
      <c r="C19614" s="442"/>
      <c r="P19614" s="235"/>
      <c r="AI19614" s="38"/>
    </row>
    <row r="19615" ht="15.75" customHeight="1">
      <c r="A19615" s="35"/>
      <c r="C19615" s="442"/>
      <c r="P19615" s="235"/>
      <c r="AI19615" s="38"/>
    </row>
    <row r="19616" ht="15.75" customHeight="1">
      <c r="A19616" s="35"/>
      <c r="C19616" s="442"/>
      <c r="P19616" s="235"/>
      <c r="AI19616" s="38"/>
    </row>
    <row r="19617" ht="15.75" customHeight="1">
      <c r="A19617" s="35"/>
      <c r="C19617" s="442"/>
      <c r="P19617" s="235"/>
      <c r="AI19617" s="38"/>
    </row>
    <row r="19618" ht="15.75" customHeight="1">
      <c r="A19618" s="35"/>
      <c r="C19618" s="442"/>
      <c r="P19618" s="235"/>
      <c r="AI19618" s="38"/>
    </row>
    <row r="19619" ht="15.75" customHeight="1">
      <c r="A19619" s="35"/>
      <c r="C19619" s="442"/>
      <c r="P19619" s="235"/>
      <c r="AI19619" s="38"/>
    </row>
    <row r="19620" ht="15.75" customHeight="1">
      <c r="A19620" s="35"/>
      <c r="C19620" s="442"/>
      <c r="P19620" s="235"/>
      <c r="AI19620" s="38"/>
    </row>
    <row r="19621" ht="15.75" customHeight="1">
      <c r="A19621" s="35"/>
      <c r="C19621" s="442"/>
      <c r="P19621" s="235"/>
      <c r="AI19621" s="38"/>
    </row>
    <row r="19622" ht="15.75" customHeight="1">
      <c r="A19622" s="35"/>
      <c r="C19622" s="442"/>
      <c r="P19622" s="235"/>
      <c r="AI19622" s="38"/>
    </row>
    <row r="19623" ht="15.75" customHeight="1">
      <c r="A19623" s="35"/>
      <c r="C19623" s="442"/>
      <c r="P19623" s="235"/>
      <c r="AI19623" s="38"/>
    </row>
    <row r="19624" ht="15.75" customHeight="1">
      <c r="A19624" s="35"/>
      <c r="C19624" s="442"/>
      <c r="P19624" s="235"/>
      <c r="AI19624" s="38"/>
    </row>
    <row r="19625" ht="15.75" customHeight="1">
      <c r="A19625" s="35"/>
      <c r="C19625" s="442"/>
      <c r="P19625" s="235"/>
      <c r="AI19625" s="38"/>
    </row>
    <row r="19626" ht="15.75" customHeight="1">
      <c r="A19626" s="35"/>
      <c r="C19626" s="442"/>
      <c r="P19626" s="235"/>
      <c r="AI19626" s="38"/>
    </row>
    <row r="19627" ht="15.75" customHeight="1">
      <c r="A19627" s="35"/>
      <c r="C19627" s="442"/>
      <c r="P19627" s="235"/>
      <c r="AI19627" s="38"/>
    </row>
    <row r="19628" ht="15.75" customHeight="1">
      <c r="A19628" s="35"/>
      <c r="C19628" s="442"/>
      <c r="P19628" s="235"/>
      <c r="AI19628" s="38"/>
    </row>
    <row r="19629" ht="15.75" customHeight="1">
      <c r="A19629" s="35"/>
      <c r="C19629" s="442"/>
      <c r="P19629" s="235"/>
      <c r="AI19629" s="38"/>
    </row>
    <row r="19630" ht="15.75" customHeight="1">
      <c r="A19630" s="35"/>
      <c r="C19630" s="442"/>
      <c r="P19630" s="235"/>
      <c r="AI19630" s="38"/>
    </row>
    <row r="19631" ht="15.75" customHeight="1">
      <c r="A19631" s="35"/>
      <c r="C19631" s="442"/>
      <c r="P19631" s="235"/>
      <c r="AI19631" s="38"/>
    </row>
    <row r="19632" ht="15.75" customHeight="1">
      <c r="A19632" s="35"/>
      <c r="C19632" s="442"/>
      <c r="P19632" s="235"/>
      <c r="AI19632" s="38"/>
    </row>
    <row r="19633" ht="15.75" customHeight="1">
      <c r="A19633" s="35"/>
      <c r="C19633" s="442"/>
      <c r="P19633" s="235"/>
      <c r="AI19633" s="38"/>
    </row>
    <row r="19634" ht="15.75" customHeight="1">
      <c r="A19634" s="35"/>
      <c r="C19634" s="442"/>
      <c r="P19634" s="235"/>
      <c r="AI19634" s="38"/>
    </row>
    <row r="19635" ht="15.75" customHeight="1">
      <c r="A19635" s="35"/>
      <c r="C19635" s="442"/>
      <c r="P19635" s="235"/>
      <c r="AI19635" s="38"/>
    </row>
    <row r="19636" ht="15.75" customHeight="1">
      <c r="A19636" s="35"/>
      <c r="C19636" s="442"/>
      <c r="P19636" s="235"/>
      <c r="AI19636" s="38"/>
    </row>
    <row r="19637" ht="15.75" customHeight="1">
      <c r="A19637" s="35"/>
      <c r="C19637" s="442"/>
      <c r="P19637" s="235"/>
      <c r="AI19637" s="38"/>
    </row>
    <row r="19638" ht="15.75" customHeight="1">
      <c r="A19638" s="35"/>
      <c r="C19638" s="442"/>
      <c r="P19638" s="235"/>
      <c r="AI19638" s="38"/>
    </row>
    <row r="19639" ht="15.75" customHeight="1">
      <c r="A19639" s="35"/>
      <c r="C19639" s="442"/>
      <c r="P19639" s="235"/>
      <c r="AI19639" s="38"/>
    </row>
    <row r="19640" ht="15.75" customHeight="1">
      <c r="A19640" s="35"/>
      <c r="C19640" s="442"/>
      <c r="P19640" s="235"/>
      <c r="AI19640" s="38"/>
    </row>
    <row r="19641" ht="15.75" customHeight="1">
      <c r="A19641" s="35"/>
      <c r="C19641" s="442"/>
      <c r="P19641" s="235"/>
      <c r="AI19641" s="38"/>
    </row>
    <row r="19642" ht="15.75" customHeight="1">
      <c r="A19642" s="35"/>
      <c r="C19642" s="442"/>
      <c r="P19642" s="235"/>
      <c r="AI19642" s="38"/>
    </row>
    <row r="19643" ht="15.75" customHeight="1">
      <c r="A19643" s="35"/>
      <c r="C19643" s="442"/>
      <c r="P19643" s="235"/>
      <c r="AI19643" s="38"/>
    </row>
    <row r="19644" ht="15.75" customHeight="1">
      <c r="A19644" s="35"/>
      <c r="C19644" s="442"/>
      <c r="P19644" s="235"/>
      <c r="AI19644" s="38"/>
    </row>
    <row r="19645" ht="15.75" customHeight="1">
      <c r="A19645" s="35"/>
      <c r="C19645" s="442"/>
      <c r="P19645" s="235"/>
      <c r="AI19645" s="38"/>
    </row>
    <row r="19646" ht="15.75" customHeight="1">
      <c r="A19646" s="35"/>
      <c r="C19646" s="442"/>
      <c r="P19646" s="235"/>
      <c r="AI19646" s="38"/>
    </row>
    <row r="19647" ht="15.75" customHeight="1">
      <c r="A19647" s="35"/>
      <c r="C19647" s="442"/>
      <c r="P19647" s="235"/>
      <c r="AI19647" s="38"/>
    </row>
    <row r="19648" ht="15.75" customHeight="1">
      <c r="A19648" s="35"/>
      <c r="C19648" s="442"/>
      <c r="P19648" s="235"/>
      <c r="AI19648" s="38"/>
    </row>
    <row r="19649" ht="15.75" customHeight="1">
      <c r="A19649" s="35"/>
      <c r="C19649" s="442"/>
      <c r="P19649" s="235"/>
      <c r="AI19649" s="38"/>
    </row>
    <row r="19650" ht="15.75" customHeight="1">
      <c r="A19650" s="35"/>
      <c r="C19650" s="442"/>
      <c r="P19650" s="235"/>
      <c r="AI19650" s="38"/>
    </row>
    <row r="19651" ht="15.75" customHeight="1">
      <c r="A19651" s="35"/>
      <c r="C19651" s="442"/>
      <c r="P19651" s="235"/>
      <c r="AI19651" s="38"/>
    </row>
    <row r="19652" ht="15.75" customHeight="1">
      <c r="A19652" s="35"/>
      <c r="C19652" s="442"/>
      <c r="P19652" s="235"/>
      <c r="AI19652" s="38"/>
    </row>
    <row r="19653" ht="15.75" customHeight="1">
      <c r="A19653" s="35"/>
      <c r="C19653" s="442"/>
      <c r="P19653" s="235"/>
      <c r="AI19653" s="38"/>
    </row>
    <row r="19654" ht="15.75" customHeight="1">
      <c r="A19654" s="35"/>
      <c r="C19654" s="442"/>
      <c r="P19654" s="235"/>
      <c r="AI19654" s="38"/>
    </row>
    <row r="19655" ht="15.75" customHeight="1">
      <c r="A19655" s="35"/>
      <c r="C19655" s="442"/>
      <c r="P19655" s="235"/>
      <c r="AI19655" s="38"/>
    </row>
    <row r="19656" ht="15.75" customHeight="1">
      <c r="A19656" s="35"/>
      <c r="C19656" s="442"/>
      <c r="P19656" s="235"/>
      <c r="AI19656" s="38"/>
    </row>
    <row r="19657" ht="15.75" customHeight="1">
      <c r="A19657" s="35"/>
      <c r="C19657" s="442"/>
      <c r="P19657" s="235"/>
      <c r="AI19657" s="38"/>
    </row>
    <row r="19658" ht="15.75" customHeight="1">
      <c r="A19658" s="35"/>
      <c r="C19658" s="442"/>
      <c r="P19658" s="235"/>
      <c r="AI19658" s="38"/>
    </row>
    <row r="19659" ht="15.75" customHeight="1">
      <c r="A19659" s="35"/>
      <c r="C19659" s="442"/>
      <c r="P19659" s="235"/>
      <c r="AI19659" s="38"/>
    </row>
    <row r="19660" ht="15.75" customHeight="1">
      <c r="A19660" s="35"/>
      <c r="C19660" s="442"/>
      <c r="P19660" s="235"/>
      <c r="AI19660" s="38"/>
    </row>
    <row r="19661" ht="15.75" customHeight="1">
      <c r="A19661" s="35"/>
      <c r="C19661" s="442"/>
      <c r="P19661" s="235"/>
      <c r="AI19661" s="38"/>
    </row>
    <row r="19662" ht="15.75" customHeight="1">
      <c r="A19662" s="35"/>
      <c r="C19662" s="442"/>
      <c r="P19662" s="235"/>
      <c r="AI19662" s="38"/>
    </row>
    <row r="19663" ht="15.75" customHeight="1">
      <c r="A19663" s="35"/>
      <c r="C19663" s="442"/>
      <c r="P19663" s="235"/>
      <c r="AI19663" s="38"/>
    </row>
    <row r="19664" ht="15.75" customHeight="1">
      <c r="A19664" s="35"/>
      <c r="C19664" s="442"/>
      <c r="P19664" s="235"/>
      <c r="AI19664" s="38"/>
    </row>
    <row r="19665" ht="15.75" customHeight="1">
      <c r="A19665" s="35"/>
      <c r="C19665" s="442"/>
      <c r="P19665" s="235"/>
      <c r="AI19665" s="38"/>
    </row>
    <row r="19666" ht="15.75" customHeight="1">
      <c r="A19666" s="35"/>
      <c r="C19666" s="442"/>
      <c r="P19666" s="235"/>
      <c r="AI19666" s="38"/>
    </row>
    <row r="19667" ht="15.75" customHeight="1">
      <c r="A19667" s="35"/>
      <c r="C19667" s="442"/>
      <c r="P19667" s="235"/>
      <c r="AI19667" s="38"/>
    </row>
    <row r="19668" ht="15.75" customHeight="1">
      <c r="A19668" s="35"/>
      <c r="C19668" s="442"/>
      <c r="P19668" s="235"/>
      <c r="AI19668" s="38"/>
    </row>
    <row r="19669" ht="15.75" customHeight="1">
      <c r="A19669" s="35"/>
      <c r="C19669" s="442"/>
      <c r="P19669" s="235"/>
      <c r="AI19669" s="38"/>
    </row>
    <row r="19670" ht="15.75" customHeight="1">
      <c r="A19670" s="35"/>
      <c r="C19670" s="442"/>
      <c r="P19670" s="235"/>
      <c r="AI19670" s="38"/>
    </row>
    <row r="19671" ht="15.75" customHeight="1">
      <c r="A19671" s="35"/>
      <c r="C19671" s="442"/>
      <c r="P19671" s="235"/>
      <c r="AI19671" s="38"/>
    </row>
    <row r="19672" ht="15.75" customHeight="1">
      <c r="A19672" s="35"/>
      <c r="C19672" s="442"/>
      <c r="P19672" s="235"/>
      <c r="AI19672" s="38"/>
    </row>
    <row r="19673" ht="15.75" customHeight="1">
      <c r="A19673" s="35"/>
      <c r="C19673" s="442"/>
      <c r="P19673" s="235"/>
      <c r="AI19673" s="38"/>
    </row>
    <row r="19674" ht="15.75" customHeight="1">
      <c r="A19674" s="35"/>
      <c r="C19674" s="442"/>
      <c r="P19674" s="235"/>
      <c r="AI19674" s="38"/>
    </row>
    <row r="19675" ht="15.75" customHeight="1">
      <c r="A19675" s="35"/>
      <c r="C19675" s="442"/>
      <c r="P19675" s="235"/>
      <c r="AI19675" s="38"/>
    </row>
    <row r="19676" ht="15.75" customHeight="1">
      <c r="A19676" s="35"/>
      <c r="C19676" s="442"/>
      <c r="P19676" s="235"/>
      <c r="AI19676" s="38"/>
    </row>
    <row r="19677" ht="15.75" customHeight="1">
      <c r="A19677" s="35"/>
      <c r="C19677" s="442"/>
      <c r="P19677" s="235"/>
      <c r="AI19677" s="38"/>
    </row>
    <row r="19678" ht="15.75" customHeight="1">
      <c r="A19678" s="35"/>
      <c r="C19678" s="442"/>
      <c r="P19678" s="235"/>
      <c r="AI19678" s="38"/>
    </row>
    <row r="19679" ht="15.75" customHeight="1">
      <c r="A19679" s="35"/>
      <c r="C19679" s="442"/>
      <c r="P19679" s="235"/>
      <c r="AI19679" s="38"/>
    </row>
    <row r="19680" ht="15.75" customHeight="1">
      <c r="A19680" s="35"/>
      <c r="C19680" s="442"/>
      <c r="P19680" s="235"/>
      <c r="AI19680" s="38"/>
    </row>
    <row r="19681" ht="15.75" customHeight="1">
      <c r="A19681" s="35"/>
      <c r="C19681" s="442"/>
      <c r="P19681" s="235"/>
      <c r="AI19681" s="38"/>
    </row>
    <row r="19682" ht="15.75" customHeight="1">
      <c r="A19682" s="35"/>
      <c r="C19682" s="442"/>
      <c r="P19682" s="235"/>
      <c r="AI19682" s="38"/>
    </row>
    <row r="19683" ht="15.75" customHeight="1">
      <c r="A19683" s="35"/>
      <c r="C19683" s="442"/>
      <c r="P19683" s="235"/>
      <c r="AI19683" s="38"/>
    </row>
    <row r="19684" ht="15.75" customHeight="1">
      <c r="A19684" s="35"/>
      <c r="C19684" s="442"/>
      <c r="P19684" s="235"/>
      <c r="AI19684" s="38"/>
    </row>
    <row r="19685" ht="15.75" customHeight="1">
      <c r="A19685" s="35"/>
      <c r="C19685" s="442"/>
      <c r="P19685" s="235"/>
      <c r="AI19685" s="38"/>
    </row>
    <row r="19686" ht="15.75" customHeight="1">
      <c r="A19686" s="35"/>
      <c r="C19686" s="442"/>
      <c r="P19686" s="235"/>
      <c r="AI19686" s="38"/>
    </row>
    <row r="19687" ht="15.75" customHeight="1">
      <c r="A19687" s="35"/>
      <c r="C19687" s="442"/>
      <c r="P19687" s="235"/>
      <c r="AI19687" s="38"/>
    </row>
    <row r="19688" ht="15.75" customHeight="1">
      <c r="A19688" s="35"/>
      <c r="C19688" s="442"/>
      <c r="P19688" s="235"/>
      <c r="AI19688" s="38"/>
    </row>
    <row r="19689" ht="15.75" customHeight="1">
      <c r="A19689" s="35"/>
      <c r="C19689" s="442"/>
      <c r="P19689" s="235"/>
      <c r="AI19689" s="38"/>
    </row>
    <row r="19690" ht="15.75" customHeight="1">
      <c r="A19690" s="35"/>
      <c r="C19690" s="442"/>
      <c r="P19690" s="235"/>
      <c r="AI19690" s="38"/>
    </row>
    <row r="19691" ht="15.75" customHeight="1">
      <c r="A19691" s="35"/>
      <c r="C19691" s="442"/>
      <c r="P19691" s="235"/>
      <c r="AI19691" s="38"/>
    </row>
    <row r="19692" ht="15.75" customHeight="1">
      <c r="A19692" s="35"/>
      <c r="C19692" s="442"/>
      <c r="P19692" s="235"/>
      <c r="AI19692" s="38"/>
    </row>
    <row r="19693" ht="15.75" customHeight="1">
      <c r="A19693" s="35"/>
      <c r="C19693" s="442"/>
      <c r="P19693" s="235"/>
      <c r="AI19693" s="38"/>
    </row>
    <row r="19694" ht="15.75" customHeight="1">
      <c r="A19694" s="35"/>
      <c r="C19694" s="442"/>
      <c r="P19694" s="235"/>
      <c r="AI19694" s="38"/>
    </row>
    <row r="19695" ht="15.75" customHeight="1">
      <c r="A19695" s="35"/>
      <c r="C19695" s="442"/>
      <c r="P19695" s="235"/>
      <c r="AI19695" s="38"/>
    </row>
    <row r="19696" ht="15.75" customHeight="1">
      <c r="A19696" s="35"/>
      <c r="C19696" s="442"/>
      <c r="P19696" s="235"/>
      <c r="AI19696" s="38"/>
    </row>
    <row r="19697" ht="15.75" customHeight="1">
      <c r="A19697" s="35"/>
      <c r="C19697" s="442"/>
      <c r="P19697" s="235"/>
      <c r="AI19697" s="38"/>
    </row>
    <row r="19698" ht="15.75" customHeight="1">
      <c r="A19698" s="35"/>
      <c r="C19698" s="442"/>
      <c r="P19698" s="235"/>
      <c r="AI19698" s="38"/>
    </row>
    <row r="19699" ht="15.75" customHeight="1">
      <c r="A19699" s="35"/>
      <c r="C19699" s="442"/>
      <c r="P19699" s="235"/>
      <c r="AI19699" s="38"/>
    </row>
    <row r="19700" ht="15.75" customHeight="1">
      <c r="A19700" s="35"/>
      <c r="C19700" s="442"/>
      <c r="P19700" s="235"/>
      <c r="AI19700" s="38"/>
    </row>
    <row r="19701" ht="15.75" customHeight="1">
      <c r="A19701" s="35"/>
      <c r="C19701" s="442"/>
      <c r="P19701" s="235"/>
      <c r="AI19701" s="38"/>
    </row>
    <row r="19702" ht="15.75" customHeight="1">
      <c r="A19702" s="35"/>
      <c r="C19702" s="442"/>
      <c r="P19702" s="235"/>
      <c r="AI19702" s="38"/>
    </row>
    <row r="19703" ht="15.75" customHeight="1">
      <c r="A19703" s="35"/>
      <c r="C19703" s="442"/>
      <c r="P19703" s="235"/>
      <c r="AI19703" s="38"/>
    </row>
    <row r="19704" ht="15.75" customHeight="1">
      <c r="A19704" s="35"/>
      <c r="C19704" s="442"/>
      <c r="P19704" s="235"/>
      <c r="AI19704" s="38"/>
    </row>
    <row r="19705" ht="15.75" customHeight="1">
      <c r="A19705" s="35"/>
      <c r="C19705" s="442"/>
      <c r="P19705" s="235"/>
      <c r="AI19705" s="38"/>
    </row>
    <row r="19706" ht="15.75" customHeight="1">
      <c r="A19706" s="35"/>
      <c r="C19706" s="442"/>
      <c r="P19706" s="235"/>
      <c r="AI19706" s="38"/>
    </row>
    <row r="19707" ht="15.75" customHeight="1">
      <c r="A19707" s="35"/>
      <c r="C19707" s="442"/>
      <c r="P19707" s="235"/>
      <c r="AI19707" s="38"/>
    </row>
    <row r="19708" ht="15.75" customHeight="1">
      <c r="A19708" s="35"/>
      <c r="C19708" s="442"/>
      <c r="P19708" s="235"/>
      <c r="AI19708" s="38"/>
    </row>
    <row r="19709" ht="15.75" customHeight="1">
      <c r="A19709" s="35"/>
      <c r="C19709" s="442"/>
      <c r="P19709" s="235"/>
      <c r="AI19709" s="38"/>
    </row>
    <row r="19710" ht="15.75" customHeight="1">
      <c r="A19710" s="35"/>
      <c r="C19710" s="442"/>
      <c r="P19710" s="235"/>
      <c r="AI19710" s="38"/>
    </row>
    <row r="19711" ht="15.75" customHeight="1">
      <c r="A19711" s="35"/>
      <c r="C19711" s="442"/>
      <c r="P19711" s="235"/>
      <c r="AI19711" s="38"/>
    </row>
    <row r="19712" ht="15.75" customHeight="1">
      <c r="A19712" s="35"/>
      <c r="C19712" s="442"/>
      <c r="P19712" s="235"/>
      <c r="AI19712" s="38"/>
    </row>
    <row r="19713" ht="15.75" customHeight="1">
      <c r="A19713" s="35"/>
      <c r="C19713" s="442"/>
      <c r="P19713" s="235"/>
      <c r="AI19713" s="38"/>
    </row>
    <row r="19714" ht="15.75" customHeight="1">
      <c r="A19714" s="35"/>
      <c r="C19714" s="442"/>
      <c r="P19714" s="235"/>
      <c r="AI19714" s="38"/>
    </row>
    <row r="19715" ht="15.75" customHeight="1">
      <c r="A19715" s="35"/>
      <c r="C19715" s="442"/>
      <c r="P19715" s="235"/>
      <c r="AI19715" s="38"/>
    </row>
    <row r="19716" ht="15.75" customHeight="1">
      <c r="A19716" s="35"/>
      <c r="C19716" s="442"/>
      <c r="P19716" s="235"/>
      <c r="AI19716" s="38"/>
    </row>
    <row r="19717" ht="15.75" customHeight="1">
      <c r="A19717" s="35"/>
      <c r="C19717" s="442"/>
      <c r="P19717" s="235"/>
      <c r="AI19717" s="38"/>
    </row>
    <row r="19718" ht="15.75" customHeight="1">
      <c r="A19718" s="35"/>
      <c r="C19718" s="442"/>
      <c r="P19718" s="235"/>
      <c r="AI19718" s="38"/>
    </row>
    <row r="19719" ht="15.75" customHeight="1">
      <c r="A19719" s="35"/>
      <c r="C19719" s="442"/>
      <c r="P19719" s="235"/>
      <c r="AI19719" s="38"/>
    </row>
    <row r="19720" ht="15.75" customHeight="1">
      <c r="A19720" s="35"/>
      <c r="C19720" s="442"/>
      <c r="P19720" s="235"/>
      <c r="AI19720" s="38"/>
    </row>
    <row r="19721" ht="15.75" customHeight="1">
      <c r="A19721" s="35"/>
      <c r="C19721" s="442"/>
      <c r="P19721" s="235"/>
      <c r="AI19721" s="38"/>
    </row>
    <row r="19722" ht="15.75" customHeight="1">
      <c r="A19722" s="35"/>
      <c r="C19722" s="442"/>
      <c r="P19722" s="235"/>
      <c r="AI19722" s="38"/>
    </row>
    <row r="19723" ht="15.75" customHeight="1">
      <c r="A19723" s="35"/>
      <c r="C19723" s="442"/>
      <c r="P19723" s="235"/>
      <c r="AI19723" s="38"/>
    </row>
    <row r="19724" ht="15.75" customHeight="1">
      <c r="A19724" s="35"/>
      <c r="C19724" s="442"/>
      <c r="P19724" s="235"/>
      <c r="AI19724" s="38"/>
    </row>
    <row r="19725" ht="15.75" customHeight="1">
      <c r="A19725" s="35"/>
      <c r="C19725" s="442"/>
      <c r="P19725" s="235"/>
      <c r="AI19725" s="38"/>
    </row>
    <row r="19726" ht="15.75" customHeight="1">
      <c r="A19726" s="35"/>
      <c r="C19726" s="442"/>
      <c r="P19726" s="235"/>
      <c r="AI19726" s="38"/>
    </row>
    <row r="19727" ht="15.75" customHeight="1">
      <c r="A19727" s="35"/>
      <c r="C19727" s="442"/>
      <c r="P19727" s="235"/>
      <c r="AI19727" s="38"/>
    </row>
    <row r="19728" ht="15.75" customHeight="1">
      <c r="A19728" s="35"/>
      <c r="C19728" s="442"/>
      <c r="P19728" s="235"/>
      <c r="AI19728" s="38"/>
    </row>
    <row r="19729" ht="15.75" customHeight="1">
      <c r="A19729" s="35"/>
      <c r="C19729" s="442"/>
      <c r="P19729" s="235"/>
      <c r="AI19729" s="38"/>
    </row>
    <row r="19730" ht="15.75" customHeight="1">
      <c r="A19730" s="35"/>
      <c r="C19730" s="442"/>
      <c r="P19730" s="235"/>
      <c r="AI19730" s="38"/>
    </row>
    <row r="19731" ht="15.75" customHeight="1">
      <c r="A19731" s="35"/>
      <c r="C19731" s="442"/>
      <c r="P19731" s="235"/>
      <c r="AI19731" s="38"/>
    </row>
    <row r="19732" ht="15.75" customHeight="1">
      <c r="A19732" s="35"/>
      <c r="C19732" s="442"/>
      <c r="P19732" s="235"/>
      <c r="AI19732" s="38"/>
    </row>
    <row r="19733" ht="15.75" customHeight="1">
      <c r="A19733" s="35"/>
      <c r="C19733" s="442"/>
      <c r="P19733" s="235"/>
      <c r="AI19733" s="38"/>
    </row>
    <row r="19734" ht="15.75" customHeight="1">
      <c r="A19734" s="35"/>
      <c r="C19734" s="442"/>
      <c r="P19734" s="235"/>
      <c r="AI19734" s="38"/>
    </row>
    <row r="19735" ht="15.75" customHeight="1">
      <c r="A19735" s="35"/>
      <c r="C19735" s="442"/>
      <c r="P19735" s="235"/>
      <c r="AI19735" s="38"/>
    </row>
    <row r="19736" ht="15.75" customHeight="1">
      <c r="A19736" s="35"/>
      <c r="C19736" s="442"/>
      <c r="P19736" s="235"/>
      <c r="AI19736" s="38"/>
    </row>
    <row r="19737" ht="15.75" customHeight="1">
      <c r="A19737" s="35"/>
      <c r="C19737" s="442"/>
      <c r="P19737" s="235"/>
      <c r="AI19737" s="38"/>
    </row>
    <row r="19738" ht="15.75" customHeight="1">
      <c r="A19738" s="35"/>
      <c r="C19738" s="442"/>
      <c r="P19738" s="235"/>
      <c r="AI19738" s="38"/>
    </row>
    <row r="19739" ht="15.75" customHeight="1">
      <c r="A19739" s="35"/>
      <c r="C19739" s="442"/>
      <c r="P19739" s="235"/>
      <c r="AI19739" s="38"/>
    </row>
    <row r="19740" ht="15.75" customHeight="1">
      <c r="A19740" s="35"/>
      <c r="C19740" s="442"/>
      <c r="P19740" s="235"/>
      <c r="AI19740" s="38"/>
    </row>
    <row r="19741" ht="15.75" customHeight="1">
      <c r="A19741" s="35"/>
      <c r="C19741" s="442"/>
      <c r="P19741" s="235"/>
      <c r="AI19741" s="38"/>
    </row>
    <row r="19742" ht="15.75" customHeight="1">
      <c r="A19742" s="35"/>
      <c r="C19742" s="442"/>
      <c r="P19742" s="235"/>
      <c r="AI19742" s="38"/>
    </row>
    <row r="19743" ht="15.75" customHeight="1">
      <c r="A19743" s="35"/>
      <c r="C19743" s="442"/>
      <c r="P19743" s="235"/>
      <c r="AI19743" s="38"/>
    </row>
    <row r="19744" ht="15.75" customHeight="1">
      <c r="A19744" s="35"/>
      <c r="C19744" s="442"/>
      <c r="P19744" s="235"/>
      <c r="AI19744" s="38"/>
    </row>
    <row r="19745" ht="15.75" customHeight="1">
      <c r="A19745" s="35"/>
      <c r="C19745" s="442"/>
      <c r="P19745" s="235"/>
      <c r="AI19745" s="38"/>
    </row>
    <row r="19746" ht="15.75" customHeight="1">
      <c r="A19746" s="35"/>
      <c r="C19746" s="442"/>
      <c r="P19746" s="235"/>
      <c r="AI19746" s="38"/>
    </row>
    <row r="19747" ht="15.75" customHeight="1">
      <c r="A19747" s="35"/>
      <c r="C19747" s="442"/>
      <c r="P19747" s="235"/>
      <c r="AI19747" s="38"/>
    </row>
    <row r="19748" ht="15.75" customHeight="1">
      <c r="A19748" s="35"/>
      <c r="C19748" s="442"/>
      <c r="P19748" s="235"/>
      <c r="AI19748" s="38"/>
    </row>
    <row r="19749" ht="15.75" customHeight="1">
      <c r="A19749" s="35"/>
      <c r="C19749" s="442"/>
      <c r="P19749" s="235"/>
      <c r="AI19749" s="38"/>
    </row>
    <row r="19750" ht="15.75" customHeight="1">
      <c r="A19750" s="35"/>
      <c r="C19750" s="442"/>
      <c r="P19750" s="235"/>
      <c r="AI19750" s="38"/>
    </row>
    <row r="19751" ht="15.75" customHeight="1">
      <c r="A19751" s="35"/>
      <c r="C19751" s="442"/>
      <c r="P19751" s="235"/>
      <c r="AI19751" s="38"/>
    </row>
    <row r="19752" ht="15.75" customHeight="1">
      <c r="A19752" s="35"/>
      <c r="C19752" s="442"/>
      <c r="P19752" s="235"/>
      <c r="AI19752" s="38"/>
    </row>
    <row r="19753" ht="15.75" customHeight="1">
      <c r="A19753" s="35"/>
      <c r="C19753" s="442"/>
      <c r="P19753" s="235"/>
      <c r="AI19753" s="38"/>
    </row>
    <row r="19754" ht="15.75" customHeight="1">
      <c r="A19754" s="35"/>
      <c r="C19754" s="442"/>
      <c r="P19754" s="235"/>
      <c r="AI19754" s="38"/>
    </row>
    <row r="19755" ht="15.75" customHeight="1">
      <c r="A19755" s="35"/>
      <c r="C19755" s="442"/>
      <c r="P19755" s="235"/>
      <c r="AI19755" s="38"/>
    </row>
    <row r="19756" ht="15.75" customHeight="1">
      <c r="A19756" s="35"/>
      <c r="C19756" s="442"/>
      <c r="P19756" s="235"/>
      <c r="AI19756" s="38"/>
    </row>
    <row r="19757" ht="15.75" customHeight="1">
      <c r="A19757" s="35"/>
      <c r="C19757" s="442"/>
      <c r="P19757" s="235"/>
      <c r="AI19757" s="38"/>
    </row>
    <row r="19758" ht="15.75" customHeight="1">
      <c r="A19758" s="35"/>
      <c r="C19758" s="442"/>
      <c r="P19758" s="235"/>
      <c r="AI19758" s="38"/>
    </row>
    <row r="19759" ht="15.75" customHeight="1">
      <c r="A19759" s="35"/>
      <c r="C19759" s="442"/>
      <c r="P19759" s="235"/>
      <c r="AI19759" s="38"/>
    </row>
    <row r="19760" ht="15.75" customHeight="1">
      <c r="A19760" s="35"/>
      <c r="C19760" s="442"/>
      <c r="P19760" s="235"/>
      <c r="AI19760" s="38"/>
    </row>
    <row r="19761" ht="15.75" customHeight="1">
      <c r="A19761" s="35"/>
      <c r="C19761" s="442"/>
      <c r="P19761" s="235"/>
      <c r="AI19761" s="38"/>
    </row>
    <row r="19762" ht="15.75" customHeight="1">
      <c r="A19762" s="35"/>
      <c r="C19762" s="442"/>
      <c r="P19762" s="235"/>
      <c r="AI19762" s="38"/>
    </row>
    <row r="19763" ht="15.75" customHeight="1">
      <c r="A19763" s="35"/>
      <c r="C19763" s="442"/>
      <c r="P19763" s="235"/>
      <c r="AI19763" s="38"/>
    </row>
    <row r="19764" ht="15.75" customHeight="1">
      <c r="A19764" s="35"/>
      <c r="C19764" s="442"/>
      <c r="P19764" s="235"/>
      <c r="AI19764" s="38"/>
    </row>
    <row r="19765" ht="15.75" customHeight="1">
      <c r="A19765" s="35"/>
      <c r="C19765" s="442"/>
      <c r="P19765" s="235"/>
      <c r="AI19765" s="38"/>
    </row>
    <row r="19766" ht="15.75" customHeight="1">
      <c r="A19766" s="35"/>
      <c r="C19766" s="442"/>
      <c r="P19766" s="235"/>
      <c r="AI19766" s="38"/>
    </row>
    <row r="19767" ht="15.75" customHeight="1">
      <c r="A19767" s="35"/>
      <c r="C19767" s="442"/>
      <c r="P19767" s="235"/>
      <c r="AI19767" s="38"/>
    </row>
    <row r="19768" ht="15.75" customHeight="1">
      <c r="A19768" s="35"/>
      <c r="C19768" s="442"/>
      <c r="P19768" s="235"/>
      <c r="AI19768" s="38"/>
    </row>
    <row r="19769" ht="15.75" customHeight="1">
      <c r="A19769" s="35"/>
      <c r="C19769" s="442"/>
      <c r="P19769" s="235"/>
      <c r="AI19769" s="38"/>
    </row>
    <row r="19770" ht="15.75" customHeight="1">
      <c r="A19770" s="35"/>
      <c r="C19770" s="442"/>
      <c r="P19770" s="235"/>
      <c r="AI19770" s="38"/>
    </row>
    <row r="19771" ht="15.75" customHeight="1">
      <c r="A19771" s="35"/>
      <c r="C19771" s="442"/>
      <c r="P19771" s="235"/>
      <c r="AI19771" s="38"/>
    </row>
    <row r="19772" ht="15.75" customHeight="1">
      <c r="A19772" s="35"/>
      <c r="C19772" s="442"/>
      <c r="P19772" s="235"/>
      <c r="AI19772" s="38"/>
    </row>
    <row r="19773" ht="15.75" customHeight="1">
      <c r="A19773" s="35"/>
      <c r="C19773" s="442"/>
      <c r="P19773" s="235"/>
      <c r="AI19773" s="38"/>
    </row>
    <row r="19774" ht="15.75" customHeight="1">
      <c r="A19774" s="35"/>
      <c r="C19774" s="442"/>
      <c r="P19774" s="235"/>
      <c r="AI19774" s="38"/>
    </row>
    <row r="19775" ht="15.75" customHeight="1">
      <c r="A19775" s="35"/>
      <c r="C19775" s="442"/>
      <c r="P19775" s="235"/>
      <c r="AI19775" s="38"/>
    </row>
    <row r="19776" ht="15.75" customHeight="1">
      <c r="A19776" s="35"/>
      <c r="C19776" s="442"/>
      <c r="P19776" s="235"/>
      <c r="AI19776" s="38"/>
    </row>
    <row r="19777" ht="15.75" customHeight="1">
      <c r="A19777" s="35"/>
      <c r="C19777" s="442"/>
      <c r="P19777" s="235"/>
      <c r="AI19777" s="38"/>
    </row>
    <row r="19778" ht="15.75" customHeight="1">
      <c r="A19778" s="35"/>
      <c r="C19778" s="442"/>
      <c r="P19778" s="235"/>
      <c r="AI19778" s="38"/>
    </row>
    <row r="19779" ht="15.75" customHeight="1">
      <c r="A19779" s="35"/>
      <c r="C19779" s="442"/>
      <c r="P19779" s="235"/>
      <c r="AI19779" s="38"/>
    </row>
    <row r="19780" ht="15.75" customHeight="1">
      <c r="A19780" s="35"/>
      <c r="C19780" s="442"/>
      <c r="P19780" s="235"/>
      <c r="AI19780" s="38"/>
    </row>
    <row r="19781" ht="15.75" customHeight="1">
      <c r="A19781" s="35"/>
      <c r="C19781" s="442"/>
      <c r="P19781" s="235"/>
      <c r="AI19781" s="38"/>
    </row>
    <row r="19782" ht="15.75" customHeight="1">
      <c r="A19782" s="35"/>
      <c r="C19782" s="442"/>
      <c r="P19782" s="235"/>
      <c r="AI19782" s="38"/>
    </row>
    <row r="19783" ht="15.75" customHeight="1">
      <c r="A19783" s="35"/>
      <c r="C19783" s="442"/>
      <c r="P19783" s="235"/>
      <c r="AI19783" s="38"/>
    </row>
    <row r="19784" ht="15.75" customHeight="1">
      <c r="A19784" s="35"/>
      <c r="C19784" s="442"/>
      <c r="P19784" s="235"/>
      <c r="AI19784" s="38"/>
    </row>
    <row r="19785" ht="15.75" customHeight="1">
      <c r="A19785" s="35"/>
      <c r="C19785" s="442"/>
      <c r="P19785" s="235"/>
      <c r="AI19785" s="38"/>
    </row>
    <row r="19786" ht="15.75" customHeight="1">
      <c r="A19786" s="35"/>
      <c r="C19786" s="442"/>
      <c r="P19786" s="235"/>
      <c r="AI19786" s="38"/>
    </row>
    <row r="19787" ht="15.75" customHeight="1">
      <c r="A19787" s="35"/>
      <c r="C19787" s="442"/>
      <c r="P19787" s="235"/>
      <c r="AI19787" s="38"/>
    </row>
    <row r="19788" ht="15.75" customHeight="1">
      <c r="A19788" s="35"/>
      <c r="C19788" s="442"/>
      <c r="P19788" s="235"/>
      <c r="AI19788" s="38"/>
    </row>
    <row r="19789" ht="15.75" customHeight="1">
      <c r="A19789" s="35"/>
      <c r="C19789" s="442"/>
      <c r="P19789" s="235"/>
      <c r="AI19789" s="38"/>
    </row>
    <row r="19790" ht="15.75" customHeight="1">
      <c r="A19790" s="35"/>
      <c r="C19790" s="442"/>
      <c r="P19790" s="235"/>
      <c r="AI19790" s="38"/>
    </row>
    <row r="19791" ht="15.75" customHeight="1">
      <c r="A19791" s="35"/>
      <c r="C19791" s="442"/>
      <c r="P19791" s="235"/>
      <c r="AI19791" s="38"/>
    </row>
    <row r="19792" ht="15.75" customHeight="1">
      <c r="A19792" s="35"/>
      <c r="C19792" s="442"/>
      <c r="P19792" s="235"/>
      <c r="AI19792" s="38"/>
    </row>
    <row r="19793" ht="15.75" customHeight="1">
      <c r="A19793" s="35"/>
      <c r="C19793" s="442"/>
      <c r="P19793" s="235"/>
      <c r="AI19793" s="38"/>
    </row>
    <row r="19794" ht="15.75" customHeight="1">
      <c r="A19794" s="35"/>
      <c r="C19794" s="442"/>
      <c r="P19794" s="235"/>
      <c r="AI19794" s="38"/>
    </row>
    <row r="19795" ht="15.75" customHeight="1">
      <c r="A19795" s="35"/>
      <c r="C19795" s="442"/>
      <c r="P19795" s="235"/>
      <c r="AI19795" s="38"/>
    </row>
    <row r="19796" ht="15.75" customHeight="1">
      <c r="A19796" s="35"/>
      <c r="C19796" s="442"/>
      <c r="P19796" s="235"/>
      <c r="AI19796" s="38"/>
    </row>
    <row r="19797" ht="15.75" customHeight="1">
      <c r="A19797" s="35"/>
      <c r="C19797" s="442"/>
      <c r="P19797" s="235"/>
      <c r="AI19797" s="38"/>
    </row>
    <row r="19798" ht="15.75" customHeight="1">
      <c r="A19798" s="35"/>
      <c r="C19798" s="442"/>
      <c r="P19798" s="235"/>
      <c r="AI19798" s="38"/>
    </row>
    <row r="19799" ht="15.75" customHeight="1">
      <c r="A19799" s="35"/>
      <c r="C19799" s="442"/>
      <c r="P19799" s="235"/>
      <c r="AI19799" s="38"/>
    </row>
    <row r="19800" ht="15.75" customHeight="1">
      <c r="A19800" s="35"/>
      <c r="C19800" s="442"/>
      <c r="P19800" s="235"/>
      <c r="AI19800" s="38"/>
    </row>
    <row r="19801" ht="15.75" customHeight="1">
      <c r="A19801" s="35"/>
      <c r="C19801" s="442"/>
      <c r="P19801" s="235"/>
      <c r="AI19801" s="38"/>
    </row>
    <row r="19802" ht="15.75" customHeight="1">
      <c r="A19802" s="35"/>
      <c r="C19802" s="442"/>
      <c r="P19802" s="235"/>
      <c r="AI19802" s="38"/>
    </row>
    <row r="19803" ht="15.75" customHeight="1">
      <c r="A19803" s="35"/>
      <c r="C19803" s="442"/>
      <c r="P19803" s="235"/>
      <c r="AI19803" s="38"/>
    </row>
    <row r="19804" ht="15.75" customHeight="1">
      <c r="A19804" s="35"/>
      <c r="C19804" s="442"/>
      <c r="P19804" s="235"/>
      <c r="AI19804" s="38"/>
    </row>
    <row r="19805" ht="15.75" customHeight="1">
      <c r="A19805" s="35"/>
      <c r="C19805" s="442"/>
      <c r="P19805" s="235"/>
      <c r="AI19805" s="38"/>
    </row>
    <row r="19806" ht="15.75" customHeight="1">
      <c r="A19806" s="35"/>
      <c r="C19806" s="442"/>
      <c r="P19806" s="235"/>
      <c r="AI19806" s="38"/>
    </row>
    <row r="19807" ht="15.75" customHeight="1">
      <c r="A19807" s="35"/>
      <c r="C19807" s="442"/>
      <c r="P19807" s="235"/>
      <c r="AI19807" s="38"/>
    </row>
    <row r="19808" ht="15.75" customHeight="1">
      <c r="A19808" s="35"/>
      <c r="C19808" s="442"/>
      <c r="P19808" s="235"/>
      <c r="AI19808" s="38"/>
    </row>
    <row r="19809" ht="15.75" customHeight="1">
      <c r="A19809" s="35"/>
      <c r="C19809" s="442"/>
      <c r="P19809" s="235"/>
      <c r="AI19809" s="38"/>
    </row>
    <row r="19810" ht="15.75" customHeight="1">
      <c r="A19810" s="35"/>
      <c r="C19810" s="442"/>
      <c r="P19810" s="235"/>
      <c r="AI19810" s="38"/>
    </row>
    <row r="19811" ht="15.75" customHeight="1">
      <c r="A19811" s="35"/>
      <c r="C19811" s="442"/>
      <c r="P19811" s="235"/>
      <c r="AI19811" s="38"/>
    </row>
    <row r="19812" ht="15.75" customHeight="1">
      <c r="A19812" s="35"/>
      <c r="C19812" s="442"/>
      <c r="P19812" s="235"/>
      <c r="AI19812" s="38"/>
    </row>
    <row r="19813" ht="15.75" customHeight="1">
      <c r="A19813" s="35"/>
      <c r="C19813" s="442"/>
      <c r="P19813" s="235"/>
      <c r="AI19813" s="38"/>
    </row>
    <row r="19814" ht="15.75" customHeight="1">
      <c r="A19814" s="35"/>
      <c r="C19814" s="442"/>
      <c r="P19814" s="235"/>
      <c r="AI19814" s="38"/>
    </row>
    <row r="19815" ht="15.75" customHeight="1">
      <c r="A19815" s="35"/>
      <c r="C19815" s="442"/>
      <c r="P19815" s="235"/>
      <c r="AI19815" s="38"/>
    </row>
    <row r="19816" ht="15.75" customHeight="1">
      <c r="A19816" s="35"/>
      <c r="C19816" s="442"/>
      <c r="P19816" s="235"/>
      <c r="AI19816" s="38"/>
    </row>
    <row r="19817" ht="15.75" customHeight="1">
      <c r="A19817" s="35"/>
      <c r="C19817" s="442"/>
      <c r="P19817" s="235"/>
      <c r="AI19817" s="38"/>
    </row>
    <row r="19818" ht="15.75" customHeight="1">
      <c r="A19818" s="35"/>
      <c r="C19818" s="442"/>
      <c r="P19818" s="235"/>
      <c r="AI19818" s="38"/>
    </row>
    <row r="19819" ht="15.75" customHeight="1">
      <c r="A19819" s="35"/>
      <c r="C19819" s="442"/>
      <c r="P19819" s="235"/>
      <c r="AI19819" s="38"/>
    </row>
    <row r="19820" ht="15.75" customHeight="1">
      <c r="A19820" s="35"/>
      <c r="C19820" s="442"/>
      <c r="P19820" s="235"/>
      <c r="AI19820" s="38"/>
    </row>
    <row r="19821" ht="15.75" customHeight="1">
      <c r="A19821" s="35"/>
      <c r="C19821" s="442"/>
      <c r="P19821" s="235"/>
      <c r="AI19821" s="38"/>
    </row>
    <row r="19822" ht="15.75" customHeight="1">
      <c r="A19822" s="35"/>
      <c r="C19822" s="442"/>
      <c r="P19822" s="235"/>
      <c r="AI19822" s="38"/>
    </row>
    <row r="19823" ht="15.75" customHeight="1">
      <c r="A19823" s="35"/>
      <c r="C19823" s="442"/>
      <c r="P19823" s="235"/>
      <c r="AI19823" s="38"/>
    </row>
    <row r="19824" ht="15.75" customHeight="1">
      <c r="A19824" s="35"/>
      <c r="C19824" s="442"/>
      <c r="P19824" s="235"/>
      <c r="AI19824" s="38"/>
    </row>
    <row r="19825" ht="15.75" customHeight="1">
      <c r="A19825" s="35"/>
      <c r="C19825" s="442"/>
      <c r="P19825" s="235"/>
      <c r="AI19825" s="38"/>
    </row>
    <row r="19826" ht="15.75" customHeight="1">
      <c r="A19826" s="35"/>
      <c r="C19826" s="442"/>
      <c r="P19826" s="235"/>
      <c r="AI19826" s="38"/>
    </row>
    <row r="19827" ht="15.75" customHeight="1">
      <c r="A19827" s="35"/>
      <c r="C19827" s="442"/>
      <c r="P19827" s="235"/>
      <c r="AI19827" s="38"/>
    </row>
    <row r="19828" ht="15.75" customHeight="1">
      <c r="A19828" s="35"/>
      <c r="C19828" s="442"/>
      <c r="P19828" s="235"/>
      <c r="AI19828" s="38"/>
    </row>
    <row r="19829" ht="15.75" customHeight="1">
      <c r="A19829" s="35"/>
      <c r="C19829" s="442"/>
      <c r="P19829" s="235"/>
      <c r="AI19829" s="38"/>
    </row>
    <row r="19830" ht="15.75" customHeight="1">
      <c r="A19830" s="35"/>
      <c r="C19830" s="442"/>
      <c r="P19830" s="235"/>
      <c r="AI19830" s="38"/>
    </row>
    <row r="19831" ht="15.75" customHeight="1">
      <c r="A19831" s="35"/>
      <c r="C19831" s="442"/>
      <c r="P19831" s="235"/>
      <c r="AI19831" s="38"/>
    </row>
    <row r="19832" ht="15.75" customHeight="1">
      <c r="A19832" s="35"/>
      <c r="C19832" s="442"/>
      <c r="P19832" s="235"/>
      <c r="AI19832" s="38"/>
    </row>
    <row r="19833" ht="15.75" customHeight="1">
      <c r="A19833" s="35"/>
      <c r="C19833" s="442"/>
      <c r="P19833" s="235"/>
      <c r="AI19833" s="38"/>
    </row>
    <row r="19834" ht="15.75" customHeight="1">
      <c r="A19834" s="35"/>
      <c r="C19834" s="442"/>
      <c r="P19834" s="235"/>
      <c r="AI19834" s="38"/>
    </row>
    <row r="19835" ht="15.75" customHeight="1">
      <c r="A19835" s="35"/>
      <c r="C19835" s="442"/>
      <c r="P19835" s="235"/>
      <c r="AI19835" s="38"/>
    </row>
    <row r="19836" ht="15.75" customHeight="1">
      <c r="A19836" s="35"/>
      <c r="C19836" s="442"/>
      <c r="P19836" s="235"/>
      <c r="AI19836" s="38"/>
    </row>
    <row r="19837" ht="15.75" customHeight="1">
      <c r="A19837" s="35"/>
      <c r="C19837" s="442"/>
      <c r="P19837" s="235"/>
      <c r="AI19837" s="38"/>
    </row>
    <row r="19838" ht="15.75" customHeight="1">
      <c r="A19838" s="35"/>
      <c r="C19838" s="442"/>
      <c r="P19838" s="235"/>
      <c r="AI19838" s="38"/>
    </row>
    <row r="19839" ht="15.75" customHeight="1">
      <c r="A19839" s="35"/>
      <c r="C19839" s="442"/>
      <c r="P19839" s="235"/>
      <c r="AI19839" s="38"/>
    </row>
    <row r="19840" ht="15.75" customHeight="1">
      <c r="A19840" s="35"/>
      <c r="C19840" s="442"/>
      <c r="P19840" s="235"/>
      <c r="AI19840" s="38"/>
    </row>
    <row r="19841" ht="15.75" customHeight="1">
      <c r="A19841" s="35"/>
      <c r="C19841" s="442"/>
      <c r="P19841" s="235"/>
      <c r="AI19841" s="38"/>
    </row>
    <row r="19842" ht="15.75" customHeight="1">
      <c r="A19842" s="35"/>
      <c r="C19842" s="442"/>
      <c r="P19842" s="235"/>
      <c r="AI19842" s="38"/>
    </row>
    <row r="19843" ht="15.75" customHeight="1">
      <c r="A19843" s="35"/>
      <c r="C19843" s="442"/>
      <c r="P19843" s="235"/>
      <c r="AI19843" s="38"/>
    </row>
    <row r="19844" ht="15.75" customHeight="1">
      <c r="A19844" s="35"/>
      <c r="C19844" s="442"/>
      <c r="P19844" s="235"/>
      <c r="AI19844" s="38"/>
    </row>
    <row r="19845" ht="15.75" customHeight="1">
      <c r="A19845" s="35"/>
      <c r="C19845" s="442"/>
      <c r="P19845" s="235"/>
      <c r="AI19845" s="38"/>
    </row>
    <row r="19846" ht="15.75" customHeight="1">
      <c r="A19846" s="35"/>
      <c r="C19846" s="442"/>
      <c r="P19846" s="235"/>
      <c r="AI19846" s="38"/>
    </row>
    <row r="19847" ht="15.75" customHeight="1">
      <c r="A19847" s="35"/>
      <c r="C19847" s="442"/>
      <c r="P19847" s="235"/>
      <c r="AI19847" s="38"/>
    </row>
    <row r="19848" ht="15.75" customHeight="1">
      <c r="A19848" s="35"/>
      <c r="C19848" s="442"/>
      <c r="P19848" s="235"/>
      <c r="AI19848" s="38"/>
    </row>
    <row r="19849" ht="15.75" customHeight="1">
      <c r="A19849" s="35"/>
      <c r="C19849" s="442"/>
      <c r="P19849" s="235"/>
      <c r="AI19849" s="38"/>
    </row>
    <row r="19850" ht="15.75" customHeight="1">
      <c r="A19850" s="35"/>
      <c r="C19850" s="442"/>
      <c r="P19850" s="235"/>
      <c r="AI19850" s="38"/>
    </row>
    <row r="19851" ht="15.75" customHeight="1">
      <c r="A19851" s="35"/>
      <c r="C19851" s="442"/>
      <c r="P19851" s="235"/>
      <c r="AI19851" s="38"/>
    </row>
    <row r="19852" ht="15.75" customHeight="1">
      <c r="A19852" s="35"/>
      <c r="C19852" s="442"/>
      <c r="P19852" s="235"/>
      <c r="AI19852" s="38"/>
    </row>
    <row r="19853" ht="15.75" customHeight="1">
      <c r="A19853" s="35"/>
      <c r="C19853" s="442"/>
      <c r="P19853" s="235"/>
      <c r="AI19853" s="38"/>
    </row>
    <row r="19854" ht="15.75" customHeight="1">
      <c r="A19854" s="35"/>
      <c r="C19854" s="442"/>
      <c r="P19854" s="235"/>
      <c r="AI19854" s="38"/>
    </row>
    <row r="19855" ht="15.75" customHeight="1">
      <c r="A19855" s="35"/>
      <c r="C19855" s="442"/>
      <c r="P19855" s="235"/>
      <c r="AI19855" s="38"/>
    </row>
    <row r="19856" ht="15.75" customHeight="1">
      <c r="A19856" s="35"/>
      <c r="C19856" s="442"/>
      <c r="P19856" s="235"/>
      <c r="AI19856" s="38"/>
    </row>
    <row r="19857" ht="15.75" customHeight="1">
      <c r="A19857" s="35"/>
      <c r="C19857" s="442"/>
      <c r="P19857" s="235"/>
      <c r="AI19857" s="38"/>
    </row>
    <row r="19858" ht="15.75" customHeight="1">
      <c r="A19858" s="35"/>
      <c r="C19858" s="442"/>
      <c r="P19858" s="235"/>
      <c r="AI19858" s="38"/>
    </row>
    <row r="19859" ht="15.75" customHeight="1">
      <c r="A19859" s="35"/>
      <c r="C19859" s="442"/>
      <c r="P19859" s="235"/>
      <c r="AI19859" s="38"/>
    </row>
    <row r="19860" ht="15.75" customHeight="1">
      <c r="A19860" s="35"/>
      <c r="C19860" s="442"/>
      <c r="P19860" s="235"/>
      <c r="AI19860" s="38"/>
    </row>
    <row r="19861" ht="15.75" customHeight="1">
      <c r="A19861" s="35"/>
      <c r="C19861" s="442"/>
      <c r="P19861" s="235"/>
      <c r="AI19861" s="38"/>
    </row>
    <row r="19862" ht="15.75" customHeight="1">
      <c r="A19862" s="35"/>
      <c r="C19862" s="442"/>
      <c r="P19862" s="235"/>
      <c r="AI19862" s="38"/>
    </row>
    <row r="19863" ht="15.75" customHeight="1">
      <c r="A19863" s="35"/>
      <c r="C19863" s="442"/>
      <c r="P19863" s="235"/>
      <c r="AI19863" s="38"/>
    </row>
    <row r="19864" ht="15.75" customHeight="1">
      <c r="A19864" s="35"/>
      <c r="C19864" s="442"/>
      <c r="P19864" s="235"/>
      <c r="AI19864" s="38"/>
    </row>
    <row r="19865" ht="15.75" customHeight="1">
      <c r="A19865" s="35"/>
      <c r="C19865" s="442"/>
      <c r="P19865" s="235"/>
      <c r="AI19865" s="38"/>
    </row>
    <row r="19866" ht="15.75" customHeight="1">
      <c r="A19866" s="35"/>
      <c r="C19866" s="442"/>
      <c r="P19866" s="235"/>
      <c r="AI19866" s="38"/>
    </row>
    <row r="19867" ht="15.75" customHeight="1">
      <c r="A19867" s="35"/>
      <c r="C19867" s="442"/>
      <c r="P19867" s="235"/>
      <c r="AI19867" s="38"/>
    </row>
    <row r="19868" ht="15.75" customHeight="1">
      <c r="A19868" s="35"/>
      <c r="C19868" s="442"/>
      <c r="P19868" s="235"/>
      <c r="AI19868" s="38"/>
    </row>
    <row r="19869" ht="15.75" customHeight="1">
      <c r="A19869" s="35"/>
      <c r="C19869" s="442"/>
      <c r="P19869" s="235"/>
      <c r="AI19869" s="38"/>
    </row>
    <row r="19870" ht="15.75" customHeight="1">
      <c r="A19870" s="35"/>
      <c r="C19870" s="442"/>
      <c r="P19870" s="235"/>
      <c r="AI19870" s="38"/>
    </row>
    <row r="19871" ht="15.75" customHeight="1">
      <c r="A19871" s="35"/>
      <c r="C19871" s="442"/>
      <c r="P19871" s="235"/>
      <c r="AI19871" s="38"/>
    </row>
    <row r="19872" ht="15.75" customHeight="1">
      <c r="A19872" s="35"/>
      <c r="C19872" s="442"/>
      <c r="P19872" s="235"/>
      <c r="AI19872" s="38"/>
    </row>
    <row r="19873" ht="15.75" customHeight="1">
      <c r="A19873" s="35"/>
      <c r="C19873" s="442"/>
      <c r="P19873" s="235"/>
      <c r="AI19873" s="38"/>
    </row>
    <row r="19874" ht="15.75" customHeight="1">
      <c r="A19874" s="35"/>
      <c r="C19874" s="442"/>
      <c r="P19874" s="235"/>
      <c r="AI19874" s="38"/>
    </row>
    <row r="19875" ht="15.75" customHeight="1">
      <c r="A19875" s="35"/>
      <c r="C19875" s="442"/>
      <c r="P19875" s="235"/>
      <c r="AI19875" s="38"/>
    </row>
    <row r="19876" ht="15.75" customHeight="1">
      <c r="A19876" s="35"/>
      <c r="C19876" s="442"/>
      <c r="P19876" s="235"/>
      <c r="AI19876" s="38"/>
    </row>
    <row r="19877" ht="15.75" customHeight="1">
      <c r="A19877" s="35"/>
      <c r="C19877" s="442"/>
      <c r="P19877" s="235"/>
      <c r="AI19877" s="38"/>
    </row>
    <row r="19878" ht="15.75" customHeight="1">
      <c r="A19878" s="35"/>
      <c r="C19878" s="442"/>
      <c r="P19878" s="235"/>
      <c r="AI19878" s="38"/>
    </row>
    <row r="19879" ht="15.75" customHeight="1">
      <c r="A19879" s="35"/>
      <c r="C19879" s="442"/>
      <c r="P19879" s="235"/>
      <c r="AI19879" s="38"/>
    </row>
    <row r="19880" ht="15.75" customHeight="1">
      <c r="A19880" s="35"/>
      <c r="C19880" s="442"/>
      <c r="P19880" s="235"/>
      <c r="AI19880" s="38"/>
    </row>
    <row r="19881" ht="15.75" customHeight="1">
      <c r="A19881" s="35"/>
      <c r="C19881" s="442"/>
      <c r="P19881" s="235"/>
      <c r="AI19881" s="38"/>
    </row>
    <row r="19882" ht="15.75" customHeight="1">
      <c r="A19882" s="35"/>
      <c r="C19882" s="442"/>
      <c r="P19882" s="235"/>
      <c r="AI19882" s="38"/>
    </row>
    <row r="19883" ht="15.75" customHeight="1">
      <c r="A19883" s="35"/>
      <c r="C19883" s="442"/>
      <c r="P19883" s="235"/>
      <c r="AI19883" s="38"/>
    </row>
    <row r="19884" ht="15.75" customHeight="1">
      <c r="A19884" s="35"/>
      <c r="C19884" s="442"/>
      <c r="P19884" s="235"/>
      <c r="AI19884" s="38"/>
    </row>
    <row r="19885" ht="15.75" customHeight="1">
      <c r="A19885" s="35"/>
      <c r="C19885" s="442"/>
      <c r="P19885" s="235"/>
      <c r="AI19885" s="38"/>
    </row>
    <row r="19886" ht="15.75" customHeight="1">
      <c r="A19886" s="35"/>
      <c r="C19886" s="442"/>
      <c r="P19886" s="235"/>
      <c r="AI19886" s="38"/>
    </row>
    <row r="19887" ht="15.75" customHeight="1">
      <c r="A19887" s="35"/>
      <c r="C19887" s="442"/>
      <c r="P19887" s="235"/>
      <c r="AI19887" s="38"/>
    </row>
    <row r="19888" ht="15.75" customHeight="1">
      <c r="A19888" s="35"/>
      <c r="C19888" s="442"/>
      <c r="P19888" s="235"/>
      <c r="AI19888" s="38"/>
    </row>
    <row r="19889" ht="15.75" customHeight="1">
      <c r="A19889" s="35"/>
      <c r="C19889" s="442"/>
      <c r="P19889" s="235"/>
      <c r="AI19889" s="38"/>
    </row>
    <row r="19890" ht="15.75" customHeight="1">
      <c r="A19890" s="35"/>
      <c r="C19890" s="442"/>
      <c r="P19890" s="235"/>
      <c r="AI19890" s="38"/>
    </row>
    <row r="19891" ht="15.75" customHeight="1">
      <c r="A19891" s="35"/>
      <c r="C19891" s="442"/>
      <c r="P19891" s="235"/>
      <c r="AI19891" s="38"/>
    </row>
    <row r="19892" ht="15.75" customHeight="1">
      <c r="A19892" s="35"/>
      <c r="C19892" s="442"/>
      <c r="P19892" s="235"/>
      <c r="AI19892" s="38"/>
    </row>
    <row r="19893" ht="15.75" customHeight="1">
      <c r="A19893" s="35"/>
      <c r="C19893" s="442"/>
      <c r="P19893" s="235"/>
      <c r="AI19893" s="38"/>
    </row>
    <row r="19894" ht="15.75" customHeight="1">
      <c r="A19894" s="35"/>
      <c r="C19894" s="442"/>
      <c r="P19894" s="235"/>
      <c r="AI19894" s="38"/>
    </row>
    <row r="19895" ht="15.75" customHeight="1">
      <c r="A19895" s="35"/>
      <c r="C19895" s="442"/>
      <c r="P19895" s="235"/>
      <c r="AI19895" s="38"/>
    </row>
    <row r="19896" ht="15.75" customHeight="1">
      <c r="A19896" s="35"/>
      <c r="C19896" s="442"/>
      <c r="P19896" s="235"/>
      <c r="AI19896" s="38"/>
    </row>
    <row r="19897" ht="15.75" customHeight="1">
      <c r="A19897" s="35"/>
      <c r="C19897" s="442"/>
      <c r="P19897" s="235"/>
      <c r="AI19897" s="38"/>
    </row>
    <row r="19898" ht="15.75" customHeight="1">
      <c r="A19898" s="35"/>
      <c r="C19898" s="442"/>
      <c r="P19898" s="235"/>
      <c r="AI19898" s="38"/>
    </row>
    <row r="19899" ht="15.75" customHeight="1">
      <c r="A19899" s="35"/>
      <c r="C19899" s="442"/>
      <c r="P19899" s="235"/>
      <c r="AI19899" s="38"/>
    </row>
    <row r="19900" ht="15.75" customHeight="1">
      <c r="A19900" s="35"/>
      <c r="C19900" s="442"/>
      <c r="P19900" s="235"/>
      <c r="AI19900" s="38"/>
    </row>
    <row r="19901" ht="15.75" customHeight="1">
      <c r="A19901" s="35"/>
      <c r="C19901" s="442"/>
      <c r="P19901" s="235"/>
      <c r="AI19901" s="38"/>
    </row>
    <row r="19902" ht="15.75" customHeight="1">
      <c r="A19902" s="35"/>
      <c r="C19902" s="442"/>
      <c r="P19902" s="235"/>
      <c r="AI19902" s="38"/>
    </row>
    <row r="19903" ht="15.75" customHeight="1">
      <c r="A19903" s="35"/>
      <c r="C19903" s="442"/>
      <c r="P19903" s="235"/>
      <c r="AI19903" s="38"/>
    </row>
    <row r="19904" ht="15.75" customHeight="1">
      <c r="A19904" s="35"/>
      <c r="C19904" s="442"/>
      <c r="P19904" s="235"/>
      <c r="AI19904" s="38"/>
    </row>
    <row r="19905" ht="15.75" customHeight="1">
      <c r="A19905" s="35"/>
      <c r="C19905" s="442"/>
      <c r="P19905" s="235"/>
      <c r="AI19905" s="38"/>
    </row>
    <row r="19906" ht="15.75" customHeight="1">
      <c r="A19906" s="35"/>
      <c r="C19906" s="442"/>
      <c r="P19906" s="235"/>
      <c r="AI19906" s="38"/>
    </row>
    <row r="19907" ht="15.75" customHeight="1">
      <c r="A19907" s="35"/>
      <c r="C19907" s="442"/>
      <c r="P19907" s="235"/>
      <c r="AI19907" s="38"/>
    </row>
    <row r="19908" ht="15.75" customHeight="1">
      <c r="A19908" s="35"/>
      <c r="C19908" s="442"/>
      <c r="P19908" s="235"/>
      <c r="AI19908" s="38"/>
    </row>
    <row r="19909" ht="15.75" customHeight="1">
      <c r="A19909" s="35"/>
      <c r="C19909" s="442"/>
      <c r="P19909" s="235"/>
      <c r="AI19909" s="38"/>
    </row>
    <row r="19910" ht="15.75" customHeight="1">
      <c r="A19910" s="35"/>
      <c r="C19910" s="442"/>
      <c r="P19910" s="235"/>
      <c r="AI19910" s="38"/>
    </row>
    <row r="19911" ht="15.75" customHeight="1">
      <c r="A19911" s="35"/>
      <c r="C19911" s="442"/>
      <c r="P19911" s="235"/>
      <c r="AI19911" s="38"/>
    </row>
    <row r="19912" ht="15.75" customHeight="1">
      <c r="A19912" s="35"/>
      <c r="C19912" s="442"/>
      <c r="P19912" s="235"/>
      <c r="AI19912" s="38"/>
    </row>
    <row r="19913" ht="15.75" customHeight="1">
      <c r="A19913" s="35"/>
      <c r="C19913" s="442"/>
      <c r="P19913" s="235"/>
      <c r="AI19913" s="38"/>
    </row>
    <row r="19914" ht="15.75" customHeight="1">
      <c r="A19914" s="35"/>
      <c r="C19914" s="442"/>
      <c r="P19914" s="235"/>
      <c r="AI19914" s="38"/>
    </row>
    <row r="19915" ht="15.75" customHeight="1">
      <c r="A19915" s="35"/>
      <c r="C19915" s="442"/>
      <c r="P19915" s="235"/>
      <c r="AI19915" s="38"/>
    </row>
    <row r="19916" ht="15.75" customHeight="1">
      <c r="A19916" s="35"/>
      <c r="C19916" s="442"/>
      <c r="P19916" s="235"/>
      <c r="AI19916" s="38"/>
    </row>
    <row r="19917" ht="15.75" customHeight="1">
      <c r="A19917" s="35"/>
      <c r="C19917" s="442"/>
      <c r="P19917" s="235"/>
      <c r="AI19917" s="38"/>
    </row>
    <row r="19918" ht="15.75" customHeight="1">
      <c r="A19918" s="35"/>
      <c r="C19918" s="442"/>
      <c r="P19918" s="235"/>
      <c r="AI19918" s="38"/>
    </row>
    <row r="19919" ht="15.75" customHeight="1">
      <c r="A19919" s="35"/>
      <c r="C19919" s="442"/>
      <c r="P19919" s="235"/>
      <c r="AI19919" s="38"/>
    </row>
    <row r="19920" ht="15.75" customHeight="1">
      <c r="A19920" s="35"/>
      <c r="C19920" s="442"/>
      <c r="P19920" s="235"/>
      <c r="AI19920" s="38"/>
    </row>
    <row r="19921" ht="15.75" customHeight="1">
      <c r="A19921" s="35"/>
      <c r="C19921" s="442"/>
      <c r="P19921" s="235"/>
      <c r="AI19921" s="38"/>
    </row>
    <row r="19922" ht="15.75" customHeight="1">
      <c r="A19922" s="35"/>
      <c r="C19922" s="442"/>
      <c r="P19922" s="235"/>
      <c r="AI19922" s="38"/>
    </row>
    <row r="19923" ht="15.75" customHeight="1">
      <c r="A19923" s="35"/>
      <c r="C19923" s="442"/>
      <c r="P19923" s="235"/>
      <c r="AI19923" s="38"/>
    </row>
    <row r="19924" ht="15.75" customHeight="1">
      <c r="A19924" s="35"/>
      <c r="C19924" s="442"/>
      <c r="P19924" s="235"/>
      <c r="AI19924" s="38"/>
    </row>
    <row r="19925" ht="15.75" customHeight="1">
      <c r="A19925" s="35"/>
      <c r="C19925" s="442"/>
      <c r="P19925" s="235"/>
      <c r="AI19925" s="38"/>
    </row>
    <row r="19926" ht="15.75" customHeight="1">
      <c r="A19926" s="35"/>
      <c r="C19926" s="442"/>
      <c r="P19926" s="235"/>
      <c r="AI19926" s="38"/>
    </row>
    <row r="19927" ht="15.75" customHeight="1">
      <c r="A19927" s="35"/>
      <c r="C19927" s="442"/>
      <c r="P19927" s="235"/>
      <c r="AI19927" s="38"/>
    </row>
    <row r="19928" ht="15.75" customHeight="1">
      <c r="A19928" s="35"/>
      <c r="C19928" s="442"/>
      <c r="P19928" s="235"/>
      <c r="AI19928" s="38"/>
    </row>
    <row r="19929" ht="15.75" customHeight="1">
      <c r="A19929" s="35"/>
      <c r="C19929" s="442"/>
      <c r="P19929" s="235"/>
      <c r="AI19929" s="38"/>
    </row>
    <row r="19930" ht="15.75" customHeight="1">
      <c r="A19930" s="35"/>
      <c r="C19930" s="442"/>
      <c r="P19930" s="235"/>
      <c r="AI19930" s="38"/>
    </row>
    <row r="19931" ht="15.75" customHeight="1">
      <c r="A19931" s="35"/>
      <c r="C19931" s="442"/>
      <c r="P19931" s="235"/>
      <c r="AI19931" s="38"/>
    </row>
    <row r="19932" ht="15.75" customHeight="1">
      <c r="A19932" s="35"/>
      <c r="C19932" s="442"/>
      <c r="P19932" s="235"/>
      <c r="AI19932" s="38"/>
    </row>
    <row r="19933" ht="15.75" customHeight="1">
      <c r="A19933" s="35"/>
      <c r="C19933" s="442"/>
      <c r="P19933" s="235"/>
      <c r="AI19933" s="38"/>
    </row>
    <row r="19934" ht="15.75" customHeight="1">
      <c r="A19934" s="35"/>
      <c r="C19934" s="442"/>
      <c r="P19934" s="235"/>
      <c r="AI19934" s="38"/>
    </row>
    <row r="19935" ht="15.75" customHeight="1">
      <c r="A19935" s="35"/>
      <c r="C19935" s="442"/>
      <c r="P19935" s="235"/>
      <c r="AI19935" s="38"/>
    </row>
    <row r="19936" ht="15.75" customHeight="1">
      <c r="A19936" s="35"/>
      <c r="C19936" s="442"/>
      <c r="P19936" s="235"/>
      <c r="AI19936" s="38"/>
    </row>
    <row r="19937" ht="15.75" customHeight="1">
      <c r="A19937" s="35"/>
      <c r="C19937" s="442"/>
      <c r="P19937" s="235"/>
      <c r="AI19937" s="38"/>
    </row>
    <row r="19938" ht="15.75" customHeight="1">
      <c r="A19938" s="35"/>
      <c r="C19938" s="442"/>
      <c r="P19938" s="235"/>
      <c r="AI19938" s="38"/>
    </row>
    <row r="19939" ht="15.75" customHeight="1">
      <c r="A19939" s="35"/>
      <c r="C19939" s="442"/>
      <c r="P19939" s="235"/>
      <c r="AI19939" s="38"/>
    </row>
    <row r="19940" ht="15.75" customHeight="1">
      <c r="A19940" s="35"/>
      <c r="C19940" s="442"/>
      <c r="P19940" s="235"/>
      <c r="AI19940" s="38"/>
    </row>
    <row r="19941" ht="15.75" customHeight="1">
      <c r="A19941" s="35"/>
      <c r="C19941" s="442"/>
      <c r="P19941" s="235"/>
      <c r="AI19941" s="38"/>
    </row>
    <row r="19942" ht="15.75" customHeight="1">
      <c r="A19942" s="35"/>
      <c r="C19942" s="442"/>
      <c r="P19942" s="235"/>
      <c r="AI19942" s="38"/>
    </row>
    <row r="19943" ht="15.75" customHeight="1">
      <c r="A19943" s="35"/>
      <c r="C19943" s="442"/>
      <c r="P19943" s="235"/>
      <c r="AI19943" s="38"/>
    </row>
    <row r="19944" ht="15.75" customHeight="1">
      <c r="A19944" s="35"/>
      <c r="C19944" s="442"/>
      <c r="P19944" s="235"/>
      <c r="AI19944" s="38"/>
    </row>
    <row r="19945" ht="15.75" customHeight="1">
      <c r="A19945" s="35"/>
      <c r="C19945" s="442"/>
      <c r="P19945" s="235"/>
      <c r="AI19945" s="38"/>
    </row>
    <row r="19946" ht="15.75" customHeight="1">
      <c r="A19946" s="35"/>
      <c r="C19946" s="442"/>
      <c r="P19946" s="235"/>
      <c r="AI19946" s="38"/>
    </row>
    <row r="19947" ht="15.75" customHeight="1">
      <c r="A19947" s="35"/>
      <c r="C19947" s="442"/>
      <c r="P19947" s="235"/>
      <c r="AI19947" s="38"/>
    </row>
    <row r="19948" ht="15.75" customHeight="1">
      <c r="A19948" s="35"/>
      <c r="C19948" s="442"/>
      <c r="P19948" s="235"/>
      <c r="AI19948" s="38"/>
    </row>
    <row r="19949" ht="15.75" customHeight="1">
      <c r="A19949" s="35"/>
      <c r="C19949" s="442"/>
      <c r="P19949" s="235"/>
      <c r="AI19949" s="38"/>
    </row>
    <row r="19950" ht="15.75" customHeight="1">
      <c r="A19950" s="35"/>
      <c r="C19950" s="442"/>
      <c r="P19950" s="235"/>
      <c r="AI19950" s="38"/>
    </row>
    <row r="19951" ht="15.75" customHeight="1">
      <c r="A19951" s="35"/>
      <c r="C19951" s="442"/>
      <c r="P19951" s="235"/>
      <c r="AI19951" s="38"/>
    </row>
    <row r="19952" ht="15.75" customHeight="1">
      <c r="A19952" s="35"/>
      <c r="C19952" s="442"/>
      <c r="P19952" s="235"/>
      <c r="AI19952" s="38"/>
    </row>
    <row r="19953" ht="15.75" customHeight="1">
      <c r="A19953" s="35"/>
      <c r="C19953" s="442"/>
      <c r="P19953" s="235"/>
      <c r="AI19953" s="38"/>
    </row>
    <row r="19954" ht="15.75" customHeight="1">
      <c r="A19954" s="35"/>
      <c r="C19954" s="442"/>
      <c r="P19954" s="235"/>
      <c r="AI19954" s="38"/>
    </row>
    <row r="19955" ht="15.75" customHeight="1">
      <c r="A19955" s="35"/>
      <c r="C19955" s="442"/>
      <c r="P19955" s="235"/>
      <c r="AI19955" s="38"/>
    </row>
    <row r="19956" ht="15.75" customHeight="1">
      <c r="A19956" s="35"/>
      <c r="C19956" s="442"/>
      <c r="P19956" s="235"/>
      <c r="AI19956" s="38"/>
    </row>
    <row r="19957" ht="15.75" customHeight="1">
      <c r="A19957" s="35"/>
      <c r="C19957" s="442"/>
      <c r="P19957" s="235"/>
      <c r="AI19957" s="38"/>
    </row>
    <row r="19958" ht="15.75" customHeight="1">
      <c r="A19958" s="35"/>
      <c r="C19958" s="442"/>
      <c r="P19958" s="235"/>
      <c r="AI19958" s="38"/>
    </row>
    <row r="19959" ht="15.75" customHeight="1">
      <c r="A19959" s="35"/>
      <c r="C19959" s="442"/>
      <c r="P19959" s="235"/>
      <c r="AI19959" s="38"/>
    </row>
    <row r="19960" ht="15.75" customHeight="1">
      <c r="A19960" s="35"/>
      <c r="C19960" s="442"/>
      <c r="P19960" s="235"/>
      <c r="AI19960" s="38"/>
    </row>
    <row r="19961" ht="15.75" customHeight="1">
      <c r="A19961" s="35"/>
      <c r="C19961" s="442"/>
      <c r="P19961" s="235"/>
      <c r="AI19961" s="38"/>
    </row>
    <row r="19962" ht="15.75" customHeight="1">
      <c r="A19962" s="35"/>
      <c r="C19962" s="442"/>
      <c r="P19962" s="235"/>
      <c r="AI19962" s="38"/>
    </row>
    <row r="19963" ht="15.75" customHeight="1">
      <c r="A19963" s="35"/>
      <c r="C19963" s="442"/>
      <c r="P19963" s="235"/>
      <c r="AI19963" s="38"/>
    </row>
    <row r="19964" ht="15.75" customHeight="1">
      <c r="A19964" s="35"/>
      <c r="C19964" s="442"/>
      <c r="P19964" s="235"/>
      <c r="AI19964" s="38"/>
    </row>
    <row r="19965" ht="15.75" customHeight="1">
      <c r="A19965" s="35"/>
      <c r="C19965" s="442"/>
      <c r="P19965" s="235"/>
      <c r="AI19965" s="38"/>
    </row>
    <row r="19966" ht="15.75" customHeight="1">
      <c r="A19966" s="35"/>
      <c r="C19966" s="442"/>
      <c r="P19966" s="235"/>
      <c r="AI19966" s="38"/>
    </row>
    <row r="19967" ht="15.75" customHeight="1">
      <c r="A19967" s="35"/>
      <c r="C19967" s="442"/>
      <c r="P19967" s="235"/>
      <c r="AI19967" s="38"/>
    </row>
    <row r="19968" ht="15.75" customHeight="1">
      <c r="A19968" s="35"/>
      <c r="C19968" s="442"/>
      <c r="P19968" s="235"/>
      <c r="AI19968" s="38"/>
    </row>
    <row r="19969" ht="15.75" customHeight="1">
      <c r="A19969" s="35"/>
      <c r="C19969" s="442"/>
      <c r="P19969" s="235"/>
      <c r="AI19969" s="38"/>
    </row>
    <row r="19970" ht="15.75" customHeight="1">
      <c r="A19970" s="35"/>
      <c r="C19970" s="442"/>
      <c r="P19970" s="235"/>
      <c r="AI19970" s="38"/>
    </row>
    <row r="19971" ht="15.75" customHeight="1">
      <c r="A19971" s="35"/>
      <c r="C19971" s="442"/>
      <c r="P19971" s="235"/>
      <c r="AI19971" s="38"/>
    </row>
    <row r="19972" ht="15.75" customHeight="1">
      <c r="A19972" s="35"/>
      <c r="C19972" s="442"/>
      <c r="P19972" s="235"/>
      <c r="AI19972" s="38"/>
    </row>
    <row r="19973" ht="15.75" customHeight="1">
      <c r="A19973" s="35"/>
      <c r="C19973" s="442"/>
      <c r="P19973" s="235"/>
      <c r="AI19973" s="38"/>
    </row>
    <row r="19974" ht="15.75" customHeight="1">
      <c r="A19974" s="35"/>
      <c r="C19974" s="442"/>
      <c r="P19974" s="235"/>
      <c r="AI19974" s="38"/>
    </row>
    <row r="19975" ht="15.75" customHeight="1">
      <c r="A19975" s="35"/>
      <c r="C19975" s="442"/>
      <c r="P19975" s="235"/>
      <c r="AI19975" s="38"/>
    </row>
    <row r="19976" ht="15.75" customHeight="1">
      <c r="A19976" s="35"/>
      <c r="C19976" s="442"/>
      <c r="P19976" s="235"/>
      <c r="AI19976" s="38"/>
    </row>
    <row r="19977" ht="15.75" customHeight="1">
      <c r="A19977" s="35"/>
      <c r="C19977" s="442"/>
      <c r="P19977" s="235"/>
      <c r="AI19977" s="38"/>
    </row>
    <row r="19978" ht="15.75" customHeight="1">
      <c r="A19978" s="35"/>
      <c r="C19978" s="442"/>
      <c r="P19978" s="235"/>
      <c r="AI19978" s="38"/>
    </row>
    <row r="19979" ht="15.75" customHeight="1">
      <c r="A19979" s="35"/>
      <c r="C19979" s="442"/>
      <c r="P19979" s="235"/>
      <c r="AI19979" s="38"/>
    </row>
    <row r="19980" ht="15.75" customHeight="1">
      <c r="A19980" s="35"/>
      <c r="C19980" s="442"/>
      <c r="P19980" s="235"/>
      <c r="AI19980" s="38"/>
    </row>
    <row r="19981" ht="15.75" customHeight="1">
      <c r="A19981" s="35"/>
      <c r="C19981" s="442"/>
      <c r="P19981" s="235"/>
      <c r="AI19981" s="38"/>
    </row>
    <row r="19982" ht="15.75" customHeight="1">
      <c r="A19982" s="35"/>
      <c r="C19982" s="442"/>
      <c r="P19982" s="235"/>
      <c r="AI19982" s="38"/>
    </row>
    <row r="19983" ht="15.75" customHeight="1">
      <c r="A19983" s="35"/>
      <c r="C19983" s="442"/>
      <c r="P19983" s="235"/>
      <c r="AI19983" s="38"/>
    </row>
    <row r="19984" ht="15.75" customHeight="1">
      <c r="A19984" s="35"/>
      <c r="C19984" s="442"/>
      <c r="P19984" s="235"/>
      <c r="AI19984" s="38"/>
    </row>
    <row r="19985" ht="15.75" customHeight="1">
      <c r="A19985" s="35"/>
      <c r="C19985" s="442"/>
      <c r="P19985" s="235"/>
      <c r="AI19985" s="38"/>
    </row>
    <row r="19986" ht="15.75" customHeight="1">
      <c r="A19986" s="35"/>
      <c r="C19986" s="442"/>
      <c r="P19986" s="235"/>
      <c r="AI19986" s="38"/>
    </row>
    <row r="19987" ht="15.75" customHeight="1">
      <c r="A19987" s="35"/>
      <c r="C19987" s="442"/>
      <c r="P19987" s="235"/>
      <c r="AI19987" s="38"/>
    </row>
    <row r="19988" ht="15.75" customHeight="1">
      <c r="A19988" s="35"/>
      <c r="C19988" s="442"/>
      <c r="P19988" s="235"/>
      <c r="AI19988" s="38"/>
    </row>
    <row r="19989" ht="15.75" customHeight="1">
      <c r="A19989" s="35"/>
      <c r="C19989" s="442"/>
      <c r="P19989" s="235"/>
      <c r="AI19989" s="38"/>
    </row>
    <row r="19990" ht="15.75" customHeight="1">
      <c r="A19990" s="35"/>
      <c r="C19990" s="442"/>
      <c r="P19990" s="235"/>
      <c r="AI19990" s="38"/>
    </row>
    <row r="19991" ht="15.75" customHeight="1">
      <c r="A19991" s="35"/>
      <c r="C19991" s="442"/>
      <c r="P19991" s="235"/>
      <c r="AI19991" s="38"/>
    </row>
    <row r="19992" ht="15.75" customHeight="1">
      <c r="A19992" s="35"/>
      <c r="C19992" s="442"/>
      <c r="P19992" s="235"/>
      <c r="AI19992" s="38"/>
    </row>
    <row r="19993" ht="15.75" customHeight="1">
      <c r="A19993" s="35"/>
      <c r="C19993" s="442"/>
      <c r="P19993" s="235"/>
      <c r="AI19993" s="38"/>
    </row>
    <row r="19994" ht="15.75" customHeight="1">
      <c r="A19994" s="35"/>
      <c r="C19994" s="442"/>
      <c r="P19994" s="235"/>
      <c r="AI19994" s="38"/>
    </row>
    <row r="19995" ht="15.75" customHeight="1">
      <c r="A19995" s="35"/>
      <c r="C19995" s="442"/>
      <c r="P19995" s="235"/>
      <c r="AI19995" s="38"/>
    </row>
    <row r="19996" ht="15.75" customHeight="1">
      <c r="A19996" s="35"/>
      <c r="C19996" s="442"/>
      <c r="P19996" s="235"/>
      <c r="AI19996" s="38"/>
    </row>
    <row r="19997" ht="15.75" customHeight="1">
      <c r="A19997" s="35"/>
      <c r="C19997" s="442"/>
      <c r="P19997" s="235"/>
      <c r="AI19997" s="38"/>
    </row>
    <row r="19998" ht="15.75" customHeight="1">
      <c r="A19998" s="35"/>
      <c r="C19998" s="442"/>
      <c r="P19998" s="235"/>
      <c r="AI19998" s="38"/>
    </row>
    <row r="19999" ht="15.75" customHeight="1">
      <c r="A19999" s="35"/>
      <c r="C19999" s="442"/>
      <c r="P19999" s="235"/>
      <c r="AI19999" s="38"/>
    </row>
    <row r="20000" ht="15.75" customHeight="1">
      <c r="A20000" s="35"/>
      <c r="C20000" s="442"/>
      <c r="P20000" s="235"/>
      <c r="AI20000" s="38"/>
    </row>
    <row r="20001" ht="15.75" customHeight="1">
      <c r="A20001" s="35"/>
      <c r="C20001" s="442"/>
      <c r="P20001" s="235"/>
      <c r="AI20001" s="38"/>
    </row>
    <row r="20002" ht="15.75" customHeight="1">
      <c r="A20002" s="35"/>
      <c r="C20002" s="442"/>
      <c r="P20002" s="235"/>
      <c r="AI20002" s="38"/>
    </row>
    <row r="20003" ht="15.75" customHeight="1">
      <c r="A20003" s="35"/>
      <c r="C20003" s="442"/>
      <c r="P20003" s="235"/>
      <c r="AI20003" s="38"/>
    </row>
    <row r="20004" ht="15.75" customHeight="1">
      <c r="A20004" s="35"/>
      <c r="C20004" s="442"/>
      <c r="P20004" s="235"/>
      <c r="AI20004" s="38"/>
    </row>
    <row r="20005" ht="15.75" customHeight="1">
      <c r="A20005" s="35"/>
      <c r="C20005" s="442"/>
      <c r="P20005" s="235"/>
      <c r="AI20005" s="38"/>
    </row>
    <row r="20006" ht="15.75" customHeight="1">
      <c r="A20006" s="35"/>
      <c r="C20006" s="442"/>
      <c r="P20006" s="235"/>
      <c r="AI20006" s="38"/>
    </row>
    <row r="20007" ht="15.75" customHeight="1">
      <c r="A20007" s="35"/>
      <c r="C20007" s="442"/>
      <c r="P20007" s="235"/>
      <c r="AI20007" s="38"/>
    </row>
    <row r="20008" ht="15.75" customHeight="1">
      <c r="A20008" s="35"/>
      <c r="C20008" s="442"/>
      <c r="P20008" s="235"/>
      <c r="AI20008" s="38"/>
    </row>
    <row r="20009" ht="15.75" customHeight="1">
      <c r="A20009" s="35"/>
      <c r="C20009" s="442"/>
      <c r="P20009" s="235"/>
      <c r="AI20009" s="38"/>
    </row>
    <row r="20010" ht="15.75" customHeight="1">
      <c r="A20010" s="35"/>
      <c r="C20010" s="442"/>
      <c r="P20010" s="235"/>
      <c r="AI20010" s="38"/>
    </row>
    <row r="20011" ht="15.75" customHeight="1">
      <c r="A20011" s="35"/>
      <c r="C20011" s="442"/>
      <c r="P20011" s="235"/>
      <c r="AI20011" s="38"/>
    </row>
    <row r="20012" ht="15.75" customHeight="1">
      <c r="A20012" s="35"/>
      <c r="C20012" s="442"/>
      <c r="P20012" s="235"/>
      <c r="AI20012" s="38"/>
    </row>
    <row r="20013" ht="15.75" customHeight="1">
      <c r="A20013" s="35"/>
      <c r="C20013" s="442"/>
      <c r="P20013" s="235"/>
      <c r="AI20013" s="38"/>
    </row>
    <row r="20014" ht="15.75" customHeight="1">
      <c r="A20014" s="35"/>
      <c r="C20014" s="442"/>
      <c r="P20014" s="235"/>
      <c r="AI20014" s="38"/>
    </row>
    <row r="20015" ht="15.75" customHeight="1">
      <c r="A20015" s="35"/>
      <c r="C20015" s="442"/>
      <c r="P20015" s="235"/>
      <c r="AI20015" s="38"/>
    </row>
    <row r="20016" ht="15.75" customHeight="1">
      <c r="A20016" s="35"/>
      <c r="C20016" s="442"/>
      <c r="P20016" s="235"/>
      <c r="AI20016" s="38"/>
    </row>
    <row r="20017" ht="15.75" customHeight="1">
      <c r="A20017" s="35"/>
      <c r="C20017" s="442"/>
      <c r="P20017" s="235"/>
      <c r="AI20017" s="38"/>
    </row>
    <row r="20018" ht="15.75" customHeight="1">
      <c r="A20018" s="35"/>
      <c r="C20018" s="442"/>
      <c r="P20018" s="235"/>
      <c r="AI20018" s="38"/>
    </row>
    <row r="20019" ht="15.75" customHeight="1">
      <c r="A20019" s="35"/>
      <c r="C20019" s="442"/>
      <c r="P20019" s="235"/>
      <c r="AI20019" s="38"/>
    </row>
    <row r="20020" ht="15.75" customHeight="1">
      <c r="A20020" s="35"/>
      <c r="C20020" s="442"/>
      <c r="P20020" s="235"/>
      <c r="AI20020" s="38"/>
    </row>
    <row r="20021" ht="15.75" customHeight="1">
      <c r="A20021" s="35"/>
      <c r="C20021" s="442"/>
      <c r="P20021" s="235"/>
      <c r="AI20021" s="38"/>
    </row>
    <row r="20022" ht="15.75" customHeight="1">
      <c r="A20022" s="35"/>
      <c r="C20022" s="442"/>
      <c r="P20022" s="235"/>
      <c r="AI20022" s="38"/>
    </row>
    <row r="20023" ht="15.75" customHeight="1">
      <c r="A20023" s="35"/>
      <c r="C20023" s="442"/>
      <c r="P20023" s="235"/>
      <c r="AI20023" s="38"/>
    </row>
    <row r="20024" ht="15.75" customHeight="1">
      <c r="A20024" s="35"/>
      <c r="C20024" s="442"/>
      <c r="P20024" s="235"/>
      <c r="AI20024" s="38"/>
    </row>
    <row r="20025" ht="15.75" customHeight="1">
      <c r="A20025" s="35"/>
      <c r="C20025" s="442"/>
      <c r="P20025" s="235"/>
      <c r="AI20025" s="38"/>
    </row>
    <row r="20026" ht="15.75" customHeight="1">
      <c r="A20026" s="35"/>
      <c r="C20026" s="442"/>
      <c r="P20026" s="235"/>
      <c r="AI20026" s="38"/>
    </row>
    <row r="20027" ht="15.75" customHeight="1">
      <c r="A20027" s="35"/>
      <c r="C20027" s="442"/>
      <c r="P20027" s="235"/>
      <c r="AI20027" s="38"/>
    </row>
    <row r="20028" ht="15.75" customHeight="1">
      <c r="A20028" s="35"/>
      <c r="C20028" s="442"/>
      <c r="P20028" s="235"/>
      <c r="AI20028" s="38"/>
    </row>
    <row r="20029" ht="15.75" customHeight="1">
      <c r="A20029" s="35"/>
      <c r="C20029" s="442"/>
      <c r="P20029" s="235"/>
      <c r="AI20029" s="38"/>
    </row>
    <row r="20030" ht="15.75" customHeight="1">
      <c r="A20030" s="35"/>
      <c r="C20030" s="442"/>
      <c r="P20030" s="235"/>
      <c r="AI20030" s="38"/>
    </row>
    <row r="20031" ht="15.75" customHeight="1">
      <c r="A20031" s="35"/>
      <c r="C20031" s="442"/>
      <c r="P20031" s="235"/>
      <c r="AI20031" s="38"/>
    </row>
    <row r="20032" ht="15.75" customHeight="1">
      <c r="A20032" s="35"/>
      <c r="C20032" s="442"/>
      <c r="P20032" s="235"/>
      <c r="AI20032" s="38"/>
    </row>
    <row r="20033" ht="15.75" customHeight="1">
      <c r="A20033" s="35"/>
      <c r="C20033" s="442"/>
      <c r="P20033" s="235"/>
      <c r="AI20033" s="38"/>
    </row>
    <row r="20034" ht="15.75" customHeight="1">
      <c r="A20034" s="35"/>
      <c r="C20034" s="442"/>
      <c r="P20034" s="235"/>
      <c r="AI20034" s="38"/>
    </row>
    <row r="20035" ht="15.75" customHeight="1">
      <c r="A20035" s="35"/>
      <c r="C20035" s="442"/>
      <c r="P20035" s="235"/>
      <c r="AI20035" s="38"/>
    </row>
    <row r="20036" ht="15.75" customHeight="1">
      <c r="A20036" s="35"/>
      <c r="C20036" s="442"/>
      <c r="P20036" s="235"/>
      <c r="AI20036" s="38"/>
    </row>
    <row r="20037" ht="15.75" customHeight="1">
      <c r="A20037" s="35"/>
      <c r="C20037" s="442"/>
      <c r="P20037" s="235"/>
      <c r="AI20037" s="38"/>
    </row>
    <row r="20038" ht="15.75" customHeight="1">
      <c r="A20038" s="35"/>
      <c r="C20038" s="442"/>
      <c r="P20038" s="235"/>
      <c r="AI20038" s="38"/>
    </row>
    <row r="20039" ht="15.75" customHeight="1">
      <c r="A20039" s="35"/>
      <c r="C20039" s="442"/>
      <c r="P20039" s="235"/>
      <c r="AI20039" s="38"/>
    </row>
    <row r="20040" ht="15.75" customHeight="1">
      <c r="A20040" s="35"/>
      <c r="C20040" s="442"/>
      <c r="P20040" s="235"/>
      <c r="AI20040" s="38"/>
    </row>
    <row r="20041" ht="15.75" customHeight="1">
      <c r="A20041" s="35"/>
      <c r="C20041" s="442"/>
      <c r="P20041" s="235"/>
      <c r="AI20041" s="38"/>
    </row>
    <row r="20042" ht="15.75" customHeight="1">
      <c r="A20042" s="35"/>
      <c r="C20042" s="442"/>
      <c r="P20042" s="235"/>
      <c r="AI20042" s="38"/>
    </row>
    <row r="20043" ht="15.75" customHeight="1">
      <c r="A20043" s="35"/>
      <c r="C20043" s="442"/>
      <c r="P20043" s="235"/>
      <c r="AI20043" s="38"/>
    </row>
    <row r="20044" ht="15.75" customHeight="1">
      <c r="A20044" s="35"/>
      <c r="C20044" s="442"/>
      <c r="P20044" s="235"/>
      <c r="AI20044" s="38"/>
    </row>
    <row r="20045" ht="15.75" customHeight="1">
      <c r="A20045" s="35"/>
      <c r="C20045" s="442"/>
      <c r="P20045" s="235"/>
      <c r="AI20045" s="38"/>
    </row>
    <row r="20046" ht="15.75" customHeight="1">
      <c r="A20046" s="35"/>
      <c r="C20046" s="442"/>
      <c r="P20046" s="235"/>
      <c r="AI20046" s="38"/>
    </row>
    <row r="20047" ht="15.75" customHeight="1">
      <c r="A20047" s="35"/>
      <c r="C20047" s="442"/>
      <c r="P20047" s="235"/>
      <c r="AI20047" s="38"/>
    </row>
    <row r="20048" ht="15.75" customHeight="1">
      <c r="A20048" s="35"/>
      <c r="C20048" s="442"/>
      <c r="P20048" s="235"/>
      <c r="AI20048" s="38"/>
    </row>
    <row r="20049" ht="15.75" customHeight="1">
      <c r="A20049" s="35"/>
      <c r="C20049" s="442"/>
      <c r="P20049" s="235"/>
      <c r="AI20049" s="38"/>
    </row>
    <row r="20050" ht="15.75" customHeight="1">
      <c r="A20050" s="35"/>
      <c r="C20050" s="442"/>
      <c r="P20050" s="235"/>
      <c r="AI20050" s="38"/>
    </row>
    <row r="20051" ht="15.75" customHeight="1">
      <c r="A20051" s="35"/>
      <c r="C20051" s="442"/>
      <c r="P20051" s="235"/>
      <c r="AI20051" s="38"/>
    </row>
    <row r="20052" ht="15.75" customHeight="1">
      <c r="A20052" s="35"/>
      <c r="C20052" s="442"/>
      <c r="P20052" s="235"/>
      <c r="AI20052" s="38"/>
    </row>
    <row r="20053" ht="15.75" customHeight="1">
      <c r="A20053" s="35"/>
      <c r="C20053" s="442"/>
      <c r="P20053" s="235"/>
      <c r="AI20053" s="38"/>
    </row>
    <row r="20054" ht="15.75" customHeight="1">
      <c r="A20054" s="35"/>
      <c r="C20054" s="442"/>
      <c r="P20054" s="235"/>
      <c r="AI20054" s="38"/>
    </row>
    <row r="20055" ht="15.75" customHeight="1">
      <c r="A20055" s="35"/>
      <c r="C20055" s="442"/>
      <c r="P20055" s="235"/>
      <c r="AI20055" s="38"/>
    </row>
    <row r="20056" ht="15.75" customHeight="1">
      <c r="A20056" s="35"/>
      <c r="C20056" s="442"/>
      <c r="P20056" s="235"/>
      <c r="AI20056" s="38"/>
    </row>
    <row r="20057" ht="15.75" customHeight="1">
      <c r="A20057" s="35"/>
      <c r="C20057" s="442"/>
      <c r="P20057" s="235"/>
      <c r="AI20057" s="38"/>
    </row>
    <row r="20058" ht="15.75" customHeight="1">
      <c r="A20058" s="35"/>
      <c r="C20058" s="442"/>
      <c r="P20058" s="235"/>
      <c r="AI20058" s="38"/>
    </row>
    <row r="20059" ht="15.75" customHeight="1">
      <c r="A20059" s="35"/>
      <c r="C20059" s="442"/>
      <c r="P20059" s="235"/>
      <c r="AI20059" s="38"/>
    </row>
    <row r="20060" ht="15.75" customHeight="1">
      <c r="A20060" s="35"/>
      <c r="C20060" s="442"/>
      <c r="P20060" s="235"/>
      <c r="AI20060" s="38"/>
    </row>
    <row r="20061" ht="15.75" customHeight="1">
      <c r="A20061" s="35"/>
      <c r="C20061" s="442"/>
      <c r="P20061" s="235"/>
      <c r="AI20061" s="38"/>
    </row>
    <row r="20062" ht="15.75" customHeight="1">
      <c r="A20062" s="35"/>
      <c r="C20062" s="442"/>
      <c r="P20062" s="235"/>
      <c r="AI20062" s="38"/>
    </row>
    <row r="20063" ht="15.75" customHeight="1">
      <c r="A20063" s="35"/>
      <c r="C20063" s="442"/>
      <c r="P20063" s="235"/>
      <c r="AI20063" s="38"/>
    </row>
    <row r="20064" ht="15.75" customHeight="1">
      <c r="A20064" s="35"/>
      <c r="C20064" s="442"/>
      <c r="P20064" s="235"/>
      <c r="AI20064" s="38"/>
    </row>
    <row r="20065" ht="15.75" customHeight="1">
      <c r="A20065" s="35"/>
      <c r="C20065" s="442"/>
      <c r="P20065" s="235"/>
      <c r="AI20065" s="38"/>
    </row>
    <row r="20066" ht="15.75" customHeight="1">
      <c r="A20066" s="35"/>
      <c r="C20066" s="442"/>
      <c r="P20066" s="235"/>
      <c r="AI20066" s="38"/>
    </row>
    <row r="20067" ht="15.75" customHeight="1">
      <c r="A20067" s="35"/>
      <c r="C20067" s="442"/>
      <c r="P20067" s="235"/>
      <c r="AI20067" s="38"/>
    </row>
    <row r="20068" ht="15.75" customHeight="1">
      <c r="A20068" s="35"/>
      <c r="C20068" s="442"/>
      <c r="P20068" s="235"/>
      <c r="AI20068" s="38"/>
    </row>
    <row r="20069" ht="15.75" customHeight="1">
      <c r="A20069" s="35"/>
      <c r="C20069" s="442"/>
      <c r="P20069" s="235"/>
      <c r="AI20069" s="38"/>
    </row>
    <row r="20070" ht="15.75" customHeight="1">
      <c r="A20070" s="35"/>
      <c r="C20070" s="442"/>
      <c r="P20070" s="235"/>
      <c r="AI20070" s="38"/>
    </row>
    <row r="20071" ht="15.75" customHeight="1">
      <c r="A20071" s="35"/>
      <c r="C20071" s="442"/>
      <c r="P20071" s="235"/>
      <c r="AI20071" s="38"/>
    </row>
    <row r="20072" ht="15.75" customHeight="1">
      <c r="A20072" s="35"/>
      <c r="C20072" s="442"/>
      <c r="P20072" s="235"/>
      <c r="AI20072" s="38"/>
    </row>
    <row r="20073" ht="15.75" customHeight="1">
      <c r="A20073" s="35"/>
      <c r="C20073" s="442"/>
      <c r="P20073" s="235"/>
      <c r="AI20073" s="38"/>
    </row>
    <row r="20074" ht="15.75" customHeight="1">
      <c r="A20074" s="35"/>
      <c r="C20074" s="442"/>
      <c r="P20074" s="235"/>
      <c r="AI20074" s="38"/>
    </row>
    <row r="20075" ht="15.75" customHeight="1">
      <c r="A20075" s="35"/>
      <c r="C20075" s="442"/>
      <c r="P20075" s="235"/>
      <c r="AI20075" s="38"/>
    </row>
    <row r="20076" ht="15.75" customHeight="1">
      <c r="A20076" s="35"/>
      <c r="C20076" s="442"/>
      <c r="P20076" s="235"/>
      <c r="AI20076" s="38"/>
    </row>
    <row r="20077" ht="15.75" customHeight="1">
      <c r="A20077" s="35"/>
      <c r="C20077" s="442"/>
      <c r="P20077" s="235"/>
      <c r="AI20077" s="38"/>
    </row>
    <row r="20078" ht="15.75" customHeight="1">
      <c r="A20078" s="35"/>
      <c r="C20078" s="442"/>
      <c r="P20078" s="235"/>
      <c r="AI20078" s="38"/>
    </row>
    <row r="20079" ht="15.75" customHeight="1">
      <c r="A20079" s="35"/>
      <c r="C20079" s="442"/>
      <c r="P20079" s="235"/>
      <c r="AI20079" s="38"/>
    </row>
    <row r="20080" ht="15.75" customHeight="1">
      <c r="A20080" s="35"/>
      <c r="C20080" s="442"/>
      <c r="P20080" s="235"/>
      <c r="AI20080" s="38"/>
    </row>
    <row r="20081" ht="15.75" customHeight="1">
      <c r="A20081" s="35"/>
      <c r="C20081" s="442"/>
      <c r="P20081" s="235"/>
      <c r="AI20081" s="38"/>
    </row>
    <row r="20082" ht="15.75" customHeight="1">
      <c r="A20082" s="35"/>
      <c r="C20082" s="442"/>
      <c r="P20082" s="235"/>
      <c r="AI20082" s="38"/>
    </row>
    <row r="20083" ht="15.75" customHeight="1">
      <c r="A20083" s="35"/>
      <c r="C20083" s="442"/>
      <c r="P20083" s="235"/>
      <c r="AI20083" s="38"/>
    </row>
    <row r="20084" ht="15.75" customHeight="1">
      <c r="A20084" s="35"/>
      <c r="C20084" s="442"/>
      <c r="P20084" s="235"/>
      <c r="AI20084" s="38"/>
    </row>
    <row r="20085" ht="15.75" customHeight="1">
      <c r="A20085" s="35"/>
      <c r="C20085" s="442"/>
      <c r="P20085" s="235"/>
      <c r="AI20085" s="38"/>
    </row>
    <row r="20086" ht="15.75" customHeight="1">
      <c r="A20086" s="35"/>
      <c r="C20086" s="442"/>
      <c r="P20086" s="235"/>
      <c r="AI20086" s="38"/>
    </row>
    <row r="20087" ht="15.75" customHeight="1">
      <c r="A20087" s="35"/>
      <c r="C20087" s="442"/>
      <c r="P20087" s="235"/>
      <c r="AI20087" s="38"/>
    </row>
    <row r="20088" ht="15.75" customHeight="1">
      <c r="A20088" s="35"/>
      <c r="C20088" s="442"/>
      <c r="P20088" s="235"/>
      <c r="AI20088" s="38"/>
    </row>
    <row r="20089" ht="15.75" customHeight="1">
      <c r="A20089" s="35"/>
      <c r="C20089" s="442"/>
      <c r="P20089" s="235"/>
      <c r="AI20089" s="38"/>
    </row>
    <row r="20090" ht="15.75" customHeight="1">
      <c r="A20090" s="35"/>
      <c r="C20090" s="442"/>
      <c r="P20090" s="235"/>
      <c r="AI20090" s="38"/>
    </row>
    <row r="20091" ht="15.75" customHeight="1">
      <c r="A20091" s="35"/>
      <c r="C20091" s="442"/>
      <c r="P20091" s="235"/>
      <c r="AI20091" s="38"/>
    </row>
    <row r="20092" ht="15.75" customHeight="1">
      <c r="A20092" s="35"/>
      <c r="C20092" s="442"/>
      <c r="P20092" s="235"/>
      <c r="AI20092" s="38"/>
    </row>
    <row r="20093" ht="15.75" customHeight="1">
      <c r="A20093" s="35"/>
      <c r="C20093" s="442"/>
      <c r="P20093" s="235"/>
      <c r="AI20093" s="38"/>
    </row>
    <row r="20094" ht="15.75" customHeight="1">
      <c r="A20094" s="35"/>
      <c r="C20094" s="442"/>
      <c r="P20094" s="235"/>
      <c r="AI20094" s="38"/>
    </row>
    <row r="20095" ht="15.75" customHeight="1">
      <c r="A20095" s="35"/>
      <c r="C20095" s="442"/>
      <c r="P20095" s="235"/>
      <c r="AI20095" s="38"/>
    </row>
    <row r="20096" ht="15.75" customHeight="1">
      <c r="A20096" s="35"/>
      <c r="C20096" s="442"/>
      <c r="P20096" s="235"/>
      <c r="AI20096" s="38"/>
    </row>
    <row r="20097" ht="15.75" customHeight="1">
      <c r="A20097" s="35"/>
      <c r="C20097" s="442"/>
      <c r="P20097" s="235"/>
      <c r="AI20097" s="38"/>
    </row>
    <row r="20098" ht="15.75" customHeight="1">
      <c r="A20098" s="35"/>
      <c r="C20098" s="442"/>
      <c r="P20098" s="235"/>
      <c r="AI20098" s="38"/>
    </row>
    <row r="20099" ht="15.75" customHeight="1">
      <c r="A20099" s="35"/>
      <c r="C20099" s="442"/>
      <c r="P20099" s="235"/>
      <c r="AI20099" s="38"/>
    </row>
    <row r="20100" ht="15.75" customHeight="1">
      <c r="A20100" s="35"/>
      <c r="C20100" s="442"/>
      <c r="P20100" s="235"/>
      <c r="AI20100" s="38"/>
    </row>
    <row r="20101" ht="15.75" customHeight="1">
      <c r="A20101" s="35"/>
      <c r="C20101" s="442"/>
      <c r="P20101" s="235"/>
      <c r="AI20101" s="38"/>
    </row>
    <row r="20102" ht="15.75" customHeight="1">
      <c r="A20102" s="35"/>
      <c r="C20102" s="442"/>
      <c r="P20102" s="235"/>
      <c r="AI20102" s="38"/>
    </row>
    <row r="20103" ht="15.75" customHeight="1">
      <c r="A20103" s="35"/>
      <c r="C20103" s="442"/>
      <c r="P20103" s="235"/>
      <c r="AI20103" s="38"/>
    </row>
    <row r="20104" ht="15.75" customHeight="1">
      <c r="A20104" s="35"/>
      <c r="C20104" s="442"/>
      <c r="P20104" s="235"/>
      <c r="AI20104" s="38"/>
    </row>
    <row r="20105" ht="15.75" customHeight="1">
      <c r="A20105" s="35"/>
      <c r="C20105" s="442"/>
      <c r="P20105" s="235"/>
      <c r="AI20105" s="38"/>
    </row>
    <row r="20106" ht="15.75" customHeight="1">
      <c r="A20106" s="35"/>
      <c r="C20106" s="442"/>
      <c r="P20106" s="235"/>
      <c r="AI20106" s="38"/>
    </row>
    <row r="20107" ht="15.75" customHeight="1">
      <c r="A20107" s="35"/>
      <c r="C20107" s="442"/>
      <c r="P20107" s="235"/>
      <c r="AI20107" s="38"/>
    </row>
    <row r="20108" ht="15.75" customHeight="1">
      <c r="A20108" s="35"/>
      <c r="C20108" s="442"/>
      <c r="P20108" s="235"/>
      <c r="AI20108" s="38"/>
    </row>
    <row r="20109" ht="15.75" customHeight="1">
      <c r="A20109" s="35"/>
      <c r="C20109" s="442"/>
      <c r="P20109" s="235"/>
      <c r="AI20109" s="38"/>
    </row>
    <row r="20110" ht="15.75" customHeight="1">
      <c r="A20110" s="35"/>
      <c r="C20110" s="442"/>
      <c r="P20110" s="235"/>
      <c r="AI20110" s="38"/>
    </row>
    <row r="20111" ht="15.75" customHeight="1">
      <c r="A20111" s="35"/>
      <c r="C20111" s="442"/>
      <c r="P20111" s="235"/>
      <c r="AI20111" s="38"/>
    </row>
    <row r="20112" ht="15.75" customHeight="1">
      <c r="A20112" s="35"/>
      <c r="C20112" s="442"/>
      <c r="P20112" s="235"/>
      <c r="AI20112" s="38"/>
    </row>
    <row r="20113" ht="15.75" customHeight="1">
      <c r="A20113" s="35"/>
      <c r="C20113" s="442"/>
      <c r="P20113" s="235"/>
      <c r="AI20113" s="38"/>
    </row>
    <row r="20114" ht="15.75" customHeight="1">
      <c r="A20114" s="35"/>
      <c r="C20114" s="442"/>
      <c r="P20114" s="235"/>
      <c r="AI20114" s="38"/>
    </row>
    <row r="20115" ht="15.75" customHeight="1">
      <c r="A20115" s="35"/>
      <c r="C20115" s="442"/>
      <c r="P20115" s="235"/>
      <c r="AI20115" s="38"/>
    </row>
    <row r="20116" ht="15.75" customHeight="1">
      <c r="A20116" s="35"/>
      <c r="C20116" s="442"/>
      <c r="P20116" s="235"/>
      <c r="AI20116" s="38"/>
    </row>
    <row r="20117" ht="15.75" customHeight="1">
      <c r="A20117" s="35"/>
      <c r="C20117" s="442"/>
      <c r="P20117" s="235"/>
      <c r="AI20117" s="38"/>
    </row>
    <row r="20118" ht="15.75" customHeight="1">
      <c r="A20118" s="35"/>
      <c r="C20118" s="442"/>
      <c r="P20118" s="235"/>
      <c r="AI20118" s="38"/>
    </row>
    <row r="20119" ht="15.75" customHeight="1">
      <c r="A20119" s="35"/>
      <c r="C20119" s="442"/>
      <c r="P20119" s="235"/>
      <c r="AI20119" s="38"/>
    </row>
    <row r="20120" ht="15.75" customHeight="1">
      <c r="A20120" s="35"/>
      <c r="C20120" s="442"/>
      <c r="P20120" s="235"/>
      <c r="AI20120" s="38"/>
    </row>
    <row r="20121" ht="15.75" customHeight="1">
      <c r="A20121" s="35"/>
      <c r="C20121" s="442"/>
      <c r="P20121" s="235"/>
      <c r="AI20121" s="38"/>
    </row>
    <row r="20122" ht="15.75" customHeight="1">
      <c r="A20122" s="35"/>
      <c r="C20122" s="442"/>
      <c r="P20122" s="235"/>
      <c r="AI20122" s="38"/>
    </row>
    <row r="20123" ht="15.75" customHeight="1">
      <c r="A20123" s="35"/>
      <c r="C20123" s="442"/>
      <c r="P20123" s="235"/>
      <c r="AI20123" s="38"/>
    </row>
    <row r="20124" ht="15.75" customHeight="1">
      <c r="A20124" s="35"/>
      <c r="C20124" s="442"/>
      <c r="P20124" s="235"/>
      <c r="AI20124" s="38"/>
    </row>
    <row r="20125" ht="15.75" customHeight="1">
      <c r="A20125" s="35"/>
      <c r="C20125" s="442"/>
      <c r="P20125" s="235"/>
      <c r="AI20125" s="38"/>
    </row>
    <row r="20126" ht="15.75" customHeight="1">
      <c r="A20126" s="35"/>
      <c r="C20126" s="442"/>
      <c r="P20126" s="235"/>
      <c r="AI20126" s="38"/>
    </row>
    <row r="20127" ht="15.75" customHeight="1">
      <c r="A20127" s="35"/>
      <c r="C20127" s="442"/>
      <c r="P20127" s="235"/>
      <c r="AI20127" s="38"/>
    </row>
    <row r="20128" ht="15.75" customHeight="1">
      <c r="A20128" s="35"/>
      <c r="C20128" s="442"/>
      <c r="P20128" s="235"/>
      <c r="AI20128" s="38"/>
    </row>
    <row r="20129" ht="15.75" customHeight="1">
      <c r="A20129" s="35"/>
      <c r="C20129" s="442"/>
      <c r="P20129" s="235"/>
      <c r="AI20129" s="38"/>
    </row>
    <row r="20130" ht="15.75" customHeight="1">
      <c r="A20130" s="35"/>
      <c r="C20130" s="442"/>
      <c r="P20130" s="235"/>
      <c r="AI20130" s="38"/>
    </row>
    <row r="20131" ht="15.75" customHeight="1">
      <c r="A20131" s="35"/>
      <c r="C20131" s="442"/>
      <c r="P20131" s="235"/>
      <c r="AI20131" s="38"/>
    </row>
    <row r="20132" ht="15.75" customHeight="1">
      <c r="A20132" s="35"/>
      <c r="C20132" s="442"/>
      <c r="P20132" s="235"/>
      <c r="AI20132" s="38"/>
    </row>
    <row r="20133" ht="15.75" customHeight="1">
      <c r="A20133" s="35"/>
      <c r="C20133" s="442"/>
      <c r="P20133" s="235"/>
      <c r="AI20133" s="38"/>
    </row>
    <row r="20134" ht="15.75" customHeight="1">
      <c r="A20134" s="35"/>
      <c r="C20134" s="442"/>
      <c r="P20134" s="235"/>
      <c r="AI20134" s="38"/>
    </row>
    <row r="20135" ht="15.75" customHeight="1">
      <c r="A20135" s="35"/>
      <c r="C20135" s="442"/>
      <c r="P20135" s="235"/>
      <c r="AI20135" s="38"/>
    </row>
    <row r="20136" ht="15.75" customHeight="1">
      <c r="A20136" s="35"/>
      <c r="C20136" s="442"/>
      <c r="P20136" s="235"/>
      <c r="AI20136" s="38"/>
    </row>
    <row r="20137" ht="15.75" customHeight="1">
      <c r="A20137" s="35"/>
      <c r="C20137" s="442"/>
      <c r="P20137" s="235"/>
      <c r="AI20137" s="38"/>
    </row>
    <row r="20138" ht="15.75" customHeight="1">
      <c r="A20138" s="35"/>
      <c r="C20138" s="442"/>
      <c r="P20138" s="235"/>
      <c r="AI20138" s="38"/>
    </row>
    <row r="20139" ht="15.75" customHeight="1">
      <c r="A20139" s="35"/>
      <c r="C20139" s="442"/>
      <c r="P20139" s="235"/>
      <c r="AI20139" s="38"/>
    </row>
    <row r="20140" ht="15.75" customHeight="1">
      <c r="A20140" s="35"/>
      <c r="C20140" s="442"/>
      <c r="P20140" s="235"/>
      <c r="AI20140" s="38"/>
    </row>
    <row r="20141" ht="15.75" customHeight="1">
      <c r="A20141" s="35"/>
      <c r="C20141" s="442"/>
      <c r="P20141" s="235"/>
      <c r="AI20141" s="38"/>
    </row>
    <row r="20142" ht="15.75" customHeight="1">
      <c r="A20142" s="35"/>
      <c r="C20142" s="442"/>
      <c r="P20142" s="235"/>
      <c r="AI20142" s="38"/>
    </row>
    <row r="20143" ht="15.75" customHeight="1">
      <c r="A20143" s="35"/>
      <c r="C20143" s="442"/>
      <c r="P20143" s="235"/>
      <c r="AI20143" s="38"/>
    </row>
    <row r="20144" ht="15.75" customHeight="1">
      <c r="A20144" s="35"/>
      <c r="C20144" s="442"/>
      <c r="P20144" s="235"/>
      <c r="AI20144" s="38"/>
    </row>
    <row r="20145" ht="15.75" customHeight="1">
      <c r="A20145" s="35"/>
      <c r="C20145" s="442"/>
      <c r="P20145" s="235"/>
      <c r="AI20145" s="38"/>
    </row>
    <row r="20146" ht="15.75" customHeight="1">
      <c r="A20146" s="35"/>
      <c r="C20146" s="442"/>
      <c r="P20146" s="235"/>
      <c r="AI20146" s="38"/>
    </row>
    <row r="20147" ht="15.75" customHeight="1">
      <c r="A20147" s="35"/>
      <c r="C20147" s="442"/>
      <c r="P20147" s="235"/>
      <c r="AI20147" s="38"/>
    </row>
    <row r="20148" ht="15.75" customHeight="1">
      <c r="A20148" s="35"/>
      <c r="C20148" s="442"/>
      <c r="P20148" s="235"/>
      <c r="AI20148" s="38"/>
    </row>
    <row r="20149" ht="15.75" customHeight="1">
      <c r="A20149" s="35"/>
      <c r="C20149" s="442"/>
      <c r="P20149" s="235"/>
      <c r="AI20149" s="38"/>
    </row>
    <row r="20150" ht="15.75" customHeight="1">
      <c r="A20150" s="35"/>
      <c r="C20150" s="442"/>
      <c r="P20150" s="235"/>
      <c r="AI20150" s="38"/>
    </row>
    <row r="20151" ht="15.75" customHeight="1">
      <c r="A20151" s="35"/>
      <c r="C20151" s="442"/>
      <c r="P20151" s="235"/>
      <c r="AI20151" s="38"/>
    </row>
    <row r="20152" ht="15.75" customHeight="1">
      <c r="A20152" s="35"/>
      <c r="C20152" s="442"/>
      <c r="P20152" s="235"/>
      <c r="AI20152" s="38"/>
    </row>
    <row r="20153" ht="15.75" customHeight="1">
      <c r="A20153" s="35"/>
      <c r="C20153" s="442"/>
      <c r="P20153" s="235"/>
      <c r="AI20153" s="38"/>
    </row>
    <row r="20154" ht="15.75" customHeight="1">
      <c r="A20154" s="35"/>
      <c r="C20154" s="442"/>
      <c r="P20154" s="235"/>
      <c r="AI20154" s="38"/>
    </row>
    <row r="20155" ht="15.75" customHeight="1">
      <c r="A20155" s="35"/>
      <c r="C20155" s="442"/>
      <c r="P20155" s="235"/>
      <c r="AI20155" s="38"/>
    </row>
    <row r="20156" ht="15.75" customHeight="1">
      <c r="A20156" s="35"/>
      <c r="C20156" s="442"/>
      <c r="P20156" s="235"/>
      <c r="AI20156" s="38"/>
    </row>
    <row r="20157" ht="15.75" customHeight="1">
      <c r="A20157" s="35"/>
      <c r="C20157" s="442"/>
      <c r="P20157" s="235"/>
      <c r="AI20157" s="38"/>
    </row>
    <row r="20158" ht="15.75" customHeight="1">
      <c r="A20158" s="35"/>
      <c r="C20158" s="442"/>
      <c r="P20158" s="235"/>
      <c r="AI20158" s="38"/>
    </row>
    <row r="20159" ht="15.75" customHeight="1">
      <c r="A20159" s="35"/>
      <c r="C20159" s="442"/>
      <c r="P20159" s="235"/>
      <c r="AI20159" s="38"/>
    </row>
    <row r="20160" ht="15.75" customHeight="1">
      <c r="A20160" s="35"/>
      <c r="C20160" s="442"/>
      <c r="P20160" s="235"/>
      <c r="AI20160" s="38"/>
    </row>
    <row r="20161" ht="15.75" customHeight="1">
      <c r="A20161" s="35"/>
      <c r="C20161" s="442"/>
      <c r="P20161" s="235"/>
      <c r="AI20161" s="38"/>
    </row>
    <row r="20162" ht="15.75" customHeight="1">
      <c r="A20162" s="35"/>
      <c r="C20162" s="442"/>
      <c r="P20162" s="235"/>
      <c r="AI20162" s="38"/>
    </row>
    <row r="20163" ht="15.75" customHeight="1">
      <c r="A20163" s="35"/>
      <c r="C20163" s="442"/>
      <c r="P20163" s="235"/>
      <c r="AI20163" s="38"/>
    </row>
    <row r="20164" ht="15.75" customHeight="1">
      <c r="A20164" s="35"/>
      <c r="C20164" s="442"/>
      <c r="P20164" s="235"/>
      <c r="AI20164" s="38"/>
    </row>
    <row r="20165" ht="15.75" customHeight="1">
      <c r="A20165" s="35"/>
      <c r="C20165" s="442"/>
      <c r="P20165" s="235"/>
      <c r="AI20165" s="38"/>
    </row>
    <row r="20166" ht="15.75" customHeight="1">
      <c r="A20166" s="35"/>
      <c r="C20166" s="442"/>
      <c r="P20166" s="235"/>
      <c r="AI20166" s="38"/>
    </row>
    <row r="20167" ht="15.75" customHeight="1">
      <c r="A20167" s="35"/>
      <c r="C20167" s="442"/>
      <c r="P20167" s="235"/>
      <c r="AI20167" s="38"/>
    </row>
    <row r="20168" ht="15.75" customHeight="1">
      <c r="A20168" s="35"/>
      <c r="C20168" s="442"/>
      <c r="P20168" s="235"/>
      <c r="AI20168" s="38"/>
    </row>
    <row r="20169" ht="15.75" customHeight="1">
      <c r="A20169" s="35"/>
      <c r="C20169" s="442"/>
      <c r="P20169" s="235"/>
      <c r="AI20169" s="38"/>
    </row>
    <row r="20170" ht="15.75" customHeight="1">
      <c r="A20170" s="35"/>
      <c r="C20170" s="442"/>
      <c r="P20170" s="235"/>
      <c r="AI20170" s="38"/>
    </row>
    <row r="20171" ht="15.75" customHeight="1">
      <c r="A20171" s="35"/>
      <c r="C20171" s="442"/>
      <c r="P20171" s="235"/>
      <c r="AI20171" s="38"/>
    </row>
    <row r="20172" ht="15.75" customHeight="1">
      <c r="A20172" s="35"/>
      <c r="C20172" s="442"/>
      <c r="P20172" s="235"/>
      <c r="AI20172" s="38"/>
    </row>
    <row r="20173" ht="15.75" customHeight="1">
      <c r="A20173" s="35"/>
      <c r="C20173" s="442"/>
      <c r="P20173" s="235"/>
      <c r="AI20173" s="38"/>
    </row>
    <row r="20174" ht="15.75" customHeight="1">
      <c r="A20174" s="35"/>
      <c r="C20174" s="442"/>
      <c r="P20174" s="235"/>
      <c r="AI20174" s="38"/>
    </row>
    <row r="20175" ht="15.75" customHeight="1">
      <c r="A20175" s="35"/>
      <c r="C20175" s="442"/>
      <c r="P20175" s="235"/>
      <c r="AI20175" s="38"/>
    </row>
    <row r="20176" ht="15.75" customHeight="1">
      <c r="A20176" s="35"/>
      <c r="C20176" s="442"/>
      <c r="P20176" s="235"/>
      <c r="AI20176" s="38"/>
    </row>
    <row r="20177" ht="15.75" customHeight="1">
      <c r="A20177" s="35"/>
      <c r="C20177" s="442"/>
      <c r="P20177" s="235"/>
      <c r="AI20177" s="38"/>
    </row>
    <row r="20178" ht="15.75" customHeight="1">
      <c r="A20178" s="35"/>
      <c r="C20178" s="442"/>
      <c r="P20178" s="235"/>
      <c r="AI20178" s="38"/>
    </row>
    <row r="20179" ht="15.75" customHeight="1">
      <c r="A20179" s="35"/>
      <c r="C20179" s="442"/>
      <c r="P20179" s="235"/>
      <c r="AI20179" s="38"/>
    </row>
    <row r="20180" ht="15.75" customHeight="1">
      <c r="A20180" s="35"/>
      <c r="C20180" s="442"/>
      <c r="P20180" s="235"/>
      <c r="AI20180" s="38"/>
    </row>
    <row r="20181" ht="15.75" customHeight="1">
      <c r="A20181" s="35"/>
      <c r="C20181" s="442"/>
      <c r="P20181" s="235"/>
      <c r="AI20181" s="38"/>
    </row>
    <row r="20182" ht="15.75" customHeight="1">
      <c r="A20182" s="35"/>
      <c r="C20182" s="442"/>
      <c r="P20182" s="235"/>
      <c r="AI20182" s="38"/>
    </row>
    <row r="20183" ht="15.75" customHeight="1">
      <c r="A20183" s="35"/>
      <c r="C20183" s="442"/>
      <c r="P20183" s="235"/>
      <c r="AI20183" s="38"/>
    </row>
    <row r="20184" ht="15.75" customHeight="1">
      <c r="A20184" s="35"/>
      <c r="C20184" s="442"/>
      <c r="P20184" s="235"/>
      <c r="AI20184" s="38"/>
    </row>
    <row r="20185" ht="15.75" customHeight="1">
      <c r="A20185" s="35"/>
      <c r="C20185" s="442"/>
      <c r="P20185" s="235"/>
      <c r="AI20185" s="38"/>
    </row>
    <row r="20186" ht="15.75" customHeight="1">
      <c r="A20186" s="35"/>
      <c r="C20186" s="442"/>
      <c r="P20186" s="235"/>
      <c r="AI20186" s="38"/>
    </row>
    <row r="20187" ht="15.75" customHeight="1">
      <c r="A20187" s="35"/>
      <c r="C20187" s="442"/>
      <c r="P20187" s="235"/>
      <c r="AI20187" s="38"/>
    </row>
    <row r="20188" ht="15.75" customHeight="1">
      <c r="A20188" s="35"/>
      <c r="C20188" s="442"/>
      <c r="P20188" s="235"/>
      <c r="AI20188" s="38"/>
    </row>
    <row r="20189" ht="15.75" customHeight="1">
      <c r="A20189" s="35"/>
      <c r="C20189" s="442"/>
      <c r="P20189" s="235"/>
      <c r="AI20189" s="38"/>
    </row>
    <row r="20190" ht="15.75" customHeight="1">
      <c r="A20190" s="35"/>
      <c r="C20190" s="442"/>
      <c r="P20190" s="235"/>
      <c r="AI20190" s="38"/>
    </row>
    <row r="20191" ht="15.75" customHeight="1">
      <c r="A20191" s="35"/>
      <c r="C20191" s="442"/>
      <c r="P20191" s="235"/>
      <c r="AI20191" s="38"/>
    </row>
    <row r="20192" ht="15.75" customHeight="1">
      <c r="A20192" s="35"/>
      <c r="C20192" s="442"/>
      <c r="P20192" s="235"/>
      <c r="AI20192" s="38"/>
    </row>
    <row r="20193" ht="15.75" customHeight="1">
      <c r="A20193" s="35"/>
      <c r="C20193" s="442"/>
      <c r="P20193" s="235"/>
      <c r="AI20193" s="38"/>
    </row>
    <row r="20194" ht="15.75" customHeight="1">
      <c r="A20194" s="35"/>
      <c r="C20194" s="442"/>
      <c r="P20194" s="235"/>
      <c r="AI20194" s="38"/>
    </row>
    <row r="20195" ht="15.75" customHeight="1">
      <c r="A20195" s="35"/>
      <c r="C20195" s="442"/>
      <c r="P20195" s="235"/>
      <c r="AI20195" s="38"/>
    </row>
    <row r="20196" ht="15.75" customHeight="1">
      <c r="A20196" s="35"/>
      <c r="C20196" s="442"/>
      <c r="P20196" s="235"/>
      <c r="AI20196" s="38"/>
    </row>
    <row r="20197" ht="15.75" customHeight="1">
      <c r="A20197" s="35"/>
      <c r="C20197" s="442"/>
      <c r="P20197" s="235"/>
      <c r="AI20197" s="38"/>
    </row>
    <row r="20198" ht="15.75" customHeight="1">
      <c r="A20198" s="35"/>
      <c r="C20198" s="442"/>
      <c r="P20198" s="235"/>
      <c r="AI20198" s="38"/>
    </row>
    <row r="20199" ht="15.75" customHeight="1">
      <c r="A20199" s="35"/>
      <c r="C20199" s="442"/>
      <c r="P20199" s="235"/>
      <c r="AI20199" s="38"/>
    </row>
    <row r="20200" ht="15.75" customHeight="1">
      <c r="A20200" s="35"/>
      <c r="C20200" s="442"/>
      <c r="P20200" s="235"/>
      <c r="AI20200" s="38"/>
    </row>
    <row r="20201" ht="15.75" customHeight="1">
      <c r="A20201" s="35"/>
      <c r="C20201" s="442"/>
      <c r="P20201" s="235"/>
      <c r="AI20201" s="38"/>
    </row>
    <row r="20202" ht="15.75" customHeight="1">
      <c r="A20202" s="35"/>
      <c r="C20202" s="442"/>
      <c r="P20202" s="235"/>
      <c r="AI20202" s="38"/>
    </row>
    <row r="20203" ht="15.75" customHeight="1">
      <c r="A20203" s="35"/>
      <c r="C20203" s="442"/>
      <c r="P20203" s="235"/>
      <c r="AI20203" s="38"/>
    </row>
    <row r="20204" ht="15.75" customHeight="1">
      <c r="A20204" s="35"/>
      <c r="C20204" s="442"/>
      <c r="P20204" s="235"/>
      <c r="AI20204" s="38"/>
    </row>
    <row r="20205" ht="15.75" customHeight="1">
      <c r="A20205" s="35"/>
      <c r="C20205" s="442"/>
      <c r="P20205" s="235"/>
      <c r="AI20205" s="38"/>
    </row>
    <row r="20206" ht="15.75" customHeight="1">
      <c r="A20206" s="35"/>
      <c r="C20206" s="442"/>
      <c r="P20206" s="235"/>
      <c r="AI20206" s="38"/>
    </row>
    <row r="20207" ht="15.75" customHeight="1">
      <c r="A20207" s="35"/>
      <c r="C20207" s="442"/>
      <c r="P20207" s="235"/>
      <c r="AI20207" s="38"/>
    </row>
    <row r="20208" ht="15.75" customHeight="1">
      <c r="A20208" s="35"/>
      <c r="C20208" s="442"/>
      <c r="P20208" s="235"/>
      <c r="AI20208" s="38"/>
    </row>
    <row r="20209" ht="15.75" customHeight="1">
      <c r="A20209" s="35"/>
      <c r="C20209" s="442"/>
      <c r="P20209" s="235"/>
      <c r="AI20209" s="38"/>
    </row>
    <row r="20210" ht="15.75" customHeight="1">
      <c r="A20210" s="35"/>
      <c r="C20210" s="442"/>
      <c r="P20210" s="235"/>
      <c r="AI20210" s="38"/>
    </row>
    <row r="20211" ht="15.75" customHeight="1">
      <c r="A20211" s="35"/>
      <c r="C20211" s="442"/>
      <c r="P20211" s="235"/>
      <c r="AI20211" s="38"/>
    </row>
    <row r="20212" ht="15.75" customHeight="1">
      <c r="A20212" s="35"/>
      <c r="C20212" s="442"/>
      <c r="P20212" s="235"/>
      <c r="AI20212" s="38"/>
    </row>
    <row r="20213" ht="15.75" customHeight="1">
      <c r="A20213" s="35"/>
      <c r="C20213" s="442"/>
      <c r="P20213" s="235"/>
      <c r="AI20213" s="38"/>
    </row>
    <row r="20214" ht="15.75" customHeight="1">
      <c r="A20214" s="35"/>
      <c r="C20214" s="442"/>
      <c r="P20214" s="235"/>
      <c r="AI20214" s="38"/>
    </row>
    <row r="20215" ht="15.75" customHeight="1">
      <c r="A20215" s="35"/>
      <c r="C20215" s="442"/>
      <c r="P20215" s="235"/>
      <c r="AI20215" s="38"/>
    </row>
    <row r="20216" ht="15.75" customHeight="1">
      <c r="A20216" s="35"/>
      <c r="C20216" s="442"/>
      <c r="P20216" s="235"/>
      <c r="AI20216" s="38"/>
    </row>
    <row r="20217" ht="15.75" customHeight="1">
      <c r="A20217" s="35"/>
      <c r="C20217" s="442"/>
      <c r="P20217" s="235"/>
      <c r="AI20217" s="38"/>
    </row>
    <row r="20218" ht="15.75" customHeight="1">
      <c r="A20218" s="35"/>
      <c r="C20218" s="442"/>
      <c r="P20218" s="235"/>
      <c r="AI20218" s="38"/>
    </row>
    <row r="20219" ht="15.75" customHeight="1">
      <c r="A20219" s="35"/>
      <c r="C20219" s="442"/>
      <c r="P20219" s="235"/>
      <c r="AI20219" s="38"/>
    </row>
    <row r="20220" ht="15.75" customHeight="1">
      <c r="A20220" s="35"/>
      <c r="C20220" s="442"/>
      <c r="P20220" s="235"/>
      <c r="AI20220" s="38"/>
    </row>
    <row r="20221" ht="15.75" customHeight="1">
      <c r="A20221" s="35"/>
      <c r="C20221" s="442"/>
      <c r="P20221" s="235"/>
      <c r="AI20221" s="38"/>
    </row>
    <row r="20222" ht="15.75" customHeight="1">
      <c r="A20222" s="35"/>
      <c r="C20222" s="442"/>
      <c r="P20222" s="235"/>
      <c r="AI20222" s="38"/>
    </row>
    <row r="20223" ht="15.75" customHeight="1">
      <c r="A20223" s="35"/>
      <c r="C20223" s="442"/>
      <c r="P20223" s="235"/>
      <c r="AI20223" s="38"/>
    </row>
    <row r="20224" ht="15.75" customHeight="1">
      <c r="A20224" s="35"/>
      <c r="C20224" s="442"/>
      <c r="P20224" s="235"/>
      <c r="AI20224" s="38"/>
    </row>
    <row r="20225" ht="15.75" customHeight="1">
      <c r="A20225" s="35"/>
      <c r="C20225" s="442"/>
      <c r="P20225" s="235"/>
      <c r="AI20225" s="38"/>
    </row>
    <row r="20226" ht="15.75" customHeight="1">
      <c r="A20226" s="35"/>
      <c r="C20226" s="442"/>
      <c r="P20226" s="235"/>
      <c r="AI20226" s="38"/>
    </row>
    <row r="20227" ht="15.75" customHeight="1">
      <c r="A20227" s="35"/>
      <c r="C20227" s="442"/>
      <c r="P20227" s="235"/>
      <c r="AI20227" s="38"/>
    </row>
    <row r="20228" ht="15.75" customHeight="1">
      <c r="A20228" s="35"/>
      <c r="C20228" s="442"/>
      <c r="P20228" s="235"/>
      <c r="AI20228" s="38"/>
    </row>
    <row r="20229" ht="15.75" customHeight="1">
      <c r="A20229" s="35"/>
      <c r="C20229" s="442"/>
      <c r="P20229" s="235"/>
      <c r="AI20229" s="38"/>
    </row>
    <row r="20230" ht="15.75" customHeight="1">
      <c r="A20230" s="35"/>
      <c r="C20230" s="442"/>
      <c r="P20230" s="235"/>
      <c r="AI20230" s="38"/>
    </row>
    <row r="20231" ht="15.75" customHeight="1">
      <c r="A20231" s="35"/>
      <c r="C20231" s="442"/>
      <c r="P20231" s="235"/>
      <c r="AI20231" s="38"/>
    </row>
    <row r="20232" ht="15.75" customHeight="1">
      <c r="A20232" s="35"/>
      <c r="C20232" s="442"/>
      <c r="P20232" s="235"/>
      <c r="AI20232" s="38"/>
    </row>
    <row r="20233" ht="15.75" customHeight="1">
      <c r="A20233" s="35"/>
      <c r="C20233" s="442"/>
      <c r="P20233" s="235"/>
      <c r="AI20233" s="38"/>
    </row>
    <row r="20234" ht="15.75" customHeight="1">
      <c r="A20234" s="35"/>
      <c r="C20234" s="442"/>
      <c r="P20234" s="235"/>
      <c r="AI20234" s="38"/>
    </row>
    <row r="20235" ht="15.75" customHeight="1">
      <c r="A20235" s="35"/>
      <c r="C20235" s="442"/>
      <c r="P20235" s="235"/>
      <c r="AI20235" s="38"/>
    </row>
    <row r="20236" ht="15.75" customHeight="1">
      <c r="A20236" s="35"/>
      <c r="C20236" s="442"/>
      <c r="P20236" s="235"/>
      <c r="AI20236" s="38"/>
    </row>
    <row r="20237" ht="15.75" customHeight="1">
      <c r="A20237" s="35"/>
      <c r="C20237" s="442"/>
      <c r="P20237" s="235"/>
      <c r="AI20237" s="38"/>
    </row>
    <row r="20238" ht="15.75" customHeight="1">
      <c r="A20238" s="35"/>
      <c r="C20238" s="442"/>
      <c r="P20238" s="235"/>
      <c r="AI20238" s="38"/>
    </row>
    <row r="20239" ht="15.75" customHeight="1">
      <c r="A20239" s="35"/>
      <c r="C20239" s="442"/>
      <c r="P20239" s="235"/>
      <c r="AI20239" s="38"/>
    </row>
    <row r="20240" ht="15.75" customHeight="1">
      <c r="A20240" s="35"/>
      <c r="C20240" s="442"/>
      <c r="P20240" s="235"/>
      <c r="AI20240" s="38"/>
    </row>
    <row r="20241" ht="15.75" customHeight="1">
      <c r="A20241" s="35"/>
      <c r="C20241" s="442"/>
      <c r="P20241" s="235"/>
      <c r="AI20241" s="38"/>
    </row>
    <row r="20242" ht="15.75" customHeight="1">
      <c r="A20242" s="35"/>
      <c r="C20242" s="442"/>
      <c r="P20242" s="235"/>
      <c r="AI20242" s="38"/>
    </row>
    <row r="20243" ht="15.75" customHeight="1">
      <c r="A20243" s="35"/>
      <c r="C20243" s="442"/>
      <c r="P20243" s="235"/>
      <c r="AI20243" s="38"/>
    </row>
    <row r="20244" ht="15.75" customHeight="1">
      <c r="A20244" s="35"/>
      <c r="C20244" s="442"/>
      <c r="P20244" s="235"/>
      <c r="AI20244" s="38"/>
    </row>
    <row r="20245" ht="15.75" customHeight="1">
      <c r="A20245" s="35"/>
      <c r="C20245" s="442"/>
      <c r="P20245" s="235"/>
      <c r="AI20245" s="38"/>
    </row>
    <row r="20246" ht="15.75" customHeight="1">
      <c r="A20246" s="35"/>
      <c r="C20246" s="442"/>
      <c r="P20246" s="235"/>
      <c r="AI20246" s="38"/>
    </row>
    <row r="20247" ht="15.75" customHeight="1">
      <c r="A20247" s="35"/>
      <c r="C20247" s="442"/>
      <c r="P20247" s="235"/>
      <c r="AI20247" s="38"/>
    </row>
    <row r="20248" ht="15.75" customHeight="1">
      <c r="A20248" s="35"/>
      <c r="C20248" s="442"/>
      <c r="P20248" s="235"/>
      <c r="AI20248" s="38"/>
    </row>
    <row r="20249" ht="15.75" customHeight="1">
      <c r="A20249" s="35"/>
      <c r="C20249" s="442"/>
      <c r="P20249" s="235"/>
      <c r="AI20249" s="38"/>
    </row>
    <row r="20250" ht="15.75" customHeight="1">
      <c r="A20250" s="35"/>
      <c r="C20250" s="442"/>
      <c r="P20250" s="235"/>
      <c r="AI20250" s="38"/>
    </row>
    <row r="20251" ht="15.75" customHeight="1">
      <c r="A20251" s="35"/>
      <c r="C20251" s="442"/>
      <c r="P20251" s="235"/>
      <c r="AI20251" s="38"/>
    </row>
    <row r="20252" ht="15.75" customHeight="1">
      <c r="A20252" s="35"/>
      <c r="C20252" s="442"/>
      <c r="P20252" s="235"/>
      <c r="AI20252" s="38"/>
    </row>
    <row r="20253" ht="15.75" customHeight="1">
      <c r="A20253" s="35"/>
      <c r="C20253" s="442"/>
      <c r="P20253" s="235"/>
      <c r="AI20253" s="38"/>
    </row>
    <row r="20254" ht="15.75" customHeight="1">
      <c r="A20254" s="35"/>
      <c r="C20254" s="442"/>
      <c r="P20254" s="235"/>
      <c r="AI20254" s="38"/>
    </row>
    <row r="20255" ht="15.75" customHeight="1">
      <c r="A20255" s="35"/>
      <c r="C20255" s="442"/>
      <c r="P20255" s="235"/>
      <c r="AI20255" s="38"/>
    </row>
    <row r="20256" ht="15.75" customHeight="1">
      <c r="A20256" s="35"/>
      <c r="C20256" s="442"/>
      <c r="P20256" s="235"/>
      <c r="AI20256" s="38"/>
    </row>
    <row r="20257" ht="15.75" customHeight="1">
      <c r="A20257" s="35"/>
      <c r="C20257" s="442"/>
      <c r="P20257" s="235"/>
      <c r="AI20257" s="38"/>
    </row>
    <row r="20258" ht="15.75" customHeight="1">
      <c r="A20258" s="35"/>
      <c r="C20258" s="442"/>
      <c r="P20258" s="235"/>
      <c r="AI20258" s="38"/>
    </row>
    <row r="20259" ht="15.75" customHeight="1">
      <c r="A20259" s="35"/>
      <c r="C20259" s="442"/>
      <c r="P20259" s="235"/>
      <c r="AI20259" s="38"/>
    </row>
    <row r="20260" ht="15.75" customHeight="1">
      <c r="A20260" s="35"/>
      <c r="C20260" s="442"/>
      <c r="P20260" s="235"/>
      <c r="AI20260" s="38"/>
    </row>
    <row r="20261" ht="15.75" customHeight="1">
      <c r="A20261" s="35"/>
      <c r="C20261" s="442"/>
      <c r="P20261" s="235"/>
      <c r="AI20261" s="38"/>
    </row>
    <row r="20262" ht="15.75" customHeight="1">
      <c r="A20262" s="35"/>
      <c r="C20262" s="442"/>
      <c r="P20262" s="235"/>
      <c r="AI20262" s="38"/>
    </row>
    <row r="20263" ht="15.75" customHeight="1">
      <c r="A20263" s="35"/>
      <c r="C20263" s="442"/>
      <c r="P20263" s="235"/>
      <c r="AI20263" s="38"/>
    </row>
    <row r="20264" ht="15.75" customHeight="1">
      <c r="A20264" s="35"/>
      <c r="C20264" s="442"/>
      <c r="P20264" s="235"/>
      <c r="AI20264" s="38"/>
    </row>
    <row r="20265" ht="15.75" customHeight="1">
      <c r="A20265" s="35"/>
      <c r="C20265" s="442"/>
      <c r="P20265" s="235"/>
      <c r="AI20265" s="38"/>
    </row>
    <row r="20266" ht="15.75" customHeight="1">
      <c r="A20266" s="35"/>
      <c r="C20266" s="442"/>
      <c r="P20266" s="235"/>
      <c r="AI20266" s="38"/>
    </row>
    <row r="20267" ht="15.75" customHeight="1">
      <c r="A20267" s="35"/>
      <c r="C20267" s="442"/>
      <c r="P20267" s="235"/>
      <c r="AI20267" s="38"/>
    </row>
    <row r="20268" ht="15.75" customHeight="1">
      <c r="A20268" s="35"/>
      <c r="C20268" s="442"/>
      <c r="P20268" s="235"/>
      <c r="AI20268" s="38"/>
    </row>
    <row r="20269" ht="15.75" customHeight="1">
      <c r="A20269" s="35"/>
      <c r="C20269" s="442"/>
      <c r="P20269" s="235"/>
      <c r="AI20269" s="38"/>
    </row>
    <row r="20270" ht="15.75" customHeight="1">
      <c r="A20270" s="35"/>
      <c r="C20270" s="442"/>
      <c r="P20270" s="235"/>
      <c r="AI20270" s="38"/>
    </row>
    <row r="20271" ht="15.75" customHeight="1">
      <c r="A20271" s="35"/>
      <c r="C20271" s="442"/>
      <c r="P20271" s="235"/>
      <c r="AI20271" s="38"/>
    </row>
    <row r="20272" ht="15.75" customHeight="1">
      <c r="A20272" s="35"/>
      <c r="C20272" s="442"/>
      <c r="P20272" s="235"/>
      <c r="AI20272" s="38"/>
    </row>
    <row r="20273" ht="15.75" customHeight="1">
      <c r="A20273" s="35"/>
      <c r="C20273" s="442"/>
      <c r="P20273" s="235"/>
      <c r="AI20273" s="38"/>
    </row>
    <row r="20274" ht="15.75" customHeight="1">
      <c r="A20274" s="35"/>
      <c r="C20274" s="442"/>
      <c r="P20274" s="235"/>
      <c r="AI20274" s="38"/>
    </row>
    <row r="20275" ht="15.75" customHeight="1">
      <c r="A20275" s="35"/>
      <c r="C20275" s="442"/>
      <c r="P20275" s="235"/>
      <c r="AI20275" s="38"/>
    </row>
    <row r="20276" ht="15.75" customHeight="1">
      <c r="A20276" s="35"/>
      <c r="C20276" s="442"/>
      <c r="P20276" s="235"/>
      <c r="AI20276" s="38"/>
    </row>
    <row r="20277" ht="15.75" customHeight="1">
      <c r="A20277" s="35"/>
      <c r="C20277" s="442"/>
      <c r="P20277" s="235"/>
      <c r="AI20277" s="38"/>
    </row>
    <row r="20278" ht="15.75" customHeight="1">
      <c r="A20278" s="35"/>
      <c r="C20278" s="442"/>
      <c r="P20278" s="235"/>
      <c r="AI20278" s="38"/>
    </row>
    <row r="20279" ht="15.75" customHeight="1">
      <c r="A20279" s="35"/>
      <c r="C20279" s="442"/>
      <c r="P20279" s="235"/>
      <c r="AI20279" s="38"/>
    </row>
    <row r="20280" ht="15.75" customHeight="1">
      <c r="A20280" s="35"/>
      <c r="C20280" s="442"/>
      <c r="P20280" s="235"/>
      <c r="AI20280" s="38"/>
    </row>
    <row r="20281" ht="15.75" customHeight="1">
      <c r="A20281" s="35"/>
      <c r="C20281" s="442"/>
      <c r="P20281" s="235"/>
      <c r="AI20281" s="38"/>
    </row>
    <row r="20282" ht="15.75" customHeight="1">
      <c r="A20282" s="35"/>
      <c r="C20282" s="442"/>
      <c r="P20282" s="235"/>
      <c r="AI20282" s="38"/>
    </row>
    <row r="20283" ht="15.75" customHeight="1">
      <c r="A20283" s="35"/>
      <c r="C20283" s="442"/>
      <c r="P20283" s="235"/>
      <c r="AI20283" s="38"/>
    </row>
    <row r="20284" ht="15.75" customHeight="1">
      <c r="A20284" s="35"/>
      <c r="C20284" s="442"/>
      <c r="P20284" s="235"/>
      <c r="AI20284" s="38"/>
    </row>
    <row r="20285" ht="15.75" customHeight="1">
      <c r="A20285" s="35"/>
      <c r="C20285" s="442"/>
      <c r="P20285" s="235"/>
      <c r="AI20285" s="38"/>
    </row>
    <row r="20286" ht="15.75" customHeight="1">
      <c r="A20286" s="35"/>
      <c r="C20286" s="442"/>
      <c r="P20286" s="235"/>
      <c r="AI20286" s="38"/>
    </row>
    <row r="20287" ht="15.75" customHeight="1">
      <c r="A20287" s="35"/>
      <c r="C20287" s="442"/>
      <c r="P20287" s="235"/>
      <c r="AI20287" s="38"/>
    </row>
    <row r="20288" ht="15.75" customHeight="1">
      <c r="A20288" s="35"/>
      <c r="C20288" s="442"/>
      <c r="P20288" s="235"/>
      <c r="AI20288" s="38"/>
    </row>
    <row r="20289" ht="15.75" customHeight="1">
      <c r="A20289" s="35"/>
      <c r="C20289" s="442"/>
      <c r="P20289" s="235"/>
      <c r="AI20289" s="38"/>
    </row>
    <row r="20290" ht="15.75" customHeight="1">
      <c r="A20290" s="35"/>
      <c r="C20290" s="442"/>
      <c r="P20290" s="235"/>
      <c r="AI20290" s="38"/>
    </row>
    <row r="20291" ht="15.75" customHeight="1">
      <c r="A20291" s="35"/>
      <c r="C20291" s="442"/>
      <c r="P20291" s="235"/>
      <c r="AI20291" s="38"/>
    </row>
    <row r="20292" ht="15.75" customHeight="1">
      <c r="A20292" s="35"/>
      <c r="C20292" s="442"/>
      <c r="P20292" s="235"/>
      <c r="AI20292" s="38"/>
    </row>
    <row r="20293" ht="15.75" customHeight="1">
      <c r="A20293" s="35"/>
      <c r="C20293" s="442"/>
      <c r="P20293" s="235"/>
      <c r="AI20293" s="38"/>
    </row>
    <row r="20294" ht="15.75" customHeight="1">
      <c r="A20294" s="35"/>
      <c r="C20294" s="442"/>
      <c r="P20294" s="235"/>
      <c r="AI20294" s="38"/>
    </row>
    <row r="20295" ht="15.75" customHeight="1">
      <c r="A20295" s="35"/>
      <c r="C20295" s="442"/>
      <c r="P20295" s="235"/>
      <c r="AI20295" s="38"/>
    </row>
    <row r="20296" ht="15.75" customHeight="1">
      <c r="A20296" s="35"/>
      <c r="C20296" s="442"/>
      <c r="P20296" s="235"/>
      <c r="AI20296" s="38"/>
    </row>
    <row r="20297" ht="15.75" customHeight="1">
      <c r="A20297" s="35"/>
      <c r="C20297" s="442"/>
      <c r="P20297" s="235"/>
      <c r="AI20297" s="38"/>
    </row>
    <row r="20298" ht="15.75" customHeight="1">
      <c r="A20298" s="35"/>
      <c r="C20298" s="442"/>
      <c r="P20298" s="235"/>
      <c r="AI20298" s="38"/>
    </row>
    <row r="20299" ht="15.75" customHeight="1">
      <c r="A20299" s="35"/>
      <c r="C20299" s="442"/>
      <c r="P20299" s="235"/>
      <c r="AI20299" s="38"/>
    </row>
    <row r="20300" ht="15.75" customHeight="1">
      <c r="A20300" s="35"/>
      <c r="C20300" s="442"/>
      <c r="P20300" s="235"/>
      <c r="AI20300" s="38"/>
    </row>
    <row r="20301" ht="15.75" customHeight="1">
      <c r="A20301" s="35"/>
      <c r="C20301" s="442"/>
      <c r="P20301" s="235"/>
      <c r="AI20301" s="38"/>
    </row>
    <row r="20302" ht="15.75" customHeight="1">
      <c r="A20302" s="35"/>
      <c r="C20302" s="442"/>
      <c r="P20302" s="235"/>
      <c r="AI20302" s="38"/>
    </row>
    <row r="20303" ht="15.75" customHeight="1">
      <c r="A20303" s="35"/>
      <c r="C20303" s="442"/>
      <c r="P20303" s="235"/>
      <c r="AI20303" s="38"/>
    </row>
    <row r="20304" ht="15.75" customHeight="1">
      <c r="A20304" s="35"/>
      <c r="C20304" s="442"/>
      <c r="P20304" s="235"/>
      <c r="AI20304" s="38"/>
    </row>
    <row r="20305" ht="15.75" customHeight="1">
      <c r="A20305" s="35"/>
      <c r="C20305" s="442"/>
      <c r="P20305" s="235"/>
      <c r="AI20305" s="38"/>
    </row>
    <row r="20306" ht="15.75" customHeight="1">
      <c r="A20306" s="35"/>
      <c r="C20306" s="442"/>
      <c r="P20306" s="235"/>
      <c r="AI20306" s="38"/>
    </row>
    <row r="20307" ht="15.75" customHeight="1">
      <c r="A20307" s="35"/>
      <c r="C20307" s="442"/>
      <c r="P20307" s="235"/>
      <c r="AI20307" s="38"/>
    </row>
    <row r="20308" ht="15.75" customHeight="1">
      <c r="A20308" s="35"/>
      <c r="C20308" s="442"/>
      <c r="P20308" s="235"/>
      <c r="AI20308" s="38"/>
    </row>
    <row r="20309" ht="15.75" customHeight="1">
      <c r="A20309" s="35"/>
      <c r="C20309" s="442"/>
      <c r="P20309" s="235"/>
      <c r="AI20309" s="38"/>
    </row>
    <row r="20310" ht="15.75" customHeight="1">
      <c r="A20310" s="35"/>
      <c r="C20310" s="442"/>
      <c r="P20310" s="235"/>
      <c r="AI20310" s="38"/>
    </row>
    <row r="20311" ht="15.75" customHeight="1">
      <c r="A20311" s="35"/>
      <c r="C20311" s="442"/>
      <c r="P20311" s="235"/>
      <c r="AI20311" s="38"/>
    </row>
    <row r="20312" ht="15.75" customHeight="1">
      <c r="A20312" s="35"/>
      <c r="C20312" s="442"/>
      <c r="P20312" s="235"/>
      <c r="AI20312" s="38"/>
    </row>
    <row r="20313" ht="15.75" customHeight="1">
      <c r="A20313" s="35"/>
      <c r="C20313" s="442"/>
      <c r="P20313" s="235"/>
      <c r="AI20313" s="38"/>
    </row>
    <row r="20314" ht="15.75" customHeight="1">
      <c r="A20314" s="35"/>
      <c r="C20314" s="442"/>
      <c r="P20314" s="235"/>
      <c r="AI20314" s="38"/>
    </row>
    <row r="20315" ht="15.75" customHeight="1">
      <c r="A20315" s="35"/>
      <c r="C20315" s="442"/>
      <c r="P20315" s="235"/>
      <c r="AI20315" s="38"/>
    </row>
    <row r="20316" ht="15.75" customHeight="1">
      <c r="A20316" s="35"/>
      <c r="C20316" s="442"/>
      <c r="P20316" s="235"/>
      <c r="AI20316" s="38"/>
    </row>
    <row r="20317" ht="15.75" customHeight="1">
      <c r="A20317" s="35"/>
      <c r="C20317" s="442"/>
      <c r="P20317" s="235"/>
      <c r="AI20317" s="38"/>
    </row>
    <row r="20318" ht="15.75" customHeight="1">
      <c r="A20318" s="35"/>
      <c r="C20318" s="442"/>
      <c r="P20318" s="235"/>
      <c r="AI20318" s="38"/>
    </row>
    <row r="20319" ht="15.75" customHeight="1">
      <c r="A20319" s="35"/>
      <c r="C20319" s="442"/>
      <c r="P20319" s="235"/>
      <c r="AI20319" s="38"/>
    </row>
    <row r="20320" ht="15.75" customHeight="1">
      <c r="A20320" s="35"/>
      <c r="C20320" s="442"/>
      <c r="P20320" s="235"/>
      <c r="AI20320" s="38"/>
    </row>
    <row r="20321" ht="15.75" customHeight="1">
      <c r="A20321" s="35"/>
      <c r="C20321" s="442"/>
      <c r="P20321" s="235"/>
      <c r="AI20321" s="38"/>
    </row>
    <row r="20322" ht="15.75" customHeight="1">
      <c r="A20322" s="35"/>
      <c r="C20322" s="442"/>
      <c r="P20322" s="235"/>
      <c r="AI20322" s="38"/>
    </row>
    <row r="20323" ht="15.75" customHeight="1">
      <c r="A20323" s="35"/>
      <c r="C20323" s="442"/>
      <c r="P20323" s="235"/>
      <c r="AI20323" s="38"/>
    </row>
    <row r="20324" ht="15.75" customHeight="1">
      <c r="A20324" s="35"/>
      <c r="C20324" s="442"/>
      <c r="P20324" s="235"/>
      <c r="AI20324" s="38"/>
    </row>
    <row r="20325" ht="15.75" customHeight="1">
      <c r="A20325" s="35"/>
      <c r="C20325" s="442"/>
      <c r="P20325" s="235"/>
      <c r="AI20325" s="38"/>
    </row>
    <row r="20326" ht="15.75" customHeight="1">
      <c r="A20326" s="35"/>
      <c r="C20326" s="442"/>
      <c r="P20326" s="235"/>
      <c r="AI20326" s="38"/>
    </row>
    <row r="20327" ht="15.75" customHeight="1">
      <c r="A20327" s="35"/>
      <c r="C20327" s="442"/>
      <c r="P20327" s="235"/>
      <c r="AI20327" s="38"/>
    </row>
    <row r="20328" ht="15.75" customHeight="1">
      <c r="A20328" s="35"/>
      <c r="C20328" s="442"/>
      <c r="P20328" s="235"/>
      <c r="AI20328" s="38"/>
    </row>
    <row r="20329" ht="15.75" customHeight="1">
      <c r="A20329" s="35"/>
      <c r="C20329" s="442"/>
      <c r="P20329" s="235"/>
      <c r="AI20329" s="38"/>
    </row>
    <row r="20330" ht="15.75" customHeight="1">
      <c r="A20330" s="35"/>
      <c r="C20330" s="442"/>
      <c r="P20330" s="235"/>
      <c r="AI20330" s="38"/>
    </row>
    <row r="20331" ht="15.75" customHeight="1">
      <c r="A20331" s="35"/>
      <c r="C20331" s="442"/>
      <c r="P20331" s="235"/>
      <c r="AI20331" s="38"/>
    </row>
    <row r="20332" ht="15.75" customHeight="1">
      <c r="A20332" s="35"/>
      <c r="C20332" s="442"/>
      <c r="P20332" s="235"/>
      <c r="AI20332" s="38"/>
    </row>
    <row r="20333" ht="15.75" customHeight="1">
      <c r="A20333" s="35"/>
      <c r="C20333" s="442"/>
      <c r="P20333" s="235"/>
      <c r="AI20333" s="38"/>
    </row>
    <row r="20334" ht="15.75" customHeight="1">
      <c r="A20334" s="35"/>
      <c r="C20334" s="442"/>
      <c r="P20334" s="235"/>
      <c r="AI20334" s="38"/>
    </row>
    <row r="20335" ht="15.75" customHeight="1">
      <c r="A20335" s="35"/>
      <c r="C20335" s="442"/>
      <c r="P20335" s="235"/>
      <c r="AI20335" s="38"/>
    </row>
    <row r="20336" ht="15.75" customHeight="1">
      <c r="A20336" s="35"/>
      <c r="C20336" s="442"/>
      <c r="P20336" s="235"/>
      <c r="AI20336" s="38"/>
    </row>
    <row r="20337" ht="15.75" customHeight="1">
      <c r="A20337" s="35"/>
      <c r="C20337" s="442"/>
      <c r="P20337" s="235"/>
      <c r="AI20337" s="38"/>
    </row>
    <row r="20338" ht="15.75" customHeight="1">
      <c r="A20338" s="35"/>
      <c r="C20338" s="442"/>
      <c r="P20338" s="235"/>
      <c r="AI20338" s="38"/>
    </row>
    <row r="20339" ht="15.75" customHeight="1">
      <c r="A20339" s="35"/>
      <c r="C20339" s="442"/>
      <c r="P20339" s="235"/>
      <c r="AI20339" s="38"/>
    </row>
    <row r="20340" ht="15.75" customHeight="1">
      <c r="A20340" s="35"/>
      <c r="C20340" s="442"/>
      <c r="P20340" s="235"/>
      <c r="AI20340" s="38"/>
    </row>
    <row r="20341" ht="15.75" customHeight="1">
      <c r="A20341" s="35"/>
      <c r="C20341" s="442"/>
      <c r="P20341" s="235"/>
      <c r="AI20341" s="38"/>
    </row>
    <row r="20342" ht="15.75" customHeight="1">
      <c r="A20342" s="35"/>
      <c r="C20342" s="442"/>
      <c r="P20342" s="235"/>
      <c r="AI20342" s="38"/>
    </row>
    <row r="20343" ht="15.75" customHeight="1">
      <c r="A20343" s="35"/>
      <c r="C20343" s="442"/>
      <c r="P20343" s="235"/>
      <c r="AI20343" s="38"/>
    </row>
    <row r="20344" ht="15.75" customHeight="1">
      <c r="A20344" s="35"/>
      <c r="C20344" s="442"/>
      <c r="P20344" s="235"/>
      <c r="AI20344" s="38"/>
    </row>
    <row r="20345" ht="15.75" customHeight="1">
      <c r="A20345" s="35"/>
      <c r="C20345" s="442"/>
      <c r="P20345" s="235"/>
      <c r="AI20345" s="38"/>
    </row>
    <row r="20346" ht="15.75" customHeight="1">
      <c r="A20346" s="35"/>
      <c r="C20346" s="442"/>
      <c r="P20346" s="235"/>
      <c r="AI20346" s="38"/>
    </row>
    <row r="20347" ht="15.75" customHeight="1">
      <c r="A20347" s="35"/>
      <c r="C20347" s="442"/>
      <c r="P20347" s="235"/>
      <c r="AI20347" s="38"/>
    </row>
    <row r="20348" ht="15.75" customHeight="1">
      <c r="A20348" s="35"/>
      <c r="C20348" s="442"/>
      <c r="P20348" s="235"/>
      <c r="AI20348" s="38"/>
    </row>
    <row r="20349" ht="15.75" customHeight="1">
      <c r="A20349" s="35"/>
      <c r="C20349" s="442"/>
      <c r="P20349" s="235"/>
      <c r="AI20349" s="38"/>
    </row>
    <row r="20350" ht="15.75" customHeight="1">
      <c r="A20350" s="35"/>
      <c r="C20350" s="442"/>
      <c r="P20350" s="235"/>
      <c r="AI20350" s="38"/>
    </row>
    <row r="20351" ht="15.75" customHeight="1">
      <c r="A20351" s="35"/>
      <c r="C20351" s="442"/>
      <c r="P20351" s="235"/>
      <c r="AI20351" s="38"/>
    </row>
    <row r="20352" ht="15.75" customHeight="1">
      <c r="A20352" s="35"/>
      <c r="C20352" s="442"/>
      <c r="P20352" s="235"/>
      <c r="AI20352" s="38"/>
    </row>
    <row r="20353" ht="15.75" customHeight="1">
      <c r="A20353" s="35"/>
      <c r="C20353" s="442"/>
      <c r="P20353" s="235"/>
      <c r="AI20353" s="38"/>
    </row>
    <row r="20354" ht="15.75" customHeight="1">
      <c r="A20354" s="35"/>
      <c r="C20354" s="442"/>
      <c r="P20354" s="235"/>
      <c r="AI20354" s="38"/>
    </row>
    <row r="20355" ht="15.75" customHeight="1">
      <c r="A20355" s="35"/>
      <c r="C20355" s="442"/>
      <c r="P20355" s="235"/>
      <c r="AI20355" s="38"/>
    </row>
    <row r="20356" ht="15.75" customHeight="1">
      <c r="A20356" s="35"/>
      <c r="C20356" s="442"/>
      <c r="P20356" s="235"/>
      <c r="AI20356" s="38"/>
    </row>
    <row r="20357" ht="15.75" customHeight="1">
      <c r="A20357" s="35"/>
      <c r="C20357" s="442"/>
      <c r="P20357" s="235"/>
      <c r="AI20357" s="38"/>
    </row>
    <row r="20358" ht="15.75" customHeight="1">
      <c r="A20358" s="35"/>
      <c r="C20358" s="442"/>
      <c r="P20358" s="235"/>
      <c r="AI20358" s="38"/>
    </row>
    <row r="20359" ht="15.75" customHeight="1">
      <c r="A20359" s="35"/>
      <c r="C20359" s="442"/>
      <c r="P20359" s="235"/>
      <c r="AI20359" s="38"/>
    </row>
    <row r="20360" ht="15.75" customHeight="1">
      <c r="A20360" s="35"/>
      <c r="C20360" s="442"/>
      <c r="P20360" s="235"/>
      <c r="AI20360" s="38"/>
    </row>
    <row r="20361" ht="15.75" customHeight="1">
      <c r="A20361" s="35"/>
      <c r="C20361" s="442"/>
      <c r="P20361" s="235"/>
      <c r="AI20361" s="38"/>
    </row>
    <row r="20362" ht="15.75" customHeight="1">
      <c r="A20362" s="35"/>
      <c r="C20362" s="442"/>
      <c r="P20362" s="235"/>
      <c r="AI20362" s="38"/>
    </row>
    <row r="20363" ht="15.75" customHeight="1">
      <c r="A20363" s="35"/>
      <c r="C20363" s="442"/>
      <c r="P20363" s="235"/>
      <c r="AI20363" s="38"/>
    </row>
    <row r="20364" ht="15.75" customHeight="1">
      <c r="A20364" s="35"/>
      <c r="C20364" s="442"/>
      <c r="P20364" s="235"/>
      <c r="AI20364" s="38"/>
    </row>
    <row r="20365" ht="15.75" customHeight="1">
      <c r="A20365" s="35"/>
      <c r="C20365" s="442"/>
      <c r="P20365" s="235"/>
      <c r="AI20365" s="38"/>
    </row>
    <row r="20366" ht="15.75" customHeight="1">
      <c r="A20366" s="35"/>
      <c r="C20366" s="442"/>
      <c r="P20366" s="235"/>
      <c r="AI20366" s="38"/>
    </row>
    <row r="20367" ht="15.75" customHeight="1">
      <c r="A20367" s="35"/>
      <c r="C20367" s="442"/>
      <c r="P20367" s="235"/>
      <c r="AI20367" s="38"/>
    </row>
    <row r="20368" ht="15.75" customHeight="1">
      <c r="A20368" s="35"/>
      <c r="C20368" s="442"/>
      <c r="P20368" s="235"/>
      <c r="AI20368" s="38"/>
    </row>
    <row r="20369" ht="15.75" customHeight="1">
      <c r="A20369" s="35"/>
      <c r="C20369" s="442"/>
      <c r="P20369" s="235"/>
      <c r="AI20369" s="38"/>
    </row>
    <row r="20370" ht="15.75" customHeight="1">
      <c r="A20370" s="35"/>
      <c r="C20370" s="442"/>
      <c r="P20370" s="235"/>
      <c r="AI20370" s="38"/>
    </row>
    <row r="20371" ht="15.75" customHeight="1">
      <c r="A20371" s="35"/>
      <c r="C20371" s="442"/>
      <c r="P20371" s="235"/>
      <c r="AI20371" s="38"/>
    </row>
    <row r="20372" ht="15.75" customHeight="1">
      <c r="A20372" s="35"/>
      <c r="C20372" s="442"/>
      <c r="P20372" s="235"/>
      <c r="AI20372" s="38"/>
    </row>
    <row r="20373" ht="15.75" customHeight="1">
      <c r="A20373" s="35"/>
      <c r="C20373" s="442"/>
      <c r="P20373" s="235"/>
      <c r="AI20373" s="38"/>
    </row>
    <row r="20374" ht="15.75" customHeight="1">
      <c r="A20374" s="35"/>
      <c r="C20374" s="442"/>
      <c r="P20374" s="235"/>
      <c r="AI20374" s="38"/>
    </row>
    <row r="20375" ht="15.75" customHeight="1">
      <c r="A20375" s="35"/>
      <c r="C20375" s="442"/>
      <c r="P20375" s="235"/>
      <c r="AI20375" s="38"/>
    </row>
    <row r="20376" ht="15.75" customHeight="1">
      <c r="A20376" s="35"/>
      <c r="C20376" s="442"/>
      <c r="P20376" s="235"/>
      <c r="AI20376" s="38"/>
    </row>
    <row r="20377" ht="15.75" customHeight="1">
      <c r="A20377" s="35"/>
      <c r="C20377" s="442"/>
      <c r="P20377" s="235"/>
      <c r="AI20377" s="38"/>
    </row>
    <row r="20378" ht="15.75" customHeight="1">
      <c r="A20378" s="35"/>
      <c r="C20378" s="442"/>
      <c r="P20378" s="235"/>
      <c r="AI20378" s="38"/>
    </row>
    <row r="20379" ht="15.75" customHeight="1">
      <c r="A20379" s="35"/>
      <c r="C20379" s="442"/>
      <c r="P20379" s="235"/>
      <c r="AI20379" s="38"/>
    </row>
    <row r="20380" ht="15.75" customHeight="1">
      <c r="A20380" s="35"/>
      <c r="C20380" s="442"/>
      <c r="P20380" s="235"/>
      <c r="AI20380" s="38"/>
    </row>
    <row r="20381" ht="15.75" customHeight="1">
      <c r="A20381" s="35"/>
      <c r="C20381" s="442"/>
      <c r="P20381" s="235"/>
      <c r="AI20381" s="38"/>
    </row>
    <row r="20382" ht="15.75" customHeight="1">
      <c r="A20382" s="35"/>
      <c r="C20382" s="442"/>
      <c r="P20382" s="235"/>
      <c r="AI20382" s="38"/>
    </row>
    <row r="20383" ht="15.75" customHeight="1">
      <c r="A20383" s="35"/>
      <c r="C20383" s="442"/>
      <c r="P20383" s="235"/>
      <c r="AI20383" s="38"/>
    </row>
    <row r="20384" ht="15.75" customHeight="1">
      <c r="A20384" s="35"/>
      <c r="C20384" s="442"/>
      <c r="P20384" s="235"/>
      <c r="AI20384" s="38"/>
    </row>
    <row r="20385" ht="15.75" customHeight="1">
      <c r="A20385" s="35"/>
      <c r="C20385" s="442"/>
      <c r="P20385" s="235"/>
      <c r="AI20385" s="38"/>
    </row>
    <row r="20386" ht="15.75" customHeight="1">
      <c r="A20386" s="35"/>
      <c r="C20386" s="442"/>
      <c r="P20386" s="235"/>
      <c r="AI20386" s="38"/>
    </row>
    <row r="20387" ht="15.75" customHeight="1">
      <c r="A20387" s="35"/>
      <c r="C20387" s="442"/>
      <c r="P20387" s="235"/>
      <c r="AI20387" s="38"/>
    </row>
    <row r="20388" ht="15.75" customHeight="1">
      <c r="A20388" s="35"/>
      <c r="C20388" s="442"/>
      <c r="P20388" s="235"/>
      <c r="AI20388" s="38"/>
    </row>
    <row r="20389" ht="15.75" customHeight="1">
      <c r="A20389" s="35"/>
      <c r="C20389" s="442"/>
      <c r="P20389" s="235"/>
      <c r="AI20389" s="38"/>
    </row>
    <row r="20390" ht="15.75" customHeight="1">
      <c r="A20390" s="35"/>
      <c r="C20390" s="442"/>
      <c r="P20390" s="235"/>
      <c r="AI20390" s="38"/>
    </row>
    <row r="20391" ht="15.75" customHeight="1">
      <c r="A20391" s="35"/>
      <c r="C20391" s="442"/>
      <c r="P20391" s="235"/>
      <c r="AI20391" s="38"/>
    </row>
    <row r="20392" ht="15.75" customHeight="1">
      <c r="A20392" s="35"/>
      <c r="C20392" s="442"/>
      <c r="P20392" s="235"/>
      <c r="AI20392" s="38"/>
    </row>
    <row r="20393" ht="15.75" customHeight="1">
      <c r="A20393" s="35"/>
      <c r="C20393" s="442"/>
      <c r="P20393" s="235"/>
      <c r="AI20393" s="38"/>
    </row>
    <row r="20394" ht="15.75" customHeight="1">
      <c r="A20394" s="35"/>
      <c r="C20394" s="442"/>
      <c r="P20394" s="235"/>
      <c r="AI20394" s="38"/>
    </row>
    <row r="20395" ht="15.75" customHeight="1">
      <c r="A20395" s="35"/>
      <c r="C20395" s="442"/>
      <c r="P20395" s="235"/>
      <c r="AI20395" s="38"/>
    </row>
    <row r="20396" ht="15.75" customHeight="1">
      <c r="A20396" s="35"/>
      <c r="C20396" s="442"/>
      <c r="P20396" s="235"/>
      <c r="AI20396" s="38"/>
    </row>
    <row r="20397" ht="15.75" customHeight="1">
      <c r="A20397" s="35"/>
      <c r="C20397" s="442"/>
      <c r="P20397" s="235"/>
      <c r="AI20397" s="38"/>
    </row>
    <row r="20398" ht="15.75" customHeight="1">
      <c r="A20398" s="35"/>
      <c r="C20398" s="442"/>
      <c r="P20398" s="235"/>
      <c r="AI20398" s="38"/>
    </row>
    <row r="20399" ht="15.75" customHeight="1">
      <c r="A20399" s="35"/>
      <c r="C20399" s="442"/>
      <c r="P20399" s="235"/>
      <c r="AI20399" s="38"/>
    </row>
    <row r="20400" ht="15.75" customHeight="1">
      <c r="A20400" s="35"/>
      <c r="C20400" s="442"/>
      <c r="P20400" s="235"/>
      <c r="AI20400" s="38"/>
    </row>
    <row r="20401" ht="15.75" customHeight="1">
      <c r="A20401" s="35"/>
      <c r="C20401" s="442"/>
      <c r="P20401" s="235"/>
      <c r="AI20401" s="38"/>
    </row>
    <row r="20402" ht="15.75" customHeight="1">
      <c r="A20402" s="35"/>
      <c r="C20402" s="442"/>
      <c r="P20402" s="235"/>
      <c r="AI20402" s="38"/>
    </row>
    <row r="20403" ht="15.75" customHeight="1">
      <c r="A20403" s="35"/>
      <c r="C20403" s="442"/>
      <c r="P20403" s="235"/>
      <c r="AI20403" s="38"/>
    </row>
    <row r="20404" ht="15.75" customHeight="1">
      <c r="A20404" s="35"/>
      <c r="C20404" s="442"/>
      <c r="P20404" s="235"/>
      <c r="AI20404" s="38"/>
    </row>
    <row r="20405" ht="15.75" customHeight="1">
      <c r="A20405" s="35"/>
      <c r="C20405" s="442"/>
      <c r="P20405" s="235"/>
      <c r="AI20405" s="38"/>
    </row>
    <row r="20406" ht="15.75" customHeight="1">
      <c r="A20406" s="35"/>
      <c r="C20406" s="442"/>
      <c r="P20406" s="235"/>
      <c r="AI20406" s="38"/>
    </row>
    <row r="20407" ht="15.75" customHeight="1">
      <c r="A20407" s="35"/>
      <c r="C20407" s="442"/>
      <c r="P20407" s="235"/>
      <c r="AI20407" s="38"/>
    </row>
    <row r="20408" ht="15.75" customHeight="1">
      <c r="A20408" s="35"/>
      <c r="C20408" s="442"/>
      <c r="P20408" s="235"/>
      <c r="AI20408" s="38"/>
    </row>
    <row r="20409" ht="15.75" customHeight="1">
      <c r="A20409" s="35"/>
      <c r="C20409" s="442"/>
      <c r="P20409" s="235"/>
      <c r="AI20409" s="38"/>
    </row>
    <row r="20410" ht="15.75" customHeight="1">
      <c r="A20410" s="35"/>
      <c r="C20410" s="442"/>
      <c r="P20410" s="235"/>
      <c r="AI20410" s="38"/>
    </row>
    <row r="20411" ht="15.75" customHeight="1">
      <c r="A20411" s="35"/>
      <c r="C20411" s="442"/>
      <c r="P20411" s="235"/>
      <c r="AI20411" s="38"/>
    </row>
    <row r="20412" ht="15.75" customHeight="1">
      <c r="A20412" s="35"/>
      <c r="C20412" s="442"/>
      <c r="P20412" s="235"/>
      <c r="AI20412" s="38"/>
    </row>
    <row r="20413" ht="15.75" customHeight="1">
      <c r="A20413" s="35"/>
      <c r="C20413" s="442"/>
      <c r="P20413" s="235"/>
      <c r="AI20413" s="38"/>
    </row>
    <row r="20414" ht="15.75" customHeight="1">
      <c r="A20414" s="35"/>
      <c r="C20414" s="442"/>
      <c r="P20414" s="235"/>
      <c r="AI20414" s="38"/>
    </row>
    <row r="20415" ht="15.75" customHeight="1">
      <c r="A20415" s="35"/>
      <c r="C20415" s="442"/>
      <c r="P20415" s="235"/>
      <c r="AI20415" s="38"/>
    </row>
    <row r="20416" ht="15.75" customHeight="1">
      <c r="A20416" s="35"/>
      <c r="C20416" s="442"/>
      <c r="P20416" s="235"/>
      <c r="AI20416" s="38"/>
    </row>
    <row r="20417" ht="15.75" customHeight="1">
      <c r="A20417" s="35"/>
      <c r="C20417" s="442"/>
      <c r="P20417" s="235"/>
      <c r="AI20417" s="38"/>
    </row>
    <row r="20418" ht="15.75" customHeight="1">
      <c r="A20418" s="35"/>
      <c r="C20418" s="442"/>
      <c r="P20418" s="235"/>
      <c r="AI20418" s="38"/>
    </row>
    <row r="20419" ht="15.75" customHeight="1">
      <c r="A20419" s="35"/>
      <c r="C20419" s="442"/>
      <c r="P20419" s="235"/>
      <c r="AI20419" s="38"/>
    </row>
    <row r="20420" ht="15.75" customHeight="1">
      <c r="A20420" s="35"/>
      <c r="C20420" s="442"/>
      <c r="P20420" s="235"/>
      <c r="AI20420" s="38"/>
    </row>
    <row r="20421" ht="15.75" customHeight="1">
      <c r="A20421" s="35"/>
      <c r="C20421" s="442"/>
      <c r="P20421" s="235"/>
      <c r="AI20421" s="38"/>
    </row>
    <row r="20422" ht="15.75" customHeight="1">
      <c r="A20422" s="35"/>
      <c r="C20422" s="442"/>
      <c r="P20422" s="235"/>
      <c r="AI20422" s="38"/>
    </row>
    <row r="20423" ht="15.75" customHeight="1">
      <c r="A20423" s="35"/>
      <c r="C20423" s="442"/>
      <c r="P20423" s="235"/>
      <c r="AI20423" s="38"/>
    </row>
    <row r="20424" ht="15.75" customHeight="1">
      <c r="A20424" s="35"/>
      <c r="C20424" s="442"/>
      <c r="P20424" s="235"/>
      <c r="AI20424" s="38"/>
    </row>
    <row r="20425" ht="15.75" customHeight="1">
      <c r="A20425" s="35"/>
      <c r="C20425" s="442"/>
      <c r="P20425" s="235"/>
      <c r="AI20425" s="38"/>
    </row>
    <row r="20426" ht="15.75" customHeight="1">
      <c r="A20426" s="35"/>
      <c r="C20426" s="442"/>
      <c r="P20426" s="235"/>
      <c r="AI20426" s="38"/>
    </row>
    <row r="20427" ht="15.75" customHeight="1">
      <c r="A20427" s="35"/>
      <c r="C20427" s="442"/>
      <c r="P20427" s="235"/>
      <c r="AI20427" s="38"/>
    </row>
    <row r="20428" ht="15.75" customHeight="1">
      <c r="A20428" s="35"/>
      <c r="C20428" s="442"/>
      <c r="P20428" s="235"/>
      <c r="AI20428" s="38"/>
    </row>
    <row r="20429" ht="15.75" customHeight="1">
      <c r="A20429" s="35"/>
      <c r="C20429" s="442"/>
      <c r="P20429" s="235"/>
      <c r="AI20429" s="38"/>
    </row>
    <row r="20430" ht="15.75" customHeight="1">
      <c r="A20430" s="35"/>
      <c r="C20430" s="442"/>
      <c r="P20430" s="235"/>
      <c r="AI20430" s="38"/>
    </row>
    <row r="20431" ht="15.75" customHeight="1">
      <c r="A20431" s="35"/>
      <c r="C20431" s="442"/>
      <c r="P20431" s="235"/>
      <c r="AI20431" s="38"/>
    </row>
    <row r="20432" ht="15.75" customHeight="1">
      <c r="A20432" s="35"/>
      <c r="C20432" s="442"/>
      <c r="P20432" s="235"/>
      <c r="AI20432" s="38"/>
    </row>
    <row r="20433" ht="15.75" customHeight="1">
      <c r="A20433" s="35"/>
      <c r="C20433" s="442"/>
      <c r="P20433" s="235"/>
      <c r="AI20433" s="38"/>
    </row>
    <row r="20434" ht="15.75" customHeight="1">
      <c r="A20434" s="35"/>
      <c r="C20434" s="442"/>
      <c r="P20434" s="235"/>
      <c r="AI20434" s="38"/>
    </row>
    <row r="20435" ht="15.75" customHeight="1">
      <c r="A20435" s="35"/>
      <c r="C20435" s="442"/>
      <c r="P20435" s="235"/>
      <c r="AI20435" s="38"/>
    </row>
    <row r="20436" ht="15.75" customHeight="1">
      <c r="A20436" s="35"/>
      <c r="C20436" s="442"/>
      <c r="P20436" s="235"/>
      <c r="AI20436" s="38"/>
    </row>
    <row r="20437" ht="15.75" customHeight="1">
      <c r="A20437" s="35"/>
      <c r="C20437" s="442"/>
      <c r="P20437" s="235"/>
      <c r="AI20437" s="38"/>
    </row>
    <row r="20438" ht="15.75" customHeight="1">
      <c r="A20438" s="35"/>
      <c r="C20438" s="442"/>
      <c r="P20438" s="235"/>
      <c r="AI20438" s="38"/>
    </row>
    <row r="20439" ht="15.75" customHeight="1">
      <c r="A20439" s="35"/>
      <c r="C20439" s="442"/>
      <c r="P20439" s="235"/>
      <c r="AI20439" s="38"/>
    </row>
    <row r="20440" ht="15.75" customHeight="1">
      <c r="A20440" s="35"/>
      <c r="C20440" s="442"/>
      <c r="P20440" s="235"/>
      <c r="AI20440" s="38"/>
    </row>
    <row r="20441" ht="15.75" customHeight="1">
      <c r="A20441" s="35"/>
      <c r="C20441" s="442"/>
      <c r="P20441" s="235"/>
      <c r="AI20441" s="38"/>
    </row>
    <row r="20442" ht="15.75" customHeight="1">
      <c r="A20442" s="35"/>
      <c r="C20442" s="442"/>
      <c r="P20442" s="235"/>
      <c r="AI20442" s="38"/>
    </row>
    <row r="20443" ht="15.75" customHeight="1">
      <c r="A20443" s="35"/>
      <c r="C20443" s="442"/>
      <c r="P20443" s="235"/>
      <c r="AI20443" s="38"/>
    </row>
    <row r="20444" ht="15.75" customHeight="1">
      <c r="A20444" s="35"/>
      <c r="C20444" s="442"/>
      <c r="P20444" s="235"/>
      <c r="AI20444" s="38"/>
    </row>
    <row r="20445" ht="15.75" customHeight="1">
      <c r="A20445" s="35"/>
      <c r="C20445" s="442"/>
      <c r="P20445" s="235"/>
      <c r="AI20445" s="38"/>
    </row>
    <row r="20446" ht="15.75" customHeight="1">
      <c r="A20446" s="35"/>
      <c r="C20446" s="442"/>
      <c r="P20446" s="235"/>
      <c r="AI20446" s="38"/>
    </row>
    <row r="20447" ht="15.75" customHeight="1">
      <c r="A20447" s="35"/>
      <c r="C20447" s="442"/>
      <c r="P20447" s="235"/>
      <c r="AI20447" s="38"/>
    </row>
    <row r="20448" ht="15.75" customHeight="1">
      <c r="A20448" s="35"/>
      <c r="C20448" s="442"/>
      <c r="P20448" s="235"/>
      <c r="AI20448" s="38"/>
    </row>
    <row r="20449" ht="15.75" customHeight="1">
      <c r="A20449" s="35"/>
      <c r="C20449" s="442"/>
      <c r="P20449" s="235"/>
      <c r="AI20449" s="38"/>
    </row>
    <row r="20450" ht="15.75" customHeight="1">
      <c r="A20450" s="35"/>
      <c r="C20450" s="442"/>
      <c r="P20450" s="235"/>
      <c r="AI20450" s="38"/>
    </row>
    <row r="20451" ht="15.75" customHeight="1">
      <c r="A20451" s="35"/>
      <c r="C20451" s="442"/>
      <c r="P20451" s="235"/>
      <c r="AI20451" s="38"/>
    </row>
    <row r="20452" ht="15.75" customHeight="1">
      <c r="A20452" s="35"/>
      <c r="C20452" s="442"/>
      <c r="P20452" s="235"/>
      <c r="AI20452" s="38"/>
    </row>
    <row r="20453" ht="15.75" customHeight="1">
      <c r="A20453" s="35"/>
      <c r="C20453" s="442"/>
      <c r="P20453" s="235"/>
      <c r="AI20453" s="38"/>
    </row>
    <row r="20454" ht="15.75" customHeight="1">
      <c r="A20454" s="35"/>
      <c r="C20454" s="442"/>
      <c r="P20454" s="235"/>
      <c r="AI20454" s="38"/>
    </row>
    <row r="20455" ht="15.75" customHeight="1">
      <c r="A20455" s="35"/>
      <c r="C20455" s="442"/>
      <c r="P20455" s="235"/>
      <c r="AI20455" s="38"/>
    </row>
    <row r="20456" ht="15.75" customHeight="1">
      <c r="A20456" s="35"/>
      <c r="C20456" s="442"/>
      <c r="P20456" s="235"/>
      <c r="AI20456" s="38"/>
    </row>
    <row r="20457" ht="15.75" customHeight="1">
      <c r="A20457" s="35"/>
      <c r="C20457" s="442"/>
      <c r="P20457" s="235"/>
      <c r="AI20457" s="38"/>
    </row>
    <row r="20458" ht="15.75" customHeight="1">
      <c r="A20458" s="35"/>
      <c r="C20458" s="442"/>
      <c r="P20458" s="235"/>
      <c r="AI20458" s="38"/>
    </row>
    <row r="20459" ht="15.75" customHeight="1">
      <c r="A20459" s="35"/>
      <c r="C20459" s="442"/>
      <c r="P20459" s="235"/>
      <c r="AI20459" s="38"/>
    </row>
    <row r="20460" ht="15.75" customHeight="1">
      <c r="A20460" s="35"/>
      <c r="C20460" s="442"/>
      <c r="P20460" s="235"/>
      <c r="AI20460" s="38"/>
    </row>
    <row r="20461" ht="15.75" customHeight="1">
      <c r="A20461" s="35"/>
      <c r="C20461" s="442"/>
      <c r="P20461" s="235"/>
      <c r="AI20461" s="38"/>
    </row>
    <row r="20462" ht="15.75" customHeight="1">
      <c r="A20462" s="35"/>
      <c r="C20462" s="442"/>
      <c r="P20462" s="235"/>
      <c r="AI20462" s="38"/>
    </row>
    <row r="20463" ht="15.75" customHeight="1">
      <c r="A20463" s="35"/>
      <c r="C20463" s="442"/>
      <c r="P20463" s="235"/>
      <c r="AI20463" s="38"/>
    </row>
    <row r="20464" ht="15.75" customHeight="1">
      <c r="A20464" s="35"/>
      <c r="C20464" s="442"/>
      <c r="P20464" s="235"/>
      <c r="AI20464" s="38"/>
    </row>
    <row r="20465" ht="15.75" customHeight="1">
      <c r="A20465" s="35"/>
      <c r="C20465" s="442"/>
      <c r="P20465" s="235"/>
      <c r="AI20465" s="38"/>
    </row>
    <row r="20466" ht="15.75" customHeight="1">
      <c r="A20466" s="35"/>
      <c r="C20466" s="442"/>
      <c r="P20466" s="235"/>
      <c r="AI20466" s="38"/>
    </row>
    <row r="20467" ht="15.75" customHeight="1">
      <c r="A20467" s="35"/>
      <c r="C20467" s="442"/>
      <c r="P20467" s="235"/>
      <c r="AI20467" s="38"/>
    </row>
    <row r="20468" ht="15.75" customHeight="1">
      <c r="A20468" s="35"/>
      <c r="C20468" s="442"/>
      <c r="P20468" s="235"/>
      <c r="AI20468" s="38"/>
    </row>
    <row r="20469" ht="15.75" customHeight="1">
      <c r="A20469" s="35"/>
      <c r="C20469" s="442"/>
      <c r="P20469" s="235"/>
      <c r="AI20469" s="38"/>
    </row>
    <row r="20470" ht="15.75" customHeight="1">
      <c r="A20470" s="35"/>
      <c r="C20470" s="442"/>
      <c r="P20470" s="235"/>
      <c r="AI20470" s="38"/>
    </row>
    <row r="20471" ht="15.75" customHeight="1">
      <c r="A20471" s="35"/>
      <c r="C20471" s="442"/>
      <c r="P20471" s="235"/>
      <c r="AI20471" s="38"/>
    </row>
    <row r="20472" ht="15.75" customHeight="1">
      <c r="A20472" s="35"/>
      <c r="C20472" s="442"/>
      <c r="P20472" s="235"/>
      <c r="AI20472" s="38"/>
    </row>
    <row r="20473" ht="15.75" customHeight="1">
      <c r="A20473" s="35"/>
      <c r="C20473" s="442"/>
      <c r="P20473" s="235"/>
      <c r="AI20473" s="38"/>
    </row>
    <row r="20474" ht="15.75" customHeight="1">
      <c r="A20474" s="35"/>
      <c r="C20474" s="442"/>
      <c r="P20474" s="235"/>
      <c r="AI20474" s="38"/>
    </row>
    <row r="20475" ht="15.75" customHeight="1">
      <c r="A20475" s="35"/>
      <c r="C20475" s="442"/>
      <c r="P20475" s="235"/>
      <c r="AI20475" s="38"/>
    </row>
    <row r="20476" ht="15.75" customHeight="1">
      <c r="A20476" s="35"/>
      <c r="C20476" s="442"/>
      <c r="P20476" s="235"/>
      <c r="AI20476" s="38"/>
    </row>
    <row r="20477" ht="15.75" customHeight="1">
      <c r="A20477" s="35"/>
      <c r="C20477" s="442"/>
      <c r="P20477" s="235"/>
      <c r="AI20477" s="38"/>
    </row>
    <row r="20478" ht="15.75" customHeight="1">
      <c r="A20478" s="35"/>
      <c r="C20478" s="442"/>
      <c r="P20478" s="235"/>
      <c r="AI20478" s="38"/>
    </row>
    <row r="20479" ht="15.75" customHeight="1">
      <c r="A20479" s="35"/>
      <c r="C20479" s="442"/>
      <c r="P20479" s="235"/>
      <c r="AI20479" s="38"/>
    </row>
    <row r="20480" ht="15.75" customHeight="1">
      <c r="A20480" s="35"/>
      <c r="C20480" s="442"/>
      <c r="P20480" s="235"/>
      <c r="AI20480" s="38"/>
    </row>
    <row r="20481" ht="15.75" customHeight="1">
      <c r="A20481" s="35"/>
      <c r="C20481" s="442"/>
      <c r="P20481" s="235"/>
      <c r="AI20481" s="38"/>
    </row>
    <row r="20482" ht="15.75" customHeight="1">
      <c r="A20482" s="35"/>
      <c r="C20482" s="442"/>
      <c r="P20482" s="235"/>
      <c r="AI20482" s="38"/>
    </row>
    <row r="20483" ht="15.75" customHeight="1">
      <c r="A20483" s="35"/>
      <c r="C20483" s="442"/>
      <c r="P20483" s="235"/>
      <c r="AI20483" s="38"/>
    </row>
    <row r="20484" ht="15.75" customHeight="1">
      <c r="A20484" s="35"/>
      <c r="C20484" s="442"/>
      <c r="P20484" s="235"/>
      <c r="AI20484" s="38"/>
    </row>
    <row r="20485" ht="15.75" customHeight="1">
      <c r="A20485" s="35"/>
      <c r="C20485" s="442"/>
      <c r="P20485" s="235"/>
      <c r="AI20485" s="38"/>
    </row>
    <row r="20486" ht="15.75" customHeight="1">
      <c r="A20486" s="35"/>
      <c r="C20486" s="442"/>
      <c r="P20486" s="235"/>
      <c r="AI20486" s="38"/>
    </row>
    <row r="20487" ht="15.75" customHeight="1">
      <c r="A20487" s="35"/>
      <c r="C20487" s="442"/>
      <c r="P20487" s="235"/>
      <c r="AI20487" s="38"/>
    </row>
    <row r="20488" ht="15.75" customHeight="1">
      <c r="A20488" s="35"/>
      <c r="C20488" s="442"/>
      <c r="P20488" s="235"/>
      <c r="AI20488" s="38"/>
    </row>
    <row r="20489" ht="15.75" customHeight="1">
      <c r="A20489" s="35"/>
      <c r="C20489" s="442"/>
      <c r="P20489" s="235"/>
      <c r="AI20489" s="38"/>
    </row>
    <row r="20490" ht="15.75" customHeight="1">
      <c r="A20490" s="35"/>
      <c r="C20490" s="442"/>
      <c r="P20490" s="235"/>
      <c r="AI20490" s="38"/>
    </row>
    <row r="20491" ht="15.75" customHeight="1">
      <c r="A20491" s="35"/>
      <c r="C20491" s="442"/>
      <c r="P20491" s="235"/>
      <c r="AI20491" s="38"/>
    </row>
    <row r="20492" ht="15.75" customHeight="1">
      <c r="A20492" s="35"/>
      <c r="C20492" s="442"/>
      <c r="P20492" s="235"/>
      <c r="AI20492" s="38"/>
    </row>
    <row r="20493" ht="15.75" customHeight="1">
      <c r="A20493" s="35"/>
      <c r="C20493" s="442"/>
      <c r="P20493" s="235"/>
      <c r="AI20493" s="38"/>
    </row>
    <row r="20494" ht="15.75" customHeight="1">
      <c r="A20494" s="35"/>
      <c r="C20494" s="442"/>
      <c r="P20494" s="235"/>
      <c r="AI20494" s="38"/>
    </row>
    <row r="20495" ht="15.75" customHeight="1">
      <c r="A20495" s="35"/>
      <c r="C20495" s="442"/>
      <c r="P20495" s="235"/>
      <c r="AI20495" s="38"/>
    </row>
    <row r="20496" ht="15.75" customHeight="1">
      <c r="A20496" s="35"/>
      <c r="C20496" s="442"/>
      <c r="P20496" s="235"/>
      <c r="AI20496" s="38"/>
    </row>
    <row r="20497" ht="15.75" customHeight="1">
      <c r="A20497" s="35"/>
      <c r="C20497" s="442"/>
      <c r="P20497" s="235"/>
      <c r="AI20497" s="38"/>
    </row>
    <row r="20498" ht="15.75" customHeight="1">
      <c r="A20498" s="35"/>
      <c r="C20498" s="442"/>
      <c r="P20498" s="235"/>
      <c r="AI20498" s="38"/>
    </row>
    <row r="20499" ht="15.75" customHeight="1">
      <c r="A20499" s="35"/>
      <c r="C20499" s="442"/>
      <c r="P20499" s="235"/>
      <c r="AI20499" s="38"/>
    </row>
    <row r="20500" ht="15.75" customHeight="1">
      <c r="A20500" s="35"/>
      <c r="C20500" s="442"/>
      <c r="P20500" s="235"/>
      <c r="AI20500" s="38"/>
    </row>
    <row r="20501" ht="15.75" customHeight="1">
      <c r="A20501" s="35"/>
      <c r="C20501" s="442"/>
      <c r="P20501" s="235"/>
      <c r="AI20501" s="38"/>
    </row>
    <row r="20502" ht="15.75" customHeight="1">
      <c r="A20502" s="35"/>
      <c r="C20502" s="442"/>
      <c r="P20502" s="235"/>
      <c r="AI20502" s="38"/>
    </row>
    <row r="20503" ht="15.75" customHeight="1">
      <c r="A20503" s="35"/>
      <c r="C20503" s="442"/>
      <c r="P20503" s="235"/>
      <c r="AI20503" s="38"/>
    </row>
    <row r="20504" ht="15.75" customHeight="1">
      <c r="A20504" s="35"/>
      <c r="C20504" s="442"/>
      <c r="P20504" s="235"/>
      <c r="AI20504" s="38"/>
    </row>
    <row r="20505" ht="15.75" customHeight="1">
      <c r="A20505" s="35"/>
      <c r="C20505" s="442"/>
      <c r="P20505" s="235"/>
      <c r="AI20505" s="38"/>
    </row>
    <row r="20506" ht="15.75" customHeight="1">
      <c r="A20506" s="35"/>
      <c r="C20506" s="442"/>
      <c r="P20506" s="235"/>
      <c r="AI20506" s="38"/>
    </row>
    <row r="20507" ht="15.75" customHeight="1">
      <c r="A20507" s="35"/>
      <c r="C20507" s="442"/>
      <c r="P20507" s="235"/>
      <c r="AI20507" s="38"/>
    </row>
    <row r="20508" ht="15.75" customHeight="1">
      <c r="A20508" s="35"/>
      <c r="C20508" s="442"/>
      <c r="P20508" s="235"/>
      <c r="AI20508" s="38"/>
    </row>
    <row r="20509" ht="15.75" customHeight="1">
      <c r="A20509" s="35"/>
      <c r="C20509" s="442"/>
      <c r="P20509" s="235"/>
      <c r="AI20509" s="38"/>
    </row>
    <row r="20510" ht="15.75" customHeight="1">
      <c r="A20510" s="35"/>
      <c r="C20510" s="442"/>
      <c r="P20510" s="235"/>
      <c r="AI20510" s="38"/>
    </row>
    <row r="20511" ht="15.75" customHeight="1">
      <c r="A20511" s="35"/>
      <c r="C20511" s="442"/>
      <c r="P20511" s="235"/>
      <c r="AI20511" s="38"/>
    </row>
    <row r="20512" ht="15.75" customHeight="1">
      <c r="A20512" s="35"/>
      <c r="C20512" s="442"/>
      <c r="P20512" s="235"/>
      <c r="AI20512" s="38"/>
    </row>
    <row r="20513" ht="15.75" customHeight="1">
      <c r="A20513" s="35"/>
      <c r="C20513" s="442"/>
      <c r="P20513" s="235"/>
      <c r="AI20513" s="38"/>
    </row>
    <row r="20514" ht="15.75" customHeight="1">
      <c r="A20514" s="35"/>
      <c r="C20514" s="442"/>
      <c r="P20514" s="235"/>
      <c r="AI20514" s="38"/>
    </row>
    <row r="20515" ht="15.75" customHeight="1">
      <c r="A20515" s="35"/>
      <c r="C20515" s="442"/>
      <c r="P20515" s="235"/>
      <c r="AI20515" s="38"/>
    </row>
    <row r="20516" ht="15.75" customHeight="1">
      <c r="A20516" s="35"/>
      <c r="C20516" s="442"/>
      <c r="P20516" s="235"/>
      <c r="AI20516" s="38"/>
    </row>
    <row r="20517" ht="15.75" customHeight="1">
      <c r="A20517" s="35"/>
      <c r="C20517" s="442"/>
      <c r="P20517" s="235"/>
      <c r="AI20517" s="38"/>
    </row>
    <row r="20518" ht="15.75" customHeight="1">
      <c r="A20518" s="35"/>
      <c r="C20518" s="442"/>
      <c r="P20518" s="235"/>
      <c r="AI20518" s="38"/>
    </row>
    <row r="20519" ht="15.75" customHeight="1">
      <c r="A20519" s="35"/>
      <c r="C20519" s="442"/>
      <c r="P20519" s="235"/>
      <c r="AI20519" s="38"/>
    </row>
    <row r="20520" ht="15.75" customHeight="1">
      <c r="A20520" s="35"/>
      <c r="C20520" s="442"/>
      <c r="P20520" s="235"/>
      <c r="AI20520" s="38"/>
    </row>
    <row r="20521" ht="15.75" customHeight="1">
      <c r="A20521" s="35"/>
      <c r="C20521" s="442"/>
      <c r="P20521" s="235"/>
      <c r="AI20521" s="38"/>
    </row>
    <row r="20522" ht="15.75" customHeight="1">
      <c r="A20522" s="35"/>
      <c r="C20522" s="442"/>
      <c r="P20522" s="235"/>
      <c r="AI20522" s="38"/>
    </row>
    <row r="20523" ht="15.75" customHeight="1">
      <c r="A20523" s="35"/>
      <c r="C20523" s="442"/>
      <c r="P20523" s="235"/>
      <c r="AI20523" s="38"/>
    </row>
    <row r="20524" ht="15.75" customHeight="1">
      <c r="A20524" s="35"/>
      <c r="C20524" s="442"/>
      <c r="P20524" s="235"/>
      <c r="AI20524" s="38"/>
    </row>
    <row r="20525" ht="15.75" customHeight="1">
      <c r="A20525" s="35"/>
      <c r="C20525" s="442"/>
      <c r="P20525" s="235"/>
      <c r="AI20525" s="38"/>
    </row>
    <row r="20526" ht="15.75" customHeight="1">
      <c r="A20526" s="35"/>
      <c r="C20526" s="442"/>
      <c r="P20526" s="235"/>
      <c r="AI20526" s="38"/>
    </row>
    <row r="20527" ht="15.75" customHeight="1">
      <c r="A20527" s="35"/>
      <c r="C20527" s="442"/>
      <c r="P20527" s="235"/>
      <c r="AI20527" s="38"/>
    </row>
    <row r="20528" ht="15.75" customHeight="1">
      <c r="A20528" s="35"/>
      <c r="C20528" s="442"/>
      <c r="P20528" s="235"/>
      <c r="AI20528" s="38"/>
    </row>
    <row r="20529" ht="15.75" customHeight="1">
      <c r="A20529" s="35"/>
      <c r="C20529" s="442"/>
      <c r="P20529" s="235"/>
      <c r="AI20529" s="38"/>
    </row>
    <row r="20530" ht="15.75" customHeight="1">
      <c r="A20530" s="35"/>
      <c r="C20530" s="442"/>
      <c r="P20530" s="235"/>
      <c r="AI20530" s="38"/>
    </row>
    <row r="20531" ht="15.75" customHeight="1">
      <c r="A20531" s="35"/>
      <c r="C20531" s="442"/>
      <c r="P20531" s="235"/>
      <c r="AI20531" s="38"/>
    </row>
    <row r="20532" ht="15.75" customHeight="1">
      <c r="A20532" s="35"/>
      <c r="C20532" s="442"/>
      <c r="P20532" s="235"/>
      <c r="AI20532" s="38"/>
    </row>
    <row r="20533" ht="15.75" customHeight="1">
      <c r="A20533" s="35"/>
      <c r="C20533" s="442"/>
      <c r="P20533" s="235"/>
      <c r="AI20533" s="38"/>
    </row>
    <row r="20534" ht="15.75" customHeight="1">
      <c r="A20534" s="35"/>
      <c r="C20534" s="442"/>
      <c r="P20534" s="235"/>
      <c r="AI20534" s="38"/>
    </row>
    <row r="20535" ht="15.75" customHeight="1">
      <c r="A20535" s="35"/>
      <c r="C20535" s="442"/>
      <c r="P20535" s="235"/>
      <c r="AI20535" s="38"/>
    </row>
    <row r="20536" ht="15.75" customHeight="1">
      <c r="A20536" s="35"/>
      <c r="C20536" s="442"/>
      <c r="P20536" s="235"/>
      <c r="AI20536" s="38"/>
    </row>
    <row r="20537" ht="15.75" customHeight="1">
      <c r="A20537" s="35"/>
      <c r="C20537" s="442"/>
      <c r="P20537" s="235"/>
      <c r="AI20537" s="38"/>
    </row>
    <row r="20538" ht="15.75" customHeight="1">
      <c r="A20538" s="35"/>
      <c r="C20538" s="442"/>
      <c r="P20538" s="235"/>
      <c r="AI20538" s="38"/>
    </row>
    <row r="20539" ht="15.75" customHeight="1">
      <c r="A20539" s="35"/>
      <c r="C20539" s="442"/>
      <c r="P20539" s="235"/>
      <c r="AI20539" s="38"/>
    </row>
    <row r="20540" ht="15.75" customHeight="1">
      <c r="A20540" s="35"/>
      <c r="C20540" s="442"/>
      <c r="P20540" s="235"/>
      <c r="AI20540" s="38"/>
    </row>
    <row r="20541" ht="15.75" customHeight="1">
      <c r="A20541" s="35"/>
      <c r="C20541" s="442"/>
      <c r="P20541" s="235"/>
      <c r="AI20541" s="38"/>
    </row>
    <row r="20542" ht="15.75" customHeight="1">
      <c r="A20542" s="35"/>
      <c r="C20542" s="442"/>
      <c r="P20542" s="235"/>
      <c r="AI20542" s="38"/>
    </row>
    <row r="20543" ht="15.75" customHeight="1">
      <c r="A20543" s="35"/>
      <c r="C20543" s="442"/>
      <c r="P20543" s="235"/>
      <c r="AI20543" s="38"/>
    </row>
    <row r="20544" ht="15.75" customHeight="1">
      <c r="A20544" s="35"/>
      <c r="C20544" s="442"/>
      <c r="P20544" s="235"/>
      <c r="AI20544" s="38"/>
    </row>
    <row r="20545" ht="15.75" customHeight="1">
      <c r="A20545" s="35"/>
      <c r="C20545" s="442"/>
      <c r="P20545" s="235"/>
      <c r="AI20545" s="38"/>
    </row>
    <row r="20546" ht="15.75" customHeight="1">
      <c r="A20546" s="35"/>
      <c r="C20546" s="442"/>
      <c r="P20546" s="235"/>
      <c r="AI20546" s="38"/>
    </row>
    <row r="20547" ht="15.75" customHeight="1">
      <c r="A20547" s="35"/>
      <c r="C20547" s="442"/>
      <c r="P20547" s="235"/>
      <c r="AI20547" s="38"/>
    </row>
    <row r="20548" ht="15.75" customHeight="1">
      <c r="A20548" s="35"/>
      <c r="C20548" s="442"/>
      <c r="P20548" s="235"/>
      <c r="AI20548" s="38"/>
    </row>
    <row r="20549" ht="15.75" customHeight="1">
      <c r="A20549" s="35"/>
      <c r="C20549" s="442"/>
      <c r="P20549" s="235"/>
      <c r="AI20549" s="38"/>
    </row>
    <row r="20550" ht="15.75" customHeight="1">
      <c r="A20550" s="35"/>
      <c r="C20550" s="442"/>
      <c r="P20550" s="235"/>
      <c r="AI20550" s="38"/>
    </row>
    <row r="20551" ht="15.75" customHeight="1">
      <c r="A20551" s="35"/>
      <c r="C20551" s="442"/>
      <c r="P20551" s="235"/>
      <c r="AI20551" s="38"/>
    </row>
    <row r="20552" ht="15.75" customHeight="1">
      <c r="A20552" s="35"/>
      <c r="C20552" s="442"/>
      <c r="P20552" s="235"/>
      <c r="AI20552" s="38"/>
    </row>
    <row r="20553" ht="15.75" customHeight="1">
      <c r="A20553" s="35"/>
      <c r="C20553" s="442"/>
      <c r="P20553" s="235"/>
      <c r="AI20553" s="38"/>
    </row>
    <row r="20554" ht="15.75" customHeight="1">
      <c r="A20554" s="35"/>
      <c r="C20554" s="442"/>
      <c r="P20554" s="235"/>
      <c r="AI20554" s="38"/>
    </row>
    <row r="20555" ht="15.75" customHeight="1">
      <c r="A20555" s="35"/>
      <c r="C20555" s="442"/>
      <c r="P20555" s="235"/>
      <c r="AI20555" s="38"/>
    </row>
    <row r="20556" ht="15.75" customHeight="1">
      <c r="A20556" s="35"/>
      <c r="C20556" s="442"/>
      <c r="P20556" s="235"/>
      <c r="AI20556" s="38"/>
    </row>
    <row r="20557" ht="15.75" customHeight="1">
      <c r="A20557" s="35"/>
      <c r="C20557" s="442"/>
      <c r="P20557" s="235"/>
      <c r="AI20557" s="38"/>
    </row>
    <row r="20558" ht="15.75" customHeight="1">
      <c r="A20558" s="35"/>
      <c r="C20558" s="442"/>
      <c r="P20558" s="235"/>
      <c r="AI20558" s="38"/>
    </row>
    <row r="20559" ht="15.75" customHeight="1">
      <c r="A20559" s="35"/>
      <c r="C20559" s="442"/>
      <c r="P20559" s="235"/>
      <c r="AI20559" s="38"/>
    </row>
    <row r="20560" ht="15.75" customHeight="1">
      <c r="A20560" s="35"/>
      <c r="C20560" s="442"/>
      <c r="P20560" s="235"/>
      <c r="AI20560" s="38"/>
    </row>
    <row r="20561" ht="15.75" customHeight="1">
      <c r="A20561" s="35"/>
      <c r="C20561" s="442"/>
      <c r="P20561" s="235"/>
      <c r="AI20561" s="38"/>
    </row>
    <row r="20562" ht="15.75" customHeight="1">
      <c r="A20562" s="35"/>
      <c r="C20562" s="442"/>
      <c r="P20562" s="235"/>
      <c r="AI20562" s="38"/>
    </row>
    <row r="20563" ht="15.75" customHeight="1">
      <c r="A20563" s="35"/>
      <c r="C20563" s="442"/>
      <c r="P20563" s="235"/>
      <c r="AI20563" s="38"/>
    </row>
    <row r="20564" ht="15.75" customHeight="1">
      <c r="A20564" s="35"/>
      <c r="C20564" s="442"/>
      <c r="P20564" s="235"/>
      <c r="AI20564" s="38"/>
    </row>
    <row r="20565" ht="15.75" customHeight="1">
      <c r="A20565" s="35"/>
      <c r="C20565" s="442"/>
      <c r="P20565" s="235"/>
      <c r="AI20565" s="38"/>
    </row>
    <row r="20566" ht="15.75" customHeight="1">
      <c r="A20566" s="35"/>
      <c r="C20566" s="442"/>
      <c r="P20566" s="235"/>
      <c r="AI20566" s="38"/>
    </row>
    <row r="20567" ht="15.75" customHeight="1">
      <c r="A20567" s="35"/>
      <c r="C20567" s="442"/>
      <c r="P20567" s="235"/>
      <c r="AI20567" s="38"/>
    </row>
    <row r="20568" ht="15.75" customHeight="1">
      <c r="A20568" s="35"/>
      <c r="C20568" s="442"/>
      <c r="P20568" s="235"/>
      <c r="AI20568" s="38"/>
    </row>
    <row r="20569" ht="15.75" customHeight="1">
      <c r="A20569" s="35"/>
      <c r="C20569" s="442"/>
      <c r="P20569" s="235"/>
      <c r="AI20569" s="38"/>
    </row>
    <row r="20570" ht="15.75" customHeight="1">
      <c r="A20570" s="35"/>
      <c r="C20570" s="442"/>
      <c r="P20570" s="235"/>
      <c r="AI20570" s="38"/>
    </row>
    <row r="20571" ht="15.75" customHeight="1">
      <c r="A20571" s="35"/>
      <c r="C20571" s="442"/>
      <c r="P20571" s="235"/>
      <c r="AI20571" s="38"/>
    </row>
    <row r="20572" ht="15.75" customHeight="1">
      <c r="A20572" s="35"/>
      <c r="C20572" s="442"/>
      <c r="P20572" s="235"/>
      <c r="AI20572" s="38"/>
    </row>
    <row r="20573" ht="15.75" customHeight="1">
      <c r="A20573" s="35"/>
      <c r="C20573" s="442"/>
      <c r="P20573" s="235"/>
      <c r="AI20573" s="38"/>
    </row>
    <row r="20574" ht="15.75" customHeight="1">
      <c r="A20574" s="35"/>
      <c r="C20574" s="442"/>
      <c r="P20574" s="235"/>
      <c r="AI20574" s="38"/>
    </row>
    <row r="20575" ht="15.75" customHeight="1">
      <c r="A20575" s="35"/>
      <c r="C20575" s="442"/>
      <c r="P20575" s="235"/>
      <c r="AI20575" s="38"/>
    </row>
    <row r="20576" ht="15.75" customHeight="1">
      <c r="A20576" s="35"/>
      <c r="C20576" s="442"/>
      <c r="P20576" s="235"/>
      <c r="AI20576" s="38"/>
    </row>
    <row r="20577" ht="15.75" customHeight="1">
      <c r="A20577" s="35"/>
      <c r="C20577" s="442"/>
      <c r="P20577" s="235"/>
      <c r="AI20577" s="38"/>
    </row>
    <row r="20578" ht="15.75" customHeight="1">
      <c r="A20578" s="35"/>
      <c r="C20578" s="442"/>
      <c r="P20578" s="235"/>
      <c r="AI20578" s="38"/>
    </row>
    <row r="20579" ht="15.75" customHeight="1">
      <c r="A20579" s="35"/>
      <c r="C20579" s="442"/>
      <c r="P20579" s="235"/>
      <c r="AI20579" s="38"/>
    </row>
    <row r="20580" ht="15.75" customHeight="1">
      <c r="A20580" s="35"/>
      <c r="C20580" s="442"/>
      <c r="P20580" s="235"/>
      <c r="AI20580" s="38"/>
    </row>
    <row r="20581" ht="15.75" customHeight="1">
      <c r="A20581" s="35"/>
      <c r="C20581" s="442"/>
      <c r="P20581" s="235"/>
      <c r="AI20581" s="38"/>
    </row>
    <row r="20582" ht="15.75" customHeight="1">
      <c r="A20582" s="35"/>
      <c r="C20582" s="442"/>
      <c r="P20582" s="235"/>
      <c r="AI20582" s="38"/>
    </row>
    <row r="20583" ht="15.75" customHeight="1">
      <c r="A20583" s="35"/>
      <c r="C20583" s="442"/>
      <c r="P20583" s="235"/>
      <c r="AI20583" s="38"/>
    </row>
    <row r="20584" ht="15.75" customHeight="1">
      <c r="A20584" s="35"/>
      <c r="C20584" s="442"/>
      <c r="P20584" s="235"/>
      <c r="AI20584" s="38"/>
    </row>
    <row r="20585" ht="15.75" customHeight="1">
      <c r="A20585" s="35"/>
      <c r="C20585" s="442"/>
      <c r="P20585" s="235"/>
      <c r="AI20585" s="38"/>
    </row>
    <row r="20586" ht="15.75" customHeight="1">
      <c r="A20586" s="35"/>
      <c r="C20586" s="442"/>
      <c r="P20586" s="235"/>
      <c r="AI20586" s="38"/>
    </row>
    <row r="20587" ht="15.75" customHeight="1">
      <c r="A20587" s="35"/>
      <c r="C20587" s="442"/>
      <c r="P20587" s="235"/>
      <c r="AI20587" s="38"/>
    </row>
    <row r="20588" ht="15.75" customHeight="1">
      <c r="A20588" s="35"/>
      <c r="C20588" s="442"/>
      <c r="P20588" s="235"/>
      <c r="AI20588" s="38"/>
    </row>
    <row r="20589" ht="15.75" customHeight="1">
      <c r="A20589" s="35"/>
      <c r="C20589" s="442"/>
      <c r="P20589" s="235"/>
      <c r="AI20589" s="38"/>
    </row>
    <row r="20590" ht="15.75" customHeight="1">
      <c r="A20590" s="35"/>
      <c r="C20590" s="442"/>
      <c r="P20590" s="235"/>
      <c r="AI20590" s="38"/>
    </row>
    <row r="20591" ht="15.75" customHeight="1">
      <c r="A20591" s="35"/>
      <c r="C20591" s="442"/>
      <c r="P20591" s="235"/>
      <c r="AI20591" s="38"/>
    </row>
    <row r="20592" ht="15.75" customHeight="1">
      <c r="A20592" s="35"/>
      <c r="C20592" s="442"/>
      <c r="P20592" s="235"/>
      <c r="AI20592" s="38"/>
    </row>
    <row r="20593" ht="15.75" customHeight="1">
      <c r="A20593" s="35"/>
      <c r="C20593" s="442"/>
      <c r="P20593" s="235"/>
      <c r="AI20593" s="38"/>
    </row>
    <row r="20594" ht="15.75" customHeight="1">
      <c r="A20594" s="35"/>
      <c r="C20594" s="442"/>
      <c r="P20594" s="235"/>
      <c r="AI20594" s="38"/>
    </row>
    <row r="20595" ht="15.75" customHeight="1">
      <c r="A20595" s="35"/>
      <c r="C20595" s="442"/>
      <c r="P20595" s="235"/>
      <c r="AI20595" s="38"/>
    </row>
    <row r="20596" ht="15.75" customHeight="1">
      <c r="A20596" s="35"/>
      <c r="C20596" s="442"/>
      <c r="P20596" s="235"/>
      <c r="AI20596" s="38"/>
    </row>
    <row r="20597" ht="15.75" customHeight="1">
      <c r="A20597" s="35"/>
      <c r="C20597" s="442"/>
      <c r="P20597" s="235"/>
      <c r="AI20597" s="38"/>
    </row>
    <row r="20598" ht="15.75" customHeight="1">
      <c r="A20598" s="35"/>
      <c r="C20598" s="442"/>
      <c r="P20598" s="235"/>
      <c r="AI20598" s="38"/>
    </row>
    <row r="20599" ht="15.75" customHeight="1">
      <c r="A20599" s="35"/>
      <c r="C20599" s="442"/>
      <c r="P20599" s="235"/>
      <c r="AI20599" s="38"/>
    </row>
    <row r="20600" ht="15.75" customHeight="1">
      <c r="A20600" s="35"/>
      <c r="C20600" s="442"/>
      <c r="P20600" s="235"/>
      <c r="AI20600" s="38"/>
    </row>
    <row r="20601" ht="15.75" customHeight="1">
      <c r="A20601" s="35"/>
      <c r="C20601" s="442"/>
      <c r="P20601" s="235"/>
      <c r="AI20601" s="38"/>
    </row>
    <row r="20602" ht="15.75" customHeight="1">
      <c r="A20602" s="35"/>
      <c r="C20602" s="442"/>
      <c r="P20602" s="235"/>
      <c r="AI20602" s="38"/>
    </row>
    <row r="20603" ht="15.75" customHeight="1">
      <c r="A20603" s="35"/>
      <c r="C20603" s="442"/>
      <c r="P20603" s="235"/>
      <c r="AI20603" s="38"/>
    </row>
    <row r="20604" ht="15.75" customHeight="1">
      <c r="A20604" s="35"/>
      <c r="C20604" s="442"/>
      <c r="P20604" s="235"/>
      <c r="AI20604" s="38"/>
    </row>
    <row r="20605" ht="15.75" customHeight="1">
      <c r="A20605" s="35"/>
      <c r="C20605" s="442"/>
      <c r="P20605" s="235"/>
      <c r="AI20605" s="38"/>
    </row>
    <row r="20606" ht="15.75" customHeight="1">
      <c r="A20606" s="35"/>
      <c r="C20606" s="442"/>
      <c r="P20606" s="235"/>
      <c r="AI20606" s="38"/>
    </row>
    <row r="20607" ht="15.75" customHeight="1">
      <c r="A20607" s="35"/>
      <c r="C20607" s="442"/>
      <c r="P20607" s="235"/>
      <c r="AI20607" s="38"/>
    </row>
    <row r="20608" ht="15.75" customHeight="1">
      <c r="A20608" s="35"/>
      <c r="C20608" s="442"/>
      <c r="P20608" s="235"/>
      <c r="AI20608" s="38"/>
    </row>
    <row r="20609" ht="15.75" customHeight="1">
      <c r="A20609" s="35"/>
      <c r="C20609" s="442"/>
      <c r="P20609" s="235"/>
      <c r="AI20609" s="38"/>
    </row>
    <row r="20610" ht="15.75" customHeight="1">
      <c r="A20610" s="35"/>
      <c r="C20610" s="442"/>
      <c r="P20610" s="235"/>
      <c r="AI20610" s="38"/>
    </row>
    <row r="20611" ht="15.75" customHeight="1">
      <c r="A20611" s="35"/>
      <c r="C20611" s="442"/>
      <c r="P20611" s="235"/>
      <c r="AI20611" s="38"/>
    </row>
    <row r="20612" ht="15.75" customHeight="1">
      <c r="A20612" s="35"/>
      <c r="C20612" s="442"/>
      <c r="P20612" s="235"/>
      <c r="AI20612" s="38"/>
    </row>
    <row r="20613" ht="15.75" customHeight="1">
      <c r="A20613" s="35"/>
      <c r="C20613" s="442"/>
      <c r="P20613" s="235"/>
      <c r="AI20613" s="38"/>
    </row>
    <row r="20614" ht="15.75" customHeight="1">
      <c r="A20614" s="35"/>
      <c r="C20614" s="442"/>
      <c r="P20614" s="235"/>
      <c r="AI20614" s="38"/>
    </row>
    <row r="20615" ht="15.75" customHeight="1">
      <c r="A20615" s="35"/>
      <c r="C20615" s="442"/>
      <c r="P20615" s="235"/>
      <c r="AI20615" s="38"/>
    </row>
    <row r="20616" ht="15.75" customHeight="1">
      <c r="A20616" s="35"/>
      <c r="C20616" s="442"/>
      <c r="P20616" s="235"/>
      <c r="AI20616" s="38"/>
    </row>
    <row r="20617" ht="15.75" customHeight="1">
      <c r="A20617" s="35"/>
      <c r="C20617" s="442"/>
      <c r="P20617" s="235"/>
      <c r="AI20617" s="38"/>
    </row>
    <row r="20618" ht="15.75" customHeight="1">
      <c r="A20618" s="35"/>
      <c r="C20618" s="442"/>
      <c r="P20618" s="235"/>
      <c r="AI20618" s="38"/>
    </row>
    <row r="20619" ht="15.75" customHeight="1">
      <c r="A20619" s="35"/>
      <c r="C20619" s="442"/>
      <c r="P20619" s="235"/>
      <c r="AI20619" s="38"/>
    </row>
    <row r="20620" ht="15.75" customHeight="1">
      <c r="A20620" s="35"/>
      <c r="C20620" s="442"/>
      <c r="P20620" s="235"/>
      <c r="AI20620" s="38"/>
    </row>
    <row r="20621" ht="15.75" customHeight="1">
      <c r="A20621" s="35"/>
      <c r="C20621" s="442"/>
      <c r="P20621" s="235"/>
      <c r="AI20621" s="38"/>
    </row>
    <row r="20622" ht="15.75" customHeight="1">
      <c r="A20622" s="35"/>
      <c r="C20622" s="442"/>
      <c r="P20622" s="235"/>
      <c r="AI20622" s="38"/>
    </row>
    <row r="20623" ht="15.75" customHeight="1">
      <c r="A20623" s="35"/>
      <c r="C20623" s="442"/>
      <c r="P20623" s="235"/>
      <c r="AI20623" s="38"/>
    </row>
    <row r="20624" ht="15.75" customHeight="1">
      <c r="A20624" s="35"/>
      <c r="C20624" s="442"/>
      <c r="P20624" s="235"/>
      <c r="AI20624" s="38"/>
    </row>
    <row r="20625" ht="15.75" customHeight="1">
      <c r="A20625" s="35"/>
      <c r="C20625" s="442"/>
      <c r="P20625" s="235"/>
      <c r="AI20625" s="38"/>
    </row>
    <row r="20626" ht="15.75" customHeight="1">
      <c r="A20626" s="35"/>
      <c r="C20626" s="442"/>
      <c r="P20626" s="235"/>
      <c r="AI20626" s="38"/>
    </row>
    <row r="20627" ht="15.75" customHeight="1">
      <c r="A20627" s="35"/>
      <c r="C20627" s="442"/>
      <c r="P20627" s="235"/>
      <c r="AI20627" s="38"/>
    </row>
    <row r="20628" ht="15.75" customHeight="1">
      <c r="A20628" s="35"/>
      <c r="C20628" s="442"/>
      <c r="P20628" s="235"/>
      <c r="AI20628" s="38"/>
    </row>
    <row r="20629" ht="15.75" customHeight="1">
      <c r="A20629" s="35"/>
      <c r="C20629" s="442"/>
      <c r="P20629" s="235"/>
      <c r="AI20629" s="38"/>
    </row>
    <row r="20630" ht="15.75" customHeight="1">
      <c r="A20630" s="35"/>
      <c r="C20630" s="442"/>
      <c r="P20630" s="235"/>
      <c r="AI20630" s="38"/>
    </row>
    <row r="20631" ht="15.75" customHeight="1">
      <c r="A20631" s="35"/>
      <c r="C20631" s="442"/>
      <c r="P20631" s="235"/>
      <c r="AI20631" s="38"/>
    </row>
    <row r="20632" ht="15.75" customHeight="1">
      <c r="A20632" s="35"/>
      <c r="C20632" s="442"/>
      <c r="P20632" s="235"/>
      <c r="AI20632" s="38"/>
    </row>
    <row r="20633" ht="15.75" customHeight="1">
      <c r="A20633" s="35"/>
      <c r="C20633" s="442"/>
      <c r="P20633" s="235"/>
      <c r="AI20633" s="38"/>
    </row>
    <row r="20634" ht="15.75" customHeight="1">
      <c r="A20634" s="35"/>
      <c r="C20634" s="442"/>
      <c r="P20634" s="235"/>
      <c r="AI20634" s="38"/>
    </row>
    <row r="20635" ht="15.75" customHeight="1">
      <c r="A20635" s="35"/>
      <c r="C20635" s="442"/>
      <c r="P20635" s="235"/>
      <c r="AI20635" s="38"/>
    </row>
    <row r="20636" ht="15.75" customHeight="1">
      <c r="A20636" s="35"/>
      <c r="C20636" s="442"/>
      <c r="P20636" s="235"/>
      <c r="AI20636" s="38"/>
    </row>
    <row r="20637" ht="15.75" customHeight="1">
      <c r="A20637" s="35"/>
      <c r="C20637" s="442"/>
      <c r="P20637" s="235"/>
      <c r="AI20637" s="38"/>
    </row>
    <row r="20638" ht="15.75" customHeight="1">
      <c r="A20638" s="35"/>
      <c r="C20638" s="442"/>
      <c r="P20638" s="235"/>
      <c r="AI20638" s="38"/>
    </row>
    <row r="20639" ht="15.75" customHeight="1">
      <c r="A20639" s="35"/>
      <c r="C20639" s="442"/>
      <c r="P20639" s="235"/>
      <c r="AI20639" s="38"/>
    </row>
    <row r="20640" ht="15.75" customHeight="1">
      <c r="A20640" s="35"/>
      <c r="C20640" s="442"/>
      <c r="P20640" s="235"/>
      <c r="AI20640" s="38"/>
    </row>
    <row r="20641" ht="15.75" customHeight="1">
      <c r="A20641" s="35"/>
      <c r="C20641" s="442"/>
      <c r="P20641" s="235"/>
      <c r="AI20641" s="38"/>
    </row>
    <row r="20642" ht="15.75" customHeight="1">
      <c r="A20642" s="35"/>
      <c r="C20642" s="442"/>
      <c r="P20642" s="235"/>
      <c r="AI20642" s="38"/>
    </row>
    <row r="20643" ht="15.75" customHeight="1">
      <c r="A20643" s="35"/>
      <c r="C20643" s="442"/>
      <c r="P20643" s="235"/>
      <c r="AI20643" s="38"/>
    </row>
    <row r="20644" ht="15.75" customHeight="1">
      <c r="A20644" s="35"/>
      <c r="C20644" s="442"/>
      <c r="P20644" s="235"/>
      <c r="AI20644" s="38"/>
    </row>
    <row r="20645" ht="15.75" customHeight="1">
      <c r="A20645" s="35"/>
      <c r="C20645" s="442"/>
      <c r="P20645" s="235"/>
      <c r="AI20645" s="38"/>
    </row>
    <row r="20646" ht="15.75" customHeight="1">
      <c r="A20646" s="35"/>
      <c r="C20646" s="442"/>
      <c r="P20646" s="235"/>
      <c r="AI20646" s="38"/>
    </row>
    <row r="20647" ht="15.75" customHeight="1">
      <c r="A20647" s="35"/>
      <c r="C20647" s="442"/>
      <c r="P20647" s="235"/>
      <c r="AI20647" s="38"/>
    </row>
    <row r="20648" ht="15.75" customHeight="1">
      <c r="A20648" s="35"/>
      <c r="C20648" s="442"/>
      <c r="P20648" s="235"/>
      <c r="AI20648" s="38"/>
    </row>
    <row r="20649" ht="15.75" customHeight="1">
      <c r="A20649" s="35"/>
      <c r="C20649" s="442"/>
      <c r="P20649" s="235"/>
      <c r="AI20649" s="38"/>
    </row>
    <row r="20650" ht="15.75" customHeight="1">
      <c r="A20650" s="35"/>
      <c r="C20650" s="442"/>
      <c r="P20650" s="235"/>
      <c r="AI20650" s="38"/>
    </row>
    <row r="20651" ht="15.75" customHeight="1">
      <c r="A20651" s="35"/>
      <c r="C20651" s="442"/>
      <c r="P20651" s="235"/>
      <c r="AI20651" s="38"/>
    </row>
    <row r="20652" ht="15.75" customHeight="1">
      <c r="A20652" s="35"/>
      <c r="C20652" s="442"/>
      <c r="P20652" s="235"/>
      <c r="AI20652" s="38"/>
    </row>
    <row r="20653" ht="15.75" customHeight="1">
      <c r="A20653" s="35"/>
      <c r="C20653" s="442"/>
      <c r="P20653" s="235"/>
      <c r="AI20653" s="38"/>
    </row>
    <row r="20654" ht="15.75" customHeight="1">
      <c r="A20654" s="35"/>
      <c r="C20654" s="442"/>
      <c r="P20654" s="235"/>
      <c r="AI20654" s="38"/>
    </row>
    <row r="20655" ht="15.75" customHeight="1">
      <c r="A20655" s="35"/>
      <c r="C20655" s="442"/>
      <c r="P20655" s="235"/>
      <c r="AI20655" s="38"/>
    </row>
    <row r="20656" ht="15.75" customHeight="1">
      <c r="A20656" s="35"/>
      <c r="C20656" s="442"/>
      <c r="P20656" s="235"/>
      <c r="AI20656" s="38"/>
    </row>
    <row r="20657" ht="15.75" customHeight="1">
      <c r="A20657" s="35"/>
      <c r="C20657" s="442"/>
      <c r="P20657" s="235"/>
      <c r="AI20657" s="38"/>
    </row>
    <row r="20658" ht="15.75" customHeight="1">
      <c r="A20658" s="35"/>
      <c r="C20658" s="442"/>
      <c r="P20658" s="235"/>
      <c r="AI20658" s="38"/>
    </row>
    <row r="20659" ht="15.75" customHeight="1">
      <c r="A20659" s="35"/>
      <c r="C20659" s="442"/>
      <c r="P20659" s="235"/>
      <c r="AI20659" s="38"/>
    </row>
    <row r="20660" ht="15.75" customHeight="1">
      <c r="A20660" s="35"/>
      <c r="C20660" s="442"/>
      <c r="P20660" s="235"/>
      <c r="AI20660" s="38"/>
    </row>
    <row r="20661" ht="15.75" customHeight="1">
      <c r="A20661" s="35"/>
      <c r="C20661" s="442"/>
      <c r="P20661" s="235"/>
      <c r="AI20661" s="38"/>
    </row>
    <row r="20662" ht="15.75" customHeight="1">
      <c r="A20662" s="35"/>
      <c r="C20662" s="442"/>
      <c r="P20662" s="235"/>
      <c r="AI20662" s="38"/>
    </row>
    <row r="20663" ht="15.75" customHeight="1">
      <c r="A20663" s="35"/>
      <c r="C20663" s="442"/>
      <c r="P20663" s="235"/>
      <c r="AI20663" s="38"/>
    </row>
    <row r="20664" ht="15.75" customHeight="1">
      <c r="A20664" s="35"/>
      <c r="C20664" s="442"/>
      <c r="P20664" s="235"/>
      <c r="AI20664" s="38"/>
    </row>
    <row r="20665" ht="15.75" customHeight="1">
      <c r="A20665" s="35"/>
      <c r="C20665" s="442"/>
      <c r="P20665" s="235"/>
      <c r="AI20665" s="38"/>
    </row>
    <row r="20666" ht="15.75" customHeight="1">
      <c r="A20666" s="35"/>
      <c r="C20666" s="442"/>
      <c r="P20666" s="235"/>
      <c r="AI20666" s="38"/>
    </row>
    <row r="20667" ht="15.75" customHeight="1">
      <c r="A20667" s="35"/>
      <c r="C20667" s="442"/>
      <c r="P20667" s="235"/>
      <c r="AI20667" s="38"/>
    </row>
    <row r="20668" ht="15.75" customHeight="1">
      <c r="A20668" s="35"/>
      <c r="C20668" s="442"/>
      <c r="P20668" s="235"/>
      <c r="AI20668" s="38"/>
    </row>
    <row r="20669" ht="15.75" customHeight="1">
      <c r="A20669" s="35"/>
      <c r="C20669" s="442"/>
      <c r="P20669" s="235"/>
      <c r="AI20669" s="38"/>
    </row>
    <row r="20670" ht="15.75" customHeight="1">
      <c r="A20670" s="35"/>
      <c r="C20670" s="442"/>
      <c r="P20670" s="235"/>
      <c r="AI20670" s="38"/>
    </row>
    <row r="20671" ht="15.75" customHeight="1">
      <c r="A20671" s="35"/>
      <c r="C20671" s="442"/>
      <c r="P20671" s="235"/>
      <c r="AI20671" s="38"/>
    </row>
    <row r="20672" ht="15.75" customHeight="1">
      <c r="A20672" s="35"/>
      <c r="C20672" s="442"/>
      <c r="P20672" s="235"/>
      <c r="AI20672" s="38"/>
    </row>
    <row r="20673" ht="15.75" customHeight="1">
      <c r="A20673" s="35"/>
      <c r="C20673" s="442"/>
      <c r="P20673" s="235"/>
      <c r="AI20673" s="38"/>
    </row>
    <row r="20674" ht="15.75" customHeight="1">
      <c r="A20674" s="35"/>
      <c r="C20674" s="442"/>
      <c r="P20674" s="235"/>
      <c r="AI20674" s="38"/>
    </row>
    <row r="20675" ht="15.75" customHeight="1">
      <c r="A20675" s="35"/>
      <c r="C20675" s="442"/>
      <c r="P20675" s="235"/>
      <c r="AI20675" s="38"/>
    </row>
    <row r="20676" ht="15.75" customHeight="1">
      <c r="A20676" s="35"/>
      <c r="C20676" s="442"/>
      <c r="P20676" s="235"/>
      <c r="AI20676" s="38"/>
    </row>
    <row r="20677" ht="15.75" customHeight="1">
      <c r="A20677" s="35"/>
      <c r="C20677" s="442"/>
      <c r="P20677" s="235"/>
      <c r="AI20677" s="38"/>
    </row>
    <row r="20678" ht="15.75" customHeight="1">
      <c r="A20678" s="35"/>
      <c r="C20678" s="442"/>
      <c r="P20678" s="235"/>
      <c r="AI20678" s="38"/>
    </row>
    <row r="20679" ht="15.75" customHeight="1">
      <c r="A20679" s="35"/>
      <c r="C20679" s="442"/>
      <c r="P20679" s="235"/>
      <c r="AI20679" s="38"/>
    </row>
    <row r="20680" ht="15.75" customHeight="1">
      <c r="A20680" s="35"/>
      <c r="C20680" s="442"/>
      <c r="P20680" s="235"/>
      <c r="AI20680" s="38"/>
    </row>
    <row r="20681" ht="15.75" customHeight="1">
      <c r="A20681" s="35"/>
      <c r="C20681" s="442"/>
      <c r="P20681" s="235"/>
      <c r="AI20681" s="38"/>
    </row>
    <row r="20682" ht="15.75" customHeight="1">
      <c r="A20682" s="35"/>
      <c r="C20682" s="442"/>
      <c r="P20682" s="235"/>
      <c r="AI20682" s="38"/>
    </row>
    <row r="20683" ht="15.75" customHeight="1">
      <c r="A20683" s="35"/>
      <c r="C20683" s="442"/>
      <c r="P20683" s="235"/>
      <c r="AI20683" s="38"/>
    </row>
    <row r="20684" ht="15.75" customHeight="1">
      <c r="A20684" s="35"/>
      <c r="C20684" s="442"/>
      <c r="P20684" s="235"/>
      <c r="AI20684" s="38"/>
    </row>
    <row r="20685" ht="15.75" customHeight="1">
      <c r="A20685" s="35"/>
      <c r="C20685" s="442"/>
      <c r="P20685" s="235"/>
      <c r="AI20685" s="38"/>
    </row>
    <row r="20686" ht="15.75" customHeight="1">
      <c r="A20686" s="35"/>
      <c r="C20686" s="442"/>
      <c r="P20686" s="235"/>
      <c r="AI20686" s="38"/>
    </row>
    <row r="20687" ht="15.75" customHeight="1">
      <c r="A20687" s="35"/>
      <c r="C20687" s="442"/>
      <c r="P20687" s="235"/>
      <c r="AI20687" s="38"/>
    </row>
    <row r="20688" ht="15.75" customHeight="1">
      <c r="A20688" s="35"/>
      <c r="C20688" s="442"/>
      <c r="P20688" s="235"/>
      <c r="AI20688" s="38"/>
    </row>
    <row r="20689" ht="15.75" customHeight="1">
      <c r="A20689" s="35"/>
      <c r="C20689" s="442"/>
      <c r="P20689" s="235"/>
      <c r="AI20689" s="38"/>
    </row>
    <row r="20690" ht="15.75" customHeight="1">
      <c r="A20690" s="35"/>
      <c r="C20690" s="442"/>
      <c r="P20690" s="235"/>
      <c r="AI20690" s="38"/>
    </row>
    <row r="20691" ht="15.75" customHeight="1">
      <c r="A20691" s="35"/>
      <c r="C20691" s="442"/>
      <c r="P20691" s="235"/>
      <c r="AI20691" s="38"/>
    </row>
    <row r="20692" ht="15.75" customHeight="1">
      <c r="A20692" s="35"/>
      <c r="C20692" s="442"/>
      <c r="P20692" s="235"/>
      <c r="AI20692" s="38"/>
    </row>
    <row r="20693" ht="15.75" customHeight="1">
      <c r="A20693" s="35"/>
      <c r="C20693" s="442"/>
      <c r="P20693" s="235"/>
      <c r="AI20693" s="38"/>
    </row>
    <row r="20694" ht="15.75" customHeight="1">
      <c r="A20694" s="35"/>
      <c r="C20694" s="442"/>
      <c r="P20694" s="235"/>
      <c r="AI20694" s="38"/>
    </row>
    <row r="20695" ht="15.75" customHeight="1">
      <c r="A20695" s="35"/>
      <c r="C20695" s="442"/>
      <c r="P20695" s="235"/>
      <c r="AI20695" s="38"/>
    </row>
    <row r="20696" ht="15.75" customHeight="1">
      <c r="A20696" s="35"/>
      <c r="C20696" s="442"/>
      <c r="P20696" s="235"/>
      <c r="AI20696" s="38"/>
    </row>
    <row r="20697" ht="15.75" customHeight="1">
      <c r="A20697" s="35"/>
      <c r="C20697" s="442"/>
      <c r="P20697" s="235"/>
      <c r="AI20697" s="38"/>
    </row>
    <row r="20698" ht="15.75" customHeight="1">
      <c r="A20698" s="35"/>
      <c r="C20698" s="442"/>
      <c r="P20698" s="235"/>
      <c r="AI20698" s="38"/>
    </row>
    <row r="20699" ht="15.75" customHeight="1">
      <c r="A20699" s="35"/>
      <c r="C20699" s="442"/>
      <c r="P20699" s="235"/>
      <c r="AI20699" s="38"/>
    </row>
    <row r="20700" ht="15.75" customHeight="1">
      <c r="A20700" s="35"/>
      <c r="C20700" s="442"/>
      <c r="P20700" s="235"/>
      <c r="AI20700" s="38"/>
    </row>
    <row r="20701" ht="15.75" customHeight="1">
      <c r="A20701" s="35"/>
      <c r="C20701" s="442"/>
      <c r="P20701" s="235"/>
      <c r="AI20701" s="38"/>
    </row>
    <row r="20702" ht="15.75" customHeight="1">
      <c r="A20702" s="35"/>
      <c r="C20702" s="442"/>
      <c r="P20702" s="235"/>
      <c r="AI20702" s="38"/>
    </row>
    <row r="20703" ht="15.75" customHeight="1">
      <c r="A20703" s="35"/>
      <c r="C20703" s="442"/>
      <c r="P20703" s="235"/>
      <c r="AI20703" s="38"/>
    </row>
    <row r="20704" ht="15.75" customHeight="1">
      <c r="A20704" s="35"/>
      <c r="C20704" s="442"/>
      <c r="P20704" s="235"/>
      <c r="AI20704" s="38"/>
    </row>
    <row r="20705" ht="15.75" customHeight="1">
      <c r="A20705" s="35"/>
      <c r="C20705" s="442"/>
      <c r="P20705" s="235"/>
      <c r="AI20705" s="38"/>
    </row>
    <row r="20706" ht="15.75" customHeight="1">
      <c r="A20706" s="35"/>
      <c r="C20706" s="442"/>
      <c r="P20706" s="235"/>
      <c r="AI20706" s="38"/>
    </row>
    <row r="20707" ht="15.75" customHeight="1">
      <c r="A20707" s="35"/>
      <c r="C20707" s="442"/>
      <c r="P20707" s="235"/>
      <c r="AI20707" s="38"/>
    </row>
    <row r="20708" ht="15.75" customHeight="1">
      <c r="A20708" s="35"/>
      <c r="C20708" s="442"/>
      <c r="P20708" s="235"/>
      <c r="AI20708" s="38"/>
    </row>
    <row r="20709" ht="15.75" customHeight="1">
      <c r="A20709" s="35"/>
      <c r="C20709" s="442"/>
      <c r="P20709" s="235"/>
      <c r="AI20709" s="38"/>
    </row>
    <row r="20710" ht="15.75" customHeight="1">
      <c r="A20710" s="35"/>
      <c r="C20710" s="442"/>
      <c r="P20710" s="235"/>
      <c r="AI20710" s="38"/>
    </row>
    <row r="20711" ht="15.75" customHeight="1">
      <c r="A20711" s="35"/>
      <c r="C20711" s="442"/>
      <c r="P20711" s="235"/>
      <c r="AI20711" s="38"/>
    </row>
    <row r="20712" ht="15.75" customHeight="1">
      <c r="A20712" s="35"/>
      <c r="C20712" s="442"/>
      <c r="P20712" s="235"/>
      <c r="AI20712" s="38"/>
    </row>
    <row r="20713" ht="15.75" customHeight="1">
      <c r="A20713" s="35"/>
      <c r="C20713" s="442"/>
      <c r="P20713" s="235"/>
      <c r="AI20713" s="38"/>
    </row>
    <row r="20714" ht="15.75" customHeight="1">
      <c r="A20714" s="35"/>
      <c r="C20714" s="442"/>
      <c r="P20714" s="235"/>
      <c r="AI20714" s="38"/>
    </row>
    <row r="20715" ht="15.75" customHeight="1">
      <c r="A20715" s="35"/>
      <c r="C20715" s="442"/>
      <c r="P20715" s="235"/>
      <c r="AI20715" s="38"/>
    </row>
    <row r="20716" ht="15.75" customHeight="1">
      <c r="A20716" s="35"/>
      <c r="C20716" s="442"/>
      <c r="P20716" s="235"/>
      <c r="AI20716" s="38"/>
    </row>
    <row r="20717" ht="15.75" customHeight="1">
      <c r="A20717" s="35"/>
      <c r="C20717" s="442"/>
      <c r="P20717" s="235"/>
      <c r="AI20717" s="38"/>
    </row>
    <row r="20718" ht="15.75" customHeight="1">
      <c r="A20718" s="35"/>
      <c r="C20718" s="442"/>
      <c r="P20718" s="235"/>
      <c r="AI20718" s="38"/>
    </row>
    <row r="20719" ht="15.75" customHeight="1">
      <c r="A20719" s="35"/>
      <c r="C20719" s="442"/>
      <c r="P20719" s="235"/>
      <c r="AI20719" s="38"/>
    </row>
    <row r="20720" ht="15.75" customHeight="1">
      <c r="A20720" s="35"/>
      <c r="C20720" s="442"/>
      <c r="P20720" s="235"/>
      <c r="AI20720" s="38"/>
    </row>
    <row r="20721" ht="15.75" customHeight="1">
      <c r="A20721" s="35"/>
      <c r="C20721" s="442"/>
      <c r="P20721" s="235"/>
      <c r="AI20721" s="38"/>
    </row>
    <row r="20722" ht="15.75" customHeight="1">
      <c r="A20722" s="35"/>
      <c r="C20722" s="442"/>
      <c r="P20722" s="235"/>
      <c r="AI20722" s="38"/>
    </row>
    <row r="20723" ht="15.75" customHeight="1">
      <c r="A20723" s="35"/>
      <c r="C20723" s="442"/>
      <c r="P20723" s="235"/>
      <c r="AI20723" s="38"/>
    </row>
    <row r="20724" ht="15.75" customHeight="1">
      <c r="A20724" s="35"/>
      <c r="C20724" s="442"/>
      <c r="P20724" s="235"/>
      <c r="AI20724" s="38"/>
    </row>
    <row r="20725" ht="15.75" customHeight="1">
      <c r="A20725" s="35"/>
      <c r="C20725" s="442"/>
      <c r="P20725" s="235"/>
      <c r="AI20725" s="38"/>
    </row>
    <row r="20726" ht="15.75" customHeight="1">
      <c r="A20726" s="35"/>
      <c r="C20726" s="442"/>
      <c r="P20726" s="235"/>
      <c r="AI20726" s="38"/>
    </row>
    <row r="20727" ht="15.75" customHeight="1">
      <c r="A20727" s="35"/>
      <c r="C20727" s="442"/>
      <c r="P20727" s="235"/>
      <c r="AI20727" s="38"/>
    </row>
    <row r="20728" ht="15.75" customHeight="1">
      <c r="A20728" s="35"/>
      <c r="C20728" s="442"/>
      <c r="P20728" s="235"/>
      <c r="AI20728" s="38"/>
    </row>
    <row r="20729" ht="15.75" customHeight="1">
      <c r="A20729" s="35"/>
      <c r="C20729" s="442"/>
      <c r="P20729" s="235"/>
      <c r="AI20729" s="38"/>
    </row>
    <row r="20730" ht="15.75" customHeight="1">
      <c r="A20730" s="35"/>
      <c r="C20730" s="442"/>
      <c r="P20730" s="235"/>
      <c r="AI20730" s="38"/>
    </row>
    <row r="20731" ht="15.75" customHeight="1">
      <c r="A20731" s="35"/>
      <c r="C20731" s="442"/>
      <c r="P20731" s="235"/>
      <c r="AI20731" s="38"/>
    </row>
    <row r="20732" ht="15.75" customHeight="1">
      <c r="A20732" s="35"/>
      <c r="C20732" s="442"/>
      <c r="P20732" s="235"/>
      <c r="AI20732" s="38"/>
    </row>
    <row r="20733" ht="15.75" customHeight="1">
      <c r="A20733" s="35"/>
      <c r="C20733" s="442"/>
      <c r="P20733" s="235"/>
      <c r="AI20733" s="38"/>
    </row>
    <row r="20734" ht="15.75" customHeight="1">
      <c r="A20734" s="35"/>
      <c r="C20734" s="442"/>
      <c r="P20734" s="235"/>
      <c r="AI20734" s="38"/>
    </row>
    <row r="20735" ht="15.75" customHeight="1">
      <c r="A20735" s="35"/>
      <c r="C20735" s="442"/>
      <c r="P20735" s="235"/>
      <c r="AI20735" s="38"/>
    </row>
    <row r="20736" ht="15.75" customHeight="1">
      <c r="A20736" s="35"/>
      <c r="C20736" s="442"/>
      <c r="P20736" s="235"/>
      <c r="AI20736" s="38"/>
    </row>
    <row r="20737" ht="15.75" customHeight="1">
      <c r="A20737" s="35"/>
      <c r="C20737" s="442"/>
      <c r="P20737" s="235"/>
      <c r="AI20737" s="38"/>
    </row>
    <row r="20738" ht="15.75" customHeight="1">
      <c r="A20738" s="35"/>
      <c r="C20738" s="442"/>
      <c r="P20738" s="235"/>
      <c r="AI20738" s="38"/>
    </row>
    <row r="20739" ht="15.75" customHeight="1">
      <c r="A20739" s="35"/>
      <c r="C20739" s="442"/>
      <c r="P20739" s="235"/>
      <c r="AI20739" s="38"/>
    </row>
    <row r="20740" ht="15.75" customHeight="1">
      <c r="A20740" s="35"/>
      <c r="C20740" s="442"/>
      <c r="P20740" s="235"/>
      <c r="AI20740" s="38"/>
    </row>
    <row r="20741" ht="15.75" customHeight="1">
      <c r="A20741" s="35"/>
      <c r="C20741" s="442"/>
      <c r="P20741" s="235"/>
      <c r="AI20741" s="38"/>
    </row>
    <row r="20742" ht="15.75" customHeight="1">
      <c r="A20742" s="35"/>
      <c r="C20742" s="442"/>
      <c r="P20742" s="235"/>
      <c r="AI20742" s="38"/>
    </row>
    <row r="20743" ht="15.75" customHeight="1">
      <c r="A20743" s="35"/>
      <c r="C20743" s="442"/>
      <c r="P20743" s="235"/>
      <c r="AI20743" s="38"/>
    </row>
    <row r="20744" ht="15.75" customHeight="1">
      <c r="A20744" s="35"/>
      <c r="C20744" s="442"/>
      <c r="P20744" s="235"/>
      <c r="AI20744" s="38"/>
    </row>
    <row r="20745" ht="15.75" customHeight="1">
      <c r="A20745" s="35"/>
      <c r="C20745" s="442"/>
      <c r="P20745" s="235"/>
      <c r="AI20745" s="38"/>
    </row>
    <row r="20746" ht="15.75" customHeight="1">
      <c r="A20746" s="35"/>
      <c r="C20746" s="442"/>
      <c r="P20746" s="235"/>
      <c r="AI20746" s="38"/>
    </row>
    <row r="20747" ht="15.75" customHeight="1">
      <c r="A20747" s="35"/>
      <c r="C20747" s="442"/>
      <c r="P20747" s="235"/>
      <c r="AI20747" s="38"/>
    </row>
    <row r="20748" ht="15.75" customHeight="1">
      <c r="A20748" s="35"/>
      <c r="C20748" s="442"/>
      <c r="P20748" s="235"/>
      <c r="AI20748" s="38"/>
    </row>
    <row r="20749" ht="15.75" customHeight="1">
      <c r="A20749" s="35"/>
      <c r="C20749" s="442"/>
      <c r="P20749" s="235"/>
      <c r="AI20749" s="38"/>
    </row>
    <row r="20750" ht="15.75" customHeight="1">
      <c r="A20750" s="35"/>
      <c r="C20750" s="442"/>
      <c r="P20750" s="235"/>
      <c r="AI20750" s="38"/>
    </row>
    <row r="20751" ht="15.75" customHeight="1">
      <c r="A20751" s="35"/>
      <c r="C20751" s="442"/>
      <c r="P20751" s="235"/>
      <c r="AI20751" s="38"/>
    </row>
    <row r="20752" ht="15.75" customHeight="1">
      <c r="A20752" s="35"/>
      <c r="C20752" s="442"/>
      <c r="P20752" s="235"/>
      <c r="AI20752" s="38"/>
    </row>
    <row r="20753" ht="15.75" customHeight="1">
      <c r="A20753" s="35"/>
      <c r="C20753" s="442"/>
      <c r="P20753" s="235"/>
      <c r="AI20753" s="38"/>
    </row>
    <row r="20754" ht="15.75" customHeight="1">
      <c r="A20754" s="35"/>
      <c r="C20754" s="442"/>
      <c r="P20754" s="235"/>
      <c r="AI20754" s="38"/>
    </row>
    <row r="20755" ht="15.75" customHeight="1">
      <c r="A20755" s="35"/>
      <c r="C20755" s="442"/>
      <c r="P20755" s="235"/>
      <c r="AI20755" s="38"/>
    </row>
    <row r="20756" ht="15.75" customHeight="1">
      <c r="A20756" s="35"/>
      <c r="C20756" s="442"/>
      <c r="P20756" s="235"/>
      <c r="AI20756" s="38"/>
    </row>
    <row r="20757" ht="15.75" customHeight="1">
      <c r="A20757" s="35"/>
      <c r="C20757" s="442"/>
      <c r="P20757" s="235"/>
      <c r="AI20757" s="38"/>
    </row>
    <row r="20758" ht="15.75" customHeight="1">
      <c r="A20758" s="35"/>
      <c r="C20758" s="442"/>
      <c r="P20758" s="235"/>
      <c r="AI20758" s="38"/>
    </row>
    <row r="20759" ht="15.75" customHeight="1">
      <c r="A20759" s="35"/>
      <c r="C20759" s="442"/>
      <c r="P20759" s="235"/>
      <c r="AI20759" s="38"/>
    </row>
    <row r="20760" ht="15.75" customHeight="1">
      <c r="A20760" s="35"/>
      <c r="C20760" s="442"/>
      <c r="P20760" s="235"/>
      <c r="AI20760" s="38"/>
    </row>
    <row r="20761" ht="15.75" customHeight="1">
      <c r="A20761" s="35"/>
      <c r="C20761" s="442"/>
      <c r="P20761" s="235"/>
      <c r="AI20761" s="38"/>
    </row>
    <row r="20762" ht="15.75" customHeight="1">
      <c r="A20762" s="35"/>
      <c r="C20762" s="442"/>
      <c r="P20762" s="235"/>
      <c r="AI20762" s="38"/>
    </row>
    <row r="20763" ht="15.75" customHeight="1">
      <c r="A20763" s="35"/>
      <c r="C20763" s="442"/>
      <c r="P20763" s="235"/>
      <c r="AI20763" s="38"/>
    </row>
    <row r="20764" ht="15.75" customHeight="1">
      <c r="A20764" s="35"/>
      <c r="C20764" s="442"/>
      <c r="P20764" s="235"/>
      <c r="AI20764" s="38"/>
    </row>
    <row r="20765" ht="15.75" customHeight="1">
      <c r="A20765" s="35"/>
      <c r="C20765" s="442"/>
      <c r="P20765" s="235"/>
      <c r="AI20765" s="38"/>
    </row>
    <row r="20766" ht="15.75" customHeight="1">
      <c r="A20766" s="35"/>
      <c r="C20766" s="442"/>
      <c r="P20766" s="235"/>
      <c r="AI20766" s="38"/>
    </row>
    <row r="20767" ht="15.75" customHeight="1">
      <c r="A20767" s="35"/>
      <c r="C20767" s="442"/>
      <c r="P20767" s="235"/>
      <c r="AI20767" s="38"/>
    </row>
    <row r="20768" ht="15.75" customHeight="1">
      <c r="A20768" s="35"/>
      <c r="C20768" s="442"/>
      <c r="P20768" s="235"/>
      <c r="AI20768" s="38"/>
    </row>
    <row r="20769" ht="15.75" customHeight="1">
      <c r="A20769" s="35"/>
      <c r="C20769" s="442"/>
      <c r="P20769" s="235"/>
      <c r="AI20769" s="38"/>
    </row>
    <row r="20770" ht="15.75" customHeight="1">
      <c r="A20770" s="35"/>
      <c r="C20770" s="442"/>
      <c r="P20770" s="235"/>
      <c r="AI20770" s="38"/>
    </row>
    <row r="20771" ht="15.75" customHeight="1">
      <c r="A20771" s="35"/>
      <c r="C20771" s="442"/>
      <c r="P20771" s="235"/>
      <c r="AI20771" s="38"/>
    </row>
    <row r="20772" ht="15.75" customHeight="1">
      <c r="A20772" s="35"/>
      <c r="C20772" s="442"/>
      <c r="P20772" s="235"/>
      <c r="AI20772" s="38"/>
    </row>
    <row r="20773" ht="15.75" customHeight="1">
      <c r="A20773" s="35"/>
      <c r="C20773" s="442"/>
      <c r="P20773" s="235"/>
      <c r="AI20773" s="38"/>
    </row>
    <row r="20774" ht="15.75" customHeight="1">
      <c r="A20774" s="35"/>
      <c r="C20774" s="442"/>
      <c r="P20774" s="235"/>
      <c r="AI20774" s="38"/>
    </row>
    <row r="20775" ht="15.75" customHeight="1">
      <c r="A20775" s="35"/>
      <c r="C20775" s="442"/>
      <c r="P20775" s="235"/>
      <c r="AI20775" s="38"/>
    </row>
    <row r="20776" ht="15.75" customHeight="1">
      <c r="A20776" s="35"/>
      <c r="C20776" s="442"/>
      <c r="P20776" s="235"/>
      <c r="AI20776" s="38"/>
    </row>
    <row r="20777" ht="15.75" customHeight="1">
      <c r="A20777" s="35"/>
      <c r="C20777" s="442"/>
      <c r="P20777" s="235"/>
      <c r="AI20777" s="38"/>
    </row>
    <row r="20778" ht="15.75" customHeight="1">
      <c r="A20778" s="35"/>
      <c r="C20778" s="442"/>
      <c r="P20778" s="235"/>
      <c r="AI20778" s="38"/>
    </row>
    <row r="20779" ht="15.75" customHeight="1">
      <c r="A20779" s="35"/>
      <c r="C20779" s="442"/>
      <c r="P20779" s="235"/>
      <c r="AI20779" s="38"/>
    </row>
    <row r="20780" ht="15.75" customHeight="1">
      <c r="A20780" s="35"/>
      <c r="C20780" s="442"/>
      <c r="P20780" s="235"/>
      <c r="AI20780" s="38"/>
    </row>
    <row r="20781" ht="15.75" customHeight="1">
      <c r="A20781" s="35"/>
      <c r="C20781" s="442"/>
      <c r="P20781" s="235"/>
      <c r="AI20781" s="38"/>
    </row>
    <row r="20782" ht="15.75" customHeight="1">
      <c r="A20782" s="35"/>
      <c r="C20782" s="442"/>
      <c r="P20782" s="235"/>
      <c r="AI20782" s="38"/>
    </row>
    <row r="20783" ht="15.75" customHeight="1">
      <c r="A20783" s="35"/>
      <c r="C20783" s="442"/>
      <c r="P20783" s="235"/>
      <c r="AI20783" s="38"/>
    </row>
    <row r="20784" ht="15.75" customHeight="1">
      <c r="A20784" s="35"/>
      <c r="C20784" s="442"/>
      <c r="P20784" s="235"/>
      <c r="AI20784" s="38"/>
    </row>
    <row r="20785" ht="15.75" customHeight="1">
      <c r="A20785" s="35"/>
      <c r="C20785" s="442"/>
      <c r="P20785" s="235"/>
      <c r="AI20785" s="38"/>
    </row>
    <row r="20786" ht="15.75" customHeight="1">
      <c r="A20786" s="35"/>
      <c r="C20786" s="442"/>
      <c r="P20786" s="235"/>
      <c r="AI20786" s="38"/>
    </row>
    <row r="20787" ht="15.75" customHeight="1">
      <c r="A20787" s="35"/>
      <c r="C20787" s="442"/>
      <c r="P20787" s="235"/>
      <c r="AI20787" s="38"/>
    </row>
    <row r="20788" ht="15.75" customHeight="1">
      <c r="A20788" s="35"/>
      <c r="C20788" s="442"/>
      <c r="P20788" s="235"/>
      <c r="AI20788" s="38"/>
    </row>
    <row r="20789" ht="15.75" customHeight="1">
      <c r="A20789" s="35"/>
      <c r="C20789" s="442"/>
      <c r="P20789" s="235"/>
      <c r="AI20789" s="38"/>
    </row>
    <row r="20790" ht="15.75" customHeight="1">
      <c r="A20790" s="35"/>
      <c r="C20790" s="442"/>
      <c r="P20790" s="235"/>
      <c r="AI20790" s="38"/>
    </row>
    <row r="20791" ht="15.75" customHeight="1">
      <c r="A20791" s="35"/>
      <c r="C20791" s="442"/>
      <c r="P20791" s="235"/>
      <c r="AI20791" s="38"/>
    </row>
    <row r="20792" ht="15.75" customHeight="1">
      <c r="A20792" s="35"/>
      <c r="C20792" s="442"/>
      <c r="P20792" s="235"/>
      <c r="AI20792" s="38"/>
    </row>
    <row r="20793" ht="15.75" customHeight="1">
      <c r="A20793" s="35"/>
      <c r="C20793" s="442"/>
      <c r="P20793" s="235"/>
      <c r="AI20793" s="38"/>
    </row>
    <row r="20794" ht="15.75" customHeight="1">
      <c r="A20794" s="35"/>
      <c r="C20794" s="442"/>
      <c r="P20794" s="235"/>
      <c r="AI20794" s="38"/>
    </row>
    <row r="20795" ht="15.75" customHeight="1">
      <c r="A20795" s="35"/>
      <c r="C20795" s="442"/>
      <c r="P20795" s="235"/>
      <c r="AI20795" s="38"/>
    </row>
    <row r="20796" ht="15.75" customHeight="1">
      <c r="A20796" s="35"/>
      <c r="C20796" s="442"/>
      <c r="P20796" s="235"/>
      <c r="AI20796" s="38"/>
    </row>
    <row r="20797" ht="15.75" customHeight="1">
      <c r="A20797" s="35"/>
      <c r="C20797" s="442"/>
      <c r="P20797" s="235"/>
      <c r="AI20797" s="38"/>
    </row>
    <row r="20798" ht="15.75" customHeight="1">
      <c r="A20798" s="35"/>
      <c r="C20798" s="442"/>
      <c r="P20798" s="235"/>
      <c r="AI20798" s="38"/>
    </row>
    <row r="20799" ht="15.75" customHeight="1">
      <c r="A20799" s="35"/>
      <c r="C20799" s="442"/>
      <c r="P20799" s="235"/>
      <c r="AI20799" s="38"/>
    </row>
    <row r="20800" ht="15.75" customHeight="1">
      <c r="A20800" s="35"/>
      <c r="C20800" s="442"/>
      <c r="P20800" s="235"/>
      <c r="AI20800" s="38"/>
    </row>
    <row r="20801" ht="15.75" customHeight="1">
      <c r="A20801" s="35"/>
      <c r="C20801" s="442"/>
      <c r="P20801" s="235"/>
      <c r="AI20801" s="38"/>
    </row>
    <row r="20802" ht="15.75" customHeight="1">
      <c r="A20802" s="35"/>
      <c r="C20802" s="442"/>
      <c r="P20802" s="235"/>
      <c r="AI20802" s="38"/>
    </row>
    <row r="20803" ht="15.75" customHeight="1">
      <c r="A20803" s="35"/>
      <c r="C20803" s="442"/>
      <c r="P20803" s="235"/>
      <c r="AI20803" s="38"/>
    </row>
    <row r="20804" ht="15.75" customHeight="1">
      <c r="A20804" s="35"/>
      <c r="C20804" s="442"/>
      <c r="P20804" s="235"/>
      <c r="AI20804" s="38"/>
    </row>
    <row r="20805" ht="15.75" customHeight="1">
      <c r="A20805" s="35"/>
      <c r="C20805" s="442"/>
      <c r="P20805" s="235"/>
      <c r="AI20805" s="38"/>
    </row>
    <row r="20806" ht="15.75" customHeight="1">
      <c r="A20806" s="35"/>
      <c r="C20806" s="442"/>
      <c r="P20806" s="235"/>
      <c r="AI20806" s="38"/>
    </row>
    <row r="20807" ht="15.75" customHeight="1">
      <c r="A20807" s="35"/>
      <c r="C20807" s="442"/>
      <c r="P20807" s="235"/>
      <c r="AI20807" s="38"/>
    </row>
    <row r="20808" ht="15.75" customHeight="1">
      <c r="A20808" s="35"/>
      <c r="C20808" s="442"/>
      <c r="P20808" s="235"/>
      <c r="AI20808" s="38"/>
    </row>
    <row r="20809" ht="15.75" customHeight="1">
      <c r="A20809" s="35"/>
      <c r="C20809" s="442"/>
      <c r="P20809" s="235"/>
      <c r="AI20809" s="38"/>
    </row>
    <row r="20810" ht="15.75" customHeight="1">
      <c r="A20810" s="35"/>
      <c r="C20810" s="442"/>
      <c r="P20810" s="235"/>
      <c r="AI20810" s="38"/>
    </row>
    <row r="20811" ht="15.75" customHeight="1">
      <c r="A20811" s="35"/>
      <c r="C20811" s="442"/>
      <c r="P20811" s="235"/>
      <c r="AI20811" s="38"/>
    </row>
    <row r="20812" ht="15.75" customHeight="1">
      <c r="A20812" s="35"/>
      <c r="C20812" s="442"/>
      <c r="P20812" s="235"/>
      <c r="AI20812" s="38"/>
    </row>
    <row r="20813" ht="15.75" customHeight="1">
      <c r="A20813" s="35"/>
      <c r="C20813" s="442"/>
      <c r="P20813" s="235"/>
      <c r="AI20813" s="38"/>
    </row>
    <row r="20814" ht="15.75" customHeight="1">
      <c r="A20814" s="35"/>
      <c r="C20814" s="442"/>
      <c r="P20814" s="235"/>
      <c r="AI20814" s="38"/>
    </row>
    <row r="20815" ht="15.75" customHeight="1">
      <c r="A20815" s="35"/>
      <c r="C20815" s="442"/>
      <c r="P20815" s="235"/>
      <c r="AI20815" s="38"/>
    </row>
    <row r="20816" ht="15.75" customHeight="1">
      <c r="A20816" s="35"/>
      <c r="C20816" s="442"/>
      <c r="P20816" s="235"/>
      <c r="AI20816" s="38"/>
    </row>
    <row r="20817" ht="15.75" customHeight="1">
      <c r="A20817" s="35"/>
      <c r="C20817" s="442"/>
      <c r="P20817" s="235"/>
      <c r="AI20817" s="38"/>
    </row>
    <row r="20818" ht="15.75" customHeight="1">
      <c r="A20818" s="35"/>
      <c r="C20818" s="442"/>
      <c r="P20818" s="235"/>
      <c r="AI20818" s="38"/>
    </row>
    <row r="20819" ht="15.75" customHeight="1">
      <c r="A20819" s="35"/>
      <c r="C20819" s="442"/>
      <c r="P20819" s="235"/>
      <c r="AI20819" s="38"/>
    </row>
    <row r="20820" ht="15.75" customHeight="1">
      <c r="A20820" s="35"/>
      <c r="C20820" s="442"/>
      <c r="P20820" s="235"/>
      <c r="AI20820" s="38"/>
    </row>
    <row r="20821" ht="15.75" customHeight="1">
      <c r="A20821" s="35"/>
      <c r="C20821" s="442"/>
      <c r="P20821" s="235"/>
      <c r="AI20821" s="38"/>
    </row>
    <row r="20822" ht="15.75" customHeight="1">
      <c r="A20822" s="35"/>
      <c r="C20822" s="442"/>
      <c r="P20822" s="235"/>
      <c r="AI20822" s="38"/>
    </row>
    <row r="20823" ht="15.75" customHeight="1">
      <c r="A20823" s="35"/>
      <c r="C20823" s="442"/>
      <c r="P20823" s="235"/>
      <c r="AI20823" s="38"/>
    </row>
    <row r="20824" ht="15.75" customHeight="1">
      <c r="A20824" s="35"/>
      <c r="C20824" s="442"/>
      <c r="P20824" s="235"/>
      <c r="AI20824" s="38"/>
    </row>
    <row r="20825" ht="15.75" customHeight="1">
      <c r="A20825" s="35"/>
      <c r="C20825" s="442"/>
      <c r="P20825" s="235"/>
      <c r="AI20825" s="38"/>
    </row>
    <row r="20826" ht="15.75" customHeight="1">
      <c r="A20826" s="35"/>
      <c r="C20826" s="442"/>
      <c r="P20826" s="235"/>
      <c r="AI20826" s="38"/>
    </row>
    <row r="20827" ht="15.75" customHeight="1">
      <c r="A20827" s="35"/>
      <c r="C20827" s="442"/>
      <c r="P20827" s="235"/>
      <c r="AI20827" s="38"/>
    </row>
    <row r="20828" ht="15.75" customHeight="1">
      <c r="A20828" s="35"/>
      <c r="C20828" s="442"/>
      <c r="P20828" s="235"/>
      <c r="AI20828" s="38"/>
    </row>
    <row r="20829" ht="15.75" customHeight="1">
      <c r="A20829" s="35"/>
      <c r="C20829" s="442"/>
      <c r="P20829" s="235"/>
      <c r="AI20829" s="38"/>
    </row>
    <row r="20830" ht="15.75" customHeight="1">
      <c r="A20830" s="35"/>
      <c r="C20830" s="442"/>
      <c r="P20830" s="235"/>
      <c r="AI20830" s="38"/>
    </row>
    <row r="20831" ht="15.75" customHeight="1">
      <c r="A20831" s="35"/>
      <c r="C20831" s="442"/>
      <c r="P20831" s="235"/>
      <c r="AI20831" s="38"/>
    </row>
    <row r="20832" ht="15.75" customHeight="1">
      <c r="A20832" s="35"/>
      <c r="C20832" s="442"/>
      <c r="P20832" s="235"/>
      <c r="AI20832" s="38"/>
    </row>
    <row r="20833" ht="15.75" customHeight="1">
      <c r="A20833" s="35"/>
      <c r="C20833" s="442"/>
      <c r="P20833" s="235"/>
      <c r="AI20833" s="38"/>
    </row>
    <row r="20834" ht="15.75" customHeight="1">
      <c r="A20834" s="35"/>
      <c r="C20834" s="442"/>
      <c r="P20834" s="235"/>
      <c r="AI20834" s="38"/>
    </row>
    <row r="20835" ht="15.75" customHeight="1">
      <c r="A20835" s="35"/>
      <c r="C20835" s="442"/>
      <c r="P20835" s="235"/>
      <c r="AI20835" s="38"/>
    </row>
    <row r="20836" ht="15.75" customHeight="1">
      <c r="A20836" s="35"/>
      <c r="C20836" s="442"/>
      <c r="P20836" s="235"/>
      <c r="AI20836" s="38"/>
    </row>
    <row r="20837" ht="15.75" customHeight="1">
      <c r="A20837" s="35"/>
      <c r="C20837" s="442"/>
      <c r="P20837" s="235"/>
      <c r="AI20837" s="38"/>
    </row>
    <row r="20838" ht="15.75" customHeight="1">
      <c r="A20838" s="35"/>
      <c r="C20838" s="442"/>
      <c r="P20838" s="235"/>
      <c r="AI20838" s="38"/>
    </row>
    <row r="20839" ht="15.75" customHeight="1">
      <c r="A20839" s="35"/>
      <c r="C20839" s="442"/>
      <c r="P20839" s="235"/>
      <c r="AI20839" s="38"/>
    </row>
    <row r="20840" ht="15.75" customHeight="1">
      <c r="A20840" s="35"/>
      <c r="C20840" s="442"/>
      <c r="P20840" s="235"/>
      <c r="AI20840" s="38"/>
    </row>
    <row r="20841" ht="15.75" customHeight="1">
      <c r="A20841" s="35"/>
      <c r="C20841" s="442"/>
      <c r="P20841" s="235"/>
      <c r="AI20841" s="38"/>
    </row>
    <row r="20842" ht="15.75" customHeight="1">
      <c r="A20842" s="35"/>
      <c r="C20842" s="442"/>
      <c r="P20842" s="235"/>
      <c r="AI20842" s="38"/>
    </row>
    <row r="20843" ht="15.75" customHeight="1">
      <c r="A20843" s="35"/>
      <c r="C20843" s="442"/>
      <c r="P20843" s="235"/>
      <c r="AI20843" s="38"/>
    </row>
    <row r="20844" ht="15.75" customHeight="1">
      <c r="A20844" s="35"/>
      <c r="C20844" s="442"/>
      <c r="P20844" s="235"/>
      <c r="AI20844" s="38"/>
    </row>
    <row r="20845" ht="15.75" customHeight="1">
      <c r="A20845" s="35"/>
      <c r="C20845" s="442"/>
      <c r="P20845" s="235"/>
      <c r="AI20845" s="38"/>
    </row>
    <row r="20846" ht="15.75" customHeight="1">
      <c r="A20846" s="35"/>
      <c r="C20846" s="442"/>
      <c r="P20846" s="235"/>
      <c r="AI20846" s="38"/>
    </row>
    <row r="20847" ht="15.75" customHeight="1">
      <c r="A20847" s="35"/>
      <c r="C20847" s="442"/>
      <c r="P20847" s="235"/>
      <c r="AI20847" s="38"/>
    </row>
    <row r="20848" ht="15.75" customHeight="1">
      <c r="A20848" s="35"/>
      <c r="C20848" s="442"/>
      <c r="P20848" s="235"/>
      <c r="AI20848" s="38"/>
    </row>
    <row r="20849" ht="15.75" customHeight="1">
      <c r="A20849" s="35"/>
      <c r="C20849" s="442"/>
      <c r="P20849" s="235"/>
      <c r="AI20849" s="38"/>
    </row>
    <row r="20850" ht="15.75" customHeight="1">
      <c r="A20850" s="35"/>
      <c r="C20850" s="442"/>
      <c r="P20850" s="235"/>
      <c r="AI20850" s="38"/>
    </row>
    <row r="20851" ht="15.75" customHeight="1">
      <c r="A20851" s="35"/>
      <c r="C20851" s="442"/>
      <c r="P20851" s="235"/>
      <c r="AI20851" s="38"/>
    </row>
    <row r="20852" ht="15.75" customHeight="1">
      <c r="A20852" s="35"/>
      <c r="C20852" s="442"/>
      <c r="P20852" s="235"/>
      <c r="AI20852" s="38"/>
    </row>
    <row r="20853" ht="15.75" customHeight="1">
      <c r="A20853" s="35"/>
      <c r="C20853" s="442"/>
      <c r="P20853" s="235"/>
      <c r="AI20853" s="38"/>
    </row>
    <row r="20854" ht="15.75" customHeight="1">
      <c r="A20854" s="35"/>
      <c r="C20854" s="442"/>
      <c r="P20854" s="235"/>
      <c r="AI20854" s="38"/>
    </row>
    <row r="20855" ht="15.75" customHeight="1">
      <c r="A20855" s="35"/>
      <c r="C20855" s="442"/>
      <c r="P20855" s="235"/>
      <c r="AI20855" s="38"/>
    </row>
    <row r="20856" ht="15.75" customHeight="1">
      <c r="A20856" s="35"/>
      <c r="C20856" s="442"/>
      <c r="P20856" s="235"/>
      <c r="AI20856" s="38"/>
    </row>
    <row r="20857" ht="15.75" customHeight="1">
      <c r="A20857" s="35"/>
      <c r="C20857" s="442"/>
      <c r="P20857" s="235"/>
      <c r="AI20857" s="38"/>
    </row>
    <row r="20858" ht="15.75" customHeight="1">
      <c r="A20858" s="35"/>
      <c r="C20858" s="442"/>
      <c r="P20858" s="235"/>
      <c r="AI20858" s="38"/>
    </row>
    <row r="20859" ht="15.75" customHeight="1">
      <c r="A20859" s="35"/>
      <c r="C20859" s="442"/>
      <c r="P20859" s="235"/>
      <c r="AI20859" s="38"/>
    </row>
    <row r="20860" ht="15.75" customHeight="1">
      <c r="A20860" s="35"/>
      <c r="C20860" s="442"/>
      <c r="P20860" s="235"/>
      <c r="AI20860" s="38"/>
    </row>
    <row r="20861" ht="15.75" customHeight="1">
      <c r="A20861" s="35"/>
      <c r="C20861" s="442"/>
      <c r="P20861" s="235"/>
      <c r="AI20861" s="38"/>
    </row>
    <row r="20862" ht="15.75" customHeight="1">
      <c r="A20862" s="35"/>
      <c r="C20862" s="442"/>
      <c r="P20862" s="235"/>
      <c r="AI20862" s="38"/>
    </row>
    <row r="20863" ht="15.75" customHeight="1">
      <c r="A20863" s="35"/>
      <c r="C20863" s="442"/>
      <c r="P20863" s="235"/>
      <c r="AI20863" s="38"/>
    </row>
    <row r="20864" ht="15.75" customHeight="1">
      <c r="A20864" s="35"/>
      <c r="C20864" s="442"/>
      <c r="P20864" s="235"/>
      <c r="AI20864" s="38"/>
    </row>
    <row r="20865" ht="15.75" customHeight="1">
      <c r="A20865" s="35"/>
      <c r="C20865" s="442"/>
      <c r="P20865" s="235"/>
      <c r="AI20865" s="38"/>
    </row>
    <row r="20866" ht="15.75" customHeight="1">
      <c r="A20866" s="35"/>
      <c r="C20866" s="442"/>
      <c r="P20866" s="235"/>
      <c r="AI20866" s="38"/>
    </row>
    <row r="20867" ht="15.75" customHeight="1">
      <c r="A20867" s="35"/>
      <c r="C20867" s="442"/>
      <c r="P20867" s="235"/>
      <c r="AI20867" s="38"/>
    </row>
    <row r="20868" ht="15.75" customHeight="1">
      <c r="A20868" s="35"/>
      <c r="C20868" s="442"/>
      <c r="P20868" s="235"/>
      <c r="AI20868" s="38"/>
    </row>
    <row r="20869" ht="15.75" customHeight="1">
      <c r="A20869" s="35"/>
      <c r="C20869" s="442"/>
      <c r="P20869" s="235"/>
      <c r="AI20869" s="38"/>
    </row>
    <row r="20870" ht="15.75" customHeight="1">
      <c r="A20870" s="35"/>
      <c r="C20870" s="442"/>
      <c r="P20870" s="235"/>
      <c r="AI20870" s="38"/>
    </row>
    <row r="20871" ht="15.75" customHeight="1">
      <c r="A20871" s="35"/>
      <c r="C20871" s="442"/>
      <c r="P20871" s="235"/>
      <c r="AI20871" s="38"/>
    </row>
    <row r="20872" ht="15.75" customHeight="1">
      <c r="A20872" s="35"/>
      <c r="C20872" s="442"/>
      <c r="P20872" s="235"/>
      <c r="AI20872" s="38"/>
    </row>
    <row r="20873" ht="15.75" customHeight="1">
      <c r="A20873" s="35"/>
      <c r="C20873" s="442"/>
      <c r="P20873" s="235"/>
      <c r="AI20873" s="38"/>
    </row>
    <row r="20874" ht="15.75" customHeight="1">
      <c r="A20874" s="35"/>
      <c r="C20874" s="442"/>
      <c r="P20874" s="235"/>
      <c r="AI20874" s="38"/>
    </row>
    <row r="20875" ht="15.75" customHeight="1">
      <c r="A20875" s="35"/>
      <c r="C20875" s="442"/>
      <c r="P20875" s="235"/>
      <c r="AI20875" s="38"/>
    </row>
    <row r="20876" ht="15.75" customHeight="1">
      <c r="A20876" s="35"/>
      <c r="C20876" s="442"/>
      <c r="P20876" s="235"/>
      <c r="AI20876" s="38"/>
    </row>
    <row r="20877" ht="15.75" customHeight="1">
      <c r="A20877" s="35"/>
      <c r="C20877" s="442"/>
      <c r="P20877" s="235"/>
      <c r="AI20877" s="38"/>
    </row>
    <row r="20878" ht="15.75" customHeight="1">
      <c r="A20878" s="35"/>
      <c r="C20878" s="442"/>
      <c r="P20878" s="235"/>
      <c r="AI20878" s="38"/>
    </row>
    <row r="20879" ht="15.75" customHeight="1">
      <c r="A20879" s="35"/>
      <c r="C20879" s="442"/>
      <c r="P20879" s="235"/>
      <c r="AI20879" s="38"/>
    </row>
    <row r="20880" ht="15.75" customHeight="1">
      <c r="A20880" s="35"/>
      <c r="C20880" s="442"/>
      <c r="P20880" s="235"/>
      <c r="AI20880" s="38"/>
    </row>
    <row r="20881" ht="15.75" customHeight="1">
      <c r="A20881" s="35"/>
      <c r="C20881" s="442"/>
      <c r="P20881" s="235"/>
      <c r="AI20881" s="38"/>
    </row>
    <row r="20882" ht="15.75" customHeight="1">
      <c r="A20882" s="35"/>
      <c r="C20882" s="442"/>
      <c r="P20882" s="235"/>
      <c r="AI20882" s="38"/>
    </row>
    <row r="20883" ht="15.75" customHeight="1">
      <c r="A20883" s="35"/>
      <c r="C20883" s="442"/>
      <c r="P20883" s="235"/>
      <c r="AI20883" s="38"/>
    </row>
    <row r="20884" ht="15.75" customHeight="1">
      <c r="A20884" s="35"/>
      <c r="C20884" s="442"/>
      <c r="P20884" s="235"/>
      <c r="AI20884" s="38"/>
    </row>
    <row r="20885" ht="15.75" customHeight="1">
      <c r="A20885" s="35"/>
      <c r="C20885" s="442"/>
      <c r="P20885" s="235"/>
      <c r="AI20885" s="38"/>
    </row>
    <row r="20886" ht="15.75" customHeight="1">
      <c r="A20886" s="35"/>
      <c r="C20886" s="442"/>
      <c r="P20886" s="235"/>
      <c r="AI20886" s="38"/>
    </row>
    <row r="20887" ht="15.75" customHeight="1">
      <c r="A20887" s="35"/>
      <c r="C20887" s="442"/>
      <c r="P20887" s="235"/>
      <c r="AI20887" s="38"/>
    </row>
    <row r="20888" ht="15.75" customHeight="1">
      <c r="A20888" s="35"/>
      <c r="C20888" s="442"/>
      <c r="P20888" s="235"/>
      <c r="AI20888" s="38"/>
    </row>
    <row r="20889" ht="15.75" customHeight="1">
      <c r="A20889" s="35"/>
      <c r="C20889" s="442"/>
      <c r="P20889" s="235"/>
      <c r="AI20889" s="38"/>
    </row>
    <row r="20890" ht="15.75" customHeight="1">
      <c r="A20890" s="35"/>
      <c r="C20890" s="442"/>
      <c r="P20890" s="235"/>
      <c r="AI20890" s="38"/>
    </row>
    <row r="20891" ht="15.75" customHeight="1">
      <c r="A20891" s="35"/>
      <c r="C20891" s="442"/>
      <c r="P20891" s="235"/>
      <c r="AI20891" s="38"/>
    </row>
    <row r="20892" ht="15.75" customHeight="1">
      <c r="A20892" s="35"/>
      <c r="C20892" s="442"/>
      <c r="P20892" s="235"/>
      <c r="AI20892" s="38"/>
    </row>
    <row r="20893" ht="15.75" customHeight="1">
      <c r="A20893" s="35"/>
      <c r="C20893" s="442"/>
      <c r="P20893" s="235"/>
      <c r="AI20893" s="38"/>
    </row>
    <row r="20894" ht="15.75" customHeight="1">
      <c r="A20894" s="35"/>
      <c r="C20894" s="442"/>
      <c r="P20894" s="235"/>
      <c r="AI20894" s="38"/>
    </row>
    <row r="20895" ht="15.75" customHeight="1">
      <c r="A20895" s="35"/>
      <c r="C20895" s="442"/>
      <c r="P20895" s="235"/>
      <c r="AI20895" s="38"/>
    </row>
    <row r="20896" ht="15.75" customHeight="1">
      <c r="A20896" s="35"/>
      <c r="C20896" s="442"/>
      <c r="P20896" s="235"/>
      <c r="AI20896" s="38"/>
    </row>
    <row r="20897" ht="15.75" customHeight="1">
      <c r="A20897" s="35"/>
      <c r="C20897" s="442"/>
      <c r="P20897" s="235"/>
      <c r="AI20897" s="38"/>
    </row>
    <row r="20898" ht="15.75" customHeight="1">
      <c r="A20898" s="35"/>
      <c r="C20898" s="442"/>
      <c r="P20898" s="235"/>
      <c r="AI20898" s="38"/>
    </row>
    <row r="20899" ht="15.75" customHeight="1">
      <c r="A20899" s="35"/>
      <c r="C20899" s="442"/>
      <c r="P20899" s="235"/>
      <c r="AI20899" s="38"/>
    </row>
    <row r="20900" ht="15.75" customHeight="1">
      <c r="A20900" s="35"/>
      <c r="C20900" s="442"/>
      <c r="P20900" s="235"/>
      <c r="AI20900" s="38"/>
    </row>
    <row r="20901" ht="15.75" customHeight="1">
      <c r="A20901" s="35"/>
      <c r="C20901" s="442"/>
      <c r="P20901" s="235"/>
      <c r="AI20901" s="38"/>
    </row>
    <row r="20902" ht="15.75" customHeight="1">
      <c r="A20902" s="35"/>
      <c r="C20902" s="442"/>
      <c r="P20902" s="235"/>
      <c r="AI20902" s="38"/>
    </row>
    <row r="20903" ht="15.75" customHeight="1">
      <c r="A20903" s="35"/>
      <c r="C20903" s="442"/>
      <c r="P20903" s="235"/>
      <c r="AI20903" s="38"/>
    </row>
    <row r="20904" ht="15.75" customHeight="1">
      <c r="A20904" s="35"/>
      <c r="C20904" s="442"/>
      <c r="P20904" s="235"/>
      <c r="AI20904" s="38"/>
    </row>
    <row r="20905" ht="15.75" customHeight="1">
      <c r="A20905" s="35"/>
      <c r="C20905" s="442"/>
      <c r="P20905" s="235"/>
      <c r="AI20905" s="38"/>
    </row>
    <row r="20906" ht="15.75" customHeight="1">
      <c r="A20906" s="35"/>
      <c r="C20906" s="442"/>
      <c r="P20906" s="235"/>
      <c r="AI20906" s="38"/>
    </row>
    <row r="20907" ht="15.75" customHeight="1">
      <c r="A20907" s="35"/>
      <c r="C20907" s="442"/>
      <c r="P20907" s="235"/>
      <c r="AI20907" s="38"/>
    </row>
    <row r="20908" ht="15.75" customHeight="1">
      <c r="A20908" s="35"/>
      <c r="C20908" s="442"/>
      <c r="P20908" s="235"/>
      <c r="AI20908" s="38"/>
    </row>
    <row r="20909" ht="15.75" customHeight="1">
      <c r="A20909" s="35"/>
      <c r="C20909" s="442"/>
      <c r="P20909" s="235"/>
      <c r="AI20909" s="38"/>
    </row>
    <row r="20910" ht="15.75" customHeight="1">
      <c r="A20910" s="35"/>
      <c r="C20910" s="442"/>
      <c r="P20910" s="235"/>
      <c r="AI20910" s="38"/>
    </row>
    <row r="20911" ht="15.75" customHeight="1">
      <c r="A20911" s="35"/>
      <c r="C20911" s="442"/>
      <c r="P20911" s="235"/>
      <c r="AI20911" s="38"/>
    </row>
    <row r="20912" ht="15.75" customHeight="1">
      <c r="A20912" s="35"/>
      <c r="C20912" s="442"/>
      <c r="P20912" s="235"/>
      <c r="AI20912" s="38"/>
    </row>
    <row r="20913" ht="15.75" customHeight="1">
      <c r="A20913" s="35"/>
      <c r="C20913" s="442"/>
      <c r="P20913" s="235"/>
      <c r="AI20913" s="38"/>
    </row>
    <row r="20914" ht="15.75" customHeight="1">
      <c r="A20914" s="35"/>
      <c r="C20914" s="442"/>
      <c r="P20914" s="235"/>
      <c r="AI20914" s="38"/>
    </row>
    <row r="20915" ht="15.75" customHeight="1">
      <c r="A20915" s="35"/>
      <c r="C20915" s="442"/>
      <c r="P20915" s="235"/>
      <c r="AI20915" s="38"/>
    </row>
    <row r="20916" ht="15.75" customHeight="1">
      <c r="A20916" s="35"/>
      <c r="C20916" s="442"/>
      <c r="P20916" s="235"/>
      <c r="AI20916" s="38"/>
    </row>
    <row r="20917" ht="15.75" customHeight="1">
      <c r="A20917" s="35"/>
      <c r="C20917" s="442"/>
      <c r="P20917" s="235"/>
      <c r="AI20917" s="38"/>
    </row>
    <row r="20918" ht="15.75" customHeight="1">
      <c r="A20918" s="35"/>
      <c r="C20918" s="442"/>
      <c r="P20918" s="235"/>
      <c r="AI20918" s="38"/>
    </row>
    <row r="20919" ht="15.75" customHeight="1">
      <c r="A20919" s="35"/>
      <c r="C20919" s="442"/>
      <c r="P20919" s="235"/>
      <c r="AI20919" s="38"/>
    </row>
    <row r="20920" ht="15.75" customHeight="1">
      <c r="A20920" s="35"/>
      <c r="C20920" s="442"/>
      <c r="P20920" s="235"/>
      <c r="AI20920" s="38"/>
    </row>
    <row r="20921" ht="15.75" customHeight="1">
      <c r="A20921" s="35"/>
      <c r="C20921" s="442"/>
      <c r="P20921" s="235"/>
      <c r="AI20921" s="38"/>
    </row>
    <row r="20922" ht="15.75" customHeight="1">
      <c r="A20922" s="35"/>
      <c r="C20922" s="442"/>
      <c r="P20922" s="235"/>
      <c r="AI20922" s="38"/>
    </row>
    <row r="20923" ht="15.75" customHeight="1">
      <c r="A20923" s="35"/>
      <c r="C20923" s="442"/>
      <c r="P20923" s="235"/>
      <c r="AI20923" s="38"/>
    </row>
    <row r="20924" ht="15.75" customHeight="1">
      <c r="A20924" s="35"/>
      <c r="C20924" s="442"/>
      <c r="P20924" s="235"/>
      <c r="AI20924" s="38"/>
    </row>
    <row r="20925" ht="15.75" customHeight="1">
      <c r="A20925" s="35"/>
      <c r="C20925" s="442"/>
      <c r="P20925" s="235"/>
      <c r="AI20925" s="38"/>
    </row>
    <row r="20926" ht="15.75" customHeight="1">
      <c r="A20926" s="35"/>
      <c r="C20926" s="442"/>
      <c r="P20926" s="235"/>
      <c r="AI20926" s="38"/>
    </row>
    <row r="20927" ht="15.75" customHeight="1">
      <c r="A20927" s="35"/>
      <c r="C20927" s="442"/>
      <c r="P20927" s="235"/>
      <c r="AI20927" s="38"/>
    </row>
    <row r="20928" ht="15.75" customHeight="1">
      <c r="A20928" s="35"/>
      <c r="C20928" s="442"/>
      <c r="P20928" s="235"/>
      <c r="AI20928" s="38"/>
    </row>
    <row r="20929" ht="15.75" customHeight="1">
      <c r="A20929" s="35"/>
      <c r="C20929" s="442"/>
      <c r="P20929" s="235"/>
      <c r="AI20929" s="38"/>
    </row>
    <row r="20930" ht="15.75" customHeight="1">
      <c r="A20930" s="35"/>
      <c r="C20930" s="442"/>
      <c r="P20930" s="235"/>
      <c r="AI20930" s="38"/>
    </row>
    <row r="20931" ht="15.75" customHeight="1">
      <c r="A20931" s="35"/>
      <c r="C20931" s="442"/>
      <c r="P20931" s="235"/>
      <c r="AI20931" s="38"/>
    </row>
    <row r="20932" ht="15.75" customHeight="1">
      <c r="A20932" s="35"/>
      <c r="C20932" s="442"/>
      <c r="P20932" s="235"/>
      <c r="AI20932" s="38"/>
    </row>
    <row r="20933" ht="15.75" customHeight="1">
      <c r="A20933" s="35"/>
      <c r="C20933" s="442"/>
      <c r="P20933" s="235"/>
      <c r="AI20933" s="38"/>
    </row>
    <row r="20934" ht="15.75" customHeight="1">
      <c r="A20934" s="35"/>
      <c r="C20934" s="442"/>
      <c r="P20934" s="235"/>
      <c r="AI20934" s="38"/>
    </row>
    <row r="20935" ht="15.75" customHeight="1">
      <c r="A20935" s="35"/>
      <c r="C20935" s="442"/>
      <c r="P20935" s="235"/>
      <c r="AI20935" s="38"/>
    </row>
    <row r="20936" ht="15.75" customHeight="1">
      <c r="A20936" s="35"/>
      <c r="C20936" s="442"/>
      <c r="P20936" s="235"/>
      <c r="AI20936" s="38"/>
    </row>
    <row r="20937" ht="15.75" customHeight="1">
      <c r="A20937" s="35"/>
      <c r="C20937" s="442"/>
      <c r="P20937" s="235"/>
      <c r="AI20937" s="38"/>
    </row>
    <row r="20938" ht="15.75" customHeight="1">
      <c r="A20938" s="35"/>
      <c r="C20938" s="442"/>
      <c r="P20938" s="235"/>
      <c r="AI20938" s="38"/>
    </row>
    <row r="20939" ht="15.75" customHeight="1">
      <c r="A20939" s="35"/>
      <c r="C20939" s="442"/>
      <c r="P20939" s="235"/>
      <c r="AI20939" s="38"/>
    </row>
    <row r="20940" ht="15.75" customHeight="1">
      <c r="A20940" s="35"/>
      <c r="C20940" s="442"/>
      <c r="P20940" s="235"/>
      <c r="AI20940" s="38"/>
    </row>
    <row r="20941" ht="15.75" customHeight="1">
      <c r="A20941" s="35"/>
      <c r="C20941" s="442"/>
      <c r="P20941" s="235"/>
      <c r="AI20941" s="38"/>
    </row>
    <row r="20942" ht="15.75" customHeight="1">
      <c r="A20942" s="35"/>
      <c r="C20942" s="442"/>
      <c r="P20942" s="235"/>
      <c r="AI20942" s="38"/>
    </row>
    <row r="20943" ht="15.75" customHeight="1">
      <c r="A20943" s="35"/>
      <c r="C20943" s="442"/>
      <c r="P20943" s="235"/>
      <c r="AI20943" s="38"/>
    </row>
    <row r="20944" ht="15.75" customHeight="1">
      <c r="A20944" s="35"/>
      <c r="C20944" s="442"/>
      <c r="P20944" s="235"/>
      <c r="AI20944" s="38"/>
    </row>
    <row r="20945" ht="15.75" customHeight="1">
      <c r="A20945" s="35"/>
      <c r="C20945" s="442"/>
      <c r="P20945" s="235"/>
      <c r="AI20945" s="38"/>
    </row>
    <row r="20946" ht="15.75" customHeight="1">
      <c r="A20946" s="35"/>
      <c r="C20946" s="442"/>
      <c r="P20946" s="235"/>
      <c r="AI20946" s="38"/>
    </row>
    <row r="20947" ht="15.75" customHeight="1">
      <c r="A20947" s="35"/>
      <c r="C20947" s="442"/>
      <c r="P20947" s="235"/>
      <c r="AI20947" s="38"/>
    </row>
    <row r="20948" ht="15.75" customHeight="1">
      <c r="A20948" s="35"/>
      <c r="C20948" s="442"/>
      <c r="P20948" s="235"/>
      <c r="AI20948" s="38"/>
    </row>
    <row r="20949" ht="15.75" customHeight="1">
      <c r="A20949" s="35"/>
      <c r="C20949" s="442"/>
      <c r="P20949" s="235"/>
      <c r="AI20949" s="38"/>
    </row>
    <row r="20950" ht="15.75" customHeight="1">
      <c r="A20950" s="35"/>
      <c r="C20950" s="442"/>
      <c r="P20950" s="235"/>
      <c r="AI20950" s="38"/>
    </row>
    <row r="20951" ht="15.75" customHeight="1">
      <c r="A20951" s="35"/>
      <c r="C20951" s="442"/>
      <c r="P20951" s="235"/>
      <c r="AI20951" s="38"/>
    </row>
    <row r="20952" ht="15.75" customHeight="1">
      <c r="A20952" s="35"/>
      <c r="C20952" s="442"/>
      <c r="P20952" s="235"/>
      <c r="AI20952" s="38"/>
    </row>
    <row r="20953" ht="15.75" customHeight="1">
      <c r="A20953" s="35"/>
      <c r="C20953" s="442"/>
      <c r="P20953" s="235"/>
      <c r="AI20953" s="38"/>
    </row>
    <row r="20954" ht="15.75" customHeight="1">
      <c r="A20954" s="35"/>
      <c r="C20954" s="442"/>
      <c r="P20954" s="235"/>
      <c r="AI20954" s="38"/>
    </row>
    <row r="20955" ht="15.75" customHeight="1">
      <c r="A20955" s="35"/>
      <c r="C20955" s="442"/>
      <c r="P20955" s="235"/>
      <c r="AI20955" s="38"/>
    </row>
    <row r="20956" ht="15.75" customHeight="1">
      <c r="A20956" s="35"/>
      <c r="C20956" s="442"/>
      <c r="P20956" s="235"/>
      <c r="AI20956" s="38"/>
    </row>
    <row r="20957" ht="15.75" customHeight="1">
      <c r="A20957" s="35"/>
      <c r="C20957" s="442"/>
      <c r="P20957" s="235"/>
      <c r="AI20957" s="38"/>
    </row>
    <row r="20958" ht="15.75" customHeight="1">
      <c r="A20958" s="35"/>
      <c r="C20958" s="442"/>
      <c r="P20958" s="235"/>
      <c r="AI20958" s="38"/>
    </row>
    <row r="20959" ht="15.75" customHeight="1">
      <c r="A20959" s="35"/>
      <c r="C20959" s="442"/>
      <c r="P20959" s="235"/>
      <c r="AI20959" s="38"/>
    </row>
    <row r="20960" ht="15.75" customHeight="1">
      <c r="A20960" s="35"/>
      <c r="C20960" s="442"/>
      <c r="P20960" s="235"/>
      <c r="AI20960" s="38"/>
    </row>
    <row r="20961" ht="15.75" customHeight="1">
      <c r="A20961" s="35"/>
      <c r="C20961" s="442"/>
      <c r="P20961" s="235"/>
      <c r="AI20961" s="38"/>
    </row>
    <row r="20962" ht="15.75" customHeight="1">
      <c r="A20962" s="35"/>
      <c r="C20962" s="442"/>
      <c r="P20962" s="235"/>
      <c r="AI20962" s="38"/>
    </row>
    <row r="20963" ht="15.75" customHeight="1">
      <c r="A20963" s="35"/>
      <c r="C20963" s="442"/>
      <c r="P20963" s="235"/>
      <c r="AI20963" s="38"/>
    </row>
    <row r="20964" ht="15.75" customHeight="1">
      <c r="A20964" s="35"/>
      <c r="C20964" s="442"/>
      <c r="P20964" s="235"/>
      <c r="AI20964" s="38"/>
    </row>
    <row r="20965" ht="15.75" customHeight="1">
      <c r="A20965" s="35"/>
      <c r="C20965" s="442"/>
      <c r="P20965" s="235"/>
      <c r="AI20965" s="38"/>
    </row>
    <row r="20966" ht="15.75" customHeight="1">
      <c r="A20966" s="35"/>
      <c r="C20966" s="442"/>
      <c r="P20966" s="235"/>
      <c r="AI20966" s="38"/>
    </row>
    <row r="20967" ht="15.75" customHeight="1">
      <c r="A20967" s="35"/>
      <c r="C20967" s="442"/>
      <c r="P20967" s="235"/>
      <c r="AI20967" s="38"/>
    </row>
    <row r="20968" ht="15.75" customHeight="1">
      <c r="A20968" s="35"/>
      <c r="C20968" s="442"/>
      <c r="P20968" s="235"/>
      <c r="AI20968" s="38"/>
    </row>
    <row r="20969" ht="15.75" customHeight="1">
      <c r="A20969" s="35"/>
      <c r="C20969" s="442"/>
      <c r="P20969" s="235"/>
      <c r="AI20969" s="38"/>
    </row>
    <row r="20970" ht="15.75" customHeight="1">
      <c r="A20970" s="35"/>
      <c r="C20970" s="442"/>
      <c r="P20970" s="235"/>
      <c r="AI20970" s="38"/>
    </row>
    <row r="20971" ht="15.75" customHeight="1">
      <c r="A20971" s="35"/>
      <c r="C20971" s="442"/>
      <c r="P20971" s="235"/>
      <c r="AI20971" s="38"/>
    </row>
    <row r="20972" ht="15.75" customHeight="1">
      <c r="A20972" s="35"/>
      <c r="C20972" s="442"/>
      <c r="P20972" s="235"/>
      <c r="AI20972" s="38"/>
    </row>
    <row r="20973" ht="15.75" customHeight="1">
      <c r="A20973" s="35"/>
      <c r="C20973" s="442"/>
      <c r="P20973" s="235"/>
      <c r="AI20973" s="38"/>
    </row>
    <row r="20974" ht="15.75" customHeight="1">
      <c r="A20974" s="35"/>
      <c r="C20974" s="442"/>
      <c r="P20974" s="235"/>
      <c r="AI20974" s="38"/>
    </row>
    <row r="20975" ht="15.75" customHeight="1">
      <c r="A20975" s="35"/>
      <c r="C20975" s="442"/>
      <c r="P20975" s="235"/>
      <c r="AI20975" s="38"/>
    </row>
    <row r="20976" ht="15.75" customHeight="1">
      <c r="A20976" s="35"/>
      <c r="C20976" s="442"/>
      <c r="P20976" s="235"/>
      <c r="AI20976" s="38"/>
    </row>
    <row r="20977" ht="15.75" customHeight="1">
      <c r="A20977" s="35"/>
      <c r="C20977" s="442"/>
      <c r="P20977" s="235"/>
      <c r="AI20977" s="38"/>
    </row>
    <row r="20978" ht="15.75" customHeight="1">
      <c r="A20978" s="35"/>
      <c r="C20978" s="442"/>
      <c r="P20978" s="235"/>
      <c r="AI20978" s="38"/>
    </row>
    <row r="20979" ht="15.75" customHeight="1">
      <c r="A20979" s="35"/>
      <c r="C20979" s="442"/>
      <c r="P20979" s="235"/>
      <c r="AI20979" s="38"/>
    </row>
    <row r="20980" ht="15.75" customHeight="1">
      <c r="A20980" s="35"/>
      <c r="C20980" s="442"/>
      <c r="P20980" s="235"/>
      <c r="AI20980" s="38"/>
    </row>
    <row r="20981" ht="15.75" customHeight="1">
      <c r="A20981" s="35"/>
      <c r="C20981" s="442"/>
      <c r="P20981" s="235"/>
      <c r="AI20981" s="38"/>
    </row>
    <row r="20982" ht="15.75" customHeight="1">
      <c r="A20982" s="35"/>
      <c r="C20982" s="442"/>
      <c r="P20982" s="235"/>
      <c r="AI20982" s="38"/>
    </row>
    <row r="20983" ht="15.75" customHeight="1">
      <c r="A20983" s="35"/>
      <c r="C20983" s="442"/>
      <c r="P20983" s="235"/>
      <c r="AI20983" s="38"/>
    </row>
    <row r="20984" ht="15.75" customHeight="1">
      <c r="A20984" s="35"/>
      <c r="C20984" s="442"/>
      <c r="P20984" s="235"/>
      <c r="AI20984" s="38"/>
    </row>
    <row r="20985" ht="15.75" customHeight="1">
      <c r="A20985" s="35"/>
      <c r="C20985" s="442"/>
      <c r="P20985" s="235"/>
      <c r="AI20985" s="38"/>
    </row>
    <row r="20986" ht="15.75" customHeight="1">
      <c r="A20986" s="35"/>
      <c r="C20986" s="442"/>
      <c r="P20986" s="235"/>
      <c r="AI20986" s="38"/>
    </row>
    <row r="20987" ht="15.75" customHeight="1">
      <c r="A20987" s="35"/>
      <c r="C20987" s="442"/>
      <c r="P20987" s="235"/>
      <c r="AI20987" s="38"/>
    </row>
    <row r="20988" ht="15.75" customHeight="1">
      <c r="A20988" s="35"/>
      <c r="C20988" s="442"/>
      <c r="P20988" s="235"/>
      <c r="AI20988" s="38"/>
    </row>
    <row r="20989" ht="15.75" customHeight="1">
      <c r="A20989" s="35"/>
      <c r="C20989" s="442"/>
      <c r="P20989" s="235"/>
      <c r="AI20989" s="38"/>
    </row>
    <row r="20990" ht="15.75" customHeight="1">
      <c r="A20990" s="35"/>
      <c r="C20990" s="442"/>
      <c r="P20990" s="235"/>
      <c r="AI20990" s="38"/>
    </row>
    <row r="20991" ht="15.75" customHeight="1">
      <c r="A20991" s="35"/>
      <c r="C20991" s="442"/>
      <c r="P20991" s="235"/>
      <c r="AI20991" s="38"/>
    </row>
    <row r="20992" ht="15.75" customHeight="1">
      <c r="A20992" s="35"/>
      <c r="C20992" s="442"/>
      <c r="P20992" s="235"/>
      <c r="AI20992" s="38"/>
    </row>
    <row r="20993" ht="15.75" customHeight="1">
      <c r="A20993" s="35"/>
      <c r="C20993" s="442"/>
      <c r="P20993" s="235"/>
      <c r="AI20993" s="38"/>
    </row>
    <row r="20994" ht="15.75" customHeight="1">
      <c r="A20994" s="35"/>
      <c r="C20994" s="442"/>
      <c r="P20994" s="235"/>
      <c r="AI20994" s="38"/>
    </row>
    <row r="20995" ht="15.75" customHeight="1">
      <c r="A20995" s="35"/>
      <c r="C20995" s="442"/>
      <c r="P20995" s="235"/>
      <c r="AI20995" s="38"/>
    </row>
    <row r="20996" ht="15.75" customHeight="1">
      <c r="A20996" s="35"/>
      <c r="C20996" s="442"/>
      <c r="P20996" s="235"/>
      <c r="AI20996" s="38"/>
    </row>
    <row r="20997" ht="15.75" customHeight="1">
      <c r="A20997" s="35"/>
      <c r="C20997" s="442"/>
      <c r="P20997" s="235"/>
      <c r="AI20997" s="38"/>
    </row>
    <row r="20998" ht="15.75" customHeight="1">
      <c r="A20998" s="35"/>
      <c r="C20998" s="442"/>
      <c r="P20998" s="235"/>
      <c r="AI20998" s="38"/>
    </row>
    <row r="20999" ht="15.75" customHeight="1">
      <c r="A20999" s="35"/>
      <c r="C20999" s="442"/>
      <c r="P20999" s="235"/>
      <c r="AI20999" s="38"/>
    </row>
    <row r="21000" ht="15.75" customHeight="1">
      <c r="A21000" s="35"/>
      <c r="C21000" s="442"/>
      <c r="P21000" s="235"/>
      <c r="AI21000" s="38"/>
    </row>
    <row r="21001" ht="15.75" customHeight="1">
      <c r="A21001" s="35"/>
      <c r="C21001" s="442"/>
      <c r="P21001" s="235"/>
      <c r="AI21001" s="38"/>
    </row>
    <row r="21002" ht="15.75" customHeight="1">
      <c r="A21002" s="35"/>
      <c r="C21002" s="442"/>
      <c r="P21002" s="235"/>
      <c r="AI21002" s="38"/>
    </row>
    <row r="21003" ht="15.75" customHeight="1">
      <c r="A21003" s="35"/>
      <c r="C21003" s="442"/>
      <c r="P21003" s="235"/>
      <c r="AI21003" s="38"/>
    </row>
    <row r="21004" ht="15.75" customHeight="1">
      <c r="A21004" s="35"/>
      <c r="C21004" s="442"/>
      <c r="P21004" s="235"/>
      <c r="AI21004" s="38"/>
    </row>
    <row r="21005" ht="15.75" customHeight="1">
      <c r="A21005" s="35"/>
      <c r="C21005" s="442"/>
      <c r="P21005" s="235"/>
      <c r="AI21005" s="38"/>
    </row>
    <row r="21006" ht="15.75" customHeight="1">
      <c r="A21006" s="35"/>
      <c r="C21006" s="442"/>
      <c r="P21006" s="235"/>
      <c r="AI21006" s="38"/>
    </row>
    <row r="21007" ht="15.75" customHeight="1">
      <c r="A21007" s="35"/>
      <c r="C21007" s="442"/>
      <c r="P21007" s="235"/>
      <c r="AI21007" s="38"/>
    </row>
    <row r="21008" ht="15.75" customHeight="1">
      <c r="A21008" s="35"/>
      <c r="C21008" s="442"/>
      <c r="P21008" s="235"/>
      <c r="AI21008" s="38"/>
    </row>
    <row r="21009" ht="15.75" customHeight="1">
      <c r="A21009" s="35"/>
      <c r="C21009" s="442"/>
      <c r="P21009" s="235"/>
      <c r="AI21009" s="38"/>
    </row>
    <row r="21010" ht="15.75" customHeight="1">
      <c r="A21010" s="35"/>
      <c r="C21010" s="442"/>
      <c r="P21010" s="235"/>
      <c r="AI21010" s="38"/>
    </row>
    <row r="21011" ht="15.75" customHeight="1">
      <c r="A21011" s="35"/>
      <c r="C21011" s="442"/>
      <c r="P21011" s="235"/>
      <c r="AI21011" s="38"/>
    </row>
    <row r="21012" ht="15.75" customHeight="1">
      <c r="A21012" s="35"/>
      <c r="C21012" s="442"/>
      <c r="P21012" s="235"/>
      <c r="AI21012" s="38"/>
    </row>
    <row r="21013" ht="15.75" customHeight="1">
      <c r="A21013" s="35"/>
      <c r="C21013" s="442"/>
      <c r="P21013" s="235"/>
      <c r="AI21013" s="38"/>
    </row>
    <row r="21014" ht="15.75" customHeight="1">
      <c r="A21014" s="35"/>
      <c r="C21014" s="442"/>
      <c r="P21014" s="235"/>
      <c r="AI21014" s="38"/>
    </row>
    <row r="21015" ht="15.75" customHeight="1">
      <c r="A21015" s="35"/>
      <c r="C21015" s="442"/>
      <c r="P21015" s="235"/>
      <c r="AI21015" s="38"/>
    </row>
    <row r="21016" ht="15.75" customHeight="1">
      <c r="A21016" s="35"/>
      <c r="C21016" s="442"/>
      <c r="P21016" s="235"/>
      <c r="AI21016" s="38"/>
    </row>
    <row r="21017" ht="15.75" customHeight="1">
      <c r="A21017" s="35"/>
      <c r="C21017" s="442"/>
      <c r="P21017" s="235"/>
      <c r="AI21017" s="38"/>
    </row>
    <row r="21018" ht="15.75" customHeight="1">
      <c r="A21018" s="35"/>
      <c r="C21018" s="442"/>
      <c r="P21018" s="235"/>
      <c r="AI21018" s="38"/>
    </row>
    <row r="21019" ht="15.75" customHeight="1">
      <c r="A21019" s="35"/>
      <c r="C21019" s="442"/>
      <c r="P21019" s="235"/>
      <c r="AI21019" s="38"/>
    </row>
    <row r="21020" ht="15.75" customHeight="1">
      <c r="A21020" s="35"/>
      <c r="C21020" s="442"/>
      <c r="P21020" s="235"/>
      <c r="AI21020" s="38"/>
    </row>
    <row r="21021" ht="15.75" customHeight="1">
      <c r="A21021" s="35"/>
      <c r="C21021" s="442"/>
      <c r="P21021" s="235"/>
      <c r="AI21021" s="38"/>
    </row>
    <row r="21022" ht="15.75" customHeight="1">
      <c r="A21022" s="35"/>
      <c r="C21022" s="442"/>
      <c r="P21022" s="235"/>
      <c r="AI21022" s="38"/>
    </row>
    <row r="21023" ht="15.75" customHeight="1">
      <c r="A21023" s="35"/>
      <c r="C21023" s="442"/>
      <c r="P21023" s="235"/>
      <c r="AI21023" s="38"/>
    </row>
    <row r="21024" ht="15.75" customHeight="1">
      <c r="A21024" s="35"/>
      <c r="C21024" s="442"/>
      <c r="P21024" s="235"/>
      <c r="AI21024" s="38"/>
    </row>
    <row r="21025" ht="15.75" customHeight="1">
      <c r="A21025" s="35"/>
      <c r="C21025" s="442"/>
      <c r="P21025" s="235"/>
      <c r="AI21025" s="38"/>
    </row>
    <row r="21026" ht="15.75" customHeight="1">
      <c r="A21026" s="35"/>
      <c r="C21026" s="442"/>
      <c r="P21026" s="235"/>
      <c r="AI21026" s="38"/>
    </row>
    <row r="21027" ht="15.75" customHeight="1">
      <c r="A21027" s="35"/>
      <c r="C21027" s="442"/>
      <c r="P21027" s="235"/>
      <c r="AI21027" s="38"/>
    </row>
    <row r="21028" ht="15.75" customHeight="1">
      <c r="A21028" s="35"/>
      <c r="C21028" s="442"/>
      <c r="P21028" s="235"/>
      <c r="AI21028" s="38"/>
    </row>
    <row r="21029" ht="15.75" customHeight="1">
      <c r="A21029" s="35"/>
      <c r="C21029" s="442"/>
      <c r="P21029" s="235"/>
      <c r="AI21029" s="38"/>
    </row>
    <row r="21030" ht="15.75" customHeight="1">
      <c r="A21030" s="35"/>
      <c r="C21030" s="442"/>
      <c r="P21030" s="235"/>
      <c r="AI21030" s="38"/>
    </row>
    <row r="21031" ht="15.75" customHeight="1">
      <c r="A21031" s="35"/>
      <c r="C21031" s="442"/>
      <c r="P21031" s="235"/>
      <c r="AI21031" s="38"/>
    </row>
    <row r="21032" ht="15.75" customHeight="1">
      <c r="A21032" s="35"/>
      <c r="C21032" s="442"/>
      <c r="P21032" s="235"/>
      <c r="AI21032" s="38"/>
    </row>
    <row r="21033" ht="15.75" customHeight="1">
      <c r="A21033" s="35"/>
      <c r="C21033" s="442"/>
      <c r="P21033" s="235"/>
      <c r="AI21033" s="38"/>
    </row>
    <row r="21034" ht="15.75" customHeight="1">
      <c r="A21034" s="35"/>
      <c r="C21034" s="442"/>
      <c r="P21034" s="235"/>
      <c r="AI21034" s="38"/>
    </row>
    <row r="21035" ht="15.75" customHeight="1">
      <c r="A21035" s="35"/>
      <c r="C21035" s="442"/>
      <c r="P21035" s="235"/>
      <c r="AI21035" s="38"/>
    </row>
    <row r="21036" ht="15.75" customHeight="1">
      <c r="A21036" s="35"/>
      <c r="C21036" s="442"/>
      <c r="P21036" s="235"/>
      <c r="AI21036" s="38"/>
    </row>
    <row r="21037" ht="15.75" customHeight="1">
      <c r="A21037" s="35"/>
      <c r="C21037" s="442"/>
      <c r="P21037" s="235"/>
      <c r="AI21037" s="38"/>
    </row>
    <row r="21038" ht="15.75" customHeight="1">
      <c r="A21038" s="35"/>
      <c r="C21038" s="442"/>
      <c r="P21038" s="235"/>
      <c r="AI21038" s="38"/>
    </row>
    <row r="21039" ht="15.75" customHeight="1">
      <c r="A21039" s="35"/>
      <c r="C21039" s="442"/>
      <c r="P21039" s="235"/>
      <c r="AI21039" s="38"/>
    </row>
    <row r="21040" ht="15.75" customHeight="1">
      <c r="A21040" s="35"/>
      <c r="C21040" s="442"/>
      <c r="P21040" s="235"/>
      <c r="AI21040" s="38"/>
    </row>
    <row r="21041" ht="15.75" customHeight="1">
      <c r="A21041" s="35"/>
      <c r="C21041" s="442"/>
      <c r="P21041" s="235"/>
      <c r="AI21041" s="38"/>
    </row>
    <row r="21042" ht="15.75" customHeight="1">
      <c r="A21042" s="35"/>
      <c r="C21042" s="442"/>
      <c r="P21042" s="235"/>
      <c r="AI21042" s="38"/>
    </row>
    <row r="21043" ht="15.75" customHeight="1">
      <c r="A21043" s="35"/>
      <c r="C21043" s="442"/>
      <c r="P21043" s="235"/>
      <c r="AI21043" s="38"/>
    </row>
    <row r="21044" ht="15.75" customHeight="1">
      <c r="A21044" s="35"/>
      <c r="C21044" s="442"/>
      <c r="P21044" s="235"/>
      <c r="AI21044" s="38"/>
    </row>
    <row r="21045" ht="15.75" customHeight="1">
      <c r="A21045" s="35"/>
      <c r="C21045" s="442"/>
      <c r="P21045" s="235"/>
      <c r="AI21045" s="38"/>
    </row>
    <row r="21046" ht="15.75" customHeight="1">
      <c r="A21046" s="35"/>
      <c r="C21046" s="442"/>
      <c r="P21046" s="235"/>
      <c r="AI21046" s="38"/>
    </row>
    <row r="21047" ht="15.75" customHeight="1">
      <c r="A21047" s="35"/>
      <c r="C21047" s="442"/>
      <c r="P21047" s="235"/>
      <c r="AI21047" s="38"/>
    </row>
    <row r="21048" ht="15.75" customHeight="1">
      <c r="A21048" s="35"/>
      <c r="C21048" s="442"/>
      <c r="P21048" s="235"/>
      <c r="AI21048" s="38"/>
    </row>
    <row r="21049" ht="15.75" customHeight="1">
      <c r="A21049" s="35"/>
      <c r="C21049" s="442"/>
      <c r="P21049" s="235"/>
      <c r="AI21049" s="38"/>
    </row>
    <row r="21050" ht="15.75" customHeight="1">
      <c r="A21050" s="35"/>
      <c r="C21050" s="442"/>
      <c r="P21050" s="235"/>
      <c r="AI21050" s="38"/>
    </row>
    <row r="21051" ht="15.75" customHeight="1">
      <c r="A21051" s="35"/>
      <c r="C21051" s="442"/>
      <c r="P21051" s="235"/>
      <c r="AI21051" s="38"/>
    </row>
    <row r="21052" ht="15.75" customHeight="1">
      <c r="A21052" s="35"/>
      <c r="C21052" s="442"/>
      <c r="P21052" s="235"/>
      <c r="AI21052" s="38"/>
    </row>
    <row r="21053" ht="15.75" customHeight="1">
      <c r="A21053" s="35"/>
      <c r="C21053" s="442"/>
      <c r="P21053" s="235"/>
      <c r="AI21053" s="38"/>
    </row>
    <row r="21054" ht="15.75" customHeight="1">
      <c r="A21054" s="35"/>
      <c r="C21054" s="442"/>
      <c r="P21054" s="235"/>
      <c r="AI21054" s="38"/>
    </row>
    <row r="21055" ht="15.75" customHeight="1">
      <c r="A21055" s="35"/>
      <c r="C21055" s="442"/>
      <c r="P21055" s="235"/>
      <c r="AI21055" s="38"/>
    </row>
    <row r="21056" ht="15.75" customHeight="1">
      <c r="A21056" s="35"/>
      <c r="C21056" s="442"/>
      <c r="P21056" s="235"/>
      <c r="AI21056" s="38"/>
    </row>
    <row r="21057" ht="15.75" customHeight="1">
      <c r="A21057" s="35"/>
      <c r="C21057" s="442"/>
      <c r="P21057" s="235"/>
      <c r="AI21057" s="38"/>
    </row>
    <row r="21058" ht="15.75" customHeight="1">
      <c r="A21058" s="35"/>
      <c r="C21058" s="442"/>
      <c r="P21058" s="235"/>
      <c r="AI21058" s="38"/>
    </row>
    <row r="21059" ht="15.75" customHeight="1">
      <c r="A21059" s="35"/>
      <c r="C21059" s="442"/>
      <c r="P21059" s="235"/>
      <c r="AI21059" s="38"/>
    </row>
    <row r="21060" ht="15.75" customHeight="1">
      <c r="A21060" s="35"/>
      <c r="C21060" s="442"/>
      <c r="P21060" s="235"/>
      <c r="AI21060" s="38"/>
    </row>
    <row r="21061" ht="15.75" customHeight="1">
      <c r="A21061" s="35"/>
      <c r="C21061" s="442"/>
      <c r="P21061" s="235"/>
      <c r="AI21061" s="38"/>
    </row>
    <row r="21062" ht="15.75" customHeight="1">
      <c r="A21062" s="35"/>
      <c r="C21062" s="442"/>
      <c r="P21062" s="235"/>
      <c r="AI21062" s="38"/>
    </row>
    <row r="21063" ht="15.75" customHeight="1">
      <c r="A21063" s="35"/>
      <c r="C21063" s="442"/>
      <c r="P21063" s="235"/>
      <c r="AI21063" s="38"/>
    </row>
    <row r="21064" ht="15.75" customHeight="1">
      <c r="A21064" s="35"/>
      <c r="C21064" s="442"/>
      <c r="P21064" s="235"/>
      <c r="AI21064" s="38"/>
    </row>
    <row r="21065" ht="15.75" customHeight="1">
      <c r="A21065" s="35"/>
      <c r="C21065" s="442"/>
      <c r="P21065" s="235"/>
      <c r="AI21065" s="38"/>
    </row>
    <row r="21066" ht="15.75" customHeight="1">
      <c r="A21066" s="35"/>
      <c r="C21066" s="442"/>
      <c r="P21066" s="235"/>
      <c r="AI21066" s="38"/>
    </row>
    <row r="21067" ht="15.75" customHeight="1">
      <c r="A21067" s="35"/>
      <c r="C21067" s="442"/>
      <c r="P21067" s="235"/>
      <c r="AI21067" s="38"/>
    </row>
    <row r="21068" ht="15.75" customHeight="1">
      <c r="A21068" s="35"/>
      <c r="C21068" s="442"/>
      <c r="P21068" s="235"/>
      <c r="AI21068" s="38"/>
    </row>
    <row r="21069" ht="15.75" customHeight="1">
      <c r="A21069" s="35"/>
      <c r="C21069" s="442"/>
      <c r="P21069" s="235"/>
      <c r="AI21069" s="38"/>
    </row>
    <row r="21070" ht="15.75" customHeight="1">
      <c r="A21070" s="35"/>
      <c r="C21070" s="442"/>
      <c r="P21070" s="235"/>
      <c r="AI21070" s="38"/>
    </row>
    <row r="21071" ht="15.75" customHeight="1">
      <c r="A21071" s="35"/>
      <c r="C21071" s="442"/>
      <c r="P21071" s="235"/>
      <c r="AI21071" s="38"/>
    </row>
    <row r="21072" ht="15.75" customHeight="1">
      <c r="A21072" s="35"/>
      <c r="C21072" s="442"/>
      <c r="P21072" s="235"/>
      <c r="AI21072" s="38"/>
    </row>
    <row r="21073" ht="15.75" customHeight="1">
      <c r="A21073" s="35"/>
      <c r="C21073" s="442"/>
      <c r="P21073" s="235"/>
      <c r="AI21073" s="38"/>
    </row>
    <row r="21074" ht="15.75" customHeight="1">
      <c r="A21074" s="35"/>
      <c r="C21074" s="442"/>
      <c r="P21074" s="235"/>
      <c r="AI21074" s="38"/>
    </row>
    <row r="21075" ht="15.75" customHeight="1">
      <c r="A21075" s="35"/>
      <c r="C21075" s="442"/>
      <c r="P21075" s="235"/>
      <c r="AI21075" s="38"/>
    </row>
    <row r="21076" ht="15.75" customHeight="1">
      <c r="A21076" s="35"/>
      <c r="C21076" s="442"/>
      <c r="P21076" s="235"/>
      <c r="AI21076" s="38"/>
    </row>
    <row r="21077" ht="15.75" customHeight="1">
      <c r="A21077" s="35"/>
      <c r="C21077" s="442"/>
      <c r="P21077" s="235"/>
      <c r="AI21077" s="38"/>
    </row>
    <row r="21078" ht="15.75" customHeight="1">
      <c r="A21078" s="35"/>
      <c r="C21078" s="442"/>
      <c r="P21078" s="235"/>
      <c r="AI21078" s="38"/>
    </row>
    <row r="21079" ht="15.75" customHeight="1">
      <c r="A21079" s="35"/>
      <c r="C21079" s="442"/>
      <c r="P21079" s="235"/>
      <c r="AI21079" s="38"/>
    </row>
    <row r="21080" ht="15.75" customHeight="1">
      <c r="A21080" s="35"/>
      <c r="C21080" s="442"/>
      <c r="P21080" s="235"/>
      <c r="AI21080" s="38"/>
    </row>
    <row r="21081" ht="15.75" customHeight="1">
      <c r="A21081" s="35"/>
      <c r="C21081" s="442"/>
      <c r="P21081" s="235"/>
      <c r="AI21081" s="38"/>
    </row>
    <row r="21082" ht="15.75" customHeight="1">
      <c r="A21082" s="35"/>
      <c r="C21082" s="442"/>
      <c r="P21082" s="235"/>
      <c r="AI21082" s="38"/>
    </row>
    <row r="21083" ht="15.75" customHeight="1">
      <c r="A21083" s="35"/>
      <c r="C21083" s="442"/>
      <c r="P21083" s="235"/>
      <c r="AI21083" s="38"/>
    </row>
    <row r="21084" ht="15.75" customHeight="1">
      <c r="A21084" s="35"/>
      <c r="C21084" s="442"/>
      <c r="P21084" s="235"/>
      <c r="AI21084" s="38"/>
    </row>
    <row r="21085" ht="15.75" customHeight="1">
      <c r="A21085" s="35"/>
      <c r="C21085" s="442"/>
      <c r="P21085" s="235"/>
      <c r="AI21085" s="38"/>
    </row>
    <row r="21086" ht="15.75" customHeight="1">
      <c r="A21086" s="35"/>
      <c r="C21086" s="442"/>
      <c r="P21086" s="235"/>
      <c r="AI21086" s="38"/>
    </row>
    <row r="21087" ht="15.75" customHeight="1">
      <c r="A21087" s="35"/>
      <c r="C21087" s="442"/>
      <c r="P21087" s="235"/>
      <c r="AI21087" s="38"/>
    </row>
    <row r="21088" ht="15.75" customHeight="1">
      <c r="A21088" s="35"/>
      <c r="C21088" s="442"/>
      <c r="P21088" s="235"/>
      <c r="AI21088" s="38"/>
    </row>
    <row r="21089" ht="15.75" customHeight="1">
      <c r="A21089" s="35"/>
      <c r="C21089" s="442"/>
      <c r="P21089" s="235"/>
      <c r="AI21089" s="38"/>
    </row>
    <row r="21090" ht="15.75" customHeight="1">
      <c r="A21090" s="35"/>
      <c r="C21090" s="442"/>
      <c r="P21090" s="235"/>
      <c r="AI21090" s="38"/>
    </row>
    <row r="21091" ht="15.75" customHeight="1">
      <c r="A21091" s="35"/>
      <c r="C21091" s="442"/>
      <c r="P21091" s="235"/>
      <c r="AI21091" s="38"/>
    </row>
    <row r="21092" ht="15.75" customHeight="1">
      <c r="A21092" s="35"/>
      <c r="C21092" s="442"/>
      <c r="P21092" s="235"/>
      <c r="AI21092" s="38"/>
    </row>
    <row r="21093" ht="15.75" customHeight="1">
      <c r="A21093" s="35"/>
      <c r="C21093" s="442"/>
      <c r="P21093" s="235"/>
      <c r="AI21093" s="38"/>
    </row>
    <row r="21094" ht="15.75" customHeight="1">
      <c r="A21094" s="35"/>
      <c r="C21094" s="442"/>
      <c r="P21094" s="235"/>
      <c r="AI21094" s="38"/>
    </row>
    <row r="21095" ht="15.75" customHeight="1">
      <c r="A21095" s="35"/>
      <c r="C21095" s="442"/>
      <c r="P21095" s="235"/>
      <c r="AI21095" s="38"/>
    </row>
    <row r="21096" ht="15.75" customHeight="1">
      <c r="A21096" s="35"/>
      <c r="C21096" s="442"/>
      <c r="P21096" s="235"/>
      <c r="AI21096" s="38"/>
    </row>
    <row r="21097" ht="15.75" customHeight="1">
      <c r="A21097" s="35"/>
      <c r="C21097" s="442"/>
      <c r="P21097" s="235"/>
      <c r="AI21097" s="38"/>
    </row>
    <row r="21098" ht="15.75" customHeight="1">
      <c r="A21098" s="35"/>
      <c r="C21098" s="442"/>
      <c r="P21098" s="235"/>
      <c r="AI21098" s="38"/>
    </row>
    <row r="21099" ht="15.75" customHeight="1">
      <c r="A21099" s="35"/>
      <c r="C21099" s="442"/>
      <c r="P21099" s="235"/>
      <c r="AI21099" s="38"/>
    </row>
    <row r="21100" ht="15.75" customHeight="1">
      <c r="A21100" s="35"/>
      <c r="C21100" s="442"/>
      <c r="P21100" s="235"/>
      <c r="AI21100" s="38"/>
    </row>
    <row r="21101" ht="15.75" customHeight="1">
      <c r="A21101" s="35"/>
      <c r="C21101" s="442"/>
      <c r="P21101" s="235"/>
      <c r="AI21101" s="38"/>
    </row>
    <row r="21102" ht="15.75" customHeight="1">
      <c r="A21102" s="35"/>
      <c r="C21102" s="442"/>
      <c r="P21102" s="235"/>
      <c r="AI21102" s="38"/>
    </row>
    <row r="21103" ht="15.75" customHeight="1">
      <c r="A21103" s="35"/>
      <c r="C21103" s="442"/>
      <c r="P21103" s="235"/>
      <c r="AI21103" s="38"/>
    </row>
    <row r="21104" ht="15.75" customHeight="1">
      <c r="A21104" s="35"/>
      <c r="C21104" s="442"/>
      <c r="P21104" s="235"/>
      <c r="AI21104" s="38"/>
    </row>
    <row r="21105" ht="15.75" customHeight="1">
      <c r="A21105" s="35"/>
      <c r="C21105" s="442"/>
      <c r="P21105" s="235"/>
      <c r="AI21105" s="38"/>
    </row>
    <row r="21106" ht="15.75" customHeight="1">
      <c r="A21106" s="35"/>
      <c r="C21106" s="442"/>
      <c r="P21106" s="235"/>
      <c r="AI21106" s="38"/>
    </row>
    <row r="21107" ht="15.75" customHeight="1">
      <c r="A21107" s="35"/>
      <c r="C21107" s="442"/>
      <c r="P21107" s="235"/>
      <c r="AI21107" s="38"/>
    </row>
    <row r="21108" ht="15.75" customHeight="1">
      <c r="A21108" s="35"/>
      <c r="C21108" s="442"/>
      <c r="P21108" s="235"/>
      <c r="AI21108" s="38"/>
    </row>
    <row r="21109" ht="15.75" customHeight="1">
      <c r="A21109" s="35"/>
      <c r="C21109" s="442"/>
      <c r="P21109" s="235"/>
      <c r="AI21109" s="38"/>
    </row>
    <row r="21110" ht="15.75" customHeight="1">
      <c r="A21110" s="35"/>
      <c r="C21110" s="442"/>
      <c r="P21110" s="235"/>
      <c r="AI21110" s="38"/>
    </row>
    <row r="21111" ht="15.75" customHeight="1">
      <c r="A21111" s="35"/>
      <c r="C21111" s="442"/>
      <c r="P21111" s="235"/>
      <c r="AI21111" s="38"/>
    </row>
    <row r="21112" ht="15.75" customHeight="1">
      <c r="A21112" s="35"/>
      <c r="C21112" s="442"/>
      <c r="P21112" s="235"/>
      <c r="AI21112" s="38"/>
    </row>
    <row r="21113" ht="15.75" customHeight="1">
      <c r="A21113" s="35"/>
      <c r="C21113" s="442"/>
      <c r="P21113" s="235"/>
      <c r="AI21113" s="38"/>
    </row>
    <row r="21114" ht="15.75" customHeight="1">
      <c r="A21114" s="35"/>
      <c r="C21114" s="442"/>
      <c r="P21114" s="235"/>
      <c r="AI21114" s="38"/>
    </row>
    <row r="21115" ht="15.75" customHeight="1">
      <c r="A21115" s="35"/>
      <c r="C21115" s="442"/>
      <c r="P21115" s="235"/>
      <c r="AI21115" s="38"/>
    </row>
    <row r="21116" ht="15.75" customHeight="1">
      <c r="A21116" s="35"/>
      <c r="C21116" s="442"/>
      <c r="P21116" s="235"/>
      <c r="AI21116" s="38"/>
    </row>
    <row r="21117" ht="15.75" customHeight="1">
      <c r="A21117" s="35"/>
      <c r="C21117" s="442"/>
      <c r="P21117" s="235"/>
      <c r="AI21117" s="38"/>
    </row>
    <row r="21118" ht="15.75" customHeight="1">
      <c r="A21118" s="35"/>
      <c r="C21118" s="442"/>
      <c r="P21118" s="235"/>
      <c r="AI21118" s="38"/>
    </row>
    <row r="21119" ht="15.75" customHeight="1">
      <c r="A21119" s="35"/>
      <c r="C21119" s="442"/>
      <c r="P21119" s="235"/>
      <c r="AI21119" s="38"/>
    </row>
    <row r="21120" ht="15.75" customHeight="1">
      <c r="A21120" s="35"/>
      <c r="C21120" s="442"/>
      <c r="P21120" s="235"/>
      <c r="AI21120" s="38"/>
    </row>
    <row r="21121" ht="15.75" customHeight="1">
      <c r="A21121" s="35"/>
      <c r="C21121" s="442"/>
      <c r="P21121" s="235"/>
      <c r="AI21121" s="38"/>
    </row>
    <row r="21122" ht="15.75" customHeight="1">
      <c r="A21122" s="35"/>
      <c r="C21122" s="442"/>
      <c r="P21122" s="235"/>
      <c r="AI21122" s="38"/>
    </row>
    <row r="21123" ht="15.75" customHeight="1">
      <c r="A21123" s="35"/>
      <c r="C21123" s="442"/>
      <c r="P21123" s="235"/>
      <c r="AI21123" s="38"/>
    </row>
    <row r="21124" ht="15.75" customHeight="1">
      <c r="A21124" s="35"/>
      <c r="C21124" s="442"/>
      <c r="P21124" s="235"/>
      <c r="AI21124" s="38"/>
    </row>
    <row r="21125" ht="15.75" customHeight="1">
      <c r="A21125" s="35"/>
      <c r="C21125" s="442"/>
      <c r="P21125" s="235"/>
      <c r="AI21125" s="38"/>
    </row>
    <row r="21126" ht="15.75" customHeight="1">
      <c r="A21126" s="35"/>
      <c r="C21126" s="442"/>
      <c r="P21126" s="235"/>
      <c r="AI21126" s="38"/>
    </row>
    <row r="21127" ht="15.75" customHeight="1">
      <c r="A21127" s="35"/>
      <c r="C21127" s="442"/>
      <c r="P21127" s="235"/>
      <c r="AI21127" s="38"/>
    </row>
    <row r="21128" ht="15.75" customHeight="1">
      <c r="A21128" s="35"/>
      <c r="C21128" s="442"/>
      <c r="P21128" s="235"/>
      <c r="AI21128" s="38"/>
    </row>
    <row r="21129" ht="15.75" customHeight="1">
      <c r="A21129" s="35"/>
      <c r="C21129" s="442"/>
      <c r="P21129" s="235"/>
      <c r="AI21129" s="38"/>
    </row>
    <row r="21130" ht="15.75" customHeight="1">
      <c r="A21130" s="35"/>
      <c r="C21130" s="442"/>
      <c r="P21130" s="235"/>
      <c r="AI21130" s="38"/>
    </row>
    <row r="21131" ht="15.75" customHeight="1">
      <c r="A21131" s="35"/>
      <c r="C21131" s="442"/>
      <c r="P21131" s="235"/>
      <c r="AI21131" s="38"/>
    </row>
    <row r="21132" ht="15.75" customHeight="1">
      <c r="A21132" s="35"/>
      <c r="C21132" s="442"/>
      <c r="P21132" s="235"/>
      <c r="AI21132" s="38"/>
    </row>
    <row r="21133" ht="15.75" customHeight="1">
      <c r="A21133" s="35"/>
      <c r="C21133" s="442"/>
      <c r="P21133" s="235"/>
      <c r="AI21133" s="38"/>
    </row>
    <row r="21134" ht="15.75" customHeight="1">
      <c r="A21134" s="35"/>
      <c r="C21134" s="442"/>
      <c r="P21134" s="235"/>
      <c r="AI21134" s="38"/>
    </row>
    <row r="21135" ht="15.75" customHeight="1">
      <c r="A21135" s="35"/>
      <c r="C21135" s="442"/>
      <c r="P21135" s="235"/>
      <c r="AI21135" s="38"/>
    </row>
    <row r="21136" ht="15.75" customHeight="1">
      <c r="A21136" s="35"/>
      <c r="C21136" s="442"/>
      <c r="P21136" s="235"/>
      <c r="AI21136" s="38"/>
    </row>
    <row r="21137" ht="15.75" customHeight="1">
      <c r="A21137" s="35"/>
      <c r="C21137" s="442"/>
      <c r="P21137" s="235"/>
      <c r="AI21137" s="38"/>
    </row>
    <row r="21138" ht="15.75" customHeight="1">
      <c r="A21138" s="35"/>
      <c r="C21138" s="442"/>
      <c r="P21138" s="235"/>
      <c r="AI21138" s="38"/>
    </row>
    <row r="21139" ht="15.75" customHeight="1">
      <c r="A21139" s="35"/>
      <c r="C21139" s="442"/>
      <c r="P21139" s="235"/>
      <c r="AI21139" s="38"/>
    </row>
    <row r="21140" ht="15.75" customHeight="1">
      <c r="A21140" s="35"/>
      <c r="C21140" s="442"/>
      <c r="P21140" s="235"/>
      <c r="AI21140" s="38"/>
    </row>
    <row r="21141" ht="15.75" customHeight="1">
      <c r="A21141" s="35"/>
      <c r="C21141" s="442"/>
      <c r="P21141" s="235"/>
      <c r="AI21141" s="38"/>
    </row>
    <row r="21142" ht="15.75" customHeight="1">
      <c r="A21142" s="35"/>
      <c r="C21142" s="442"/>
      <c r="P21142" s="235"/>
      <c r="AI21142" s="38"/>
    </row>
    <row r="21143" ht="15.75" customHeight="1">
      <c r="A21143" s="35"/>
      <c r="C21143" s="442"/>
      <c r="P21143" s="235"/>
      <c r="AI21143" s="38"/>
    </row>
    <row r="21144" ht="15.75" customHeight="1">
      <c r="A21144" s="35"/>
      <c r="C21144" s="442"/>
      <c r="P21144" s="235"/>
      <c r="AI21144" s="38"/>
    </row>
    <row r="21145" ht="15.75" customHeight="1">
      <c r="A21145" s="35"/>
      <c r="C21145" s="442"/>
      <c r="P21145" s="235"/>
      <c r="AI21145" s="38"/>
    </row>
    <row r="21146" ht="15.75" customHeight="1">
      <c r="A21146" s="35"/>
      <c r="C21146" s="442"/>
      <c r="P21146" s="235"/>
      <c r="AI21146" s="38"/>
    </row>
    <row r="21147" ht="15.75" customHeight="1">
      <c r="A21147" s="35"/>
      <c r="C21147" s="442"/>
      <c r="P21147" s="235"/>
      <c r="AI21147" s="38"/>
    </row>
    <row r="21148" ht="15.75" customHeight="1">
      <c r="A21148" s="35"/>
      <c r="C21148" s="442"/>
      <c r="P21148" s="235"/>
      <c r="AI21148" s="38"/>
    </row>
    <row r="21149" ht="15.75" customHeight="1">
      <c r="A21149" s="35"/>
      <c r="C21149" s="442"/>
      <c r="P21149" s="235"/>
      <c r="AI21149" s="38"/>
    </row>
    <row r="21150" ht="15.75" customHeight="1">
      <c r="A21150" s="35"/>
      <c r="C21150" s="442"/>
      <c r="P21150" s="235"/>
      <c r="AI21150" s="38"/>
    </row>
    <row r="21151" ht="15.75" customHeight="1">
      <c r="A21151" s="35"/>
      <c r="C21151" s="442"/>
      <c r="P21151" s="235"/>
      <c r="AI21151" s="38"/>
    </row>
    <row r="21152" ht="15.75" customHeight="1">
      <c r="A21152" s="35"/>
      <c r="C21152" s="442"/>
      <c r="P21152" s="235"/>
      <c r="AI21152" s="38"/>
    </row>
    <row r="21153" ht="15.75" customHeight="1">
      <c r="A21153" s="35"/>
      <c r="C21153" s="442"/>
      <c r="P21153" s="235"/>
      <c r="AI21153" s="38"/>
    </row>
    <row r="21154" ht="15.75" customHeight="1">
      <c r="A21154" s="35"/>
      <c r="C21154" s="442"/>
      <c r="P21154" s="235"/>
      <c r="AI21154" s="38"/>
    </row>
    <row r="21155" ht="15.75" customHeight="1">
      <c r="A21155" s="35"/>
      <c r="C21155" s="442"/>
      <c r="P21155" s="235"/>
      <c r="AI21155" s="38"/>
    </row>
    <row r="21156" ht="15.75" customHeight="1">
      <c r="A21156" s="35"/>
      <c r="C21156" s="442"/>
      <c r="P21156" s="235"/>
      <c r="AI21156" s="38"/>
    </row>
    <row r="21157" ht="15.75" customHeight="1">
      <c r="A21157" s="35"/>
      <c r="C21157" s="442"/>
      <c r="P21157" s="235"/>
      <c r="AI21157" s="38"/>
    </row>
    <row r="21158" ht="15.75" customHeight="1">
      <c r="A21158" s="35"/>
      <c r="C21158" s="442"/>
      <c r="P21158" s="235"/>
      <c r="AI21158" s="38"/>
    </row>
    <row r="21159" ht="15.75" customHeight="1">
      <c r="A21159" s="35"/>
      <c r="C21159" s="442"/>
      <c r="P21159" s="235"/>
      <c r="AI21159" s="38"/>
    </row>
    <row r="21160" ht="15.75" customHeight="1">
      <c r="A21160" s="35"/>
      <c r="C21160" s="442"/>
      <c r="P21160" s="235"/>
      <c r="AI21160" s="38"/>
    </row>
    <row r="21161" ht="15.75" customHeight="1">
      <c r="A21161" s="35"/>
      <c r="C21161" s="442"/>
      <c r="P21161" s="235"/>
      <c r="AI21161" s="38"/>
    </row>
    <row r="21162" ht="15.75" customHeight="1">
      <c r="A21162" s="35"/>
      <c r="C21162" s="442"/>
      <c r="P21162" s="235"/>
      <c r="AI21162" s="38"/>
    </row>
    <row r="21163" ht="15.75" customHeight="1">
      <c r="A21163" s="35"/>
      <c r="C21163" s="442"/>
      <c r="P21163" s="235"/>
      <c r="AI21163" s="38"/>
    </row>
    <row r="21164" ht="15.75" customHeight="1">
      <c r="A21164" s="35"/>
      <c r="C21164" s="442"/>
      <c r="P21164" s="235"/>
      <c r="AI21164" s="38"/>
    </row>
    <row r="21165" ht="15.75" customHeight="1">
      <c r="A21165" s="35"/>
      <c r="C21165" s="442"/>
      <c r="P21165" s="235"/>
      <c r="AI21165" s="38"/>
    </row>
    <row r="21166" ht="15.75" customHeight="1">
      <c r="A21166" s="35"/>
      <c r="C21166" s="442"/>
      <c r="P21166" s="235"/>
      <c r="AI21166" s="38"/>
    </row>
    <row r="21167" ht="15.75" customHeight="1">
      <c r="A21167" s="35"/>
      <c r="C21167" s="442"/>
      <c r="P21167" s="235"/>
      <c r="AI21167" s="38"/>
    </row>
    <row r="21168" ht="15.75" customHeight="1">
      <c r="A21168" s="35"/>
      <c r="C21168" s="442"/>
      <c r="P21168" s="235"/>
      <c r="AI21168" s="38"/>
    </row>
    <row r="21169" ht="15.75" customHeight="1">
      <c r="A21169" s="35"/>
      <c r="C21169" s="442"/>
      <c r="P21169" s="235"/>
      <c r="AI21169" s="38"/>
    </row>
    <row r="21170" ht="15.75" customHeight="1">
      <c r="A21170" s="35"/>
      <c r="C21170" s="442"/>
      <c r="P21170" s="235"/>
      <c r="AI21170" s="38"/>
    </row>
    <row r="21171" ht="15.75" customHeight="1">
      <c r="A21171" s="35"/>
      <c r="C21171" s="442"/>
      <c r="P21171" s="235"/>
      <c r="AI21171" s="38"/>
    </row>
    <row r="21172" ht="15.75" customHeight="1">
      <c r="A21172" s="35"/>
      <c r="C21172" s="442"/>
      <c r="P21172" s="235"/>
      <c r="AI21172" s="38"/>
    </row>
    <row r="21173" ht="15.75" customHeight="1">
      <c r="A21173" s="35"/>
      <c r="C21173" s="442"/>
      <c r="P21173" s="235"/>
      <c r="AI21173" s="38"/>
    </row>
    <row r="21174" ht="15.75" customHeight="1">
      <c r="A21174" s="35"/>
      <c r="C21174" s="442"/>
      <c r="P21174" s="235"/>
      <c r="AI21174" s="38"/>
    </row>
    <row r="21175" ht="15.75" customHeight="1">
      <c r="A21175" s="35"/>
      <c r="C21175" s="442"/>
      <c r="P21175" s="235"/>
      <c r="AI21175" s="38"/>
    </row>
    <row r="21176" ht="15.75" customHeight="1">
      <c r="A21176" s="35"/>
      <c r="C21176" s="442"/>
      <c r="P21176" s="235"/>
      <c r="AI21176" s="38"/>
    </row>
    <row r="21177" ht="15.75" customHeight="1">
      <c r="A21177" s="35"/>
      <c r="C21177" s="442"/>
      <c r="P21177" s="235"/>
      <c r="AI21177" s="38"/>
    </row>
    <row r="21178" ht="15.75" customHeight="1">
      <c r="A21178" s="35"/>
      <c r="C21178" s="442"/>
      <c r="P21178" s="235"/>
      <c r="AI21178" s="38"/>
    </row>
    <row r="21179" ht="15.75" customHeight="1">
      <c r="A21179" s="35"/>
      <c r="C21179" s="442"/>
      <c r="P21179" s="235"/>
      <c r="AI21179" s="38"/>
    </row>
    <row r="21180" ht="15.75" customHeight="1">
      <c r="A21180" s="35"/>
      <c r="C21180" s="442"/>
      <c r="P21180" s="235"/>
      <c r="AI21180" s="38"/>
    </row>
    <row r="21181" ht="15.75" customHeight="1">
      <c r="A21181" s="35"/>
      <c r="C21181" s="442"/>
      <c r="P21181" s="235"/>
      <c r="AI21181" s="38"/>
    </row>
    <row r="21182" ht="15.75" customHeight="1">
      <c r="A21182" s="35"/>
      <c r="C21182" s="442"/>
      <c r="P21182" s="235"/>
      <c r="AI21182" s="38"/>
    </row>
    <row r="21183" ht="15.75" customHeight="1">
      <c r="A21183" s="35"/>
      <c r="C21183" s="442"/>
      <c r="P21183" s="235"/>
      <c r="AI21183" s="38"/>
    </row>
    <row r="21184" ht="15.75" customHeight="1">
      <c r="A21184" s="35"/>
      <c r="C21184" s="442"/>
      <c r="P21184" s="235"/>
      <c r="AI21184" s="38"/>
    </row>
    <row r="21185" ht="15.75" customHeight="1">
      <c r="A21185" s="35"/>
      <c r="C21185" s="442"/>
      <c r="P21185" s="235"/>
      <c r="AI21185" s="38"/>
    </row>
    <row r="21186" ht="15.75" customHeight="1">
      <c r="A21186" s="35"/>
      <c r="C21186" s="442"/>
      <c r="P21186" s="235"/>
      <c r="AI21186" s="38"/>
    </row>
    <row r="21187" ht="15.75" customHeight="1">
      <c r="A21187" s="35"/>
      <c r="C21187" s="442"/>
      <c r="P21187" s="235"/>
      <c r="AI21187" s="38"/>
    </row>
    <row r="21188" ht="15.75" customHeight="1">
      <c r="A21188" s="35"/>
      <c r="C21188" s="442"/>
      <c r="P21188" s="235"/>
      <c r="AI21188" s="38"/>
    </row>
    <row r="21189" ht="15.75" customHeight="1">
      <c r="A21189" s="35"/>
      <c r="C21189" s="442"/>
      <c r="P21189" s="235"/>
      <c r="AI21189" s="38"/>
    </row>
    <row r="21190" ht="15.75" customHeight="1">
      <c r="A21190" s="35"/>
      <c r="C21190" s="442"/>
      <c r="P21190" s="235"/>
      <c r="AI21190" s="38"/>
    </row>
    <row r="21191" ht="15.75" customHeight="1">
      <c r="A21191" s="35"/>
      <c r="C21191" s="442"/>
      <c r="P21191" s="235"/>
      <c r="AI21191" s="38"/>
    </row>
    <row r="21192" ht="15.75" customHeight="1">
      <c r="A21192" s="35"/>
      <c r="C21192" s="442"/>
      <c r="P21192" s="235"/>
      <c r="AI21192" s="38"/>
    </row>
    <row r="21193" ht="15.75" customHeight="1">
      <c r="A21193" s="35"/>
      <c r="C21193" s="442"/>
      <c r="P21193" s="235"/>
      <c r="AI21193" s="38"/>
    </row>
    <row r="21194" ht="15.75" customHeight="1">
      <c r="A21194" s="35"/>
      <c r="C21194" s="442"/>
      <c r="P21194" s="235"/>
      <c r="AI21194" s="38"/>
    </row>
    <row r="21195" ht="15.75" customHeight="1">
      <c r="A21195" s="35"/>
      <c r="C21195" s="442"/>
      <c r="P21195" s="235"/>
      <c r="AI21195" s="38"/>
    </row>
    <row r="21196" ht="15.75" customHeight="1">
      <c r="A21196" s="35"/>
      <c r="C21196" s="442"/>
      <c r="P21196" s="235"/>
      <c r="AI21196" s="38"/>
    </row>
    <row r="21197" ht="15.75" customHeight="1">
      <c r="A21197" s="35"/>
      <c r="C21197" s="442"/>
      <c r="P21197" s="235"/>
      <c r="AI21197" s="38"/>
    </row>
    <row r="21198" ht="15.75" customHeight="1">
      <c r="A21198" s="35"/>
      <c r="C21198" s="442"/>
      <c r="P21198" s="235"/>
      <c r="AI21198" s="38"/>
    </row>
    <row r="21199" ht="15.75" customHeight="1">
      <c r="A21199" s="35"/>
      <c r="C21199" s="442"/>
      <c r="P21199" s="235"/>
      <c r="AI21199" s="38"/>
    </row>
    <row r="21200" ht="15.75" customHeight="1">
      <c r="A21200" s="35"/>
      <c r="C21200" s="442"/>
      <c r="P21200" s="235"/>
      <c r="AI21200" s="38"/>
    </row>
    <row r="21201" ht="15.75" customHeight="1">
      <c r="A21201" s="35"/>
      <c r="C21201" s="442"/>
      <c r="P21201" s="235"/>
      <c r="AI21201" s="38"/>
    </row>
    <row r="21202" ht="15.75" customHeight="1">
      <c r="A21202" s="35"/>
      <c r="C21202" s="442"/>
      <c r="P21202" s="235"/>
      <c r="AI21202" s="38"/>
    </row>
    <row r="21203" ht="15.75" customHeight="1">
      <c r="A21203" s="35"/>
      <c r="C21203" s="442"/>
      <c r="P21203" s="235"/>
      <c r="AI21203" s="38"/>
    </row>
    <row r="21204" ht="15.75" customHeight="1">
      <c r="A21204" s="35"/>
      <c r="C21204" s="442"/>
      <c r="P21204" s="235"/>
      <c r="AI21204" s="38"/>
    </row>
    <row r="21205" ht="15.75" customHeight="1">
      <c r="A21205" s="35"/>
      <c r="C21205" s="442"/>
      <c r="P21205" s="235"/>
      <c r="AI21205" s="38"/>
    </row>
    <row r="21206" ht="15.75" customHeight="1">
      <c r="A21206" s="35"/>
      <c r="C21206" s="442"/>
      <c r="P21206" s="235"/>
      <c r="AI21206" s="38"/>
    </row>
    <row r="21207" ht="15.75" customHeight="1">
      <c r="A21207" s="35"/>
      <c r="C21207" s="442"/>
      <c r="P21207" s="235"/>
      <c r="AI21207" s="38"/>
    </row>
    <row r="21208" ht="15.75" customHeight="1">
      <c r="A21208" s="35"/>
      <c r="C21208" s="442"/>
      <c r="P21208" s="235"/>
      <c r="AI21208" s="38"/>
    </row>
    <row r="21209" ht="15.75" customHeight="1">
      <c r="A21209" s="35"/>
      <c r="C21209" s="442"/>
      <c r="P21209" s="235"/>
      <c r="AI21209" s="38"/>
    </row>
    <row r="21210" ht="15.75" customHeight="1">
      <c r="A21210" s="35"/>
      <c r="C21210" s="442"/>
      <c r="P21210" s="235"/>
      <c r="AI21210" s="38"/>
    </row>
    <row r="21211" ht="15.75" customHeight="1">
      <c r="A21211" s="35"/>
      <c r="C21211" s="442"/>
      <c r="P21211" s="235"/>
      <c r="AI21211" s="38"/>
    </row>
    <row r="21212" ht="15.75" customHeight="1">
      <c r="A21212" s="35"/>
      <c r="C21212" s="442"/>
      <c r="P21212" s="235"/>
      <c r="AI21212" s="38"/>
    </row>
    <row r="21213" ht="15.75" customHeight="1">
      <c r="A21213" s="35"/>
      <c r="C21213" s="442"/>
      <c r="P21213" s="235"/>
      <c r="AI21213" s="38"/>
    </row>
    <row r="21214" ht="15.75" customHeight="1">
      <c r="A21214" s="35"/>
      <c r="C21214" s="442"/>
      <c r="P21214" s="235"/>
      <c r="AI21214" s="38"/>
    </row>
    <row r="21215" ht="15.75" customHeight="1">
      <c r="A21215" s="35"/>
      <c r="C21215" s="442"/>
      <c r="P21215" s="235"/>
      <c r="AI21215" s="38"/>
    </row>
    <row r="21216" ht="15.75" customHeight="1">
      <c r="A21216" s="35"/>
      <c r="C21216" s="442"/>
      <c r="P21216" s="235"/>
      <c r="AI21216" s="38"/>
    </row>
    <row r="21217" ht="15.75" customHeight="1">
      <c r="A21217" s="35"/>
      <c r="C21217" s="442"/>
      <c r="P21217" s="235"/>
      <c r="AI21217" s="38"/>
    </row>
    <row r="21218" ht="15.75" customHeight="1">
      <c r="A21218" s="35"/>
      <c r="C21218" s="442"/>
      <c r="P21218" s="235"/>
      <c r="AI21218" s="38"/>
    </row>
    <row r="21219" ht="15.75" customHeight="1">
      <c r="A21219" s="35"/>
      <c r="C21219" s="442"/>
      <c r="P21219" s="235"/>
      <c r="AI21219" s="38"/>
    </row>
    <row r="21220" ht="15.75" customHeight="1">
      <c r="A21220" s="35"/>
      <c r="C21220" s="442"/>
      <c r="P21220" s="235"/>
      <c r="AI21220" s="38"/>
    </row>
    <row r="21221" ht="15.75" customHeight="1">
      <c r="A21221" s="35"/>
      <c r="C21221" s="442"/>
      <c r="P21221" s="235"/>
      <c r="AI21221" s="38"/>
    </row>
    <row r="21222" ht="15.75" customHeight="1">
      <c r="A21222" s="35"/>
      <c r="C21222" s="442"/>
      <c r="P21222" s="235"/>
      <c r="AI21222" s="38"/>
    </row>
    <row r="21223" ht="15.75" customHeight="1">
      <c r="A21223" s="35"/>
      <c r="C21223" s="442"/>
      <c r="P21223" s="235"/>
      <c r="AI21223" s="38"/>
    </row>
    <row r="21224" ht="15.75" customHeight="1">
      <c r="A21224" s="35"/>
      <c r="C21224" s="442"/>
      <c r="P21224" s="235"/>
      <c r="AI21224" s="38"/>
    </row>
    <row r="21225" ht="15.75" customHeight="1">
      <c r="A21225" s="35"/>
      <c r="C21225" s="442"/>
      <c r="P21225" s="235"/>
      <c r="AI21225" s="38"/>
    </row>
    <row r="21226" ht="15.75" customHeight="1">
      <c r="A21226" s="35"/>
      <c r="C21226" s="442"/>
      <c r="P21226" s="235"/>
      <c r="AI21226" s="38"/>
    </row>
    <row r="21227" ht="15.75" customHeight="1">
      <c r="A21227" s="35"/>
      <c r="C21227" s="442"/>
      <c r="P21227" s="235"/>
      <c r="AI21227" s="38"/>
    </row>
    <row r="21228" ht="15.75" customHeight="1">
      <c r="A21228" s="35"/>
      <c r="C21228" s="442"/>
      <c r="P21228" s="235"/>
      <c r="AI21228" s="38"/>
    </row>
    <row r="21229" ht="15.75" customHeight="1">
      <c r="A21229" s="35"/>
      <c r="C21229" s="442"/>
      <c r="P21229" s="235"/>
      <c r="AI21229" s="38"/>
    </row>
    <row r="21230" ht="15.75" customHeight="1">
      <c r="A21230" s="35"/>
      <c r="C21230" s="442"/>
      <c r="P21230" s="235"/>
      <c r="AI21230" s="38"/>
    </row>
    <row r="21231" ht="15.75" customHeight="1">
      <c r="A21231" s="35"/>
      <c r="C21231" s="442"/>
      <c r="P21231" s="235"/>
      <c r="AI21231" s="38"/>
    </row>
    <row r="21232" ht="15.75" customHeight="1">
      <c r="A21232" s="35"/>
      <c r="C21232" s="442"/>
      <c r="P21232" s="235"/>
      <c r="AI21232" s="38"/>
    </row>
    <row r="21233" ht="15.75" customHeight="1">
      <c r="A21233" s="35"/>
      <c r="C21233" s="442"/>
      <c r="P21233" s="235"/>
      <c r="AI21233" s="38"/>
    </row>
    <row r="21234" ht="15.75" customHeight="1">
      <c r="A21234" s="35"/>
      <c r="C21234" s="442"/>
      <c r="P21234" s="235"/>
      <c r="AI21234" s="38"/>
    </row>
    <row r="21235" ht="15.75" customHeight="1">
      <c r="A21235" s="35"/>
      <c r="C21235" s="442"/>
      <c r="P21235" s="235"/>
      <c r="AI21235" s="38"/>
    </row>
    <row r="21236" ht="15.75" customHeight="1">
      <c r="A21236" s="35"/>
      <c r="C21236" s="442"/>
      <c r="P21236" s="235"/>
      <c r="AI21236" s="38"/>
    </row>
    <row r="21237" ht="15.75" customHeight="1">
      <c r="A21237" s="35"/>
      <c r="C21237" s="442"/>
      <c r="P21237" s="235"/>
      <c r="AI21237" s="38"/>
    </row>
    <row r="21238" ht="15.75" customHeight="1">
      <c r="A21238" s="35"/>
      <c r="C21238" s="442"/>
      <c r="P21238" s="235"/>
      <c r="AI21238" s="38"/>
    </row>
    <row r="21239" ht="15.75" customHeight="1">
      <c r="A21239" s="35"/>
      <c r="C21239" s="442"/>
      <c r="P21239" s="235"/>
      <c r="AI21239" s="38"/>
    </row>
    <row r="21240" ht="15.75" customHeight="1">
      <c r="A21240" s="35"/>
      <c r="C21240" s="442"/>
      <c r="P21240" s="235"/>
      <c r="AI21240" s="38"/>
    </row>
    <row r="21241" ht="15.75" customHeight="1">
      <c r="A21241" s="35"/>
      <c r="C21241" s="442"/>
      <c r="P21241" s="235"/>
      <c r="AI21241" s="38"/>
    </row>
    <row r="21242" ht="15.75" customHeight="1">
      <c r="A21242" s="35"/>
      <c r="C21242" s="442"/>
      <c r="P21242" s="235"/>
      <c r="AI21242" s="38"/>
    </row>
    <row r="21243" ht="15.75" customHeight="1">
      <c r="A21243" s="35"/>
      <c r="C21243" s="442"/>
      <c r="P21243" s="235"/>
      <c r="AI21243" s="38"/>
    </row>
    <row r="21244" ht="15.75" customHeight="1">
      <c r="A21244" s="35"/>
      <c r="C21244" s="442"/>
      <c r="P21244" s="235"/>
      <c r="AI21244" s="38"/>
    </row>
    <row r="21245" ht="15.75" customHeight="1">
      <c r="A21245" s="35"/>
      <c r="C21245" s="442"/>
      <c r="P21245" s="235"/>
      <c r="AI21245" s="38"/>
    </row>
    <row r="21246" ht="15.75" customHeight="1">
      <c r="A21246" s="35"/>
      <c r="C21246" s="442"/>
      <c r="P21246" s="235"/>
      <c r="AI21246" s="38"/>
    </row>
    <row r="21247" ht="15.75" customHeight="1">
      <c r="A21247" s="35"/>
      <c r="C21247" s="442"/>
      <c r="P21247" s="235"/>
      <c r="AI21247" s="38"/>
    </row>
    <row r="21248" ht="15.75" customHeight="1">
      <c r="A21248" s="35"/>
      <c r="C21248" s="442"/>
      <c r="P21248" s="235"/>
      <c r="AI21248" s="38"/>
    </row>
    <row r="21249" ht="15.75" customHeight="1">
      <c r="A21249" s="35"/>
      <c r="C21249" s="442"/>
      <c r="P21249" s="235"/>
      <c r="AI21249" s="38"/>
    </row>
    <row r="21250" ht="15.75" customHeight="1">
      <c r="A21250" s="35"/>
      <c r="C21250" s="442"/>
      <c r="P21250" s="235"/>
      <c r="AI21250" s="38"/>
    </row>
    <row r="21251" ht="15.75" customHeight="1">
      <c r="A21251" s="35"/>
      <c r="C21251" s="442"/>
      <c r="P21251" s="235"/>
      <c r="AI21251" s="38"/>
    </row>
    <row r="21252" ht="15.75" customHeight="1">
      <c r="A21252" s="35"/>
      <c r="C21252" s="442"/>
      <c r="P21252" s="235"/>
      <c r="AI21252" s="38"/>
    </row>
    <row r="21253" ht="15.75" customHeight="1">
      <c r="A21253" s="35"/>
      <c r="C21253" s="442"/>
      <c r="P21253" s="235"/>
      <c r="AI21253" s="38"/>
    </row>
    <row r="21254" ht="15.75" customHeight="1">
      <c r="A21254" s="35"/>
      <c r="C21254" s="442"/>
      <c r="P21254" s="235"/>
      <c r="AI21254" s="38"/>
    </row>
    <row r="21255" ht="15.75" customHeight="1">
      <c r="A21255" s="35"/>
      <c r="C21255" s="442"/>
      <c r="P21255" s="235"/>
      <c r="AI21255" s="38"/>
    </row>
    <row r="21256" ht="15.75" customHeight="1">
      <c r="A21256" s="35"/>
      <c r="C21256" s="442"/>
      <c r="P21256" s="235"/>
      <c r="AI21256" s="38"/>
    </row>
    <row r="21257" ht="15.75" customHeight="1">
      <c r="A21257" s="35"/>
      <c r="C21257" s="442"/>
      <c r="P21257" s="235"/>
      <c r="AI21257" s="38"/>
    </row>
    <row r="21258" ht="15.75" customHeight="1">
      <c r="A21258" s="35"/>
      <c r="C21258" s="442"/>
      <c r="P21258" s="235"/>
      <c r="AI21258" s="38"/>
    </row>
    <row r="21259" ht="15.75" customHeight="1">
      <c r="A21259" s="35"/>
      <c r="C21259" s="442"/>
      <c r="P21259" s="235"/>
      <c r="AI21259" s="38"/>
    </row>
    <row r="21260" ht="15.75" customHeight="1">
      <c r="A21260" s="35"/>
      <c r="C21260" s="442"/>
      <c r="P21260" s="235"/>
      <c r="AI21260" s="38"/>
    </row>
    <row r="21261" ht="15.75" customHeight="1">
      <c r="A21261" s="35"/>
      <c r="C21261" s="442"/>
      <c r="P21261" s="235"/>
      <c r="AI21261" s="38"/>
    </row>
    <row r="21262" ht="15.75" customHeight="1">
      <c r="A21262" s="35"/>
      <c r="C21262" s="442"/>
      <c r="P21262" s="235"/>
      <c r="AI21262" s="38"/>
    </row>
    <row r="21263" ht="15.75" customHeight="1">
      <c r="A21263" s="35"/>
      <c r="C21263" s="442"/>
      <c r="P21263" s="235"/>
      <c r="AI21263" s="38"/>
    </row>
    <row r="21264" ht="15.75" customHeight="1">
      <c r="A21264" s="35"/>
      <c r="C21264" s="442"/>
      <c r="P21264" s="235"/>
      <c r="AI21264" s="38"/>
    </row>
    <row r="21265" ht="15.75" customHeight="1">
      <c r="A21265" s="35"/>
      <c r="C21265" s="442"/>
      <c r="P21265" s="235"/>
      <c r="AI21265" s="38"/>
    </row>
    <row r="21266" ht="15.75" customHeight="1">
      <c r="A21266" s="35"/>
      <c r="C21266" s="442"/>
      <c r="P21266" s="235"/>
      <c r="AI21266" s="38"/>
    </row>
    <row r="21267" ht="15.75" customHeight="1">
      <c r="A21267" s="35"/>
      <c r="C21267" s="442"/>
      <c r="P21267" s="235"/>
      <c r="AI21267" s="38"/>
    </row>
    <row r="21268" ht="15.75" customHeight="1">
      <c r="A21268" s="35"/>
      <c r="C21268" s="442"/>
      <c r="P21268" s="235"/>
      <c r="AI21268" s="38"/>
    </row>
    <row r="21269" ht="15.75" customHeight="1">
      <c r="A21269" s="35"/>
      <c r="C21269" s="442"/>
      <c r="P21269" s="235"/>
      <c r="AI21269" s="38"/>
    </row>
    <row r="21270" ht="15.75" customHeight="1">
      <c r="A21270" s="35"/>
      <c r="C21270" s="442"/>
      <c r="P21270" s="235"/>
      <c r="AI21270" s="38"/>
    </row>
    <row r="21271" ht="15.75" customHeight="1">
      <c r="A21271" s="35"/>
      <c r="C21271" s="442"/>
      <c r="P21271" s="235"/>
      <c r="AI21271" s="38"/>
    </row>
    <row r="21272" ht="15.75" customHeight="1">
      <c r="A21272" s="35"/>
      <c r="C21272" s="442"/>
      <c r="P21272" s="235"/>
      <c r="AI21272" s="38"/>
    </row>
    <row r="21273" ht="15.75" customHeight="1">
      <c r="A21273" s="35"/>
      <c r="C21273" s="442"/>
      <c r="P21273" s="235"/>
      <c r="AI21273" s="38"/>
    </row>
    <row r="21274" ht="15.75" customHeight="1">
      <c r="A21274" s="35"/>
      <c r="C21274" s="442"/>
      <c r="P21274" s="235"/>
      <c r="AI21274" s="38"/>
    </row>
    <row r="21275" ht="15.75" customHeight="1">
      <c r="A21275" s="35"/>
      <c r="C21275" s="442"/>
      <c r="P21275" s="235"/>
      <c r="AI21275" s="38"/>
    </row>
    <row r="21276" ht="15.75" customHeight="1">
      <c r="A21276" s="35"/>
      <c r="C21276" s="442"/>
      <c r="P21276" s="235"/>
      <c r="AI21276" s="38"/>
    </row>
    <row r="21277" ht="15.75" customHeight="1">
      <c r="A21277" s="35"/>
      <c r="C21277" s="442"/>
      <c r="P21277" s="235"/>
      <c r="AI21277" s="38"/>
    </row>
    <row r="21278" ht="15.75" customHeight="1">
      <c r="A21278" s="35"/>
      <c r="C21278" s="442"/>
      <c r="P21278" s="235"/>
      <c r="AI21278" s="38"/>
    </row>
    <row r="21279" ht="15.75" customHeight="1">
      <c r="A21279" s="35"/>
      <c r="C21279" s="442"/>
      <c r="P21279" s="235"/>
      <c r="AI21279" s="38"/>
    </row>
    <row r="21280" ht="15.75" customHeight="1">
      <c r="A21280" s="35"/>
      <c r="C21280" s="442"/>
      <c r="P21280" s="235"/>
      <c r="AI21280" s="38"/>
    </row>
    <row r="21281" ht="15.75" customHeight="1">
      <c r="A21281" s="35"/>
      <c r="C21281" s="442"/>
      <c r="P21281" s="235"/>
      <c r="AI21281" s="38"/>
    </row>
    <row r="21282" ht="15.75" customHeight="1">
      <c r="A21282" s="35"/>
      <c r="C21282" s="442"/>
      <c r="P21282" s="235"/>
      <c r="AI21282" s="38"/>
    </row>
    <row r="21283" ht="15.75" customHeight="1">
      <c r="A21283" s="35"/>
      <c r="C21283" s="442"/>
      <c r="P21283" s="235"/>
      <c r="AI21283" s="38"/>
    </row>
    <row r="21284" ht="15.75" customHeight="1">
      <c r="A21284" s="35"/>
      <c r="C21284" s="442"/>
      <c r="P21284" s="235"/>
      <c r="AI21284" s="38"/>
    </row>
    <row r="21285" ht="15.75" customHeight="1">
      <c r="A21285" s="35"/>
      <c r="C21285" s="442"/>
      <c r="P21285" s="235"/>
      <c r="AI21285" s="38"/>
    </row>
    <row r="21286" ht="15.75" customHeight="1">
      <c r="A21286" s="35"/>
      <c r="C21286" s="442"/>
      <c r="P21286" s="235"/>
      <c r="AI21286" s="38"/>
    </row>
    <row r="21287" ht="15.75" customHeight="1">
      <c r="A21287" s="35"/>
      <c r="C21287" s="442"/>
      <c r="P21287" s="235"/>
      <c r="AI21287" s="38"/>
    </row>
    <row r="21288" ht="15.75" customHeight="1">
      <c r="A21288" s="35"/>
      <c r="C21288" s="442"/>
      <c r="P21288" s="235"/>
      <c r="AI21288" s="38"/>
    </row>
    <row r="21289" ht="15.75" customHeight="1">
      <c r="A21289" s="35"/>
      <c r="C21289" s="442"/>
      <c r="P21289" s="235"/>
      <c r="AI21289" s="38"/>
    </row>
    <row r="21290" ht="15.75" customHeight="1">
      <c r="A21290" s="35"/>
      <c r="C21290" s="442"/>
      <c r="P21290" s="235"/>
      <c r="AI21290" s="38"/>
    </row>
    <row r="21291" ht="15.75" customHeight="1">
      <c r="A21291" s="35"/>
      <c r="C21291" s="442"/>
      <c r="P21291" s="235"/>
      <c r="AI21291" s="38"/>
    </row>
    <row r="21292" ht="15.75" customHeight="1">
      <c r="A21292" s="35"/>
      <c r="C21292" s="442"/>
      <c r="P21292" s="235"/>
      <c r="AI21292" s="38"/>
    </row>
    <row r="21293" ht="15.75" customHeight="1">
      <c r="A21293" s="35"/>
      <c r="C21293" s="442"/>
      <c r="P21293" s="235"/>
      <c r="AI21293" s="38"/>
    </row>
    <row r="21294" ht="15.75" customHeight="1">
      <c r="A21294" s="35"/>
      <c r="C21294" s="442"/>
      <c r="P21294" s="235"/>
      <c r="AI21294" s="38"/>
    </row>
    <row r="21295" ht="15.75" customHeight="1">
      <c r="A21295" s="35"/>
      <c r="C21295" s="442"/>
      <c r="P21295" s="235"/>
      <c r="AI21295" s="38"/>
    </row>
    <row r="21296" ht="15.75" customHeight="1">
      <c r="A21296" s="35"/>
      <c r="C21296" s="442"/>
      <c r="P21296" s="235"/>
      <c r="AI21296" s="38"/>
    </row>
    <row r="21297" ht="15.75" customHeight="1">
      <c r="A21297" s="35"/>
      <c r="C21297" s="442"/>
      <c r="P21297" s="235"/>
      <c r="AI21297" s="38"/>
    </row>
    <row r="21298" ht="15.75" customHeight="1">
      <c r="A21298" s="35"/>
      <c r="C21298" s="442"/>
      <c r="P21298" s="235"/>
      <c r="AI21298" s="38"/>
    </row>
    <row r="21299" ht="15.75" customHeight="1">
      <c r="A21299" s="35"/>
      <c r="C21299" s="442"/>
      <c r="P21299" s="235"/>
      <c r="AI21299" s="38"/>
    </row>
    <row r="21300" ht="15.75" customHeight="1">
      <c r="A21300" s="35"/>
      <c r="C21300" s="442"/>
      <c r="P21300" s="235"/>
      <c r="AI21300" s="38"/>
    </row>
    <row r="21301" ht="15.75" customHeight="1">
      <c r="A21301" s="35"/>
      <c r="C21301" s="442"/>
      <c r="P21301" s="235"/>
      <c r="AI21301" s="38"/>
    </row>
    <row r="21302" ht="15.75" customHeight="1">
      <c r="A21302" s="35"/>
      <c r="C21302" s="442"/>
      <c r="P21302" s="235"/>
      <c r="AI21302" s="38"/>
    </row>
    <row r="21303" ht="15.75" customHeight="1">
      <c r="A21303" s="35"/>
      <c r="C21303" s="442"/>
      <c r="P21303" s="235"/>
      <c r="AI21303" s="38"/>
    </row>
    <row r="21304" ht="15.75" customHeight="1">
      <c r="A21304" s="35"/>
      <c r="C21304" s="442"/>
      <c r="P21304" s="235"/>
      <c r="AI21304" s="38"/>
    </row>
    <row r="21305" ht="15.75" customHeight="1">
      <c r="A21305" s="35"/>
      <c r="C21305" s="442"/>
      <c r="P21305" s="235"/>
      <c r="AI21305" s="38"/>
    </row>
    <row r="21306" ht="15.75" customHeight="1">
      <c r="A21306" s="35"/>
      <c r="C21306" s="442"/>
      <c r="P21306" s="235"/>
      <c r="AI21306" s="38"/>
    </row>
    <row r="21307" ht="15.75" customHeight="1">
      <c r="A21307" s="35"/>
      <c r="C21307" s="442"/>
      <c r="P21307" s="235"/>
      <c r="AI21307" s="38"/>
    </row>
    <row r="21308" ht="15.75" customHeight="1">
      <c r="A21308" s="35"/>
      <c r="C21308" s="442"/>
      <c r="P21308" s="235"/>
      <c r="AI21308" s="38"/>
    </row>
    <row r="21309" ht="15.75" customHeight="1">
      <c r="A21309" s="35"/>
      <c r="C21309" s="442"/>
      <c r="P21309" s="235"/>
      <c r="AI21309" s="38"/>
    </row>
    <row r="21310" ht="15.75" customHeight="1">
      <c r="A21310" s="35"/>
      <c r="C21310" s="442"/>
      <c r="P21310" s="235"/>
      <c r="AI21310" s="38"/>
    </row>
    <row r="21311" ht="15.75" customHeight="1">
      <c r="A21311" s="35"/>
      <c r="C21311" s="442"/>
      <c r="P21311" s="235"/>
      <c r="AI21311" s="38"/>
    </row>
    <row r="21312" ht="15.75" customHeight="1">
      <c r="A21312" s="35"/>
      <c r="C21312" s="442"/>
      <c r="P21312" s="235"/>
      <c r="AI21312" s="38"/>
    </row>
    <row r="21313" ht="15.75" customHeight="1">
      <c r="A21313" s="35"/>
      <c r="C21313" s="442"/>
      <c r="P21313" s="235"/>
      <c r="AI21313" s="38"/>
    </row>
    <row r="21314" ht="15.75" customHeight="1">
      <c r="A21314" s="35"/>
      <c r="C21314" s="442"/>
      <c r="P21314" s="235"/>
      <c r="AI21314" s="38"/>
    </row>
    <row r="21315" ht="15.75" customHeight="1">
      <c r="A21315" s="35"/>
      <c r="C21315" s="442"/>
      <c r="P21315" s="235"/>
      <c r="AI21315" s="38"/>
    </row>
    <row r="21316" ht="15.75" customHeight="1">
      <c r="A21316" s="35"/>
      <c r="C21316" s="442"/>
      <c r="P21316" s="235"/>
      <c r="AI21316" s="38"/>
    </row>
    <row r="21317" ht="15.75" customHeight="1">
      <c r="A21317" s="35"/>
      <c r="C21317" s="442"/>
      <c r="P21317" s="235"/>
      <c r="AI21317" s="38"/>
    </row>
    <row r="21318" ht="15.75" customHeight="1">
      <c r="A21318" s="35"/>
      <c r="C21318" s="442"/>
      <c r="P21318" s="235"/>
      <c r="AI21318" s="38"/>
    </row>
    <row r="21319" ht="15.75" customHeight="1">
      <c r="A21319" s="35"/>
      <c r="C21319" s="442"/>
      <c r="P21319" s="235"/>
      <c r="AI21319" s="38"/>
    </row>
    <row r="21320" ht="15.75" customHeight="1">
      <c r="A21320" s="35"/>
      <c r="C21320" s="442"/>
      <c r="P21320" s="235"/>
      <c r="AI21320" s="38"/>
    </row>
    <row r="21321" ht="15.75" customHeight="1">
      <c r="A21321" s="35"/>
      <c r="C21321" s="442"/>
      <c r="P21321" s="235"/>
      <c r="AI21321" s="38"/>
    </row>
    <row r="21322" ht="15.75" customHeight="1">
      <c r="A21322" s="35"/>
      <c r="C21322" s="442"/>
      <c r="P21322" s="235"/>
      <c r="AI21322" s="38"/>
    </row>
    <row r="21323" ht="15.75" customHeight="1">
      <c r="A21323" s="35"/>
      <c r="C21323" s="442"/>
      <c r="P21323" s="235"/>
      <c r="AI21323" s="38"/>
    </row>
    <row r="21324" ht="15.75" customHeight="1">
      <c r="A21324" s="35"/>
      <c r="C21324" s="442"/>
      <c r="P21324" s="235"/>
      <c r="AI21324" s="38"/>
    </row>
    <row r="21325" ht="15.75" customHeight="1">
      <c r="A21325" s="35"/>
      <c r="C21325" s="442"/>
      <c r="P21325" s="235"/>
      <c r="AI21325" s="38"/>
    </row>
    <row r="21326" ht="15.75" customHeight="1">
      <c r="A21326" s="35"/>
      <c r="C21326" s="442"/>
      <c r="P21326" s="235"/>
      <c r="AI21326" s="38"/>
    </row>
    <row r="21327" ht="15.75" customHeight="1">
      <c r="A21327" s="35"/>
      <c r="C21327" s="442"/>
      <c r="P21327" s="235"/>
      <c r="AI21327" s="38"/>
    </row>
    <row r="21328" ht="15.75" customHeight="1">
      <c r="A21328" s="35"/>
      <c r="C21328" s="442"/>
      <c r="P21328" s="235"/>
      <c r="AI21328" s="38"/>
    </row>
    <row r="21329" ht="15.75" customHeight="1">
      <c r="A21329" s="35"/>
      <c r="C21329" s="442"/>
      <c r="P21329" s="235"/>
      <c r="AI21329" s="38"/>
    </row>
    <row r="21330" ht="15.75" customHeight="1">
      <c r="A21330" s="35"/>
      <c r="C21330" s="442"/>
      <c r="P21330" s="235"/>
      <c r="AI21330" s="38"/>
    </row>
    <row r="21331" ht="15.75" customHeight="1">
      <c r="A21331" s="35"/>
      <c r="C21331" s="442"/>
      <c r="P21331" s="235"/>
      <c r="AI21331" s="38"/>
    </row>
    <row r="21332" ht="15.75" customHeight="1">
      <c r="A21332" s="35"/>
      <c r="C21332" s="442"/>
      <c r="P21332" s="235"/>
      <c r="AI21332" s="38"/>
    </row>
    <row r="21333" ht="15.75" customHeight="1">
      <c r="A21333" s="35"/>
      <c r="C21333" s="442"/>
      <c r="P21333" s="235"/>
      <c r="AI21333" s="38"/>
    </row>
    <row r="21334" ht="15.75" customHeight="1">
      <c r="A21334" s="35"/>
      <c r="C21334" s="442"/>
      <c r="P21334" s="235"/>
      <c r="AI21334" s="38"/>
    </row>
    <row r="21335" ht="15.75" customHeight="1">
      <c r="A21335" s="35"/>
      <c r="C21335" s="442"/>
      <c r="P21335" s="235"/>
      <c r="AI21335" s="38"/>
    </row>
    <row r="21336" ht="15.75" customHeight="1">
      <c r="A21336" s="35"/>
      <c r="C21336" s="442"/>
      <c r="P21336" s="235"/>
      <c r="AI21336" s="38"/>
    </row>
    <row r="21337" ht="15.75" customHeight="1">
      <c r="A21337" s="35"/>
      <c r="C21337" s="442"/>
      <c r="P21337" s="235"/>
      <c r="AI21337" s="38"/>
    </row>
    <row r="21338" ht="15.75" customHeight="1">
      <c r="A21338" s="35"/>
      <c r="C21338" s="442"/>
      <c r="P21338" s="235"/>
      <c r="AI21338" s="38"/>
    </row>
    <row r="21339" ht="15.75" customHeight="1">
      <c r="A21339" s="35"/>
      <c r="C21339" s="442"/>
      <c r="P21339" s="235"/>
      <c r="AI21339" s="38"/>
    </row>
    <row r="21340" ht="15.75" customHeight="1">
      <c r="A21340" s="35"/>
      <c r="C21340" s="442"/>
      <c r="P21340" s="235"/>
      <c r="AI21340" s="38"/>
    </row>
    <row r="21341" ht="15.75" customHeight="1">
      <c r="A21341" s="35"/>
      <c r="C21341" s="442"/>
      <c r="P21341" s="235"/>
      <c r="AI21341" s="38"/>
    </row>
    <row r="21342" ht="15.75" customHeight="1">
      <c r="A21342" s="35"/>
      <c r="C21342" s="442"/>
      <c r="P21342" s="235"/>
      <c r="AI21342" s="38"/>
    </row>
    <row r="21343" ht="15.75" customHeight="1">
      <c r="A21343" s="35"/>
      <c r="C21343" s="442"/>
      <c r="P21343" s="235"/>
      <c r="AI21343" s="38"/>
    </row>
    <row r="21344" ht="15.75" customHeight="1">
      <c r="A21344" s="35"/>
      <c r="C21344" s="442"/>
      <c r="P21344" s="235"/>
      <c r="AI21344" s="38"/>
    </row>
    <row r="21345" ht="15.75" customHeight="1">
      <c r="A21345" s="35"/>
      <c r="C21345" s="442"/>
      <c r="P21345" s="235"/>
      <c r="AI21345" s="38"/>
    </row>
    <row r="21346" ht="15.75" customHeight="1">
      <c r="A21346" s="35"/>
      <c r="C21346" s="442"/>
      <c r="P21346" s="235"/>
      <c r="AI21346" s="38"/>
    </row>
    <row r="21347" ht="15.75" customHeight="1">
      <c r="A21347" s="35"/>
      <c r="C21347" s="442"/>
      <c r="P21347" s="235"/>
      <c r="AI21347" s="38"/>
    </row>
    <row r="21348" ht="15.75" customHeight="1">
      <c r="A21348" s="35"/>
      <c r="C21348" s="442"/>
      <c r="P21348" s="235"/>
      <c r="AI21348" s="38"/>
    </row>
    <row r="21349" ht="15.75" customHeight="1">
      <c r="A21349" s="35"/>
      <c r="C21349" s="442"/>
      <c r="P21349" s="235"/>
      <c r="AI21349" s="38"/>
    </row>
    <row r="21350" ht="15.75" customHeight="1">
      <c r="A21350" s="35"/>
      <c r="C21350" s="442"/>
      <c r="P21350" s="235"/>
      <c r="AI21350" s="38"/>
    </row>
    <row r="21351" ht="15.75" customHeight="1">
      <c r="A21351" s="35"/>
      <c r="C21351" s="442"/>
      <c r="P21351" s="235"/>
      <c r="AI21351" s="38"/>
    </row>
    <row r="21352" ht="15.75" customHeight="1">
      <c r="A21352" s="35"/>
      <c r="C21352" s="442"/>
      <c r="P21352" s="235"/>
      <c r="AI21352" s="38"/>
    </row>
    <row r="21353" ht="15.75" customHeight="1">
      <c r="A21353" s="35"/>
      <c r="C21353" s="442"/>
      <c r="P21353" s="235"/>
      <c r="AI21353" s="38"/>
    </row>
    <row r="21354" ht="15.75" customHeight="1">
      <c r="A21354" s="35"/>
      <c r="C21354" s="442"/>
      <c r="P21354" s="235"/>
      <c r="AI21354" s="38"/>
    </row>
    <row r="21355" ht="15.75" customHeight="1">
      <c r="A21355" s="35"/>
      <c r="C21355" s="442"/>
      <c r="P21355" s="235"/>
      <c r="AI21355" s="38"/>
    </row>
    <row r="21356" ht="15.75" customHeight="1">
      <c r="A21356" s="35"/>
      <c r="C21356" s="442"/>
      <c r="P21356" s="235"/>
      <c r="AI21356" s="38"/>
    </row>
    <row r="21357" ht="15.75" customHeight="1">
      <c r="A21357" s="35"/>
      <c r="C21357" s="442"/>
      <c r="P21357" s="235"/>
      <c r="AI21357" s="38"/>
    </row>
    <row r="21358" ht="15.75" customHeight="1">
      <c r="A21358" s="35"/>
      <c r="C21358" s="442"/>
      <c r="P21358" s="235"/>
      <c r="AI21358" s="38"/>
    </row>
    <row r="21359" ht="15.75" customHeight="1">
      <c r="A21359" s="35"/>
      <c r="C21359" s="442"/>
      <c r="P21359" s="235"/>
      <c r="AI21359" s="38"/>
    </row>
    <row r="21360" ht="15.75" customHeight="1">
      <c r="A21360" s="35"/>
      <c r="C21360" s="442"/>
      <c r="P21360" s="235"/>
      <c r="AI21360" s="38"/>
    </row>
    <row r="21361" ht="15.75" customHeight="1">
      <c r="A21361" s="35"/>
      <c r="C21361" s="442"/>
      <c r="P21361" s="235"/>
      <c r="AI21361" s="38"/>
    </row>
    <row r="21362" ht="15.75" customHeight="1">
      <c r="A21362" s="35"/>
      <c r="C21362" s="442"/>
      <c r="P21362" s="235"/>
      <c r="AI21362" s="38"/>
    </row>
    <row r="21363" ht="15.75" customHeight="1">
      <c r="A21363" s="35"/>
      <c r="C21363" s="442"/>
      <c r="P21363" s="235"/>
      <c r="AI21363" s="38"/>
    </row>
    <row r="21364" ht="15.75" customHeight="1">
      <c r="A21364" s="35"/>
      <c r="C21364" s="442"/>
      <c r="P21364" s="235"/>
      <c r="AI21364" s="38"/>
    </row>
    <row r="21365" ht="15.75" customHeight="1">
      <c r="A21365" s="35"/>
      <c r="C21365" s="442"/>
      <c r="P21365" s="235"/>
      <c r="AI21365" s="38"/>
    </row>
    <row r="21366" ht="15.75" customHeight="1">
      <c r="A21366" s="35"/>
      <c r="C21366" s="442"/>
      <c r="P21366" s="235"/>
      <c r="AI21366" s="38"/>
    </row>
    <row r="21367" ht="15.75" customHeight="1">
      <c r="A21367" s="35"/>
      <c r="C21367" s="442"/>
      <c r="P21367" s="235"/>
      <c r="AI21367" s="38"/>
    </row>
    <row r="21368" ht="15.75" customHeight="1">
      <c r="A21368" s="35"/>
      <c r="C21368" s="442"/>
      <c r="P21368" s="235"/>
      <c r="AI21368" s="38"/>
    </row>
    <row r="21369" ht="15.75" customHeight="1">
      <c r="A21369" s="35"/>
      <c r="C21369" s="442"/>
      <c r="P21369" s="235"/>
      <c r="AI21369" s="38"/>
    </row>
    <row r="21370" ht="15.75" customHeight="1">
      <c r="A21370" s="35"/>
      <c r="C21370" s="442"/>
      <c r="P21370" s="235"/>
      <c r="AI21370" s="38"/>
    </row>
    <row r="21371" ht="15.75" customHeight="1">
      <c r="A21371" s="35"/>
      <c r="C21371" s="442"/>
      <c r="P21371" s="235"/>
      <c r="AI21371" s="38"/>
    </row>
    <row r="21372" ht="15.75" customHeight="1">
      <c r="A21372" s="35"/>
      <c r="C21372" s="442"/>
      <c r="P21372" s="235"/>
      <c r="AI21372" s="38"/>
    </row>
    <row r="21373" ht="15.75" customHeight="1">
      <c r="A21373" s="35"/>
      <c r="C21373" s="442"/>
      <c r="P21373" s="235"/>
      <c r="AI21373" s="38"/>
    </row>
    <row r="21374" ht="15.75" customHeight="1">
      <c r="A21374" s="35"/>
      <c r="C21374" s="442"/>
      <c r="P21374" s="235"/>
      <c r="AI21374" s="38"/>
    </row>
    <row r="21375" ht="15.75" customHeight="1">
      <c r="A21375" s="35"/>
      <c r="C21375" s="442"/>
      <c r="P21375" s="235"/>
      <c r="AI21375" s="38"/>
    </row>
    <row r="21376" ht="15.75" customHeight="1">
      <c r="A21376" s="35"/>
      <c r="C21376" s="442"/>
      <c r="P21376" s="235"/>
      <c r="AI21376" s="38"/>
    </row>
    <row r="21377" ht="15.75" customHeight="1">
      <c r="A21377" s="35"/>
      <c r="C21377" s="442"/>
      <c r="P21377" s="235"/>
      <c r="AI21377" s="38"/>
    </row>
    <row r="21378" ht="15.75" customHeight="1">
      <c r="A21378" s="35"/>
      <c r="C21378" s="442"/>
      <c r="P21378" s="235"/>
      <c r="AI21378" s="38"/>
    </row>
    <row r="21379" ht="15.75" customHeight="1">
      <c r="A21379" s="35"/>
      <c r="C21379" s="442"/>
      <c r="P21379" s="235"/>
      <c r="AI21379" s="38"/>
    </row>
    <row r="21380" ht="15.75" customHeight="1">
      <c r="A21380" s="35"/>
      <c r="C21380" s="442"/>
      <c r="P21380" s="235"/>
      <c r="AI21380" s="38"/>
    </row>
    <row r="21381" ht="15.75" customHeight="1">
      <c r="A21381" s="35"/>
      <c r="C21381" s="442"/>
      <c r="P21381" s="235"/>
      <c r="AI21381" s="38"/>
    </row>
    <row r="21382" ht="15.75" customHeight="1">
      <c r="A21382" s="35"/>
      <c r="C21382" s="442"/>
      <c r="P21382" s="235"/>
      <c r="AI21382" s="38"/>
    </row>
    <row r="21383" ht="15.75" customHeight="1">
      <c r="A21383" s="35"/>
      <c r="C21383" s="442"/>
      <c r="P21383" s="235"/>
      <c r="AI21383" s="38"/>
    </row>
    <row r="21384" ht="15.75" customHeight="1">
      <c r="A21384" s="35"/>
      <c r="C21384" s="442"/>
      <c r="P21384" s="235"/>
      <c r="AI21384" s="38"/>
    </row>
    <row r="21385" ht="15.75" customHeight="1">
      <c r="A21385" s="35"/>
      <c r="C21385" s="442"/>
      <c r="P21385" s="235"/>
      <c r="AI21385" s="38"/>
    </row>
    <row r="21386" ht="15.75" customHeight="1">
      <c r="A21386" s="35"/>
      <c r="C21386" s="442"/>
      <c r="P21386" s="235"/>
      <c r="AI21386" s="38"/>
    </row>
    <row r="21387" ht="15.75" customHeight="1">
      <c r="A21387" s="35"/>
      <c r="C21387" s="442"/>
      <c r="P21387" s="235"/>
      <c r="AI21387" s="38"/>
    </row>
    <row r="21388" ht="15.75" customHeight="1">
      <c r="A21388" s="35"/>
      <c r="C21388" s="442"/>
      <c r="P21388" s="235"/>
      <c r="AI21388" s="38"/>
    </row>
    <row r="21389" ht="15.75" customHeight="1">
      <c r="A21389" s="35"/>
      <c r="C21389" s="442"/>
      <c r="P21389" s="235"/>
      <c r="AI21389" s="38"/>
    </row>
    <row r="21390" ht="15.75" customHeight="1">
      <c r="A21390" s="35"/>
      <c r="C21390" s="442"/>
      <c r="P21390" s="235"/>
      <c r="AI21390" s="38"/>
    </row>
    <row r="21391" ht="15.75" customHeight="1">
      <c r="A21391" s="35"/>
      <c r="C21391" s="442"/>
      <c r="P21391" s="235"/>
      <c r="AI21391" s="38"/>
    </row>
    <row r="21392" ht="15.75" customHeight="1">
      <c r="A21392" s="35"/>
      <c r="C21392" s="442"/>
      <c r="P21392" s="235"/>
      <c r="AI21392" s="38"/>
    </row>
    <row r="21393" ht="15.75" customHeight="1">
      <c r="A21393" s="35"/>
      <c r="C21393" s="442"/>
      <c r="P21393" s="235"/>
      <c r="AI21393" s="38"/>
    </row>
    <row r="21394" ht="15.75" customHeight="1">
      <c r="A21394" s="35"/>
      <c r="C21394" s="442"/>
      <c r="P21394" s="235"/>
      <c r="AI21394" s="38"/>
    </row>
    <row r="21395" ht="15.75" customHeight="1">
      <c r="A21395" s="35"/>
      <c r="C21395" s="442"/>
      <c r="P21395" s="235"/>
      <c r="AI21395" s="38"/>
    </row>
    <row r="21396" ht="15.75" customHeight="1">
      <c r="A21396" s="35"/>
      <c r="C21396" s="442"/>
      <c r="P21396" s="235"/>
      <c r="AI21396" s="38"/>
    </row>
    <row r="21397" ht="15.75" customHeight="1">
      <c r="A21397" s="35"/>
      <c r="C21397" s="442"/>
      <c r="P21397" s="235"/>
      <c r="AI21397" s="38"/>
    </row>
    <row r="21398" ht="15.75" customHeight="1">
      <c r="A21398" s="35"/>
      <c r="C21398" s="442"/>
      <c r="P21398" s="235"/>
      <c r="AI21398" s="38"/>
    </row>
    <row r="21399" ht="15.75" customHeight="1">
      <c r="A21399" s="35"/>
      <c r="C21399" s="442"/>
      <c r="P21399" s="235"/>
      <c r="AI21399" s="38"/>
    </row>
    <row r="21400" ht="15.75" customHeight="1">
      <c r="A21400" s="35"/>
      <c r="C21400" s="442"/>
      <c r="P21400" s="235"/>
      <c r="AI21400" s="38"/>
    </row>
    <row r="21401" ht="15.75" customHeight="1">
      <c r="A21401" s="35"/>
      <c r="C21401" s="442"/>
      <c r="P21401" s="235"/>
      <c r="AI21401" s="38"/>
    </row>
    <row r="21402" ht="15.75" customHeight="1">
      <c r="A21402" s="35"/>
      <c r="C21402" s="442"/>
      <c r="P21402" s="235"/>
      <c r="AI21402" s="38"/>
    </row>
    <row r="21403" ht="15.75" customHeight="1">
      <c r="A21403" s="35"/>
      <c r="C21403" s="442"/>
      <c r="P21403" s="235"/>
      <c r="AI21403" s="38"/>
    </row>
    <row r="21404" ht="15.75" customHeight="1">
      <c r="A21404" s="35"/>
      <c r="C21404" s="442"/>
      <c r="P21404" s="235"/>
      <c r="AI21404" s="38"/>
    </row>
    <row r="21405" ht="15.75" customHeight="1">
      <c r="A21405" s="35"/>
      <c r="C21405" s="442"/>
      <c r="P21405" s="235"/>
      <c r="AI21405" s="38"/>
    </row>
    <row r="21406" ht="15.75" customHeight="1">
      <c r="A21406" s="35"/>
      <c r="C21406" s="442"/>
      <c r="P21406" s="235"/>
      <c r="AI21406" s="38"/>
    </row>
    <row r="21407" ht="15.75" customHeight="1">
      <c r="A21407" s="35"/>
      <c r="C21407" s="442"/>
      <c r="P21407" s="235"/>
      <c r="AI21407" s="38"/>
    </row>
    <row r="21408" ht="15.75" customHeight="1">
      <c r="A21408" s="35"/>
      <c r="C21408" s="442"/>
      <c r="P21408" s="235"/>
      <c r="AI21408" s="38"/>
    </row>
    <row r="21409" ht="15.75" customHeight="1">
      <c r="A21409" s="35"/>
      <c r="C21409" s="442"/>
      <c r="P21409" s="235"/>
      <c r="AI21409" s="38"/>
    </row>
    <row r="21410" ht="15.75" customHeight="1">
      <c r="A21410" s="35"/>
      <c r="C21410" s="442"/>
      <c r="P21410" s="235"/>
      <c r="AI21410" s="38"/>
    </row>
    <row r="21411" ht="15.75" customHeight="1">
      <c r="A21411" s="35"/>
      <c r="C21411" s="442"/>
      <c r="P21411" s="235"/>
      <c r="AI21411" s="38"/>
    </row>
    <row r="21412" ht="15.75" customHeight="1">
      <c r="A21412" s="35"/>
      <c r="C21412" s="442"/>
      <c r="P21412" s="235"/>
      <c r="AI21412" s="38"/>
    </row>
    <row r="21413" ht="15.75" customHeight="1">
      <c r="A21413" s="35"/>
      <c r="C21413" s="442"/>
      <c r="P21413" s="235"/>
      <c r="AI21413" s="38"/>
    </row>
    <row r="21414" ht="15.75" customHeight="1">
      <c r="A21414" s="35"/>
      <c r="C21414" s="442"/>
      <c r="P21414" s="235"/>
      <c r="AI21414" s="38"/>
    </row>
    <row r="21415" ht="15.75" customHeight="1">
      <c r="A21415" s="35"/>
      <c r="C21415" s="442"/>
      <c r="P21415" s="235"/>
      <c r="AI21415" s="38"/>
    </row>
    <row r="21416" ht="15.75" customHeight="1">
      <c r="A21416" s="35"/>
      <c r="C21416" s="442"/>
      <c r="P21416" s="235"/>
      <c r="AI21416" s="38"/>
    </row>
    <row r="21417" ht="15.75" customHeight="1">
      <c r="A21417" s="35"/>
      <c r="C21417" s="442"/>
      <c r="P21417" s="235"/>
      <c r="AI21417" s="38"/>
    </row>
    <row r="21418" ht="15.75" customHeight="1">
      <c r="A21418" s="35"/>
      <c r="C21418" s="442"/>
      <c r="P21418" s="235"/>
      <c r="AI21418" s="38"/>
    </row>
    <row r="21419" ht="15.75" customHeight="1">
      <c r="A21419" s="35"/>
      <c r="C21419" s="442"/>
      <c r="P21419" s="235"/>
      <c r="AI21419" s="38"/>
    </row>
    <row r="21420" ht="15.75" customHeight="1">
      <c r="A21420" s="35"/>
      <c r="C21420" s="442"/>
      <c r="P21420" s="235"/>
      <c r="AI21420" s="38"/>
    </row>
    <row r="21421" ht="15.75" customHeight="1">
      <c r="A21421" s="35"/>
      <c r="C21421" s="442"/>
      <c r="P21421" s="235"/>
      <c r="AI21421" s="38"/>
    </row>
    <row r="21422" ht="15.75" customHeight="1">
      <c r="A21422" s="35"/>
      <c r="C21422" s="442"/>
      <c r="P21422" s="235"/>
      <c r="AI21422" s="38"/>
    </row>
    <row r="21423" ht="15.75" customHeight="1">
      <c r="A21423" s="35"/>
      <c r="C21423" s="442"/>
      <c r="P21423" s="235"/>
      <c r="AI21423" s="38"/>
    </row>
    <row r="21424" ht="15.75" customHeight="1">
      <c r="A21424" s="35"/>
      <c r="C21424" s="442"/>
      <c r="P21424" s="235"/>
      <c r="AI21424" s="38"/>
    </row>
    <row r="21425" ht="15.75" customHeight="1">
      <c r="A21425" s="35"/>
      <c r="C21425" s="442"/>
      <c r="P21425" s="235"/>
      <c r="AI21425" s="38"/>
    </row>
    <row r="21426" ht="15.75" customHeight="1">
      <c r="A21426" s="35"/>
      <c r="C21426" s="442"/>
      <c r="P21426" s="235"/>
      <c r="AI21426" s="38"/>
    </row>
    <row r="21427" ht="15.75" customHeight="1">
      <c r="A21427" s="35"/>
      <c r="C21427" s="442"/>
      <c r="P21427" s="235"/>
      <c r="AI21427" s="38"/>
    </row>
    <row r="21428" ht="15.75" customHeight="1">
      <c r="A21428" s="35"/>
      <c r="C21428" s="442"/>
      <c r="P21428" s="235"/>
      <c r="AI21428" s="38"/>
    </row>
    <row r="21429" ht="15.75" customHeight="1">
      <c r="A21429" s="35"/>
      <c r="C21429" s="442"/>
      <c r="P21429" s="235"/>
      <c r="AI21429" s="38"/>
    </row>
    <row r="21430" ht="15.75" customHeight="1">
      <c r="A21430" s="35"/>
      <c r="C21430" s="442"/>
      <c r="P21430" s="235"/>
      <c r="AI21430" s="38"/>
    </row>
    <row r="21431" ht="15.75" customHeight="1">
      <c r="A21431" s="35"/>
      <c r="C21431" s="442"/>
      <c r="P21431" s="235"/>
      <c r="AI21431" s="38"/>
    </row>
    <row r="21432" ht="15.75" customHeight="1">
      <c r="A21432" s="35"/>
      <c r="C21432" s="442"/>
      <c r="P21432" s="235"/>
      <c r="AI21432" s="38"/>
    </row>
    <row r="21433" ht="15.75" customHeight="1">
      <c r="A21433" s="35"/>
      <c r="C21433" s="442"/>
      <c r="P21433" s="235"/>
      <c r="AI21433" s="38"/>
    </row>
    <row r="21434" ht="15.75" customHeight="1">
      <c r="A21434" s="35"/>
      <c r="C21434" s="442"/>
      <c r="P21434" s="235"/>
      <c r="AI21434" s="38"/>
    </row>
    <row r="21435" ht="15.75" customHeight="1">
      <c r="A21435" s="35"/>
      <c r="C21435" s="442"/>
      <c r="P21435" s="235"/>
      <c r="AI21435" s="38"/>
    </row>
    <row r="21436" ht="15.75" customHeight="1">
      <c r="A21436" s="35"/>
      <c r="C21436" s="442"/>
      <c r="P21436" s="235"/>
      <c r="AI21436" s="38"/>
    </row>
    <row r="21437" ht="15.75" customHeight="1">
      <c r="A21437" s="35"/>
      <c r="C21437" s="442"/>
      <c r="P21437" s="235"/>
      <c r="AI21437" s="38"/>
    </row>
    <row r="21438" ht="15.75" customHeight="1">
      <c r="A21438" s="35"/>
      <c r="C21438" s="442"/>
      <c r="P21438" s="235"/>
      <c r="AI21438" s="38"/>
    </row>
    <row r="21439" ht="15.75" customHeight="1">
      <c r="A21439" s="35"/>
      <c r="C21439" s="442"/>
      <c r="P21439" s="235"/>
      <c r="AI21439" s="38"/>
    </row>
    <row r="21440" ht="15.75" customHeight="1">
      <c r="A21440" s="35"/>
      <c r="C21440" s="442"/>
      <c r="P21440" s="235"/>
      <c r="AI21440" s="38"/>
    </row>
    <row r="21441" ht="15.75" customHeight="1">
      <c r="A21441" s="35"/>
      <c r="C21441" s="442"/>
      <c r="P21441" s="235"/>
      <c r="AI21441" s="38"/>
    </row>
    <row r="21442" ht="15.75" customHeight="1">
      <c r="A21442" s="35"/>
      <c r="C21442" s="442"/>
      <c r="P21442" s="235"/>
      <c r="AI21442" s="38"/>
    </row>
    <row r="21443" ht="15.75" customHeight="1">
      <c r="A21443" s="35"/>
      <c r="C21443" s="442"/>
      <c r="P21443" s="235"/>
      <c r="AI21443" s="38"/>
    </row>
    <row r="21444" ht="15.75" customHeight="1">
      <c r="A21444" s="35"/>
      <c r="C21444" s="442"/>
      <c r="P21444" s="235"/>
      <c r="AI21444" s="38"/>
    </row>
    <row r="21445" ht="15.75" customHeight="1">
      <c r="A21445" s="35"/>
      <c r="C21445" s="442"/>
      <c r="P21445" s="235"/>
      <c r="AI21445" s="38"/>
    </row>
    <row r="21446" ht="15.75" customHeight="1">
      <c r="A21446" s="35"/>
      <c r="C21446" s="442"/>
      <c r="P21446" s="235"/>
      <c r="AI21446" s="38"/>
    </row>
    <row r="21447" ht="15.75" customHeight="1">
      <c r="A21447" s="35"/>
      <c r="C21447" s="442"/>
      <c r="P21447" s="235"/>
      <c r="AI21447" s="38"/>
    </row>
    <row r="21448" ht="15.75" customHeight="1">
      <c r="A21448" s="35"/>
      <c r="C21448" s="442"/>
      <c r="P21448" s="235"/>
      <c r="AI21448" s="38"/>
    </row>
    <row r="21449" ht="15.75" customHeight="1">
      <c r="A21449" s="35"/>
      <c r="C21449" s="442"/>
      <c r="P21449" s="235"/>
      <c r="AI21449" s="38"/>
    </row>
    <row r="21450" ht="15.75" customHeight="1">
      <c r="A21450" s="35"/>
      <c r="C21450" s="442"/>
      <c r="P21450" s="235"/>
      <c r="AI21450" s="38"/>
    </row>
    <row r="21451" ht="15.75" customHeight="1">
      <c r="A21451" s="35"/>
      <c r="C21451" s="442"/>
      <c r="P21451" s="235"/>
      <c r="AI21451" s="38"/>
    </row>
    <row r="21452" ht="15.75" customHeight="1">
      <c r="A21452" s="35"/>
      <c r="C21452" s="442"/>
      <c r="P21452" s="235"/>
      <c r="AI21452" s="38"/>
    </row>
    <row r="21453" ht="15.75" customHeight="1">
      <c r="A21453" s="35"/>
      <c r="C21453" s="442"/>
      <c r="P21453" s="235"/>
      <c r="AI21453" s="38"/>
    </row>
    <row r="21454" ht="15.75" customHeight="1">
      <c r="A21454" s="35"/>
      <c r="C21454" s="442"/>
      <c r="P21454" s="235"/>
      <c r="AI21454" s="38"/>
    </row>
    <row r="21455" ht="15.75" customHeight="1">
      <c r="A21455" s="35"/>
      <c r="C21455" s="442"/>
      <c r="P21455" s="235"/>
      <c r="AI21455" s="38"/>
    </row>
    <row r="21456" ht="15.75" customHeight="1">
      <c r="A21456" s="35"/>
      <c r="C21456" s="442"/>
      <c r="P21456" s="235"/>
      <c r="AI21456" s="38"/>
    </row>
    <row r="21457" ht="15.75" customHeight="1">
      <c r="A21457" s="35"/>
      <c r="C21457" s="442"/>
      <c r="P21457" s="235"/>
      <c r="AI21457" s="38"/>
    </row>
    <row r="21458" ht="15.75" customHeight="1">
      <c r="A21458" s="35"/>
      <c r="C21458" s="442"/>
      <c r="P21458" s="235"/>
      <c r="AI21458" s="38"/>
    </row>
    <row r="21459" ht="15.75" customHeight="1">
      <c r="A21459" s="35"/>
      <c r="C21459" s="442"/>
      <c r="P21459" s="235"/>
      <c r="AI21459" s="38"/>
    </row>
    <row r="21460" ht="15.75" customHeight="1">
      <c r="A21460" s="35"/>
      <c r="C21460" s="442"/>
      <c r="P21460" s="235"/>
      <c r="AI21460" s="38"/>
    </row>
    <row r="21461" ht="15.75" customHeight="1">
      <c r="A21461" s="35"/>
      <c r="C21461" s="442"/>
      <c r="P21461" s="235"/>
      <c r="AI21461" s="38"/>
    </row>
    <row r="21462" ht="15.75" customHeight="1">
      <c r="A21462" s="35"/>
      <c r="C21462" s="442"/>
      <c r="P21462" s="235"/>
      <c r="AI21462" s="38"/>
    </row>
    <row r="21463" ht="15.75" customHeight="1">
      <c r="A21463" s="35"/>
      <c r="C21463" s="442"/>
      <c r="P21463" s="235"/>
      <c r="AI21463" s="38"/>
    </row>
    <row r="21464" ht="15.75" customHeight="1">
      <c r="A21464" s="35"/>
      <c r="C21464" s="442"/>
      <c r="P21464" s="235"/>
      <c r="AI21464" s="38"/>
    </row>
    <row r="21465" ht="15.75" customHeight="1">
      <c r="A21465" s="35"/>
      <c r="C21465" s="442"/>
      <c r="P21465" s="235"/>
      <c r="AI21465" s="38"/>
    </row>
    <row r="21466" ht="15.75" customHeight="1">
      <c r="A21466" s="35"/>
      <c r="C21466" s="442"/>
      <c r="P21466" s="235"/>
      <c r="AI21466" s="38"/>
    </row>
    <row r="21467" ht="15.75" customHeight="1">
      <c r="A21467" s="35"/>
      <c r="C21467" s="442"/>
      <c r="P21467" s="235"/>
      <c r="AI21467" s="38"/>
    </row>
    <row r="21468" ht="15.75" customHeight="1">
      <c r="A21468" s="35"/>
      <c r="C21468" s="442"/>
      <c r="P21468" s="235"/>
      <c r="AI21468" s="38"/>
    </row>
    <row r="21469" ht="15.75" customHeight="1">
      <c r="A21469" s="35"/>
      <c r="C21469" s="442"/>
      <c r="P21469" s="235"/>
      <c r="AI21469" s="38"/>
    </row>
    <row r="21470" ht="15.75" customHeight="1">
      <c r="A21470" s="35"/>
      <c r="C21470" s="442"/>
      <c r="P21470" s="235"/>
      <c r="AI21470" s="38"/>
    </row>
    <row r="21471" ht="15.75" customHeight="1">
      <c r="A21471" s="35"/>
      <c r="C21471" s="442"/>
      <c r="P21471" s="235"/>
      <c r="AI21471" s="38"/>
    </row>
    <row r="21472" ht="15.75" customHeight="1">
      <c r="A21472" s="35"/>
      <c r="C21472" s="442"/>
      <c r="P21472" s="235"/>
      <c r="AI21472" s="38"/>
    </row>
    <row r="21473" ht="15.75" customHeight="1">
      <c r="A21473" s="35"/>
      <c r="C21473" s="442"/>
      <c r="P21473" s="235"/>
      <c r="AI21473" s="38"/>
    </row>
    <row r="21474" ht="15.75" customHeight="1">
      <c r="A21474" s="35"/>
      <c r="C21474" s="442"/>
      <c r="P21474" s="235"/>
      <c r="AI21474" s="38"/>
    </row>
    <row r="21475" ht="15.75" customHeight="1">
      <c r="A21475" s="35"/>
      <c r="C21475" s="442"/>
      <c r="P21475" s="235"/>
      <c r="AI21475" s="38"/>
    </row>
    <row r="21476" ht="15.75" customHeight="1">
      <c r="A21476" s="35"/>
      <c r="C21476" s="442"/>
      <c r="P21476" s="235"/>
      <c r="AI21476" s="38"/>
    </row>
    <row r="21477" ht="15.75" customHeight="1">
      <c r="A21477" s="35"/>
      <c r="C21477" s="442"/>
      <c r="P21477" s="235"/>
      <c r="AI21477" s="38"/>
    </row>
    <row r="21478" ht="15.75" customHeight="1">
      <c r="A21478" s="35"/>
      <c r="C21478" s="442"/>
      <c r="P21478" s="235"/>
      <c r="AI21478" s="38"/>
    </row>
    <row r="21479" ht="15.75" customHeight="1">
      <c r="A21479" s="35"/>
      <c r="C21479" s="442"/>
      <c r="P21479" s="235"/>
      <c r="AI21479" s="38"/>
    </row>
    <row r="21480" ht="15.75" customHeight="1">
      <c r="A21480" s="35"/>
      <c r="C21480" s="442"/>
      <c r="P21480" s="235"/>
      <c r="AI21480" s="38"/>
    </row>
    <row r="21481" ht="15.75" customHeight="1">
      <c r="A21481" s="35"/>
      <c r="C21481" s="442"/>
      <c r="P21481" s="235"/>
      <c r="AI21481" s="38"/>
    </row>
    <row r="21482" ht="15.75" customHeight="1">
      <c r="A21482" s="35"/>
      <c r="C21482" s="442"/>
      <c r="P21482" s="235"/>
      <c r="AI21482" s="38"/>
    </row>
    <row r="21483" ht="15.75" customHeight="1">
      <c r="A21483" s="35"/>
      <c r="C21483" s="442"/>
      <c r="P21483" s="235"/>
      <c r="AI21483" s="38"/>
    </row>
    <row r="21484" ht="15.75" customHeight="1">
      <c r="A21484" s="35"/>
      <c r="C21484" s="442"/>
      <c r="P21484" s="235"/>
      <c r="AI21484" s="38"/>
    </row>
    <row r="21485" ht="15.75" customHeight="1">
      <c r="A21485" s="35"/>
      <c r="C21485" s="442"/>
      <c r="P21485" s="235"/>
      <c r="AI21485" s="38"/>
    </row>
    <row r="21486" ht="15.75" customHeight="1">
      <c r="A21486" s="35"/>
      <c r="C21486" s="442"/>
      <c r="P21486" s="235"/>
      <c r="AI21486" s="38"/>
    </row>
    <row r="21487" ht="15.75" customHeight="1">
      <c r="A21487" s="35"/>
      <c r="C21487" s="442"/>
      <c r="P21487" s="235"/>
      <c r="AI21487" s="38"/>
    </row>
    <row r="21488" ht="15.75" customHeight="1">
      <c r="A21488" s="35"/>
      <c r="C21488" s="442"/>
      <c r="P21488" s="235"/>
      <c r="AI21488" s="38"/>
    </row>
    <row r="21489" ht="15.75" customHeight="1">
      <c r="A21489" s="35"/>
      <c r="C21489" s="442"/>
      <c r="P21489" s="235"/>
      <c r="AI21489" s="38"/>
    </row>
    <row r="21490" ht="15.75" customHeight="1">
      <c r="A21490" s="35"/>
      <c r="C21490" s="442"/>
      <c r="P21490" s="235"/>
      <c r="AI21490" s="38"/>
    </row>
    <row r="21491" ht="15.75" customHeight="1">
      <c r="A21491" s="35"/>
      <c r="C21491" s="442"/>
      <c r="P21491" s="235"/>
      <c r="AI21491" s="38"/>
    </row>
    <row r="21492" ht="15.75" customHeight="1">
      <c r="A21492" s="35"/>
      <c r="C21492" s="442"/>
      <c r="P21492" s="235"/>
      <c r="AI21492" s="38"/>
    </row>
    <row r="21493" ht="15.75" customHeight="1">
      <c r="A21493" s="35"/>
      <c r="C21493" s="442"/>
      <c r="P21493" s="235"/>
      <c r="AI21493" s="38"/>
    </row>
    <row r="21494" ht="15.75" customHeight="1">
      <c r="A21494" s="35"/>
      <c r="C21494" s="442"/>
      <c r="P21494" s="235"/>
      <c r="AI21494" s="38"/>
    </row>
    <row r="21495" ht="15.75" customHeight="1">
      <c r="A21495" s="35"/>
      <c r="C21495" s="442"/>
      <c r="P21495" s="235"/>
      <c r="AI21495" s="38"/>
    </row>
    <row r="21496" ht="15.75" customHeight="1">
      <c r="A21496" s="35"/>
      <c r="C21496" s="442"/>
      <c r="P21496" s="235"/>
      <c r="AI21496" s="38"/>
    </row>
    <row r="21497" ht="15.75" customHeight="1">
      <c r="A21497" s="35"/>
      <c r="C21497" s="442"/>
      <c r="P21497" s="235"/>
      <c r="AI21497" s="38"/>
    </row>
    <row r="21498" ht="15.75" customHeight="1">
      <c r="A21498" s="35"/>
      <c r="C21498" s="442"/>
      <c r="P21498" s="235"/>
      <c r="AI21498" s="38"/>
    </row>
    <row r="21499" ht="15.75" customHeight="1">
      <c r="A21499" s="35"/>
      <c r="C21499" s="442"/>
      <c r="P21499" s="235"/>
      <c r="AI21499" s="38"/>
    </row>
    <row r="21500" ht="15.75" customHeight="1">
      <c r="A21500" s="35"/>
      <c r="C21500" s="442"/>
      <c r="P21500" s="235"/>
      <c r="AI21500" s="38"/>
    </row>
    <row r="21501" ht="15.75" customHeight="1">
      <c r="A21501" s="35"/>
      <c r="C21501" s="442"/>
      <c r="P21501" s="235"/>
      <c r="AI21501" s="38"/>
    </row>
    <row r="21502" ht="15.75" customHeight="1">
      <c r="A21502" s="35"/>
      <c r="C21502" s="442"/>
      <c r="P21502" s="235"/>
      <c r="AI21502" s="38"/>
    </row>
    <row r="21503" ht="15.75" customHeight="1">
      <c r="A21503" s="35"/>
      <c r="C21503" s="442"/>
      <c r="P21503" s="235"/>
      <c r="AI21503" s="38"/>
    </row>
    <row r="21504" ht="15.75" customHeight="1">
      <c r="A21504" s="35"/>
      <c r="C21504" s="442"/>
      <c r="P21504" s="235"/>
      <c r="AI21504" s="38"/>
    </row>
    <row r="21505" ht="15.75" customHeight="1">
      <c r="A21505" s="35"/>
      <c r="C21505" s="442"/>
      <c r="P21505" s="235"/>
      <c r="AI21505" s="38"/>
    </row>
    <row r="21506" ht="15.75" customHeight="1">
      <c r="A21506" s="35"/>
      <c r="C21506" s="442"/>
      <c r="P21506" s="235"/>
      <c r="AI21506" s="38"/>
    </row>
    <row r="21507" ht="15.75" customHeight="1">
      <c r="A21507" s="35"/>
      <c r="C21507" s="442"/>
      <c r="P21507" s="235"/>
      <c r="AI21507" s="38"/>
    </row>
    <row r="21508" ht="15.75" customHeight="1">
      <c r="A21508" s="35"/>
      <c r="C21508" s="442"/>
      <c r="P21508" s="235"/>
      <c r="AI21508" s="38"/>
    </row>
    <row r="21509" ht="15.75" customHeight="1">
      <c r="A21509" s="35"/>
      <c r="C21509" s="442"/>
      <c r="P21509" s="235"/>
      <c r="AI21509" s="38"/>
    </row>
    <row r="21510" ht="15.75" customHeight="1">
      <c r="A21510" s="35"/>
      <c r="C21510" s="442"/>
      <c r="P21510" s="235"/>
      <c r="AI21510" s="38"/>
    </row>
    <row r="21511" ht="15.75" customHeight="1">
      <c r="A21511" s="35"/>
      <c r="C21511" s="442"/>
      <c r="P21511" s="235"/>
      <c r="AI21511" s="38"/>
    </row>
    <row r="21512" ht="15.75" customHeight="1">
      <c r="A21512" s="35"/>
      <c r="C21512" s="442"/>
      <c r="P21512" s="235"/>
      <c r="AI21512" s="38"/>
    </row>
    <row r="21513" ht="15.75" customHeight="1">
      <c r="A21513" s="35"/>
      <c r="C21513" s="442"/>
      <c r="P21513" s="235"/>
      <c r="AI21513" s="38"/>
    </row>
    <row r="21514" ht="15.75" customHeight="1">
      <c r="A21514" s="35"/>
      <c r="C21514" s="442"/>
      <c r="P21514" s="235"/>
      <c r="AI21514" s="38"/>
    </row>
    <row r="21515" ht="15.75" customHeight="1">
      <c r="A21515" s="35"/>
      <c r="C21515" s="442"/>
      <c r="P21515" s="235"/>
      <c r="AI21515" s="38"/>
    </row>
    <row r="21516" ht="15.75" customHeight="1">
      <c r="A21516" s="35"/>
      <c r="C21516" s="442"/>
      <c r="P21516" s="235"/>
      <c r="AI21516" s="38"/>
    </row>
    <row r="21517" ht="15.75" customHeight="1">
      <c r="A21517" s="35"/>
      <c r="C21517" s="442"/>
      <c r="P21517" s="235"/>
      <c r="AI21517" s="38"/>
    </row>
    <row r="21518" ht="15.75" customHeight="1">
      <c r="A21518" s="35"/>
      <c r="C21518" s="442"/>
      <c r="P21518" s="235"/>
      <c r="AI21518" s="38"/>
    </row>
    <row r="21519" ht="15.75" customHeight="1">
      <c r="A21519" s="35"/>
      <c r="C21519" s="442"/>
      <c r="P21519" s="235"/>
      <c r="AI21519" s="38"/>
    </row>
    <row r="21520" ht="15.75" customHeight="1">
      <c r="A21520" s="35"/>
      <c r="C21520" s="442"/>
      <c r="P21520" s="235"/>
      <c r="AI21520" s="38"/>
    </row>
    <row r="21521" ht="15.75" customHeight="1">
      <c r="A21521" s="35"/>
      <c r="C21521" s="442"/>
      <c r="P21521" s="235"/>
      <c r="AI21521" s="38"/>
    </row>
    <row r="21522" ht="15.75" customHeight="1">
      <c r="A21522" s="35"/>
      <c r="C21522" s="442"/>
      <c r="P21522" s="235"/>
      <c r="AI21522" s="38"/>
    </row>
    <row r="21523" ht="15.75" customHeight="1">
      <c r="A21523" s="35"/>
      <c r="C21523" s="442"/>
      <c r="P21523" s="235"/>
      <c r="AI21523" s="38"/>
    </row>
    <row r="21524" ht="15.75" customHeight="1">
      <c r="A21524" s="35"/>
      <c r="C21524" s="442"/>
      <c r="P21524" s="235"/>
      <c r="AI21524" s="38"/>
    </row>
    <row r="21525" ht="15.75" customHeight="1">
      <c r="A21525" s="35"/>
      <c r="C21525" s="442"/>
      <c r="P21525" s="235"/>
      <c r="AI21525" s="38"/>
    </row>
    <row r="21526" ht="15.75" customHeight="1">
      <c r="A21526" s="35"/>
      <c r="C21526" s="442"/>
      <c r="P21526" s="235"/>
      <c r="AI21526" s="38"/>
    </row>
    <row r="21527" ht="15.75" customHeight="1">
      <c r="A21527" s="35"/>
      <c r="C21527" s="442"/>
      <c r="P21527" s="235"/>
      <c r="AI21527" s="38"/>
    </row>
    <row r="21528" ht="15.75" customHeight="1">
      <c r="A21528" s="35"/>
      <c r="C21528" s="442"/>
      <c r="P21528" s="235"/>
      <c r="AI21528" s="38"/>
    </row>
    <row r="21529" ht="15.75" customHeight="1">
      <c r="A21529" s="35"/>
      <c r="C21529" s="442"/>
      <c r="P21529" s="235"/>
      <c r="AI21529" s="38"/>
    </row>
    <row r="21530" ht="15.75" customHeight="1">
      <c r="A21530" s="35"/>
      <c r="C21530" s="442"/>
      <c r="P21530" s="235"/>
      <c r="AI21530" s="38"/>
    </row>
    <row r="21531" ht="15.75" customHeight="1">
      <c r="A21531" s="35"/>
      <c r="C21531" s="442"/>
      <c r="P21531" s="235"/>
      <c r="AI21531" s="38"/>
    </row>
    <row r="21532" ht="15.75" customHeight="1">
      <c r="A21532" s="35"/>
      <c r="C21532" s="442"/>
      <c r="P21532" s="235"/>
      <c r="AI21532" s="38"/>
    </row>
    <row r="21533" ht="15.75" customHeight="1">
      <c r="A21533" s="35"/>
      <c r="C21533" s="442"/>
      <c r="P21533" s="235"/>
      <c r="AI21533" s="38"/>
    </row>
    <row r="21534" ht="15.75" customHeight="1">
      <c r="A21534" s="35"/>
      <c r="C21534" s="442"/>
      <c r="P21534" s="235"/>
      <c r="AI21534" s="38"/>
    </row>
    <row r="21535" ht="15.75" customHeight="1">
      <c r="A21535" s="35"/>
      <c r="C21535" s="442"/>
      <c r="P21535" s="235"/>
      <c r="AI21535" s="38"/>
    </row>
    <row r="21536" ht="15.75" customHeight="1">
      <c r="A21536" s="35"/>
      <c r="C21536" s="442"/>
      <c r="P21536" s="235"/>
      <c r="AI21536" s="38"/>
    </row>
    <row r="21537" ht="15.75" customHeight="1">
      <c r="A21537" s="35"/>
      <c r="C21537" s="442"/>
      <c r="P21537" s="235"/>
      <c r="AI21537" s="38"/>
    </row>
    <row r="21538" ht="15.75" customHeight="1">
      <c r="A21538" s="35"/>
      <c r="C21538" s="442"/>
      <c r="P21538" s="235"/>
      <c r="AI21538" s="38"/>
    </row>
    <row r="21539" ht="15.75" customHeight="1">
      <c r="A21539" s="35"/>
      <c r="C21539" s="442"/>
      <c r="P21539" s="235"/>
      <c r="AI21539" s="38"/>
    </row>
    <row r="21540" ht="15.75" customHeight="1">
      <c r="A21540" s="35"/>
      <c r="C21540" s="442"/>
      <c r="P21540" s="235"/>
      <c r="AI21540" s="38"/>
    </row>
    <row r="21541" ht="15.75" customHeight="1">
      <c r="A21541" s="35"/>
      <c r="C21541" s="442"/>
      <c r="P21541" s="235"/>
      <c r="AI21541" s="38"/>
    </row>
    <row r="21542" ht="15.75" customHeight="1">
      <c r="A21542" s="35"/>
      <c r="C21542" s="442"/>
      <c r="P21542" s="235"/>
      <c r="AI21542" s="38"/>
    </row>
    <row r="21543" ht="15.75" customHeight="1">
      <c r="A21543" s="35"/>
      <c r="C21543" s="442"/>
      <c r="P21543" s="235"/>
      <c r="AI21543" s="38"/>
    </row>
    <row r="21544" ht="15.75" customHeight="1">
      <c r="A21544" s="35"/>
      <c r="C21544" s="442"/>
      <c r="P21544" s="235"/>
      <c r="AI21544" s="38"/>
    </row>
    <row r="21545" ht="15.75" customHeight="1">
      <c r="A21545" s="35"/>
      <c r="C21545" s="442"/>
      <c r="P21545" s="235"/>
      <c r="AI21545" s="38"/>
    </row>
    <row r="21546" ht="15.75" customHeight="1">
      <c r="A21546" s="35"/>
      <c r="C21546" s="442"/>
      <c r="P21546" s="235"/>
      <c r="AI21546" s="38"/>
    </row>
    <row r="21547" ht="15.75" customHeight="1">
      <c r="A21547" s="35"/>
      <c r="C21547" s="442"/>
      <c r="P21547" s="235"/>
      <c r="AI21547" s="38"/>
    </row>
    <row r="21548" ht="15.75" customHeight="1">
      <c r="A21548" s="35"/>
      <c r="C21548" s="442"/>
      <c r="P21548" s="235"/>
      <c r="AI21548" s="38"/>
    </row>
    <row r="21549" ht="15.75" customHeight="1">
      <c r="A21549" s="35"/>
      <c r="C21549" s="442"/>
      <c r="P21549" s="235"/>
      <c r="AI21549" s="38"/>
    </row>
    <row r="21550" ht="15.75" customHeight="1">
      <c r="A21550" s="35"/>
      <c r="C21550" s="442"/>
      <c r="P21550" s="235"/>
      <c r="AI21550" s="38"/>
    </row>
    <row r="21551" ht="15.75" customHeight="1">
      <c r="A21551" s="35"/>
      <c r="C21551" s="442"/>
      <c r="P21551" s="235"/>
      <c r="AI21551" s="38"/>
    </row>
    <row r="21552" ht="15.75" customHeight="1">
      <c r="A21552" s="35"/>
      <c r="C21552" s="442"/>
      <c r="P21552" s="235"/>
      <c r="AI21552" s="38"/>
    </row>
    <row r="21553" ht="15.75" customHeight="1">
      <c r="A21553" s="35"/>
      <c r="C21553" s="442"/>
      <c r="P21553" s="235"/>
      <c r="AI21553" s="38"/>
    </row>
    <row r="21554" ht="15.75" customHeight="1">
      <c r="A21554" s="35"/>
      <c r="C21554" s="442"/>
      <c r="P21554" s="235"/>
      <c r="AI21554" s="38"/>
    </row>
    <row r="21555" ht="15.75" customHeight="1">
      <c r="A21555" s="35"/>
      <c r="C21555" s="442"/>
      <c r="P21555" s="235"/>
      <c r="AI21555" s="38"/>
    </row>
    <row r="21556" ht="15.75" customHeight="1">
      <c r="A21556" s="35"/>
      <c r="C21556" s="442"/>
      <c r="P21556" s="235"/>
      <c r="AI21556" s="38"/>
    </row>
    <row r="21557" ht="15.75" customHeight="1">
      <c r="A21557" s="35"/>
      <c r="C21557" s="442"/>
      <c r="P21557" s="235"/>
      <c r="AI21557" s="38"/>
    </row>
    <row r="21558" ht="15.75" customHeight="1">
      <c r="A21558" s="35"/>
      <c r="C21558" s="442"/>
      <c r="P21558" s="235"/>
      <c r="AI21558" s="38"/>
    </row>
    <row r="21559" ht="15.75" customHeight="1">
      <c r="A21559" s="35"/>
      <c r="C21559" s="442"/>
      <c r="P21559" s="235"/>
      <c r="AI21559" s="38"/>
    </row>
    <row r="21560" ht="15.75" customHeight="1">
      <c r="A21560" s="35"/>
      <c r="C21560" s="442"/>
      <c r="P21560" s="235"/>
      <c r="AI21560" s="38"/>
    </row>
    <row r="21561" ht="15.75" customHeight="1">
      <c r="A21561" s="35"/>
      <c r="C21561" s="442"/>
      <c r="P21561" s="235"/>
      <c r="AI21561" s="38"/>
    </row>
    <row r="21562" ht="15.75" customHeight="1">
      <c r="A21562" s="35"/>
      <c r="C21562" s="442"/>
      <c r="P21562" s="235"/>
      <c r="AI21562" s="38"/>
    </row>
    <row r="21563" ht="15.75" customHeight="1">
      <c r="A21563" s="35"/>
      <c r="C21563" s="442"/>
      <c r="P21563" s="235"/>
      <c r="AI21563" s="38"/>
    </row>
    <row r="21564" ht="15.75" customHeight="1">
      <c r="A21564" s="35"/>
      <c r="C21564" s="442"/>
      <c r="P21564" s="235"/>
      <c r="AI21564" s="38"/>
    </row>
    <row r="21565" ht="15.75" customHeight="1">
      <c r="A21565" s="35"/>
      <c r="C21565" s="442"/>
      <c r="P21565" s="235"/>
      <c r="AI21565" s="38"/>
    </row>
    <row r="21566" ht="15.75" customHeight="1">
      <c r="A21566" s="35"/>
      <c r="C21566" s="442"/>
      <c r="P21566" s="235"/>
      <c r="AI21566" s="38"/>
    </row>
    <row r="21567" ht="15.75" customHeight="1">
      <c r="A21567" s="35"/>
      <c r="C21567" s="442"/>
      <c r="P21567" s="235"/>
      <c r="AI21567" s="38"/>
    </row>
    <row r="21568" ht="15.75" customHeight="1">
      <c r="A21568" s="35"/>
      <c r="C21568" s="442"/>
      <c r="P21568" s="235"/>
      <c r="AI21568" s="38"/>
    </row>
    <row r="21569" ht="15.75" customHeight="1">
      <c r="A21569" s="35"/>
      <c r="C21569" s="442"/>
      <c r="P21569" s="235"/>
      <c r="AI21569" s="38"/>
    </row>
    <row r="21570" ht="15.75" customHeight="1">
      <c r="A21570" s="35"/>
      <c r="C21570" s="442"/>
      <c r="P21570" s="235"/>
      <c r="AI21570" s="38"/>
    </row>
    <row r="21571" ht="15.75" customHeight="1">
      <c r="A21571" s="35"/>
      <c r="C21571" s="442"/>
      <c r="P21571" s="235"/>
      <c r="AI21571" s="38"/>
    </row>
    <row r="21572" ht="15.75" customHeight="1">
      <c r="A21572" s="35"/>
      <c r="C21572" s="442"/>
      <c r="P21572" s="235"/>
      <c r="AI21572" s="38"/>
    </row>
    <row r="21573" ht="15.75" customHeight="1">
      <c r="A21573" s="35"/>
      <c r="C21573" s="442"/>
      <c r="P21573" s="235"/>
      <c r="AI21573" s="38"/>
    </row>
    <row r="21574" ht="15.75" customHeight="1">
      <c r="A21574" s="35"/>
      <c r="C21574" s="442"/>
      <c r="P21574" s="235"/>
      <c r="AI21574" s="38"/>
    </row>
    <row r="21575" ht="15.75" customHeight="1">
      <c r="A21575" s="35"/>
      <c r="C21575" s="442"/>
      <c r="P21575" s="235"/>
      <c r="AI21575" s="38"/>
    </row>
    <row r="21576" ht="15.75" customHeight="1">
      <c r="A21576" s="35"/>
      <c r="C21576" s="442"/>
      <c r="P21576" s="235"/>
      <c r="AI21576" s="38"/>
    </row>
    <row r="21577" ht="15.75" customHeight="1">
      <c r="A21577" s="35"/>
      <c r="C21577" s="442"/>
      <c r="P21577" s="235"/>
      <c r="AI21577" s="38"/>
    </row>
    <row r="21578" ht="15.75" customHeight="1">
      <c r="A21578" s="35"/>
      <c r="C21578" s="442"/>
      <c r="P21578" s="235"/>
      <c r="AI21578" s="38"/>
    </row>
    <row r="21579" ht="15.75" customHeight="1">
      <c r="A21579" s="35"/>
      <c r="C21579" s="442"/>
      <c r="P21579" s="235"/>
      <c r="AI21579" s="38"/>
    </row>
    <row r="21580" ht="15.75" customHeight="1">
      <c r="A21580" s="35"/>
      <c r="C21580" s="442"/>
      <c r="P21580" s="235"/>
      <c r="AI21580" s="38"/>
    </row>
    <row r="21581" ht="15.75" customHeight="1">
      <c r="A21581" s="35"/>
      <c r="C21581" s="442"/>
      <c r="P21581" s="235"/>
      <c r="AI21581" s="38"/>
    </row>
    <row r="21582" ht="15.75" customHeight="1">
      <c r="A21582" s="35"/>
      <c r="C21582" s="442"/>
      <c r="P21582" s="235"/>
      <c r="AI21582" s="38"/>
    </row>
    <row r="21583" ht="15.75" customHeight="1">
      <c r="A21583" s="35"/>
      <c r="C21583" s="442"/>
      <c r="P21583" s="235"/>
      <c r="AI21583" s="38"/>
    </row>
    <row r="21584" ht="15.75" customHeight="1">
      <c r="A21584" s="35"/>
      <c r="C21584" s="442"/>
      <c r="P21584" s="235"/>
      <c r="AI21584" s="38"/>
    </row>
    <row r="21585" ht="15.75" customHeight="1">
      <c r="A21585" s="35"/>
      <c r="C21585" s="442"/>
      <c r="P21585" s="235"/>
      <c r="AI21585" s="38"/>
    </row>
    <row r="21586" ht="15.75" customHeight="1">
      <c r="A21586" s="35"/>
      <c r="C21586" s="442"/>
      <c r="P21586" s="235"/>
      <c r="AI21586" s="38"/>
    </row>
    <row r="21587" ht="15.75" customHeight="1">
      <c r="A21587" s="35"/>
      <c r="C21587" s="442"/>
      <c r="P21587" s="235"/>
      <c r="AI21587" s="38"/>
    </row>
    <row r="21588" ht="15.75" customHeight="1">
      <c r="A21588" s="35"/>
      <c r="C21588" s="442"/>
      <c r="P21588" s="235"/>
      <c r="AI21588" s="38"/>
    </row>
    <row r="21589" ht="15.75" customHeight="1">
      <c r="A21589" s="35"/>
      <c r="C21589" s="442"/>
      <c r="P21589" s="235"/>
      <c r="AI21589" s="38"/>
    </row>
    <row r="21590" ht="15.75" customHeight="1">
      <c r="A21590" s="35"/>
      <c r="C21590" s="442"/>
      <c r="P21590" s="235"/>
      <c r="AI21590" s="38"/>
    </row>
    <row r="21591" ht="15.75" customHeight="1">
      <c r="A21591" s="35"/>
      <c r="C21591" s="442"/>
      <c r="P21591" s="235"/>
      <c r="AI21591" s="38"/>
    </row>
    <row r="21592" ht="15.75" customHeight="1">
      <c r="A21592" s="35"/>
      <c r="C21592" s="442"/>
      <c r="P21592" s="235"/>
      <c r="AI21592" s="38"/>
    </row>
    <row r="21593" ht="15.75" customHeight="1">
      <c r="A21593" s="35"/>
      <c r="C21593" s="442"/>
      <c r="P21593" s="235"/>
      <c r="AI21593" s="38"/>
    </row>
    <row r="21594" ht="15.75" customHeight="1">
      <c r="A21594" s="35"/>
      <c r="C21594" s="442"/>
      <c r="P21594" s="235"/>
      <c r="AI21594" s="38"/>
    </row>
    <row r="21595" ht="15.75" customHeight="1">
      <c r="A21595" s="35"/>
      <c r="C21595" s="442"/>
      <c r="P21595" s="235"/>
      <c r="AI21595" s="38"/>
    </row>
    <row r="21596" ht="15.75" customHeight="1">
      <c r="A21596" s="35"/>
      <c r="C21596" s="442"/>
      <c r="P21596" s="235"/>
      <c r="AI21596" s="38"/>
    </row>
    <row r="21597" ht="15.75" customHeight="1">
      <c r="A21597" s="35"/>
      <c r="C21597" s="442"/>
      <c r="P21597" s="235"/>
      <c r="AI21597" s="38"/>
    </row>
    <row r="21598" ht="15.75" customHeight="1">
      <c r="A21598" s="35"/>
      <c r="C21598" s="442"/>
      <c r="P21598" s="235"/>
      <c r="AI21598" s="38"/>
    </row>
    <row r="21599" ht="15.75" customHeight="1">
      <c r="A21599" s="35"/>
      <c r="C21599" s="442"/>
      <c r="P21599" s="235"/>
      <c r="AI21599" s="38"/>
    </row>
    <row r="21600" ht="15.75" customHeight="1">
      <c r="A21600" s="35"/>
      <c r="C21600" s="442"/>
      <c r="P21600" s="235"/>
      <c r="AI21600" s="38"/>
    </row>
    <row r="21601" ht="15.75" customHeight="1">
      <c r="A21601" s="35"/>
      <c r="C21601" s="442"/>
      <c r="P21601" s="235"/>
      <c r="AI21601" s="38"/>
    </row>
    <row r="21602" ht="15.75" customHeight="1">
      <c r="A21602" s="35"/>
      <c r="C21602" s="442"/>
      <c r="P21602" s="235"/>
      <c r="AI21602" s="38"/>
    </row>
    <row r="21603" ht="15.75" customHeight="1">
      <c r="A21603" s="35"/>
      <c r="C21603" s="442"/>
      <c r="P21603" s="235"/>
      <c r="AI21603" s="38"/>
    </row>
    <row r="21604" ht="15.75" customHeight="1">
      <c r="A21604" s="35"/>
      <c r="C21604" s="442"/>
      <c r="P21604" s="235"/>
      <c r="AI21604" s="38"/>
    </row>
    <row r="21605" ht="15.75" customHeight="1">
      <c r="A21605" s="35"/>
      <c r="C21605" s="442"/>
      <c r="P21605" s="235"/>
      <c r="AI21605" s="38"/>
    </row>
    <row r="21606" ht="15.75" customHeight="1">
      <c r="A21606" s="35"/>
      <c r="C21606" s="442"/>
      <c r="P21606" s="235"/>
      <c r="AI21606" s="38"/>
    </row>
    <row r="21607" ht="15.75" customHeight="1">
      <c r="A21607" s="35"/>
      <c r="C21607" s="442"/>
      <c r="P21607" s="235"/>
      <c r="AI21607" s="38"/>
    </row>
    <row r="21608" ht="15.75" customHeight="1">
      <c r="A21608" s="35"/>
      <c r="C21608" s="442"/>
      <c r="P21608" s="235"/>
      <c r="AI21608" s="38"/>
    </row>
    <row r="21609" ht="15.75" customHeight="1">
      <c r="A21609" s="35"/>
      <c r="C21609" s="442"/>
      <c r="P21609" s="235"/>
      <c r="AI21609" s="38"/>
    </row>
    <row r="21610" ht="15.75" customHeight="1">
      <c r="A21610" s="35"/>
      <c r="C21610" s="442"/>
      <c r="P21610" s="235"/>
      <c r="AI21610" s="38"/>
    </row>
    <row r="21611" ht="15.75" customHeight="1">
      <c r="A21611" s="35"/>
      <c r="C21611" s="442"/>
      <c r="P21611" s="235"/>
      <c r="AI21611" s="38"/>
    </row>
    <row r="21612" ht="15.75" customHeight="1">
      <c r="A21612" s="35"/>
      <c r="C21612" s="442"/>
      <c r="P21612" s="235"/>
      <c r="AI21612" s="38"/>
    </row>
    <row r="21613" ht="15.75" customHeight="1">
      <c r="A21613" s="35"/>
      <c r="C21613" s="442"/>
      <c r="P21613" s="235"/>
      <c r="AI21613" s="38"/>
    </row>
    <row r="21614" ht="15.75" customHeight="1">
      <c r="A21614" s="35"/>
      <c r="C21614" s="442"/>
      <c r="P21614" s="235"/>
      <c r="AI21614" s="38"/>
    </row>
    <row r="21615" ht="15.75" customHeight="1">
      <c r="A21615" s="35"/>
      <c r="C21615" s="442"/>
      <c r="P21615" s="235"/>
      <c r="AI21615" s="38"/>
    </row>
    <row r="21616" ht="15.75" customHeight="1">
      <c r="A21616" s="35"/>
      <c r="C21616" s="442"/>
      <c r="P21616" s="235"/>
      <c r="AI21616" s="38"/>
    </row>
    <row r="21617" ht="15.75" customHeight="1">
      <c r="A21617" s="35"/>
      <c r="C21617" s="442"/>
      <c r="P21617" s="235"/>
      <c r="AI21617" s="38"/>
    </row>
    <row r="21618" ht="15.75" customHeight="1">
      <c r="A21618" s="35"/>
      <c r="C21618" s="442"/>
      <c r="P21618" s="235"/>
      <c r="AI21618" s="38"/>
    </row>
    <row r="21619" ht="15.75" customHeight="1">
      <c r="A21619" s="35"/>
      <c r="C21619" s="442"/>
      <c r="P21619" s="235"/>
      <c r="AI21619" s="38"/>
    </row>
    <row r="21620" ht="15.75" customHeight="1">
      <c r="A21620" s="35"/>
      <c r="C21620" s="442"/>
      <c r="P21620" s="235"/>
      <c r="AI21620" s="38"/>
    </row>
    <row r="21621" ht="15.75" customHeight="1">
      <c r="A21621" s="35"/>
      <c r="C21621" s="442"/>
      <c r="P21621" s="235"/>
      <c r="AI21621" s="38"/>
    </row>
    <row r="21622" ht="15.75" customHeight="1">
      <c r="A21622" s="35"/>
      <c r="C21622" s="442"/>
      <c r="P21622" s="235"/>
      <c r="AI21622" s="38"/>
    </row>
    <row r="21623" ht="15.75" customHeight="1">
      <c r="A21623" s="35"/>
      <c r="C21623" s="442"/>
      <c r="P21623" s="235"/>
      <c r="AI21623" s="38"/>
    </row>
    <row r="21624" ht="15.75" customHeight="1">
      <c r="A21624" s="35"/>
      <c r="C21624" s="442"/>
      <c r="P21624" s="235"/>
      <c r="AI21624" s="38"/>
    </row>
    <row r="21625" ht="15.75" customHeight="1">
      <c r="A21625" s="35"/>
      <c r="C21625" s="442"/>
      <c r="P21625" s="235"/>
      <c r="AI21625" s="38"/>
    </row>
    <row r="21626" ht="15.75" customHeight="1">
      <c r="A21626" s="35"/>
      <c r="C21626" s="442"/>
      <c r="P21626" s="235"/>
      <c r="AI21626" s="38"/>
    </row>
    <row r="21627" ht="15.75" customHeight="1">
      <c r="A21627" s="35"/>
      <c r="C21627" s="442"/>
      <c r="P21627" s="235"/>
      <c r="AI21627" s="38"/>
    </row>
    <row r="21628" ht="15.75" customHeight="1">
      <c r="A21628" s="35"/>
      <c r="C21628" s="442"/>
      <c r="P21628" s="235"/>
      <c r="AI21628" s="38"/>
    </row>
    <row r="21629" ht="15.75" customHeight="1">
      <c r="A21629" s="35"/>
      <c r="C21629" s="442"/>
      <c r="P21629" s="235"/>
      <c r="AI21629" s="38"/>
    </row>
    <row r="21630" ht="15.75" customHeight="1">
      <c r="A21630" s="35"/>
      <c r="C21630" s="442"/>
      <c r="P21630" s="235"/>
      <c r="AI21630" s="38"/>
    </row>
    <row r="21631" ht="15.75" customHeight="1">
      <c r="A21631" s="35"/>
      <c r="C21631" s="442"/>
      <c r="P21631" s="235"/>
      <c r="AI21631" s="38"/>
    </row>
    <row r="21632" ht="15.75" customHeight="1">
      <c r="A21632" s="35"/>
      <c r="C21632" s="442"/>
      <c r="P21632" s="235"/>
      <c r="AI21632" s="38"/>
    </row>
    <row r="21633" ht="15.75" customHeight="1">
      <c r="A21633" s="35"/>
      <c r="C21633" s="442"/>
      <c r="P21633" s="235"/>
      <c r="AI21633" s="38"/>
    </row>
    <row r="21634" ht="15.75" customHeight="1">
      <c r="A21634" s="35"/>
      <c r="C21634" s="442"/>
      <c r="P21634" s="235"/>
      <c r="AI21634" s="38"/>
    </row>
    <row r="21635" ht="15.75" customHeight="1">
      <c r="A21635" s="35"/>
      <c r="C21635" s="442"/>
      <c r="P21635" s="235"/>
      <c r="AI21635" s="38"/>
    </row>
    <row r="21636" ht="15.75" customHeight="1">
      <c r="A21636" s="35"/>
      <c r="C21636" s="442"/>
      <c r="P21636" s="235"/>
      <c r="AI21636" s="38"/>
    </row>
    <row r="21637" ht="15.75" customHeight="1">
      <c r="A21637" s="35"/>
      <c r="C21637" s="442"/>
      <c r="P21637" s="235"/>
      <c r="AI21637" s="38"/>
    </row>
    <row r="21638" ht="15.75" customHeight="1">
      <c r="A21638" s="35"/>
      <c r="C21638" s="442"/>
      <c r="P21638" s="235"/>
      <c r="AI21638" s="38"/>
    </row>
    <row r="21639" ht="15.75" customHeight="1">
      <c r="A21639" s="35"/>
      <c r="C21639" s="442"/>
      <c r="P21639" s="235"/>
      <c r="AI21639" s="38"/>
    </row>
    <row r="21640" ht="15.75" customHeight="1">
      <c r="A21640" s="35"/>
      <c r="C21640" s="442"/>
      <c r="P21640" s="235"/>
      <c r="AI21640" s="38"/>
    </row>
    <row r="21641" ht="15.75" customHeight="1">
      <c r="A21641" s="35"/>
      <c r="C21641" s="442"/>
      <c r="P21641" s="235"/>
      <c r="AI21641" s="38"/>
    </row>
    <row r="21642" ht="15.75" customHeight="1">
      <c r="A21642" s="35"/>
      <c r="C21642" s="442"/>
      <c r="P21642" s="235"/>
      <c r="AI21642" s="38"/>
    </row>
    <row r="21643" ht="15.75" customHeight="1">
      <c r="A21643" s="35"/>
      <c r="C21643" s="442"/>
      <c r="P21643" s="235"/>
      <c r="AI21643" s="38"/>
    </row>
    <row r="21644" ht="15.75" customHeight="1">
      <c r="A21644" s="35"/>
      <c r="C21644" s="442"/>
      <c r="P21644" s="235"/>
      <c r="AI21644" s="38"/>
    </row>
    <row r="21645" ht="15.75" customHeight="1">
      <c r="A21645" s="35"/>
      <c r="C21645" s="442"/>
      <c r="P21645" s="235"/>
      <c r="AI21645" s="38"/>
    </row>
    <row r="21646" ht="15.75" customHeight="1">
      <c r="A21646" s="35"/>
      <c r="C21646" s="442"/>
      <c r="P21646" s="235"/>
      <c r="AI21646" s="38"/>
    </row>
    <row r="21647" ht="15.75" customHeight="1">
      <c r="A21647" s="35"/>
      <c r="C21647" s="442"/>
      <c r="P21647" s="235"/>
      <c r="AI21647" s="38"/>
    </row>
    <row r="21648" ht="15.75" customHeight="1">
      <c r="A21648" s="35"/>
      <c r="C21648" s="442"/>
      <c r="P21648" s="235"/>
      <c r="AI21648" s="38"/>
    </row>
    <row r="21649" ht="15.75" customHeight="1">
      <c r="A21649" s="35"/>
      <c r="C21649" s="442"/>
      <c r="P21649" s="235"/>
      <c r="AI21649" s="38"/>
    </row>
    <row r="21650" ht="15.75" customHeight="1">
      <c r="A21650" s="35"/>
      <c r="C21650" s="442"/>
      <c r="P21650" s="235"/>
      <c r="AI21650" s="38"/>
    </row>
    <row r="21651" ht="15.75" customHeight="1">
      <c r="A21651" s="35"/>
      <c r="C21651" s="442"/>
      <c r="P21651" s="235"/>
      <c r="AI21651" s="38"/>
    </row>
    <row r="21652" ht="15.75" customHeight="1">
      <c r="A21652" s="35"/>
      <c r="C21652" s="442"/>
      <c r="P21652" s="235"/>
      <c r="AI21652" s="38"/>
    </row>
    <row r="21653" ht="15.75" customHeight="1">
      <c r="A21653" s="35"/>
      <c r="C21653" s="442"/>
      <c r="P21653" s="235"/>
      <c r="AI21653" s="38"/>
    </row>
    <row r="21654" ht="15.75" customHeight="1">
      <c r="A21654" s="35"/>
      <c r="C21654" s="442"/>
      <c r="P21654" s="235"/>
      <c r="AI21654" s="38"/>
    </row>
    <row r="21655" ht="15.75" customHeight="1">
      <c r="A21655" s="35"/>
      <c r="C21655" s="442"/>
      <c r="P21655" s="235"/>
      <c r="AI21655" s="38"/>
    </row>
    <row r="21656" ht="15.75" customHeight="1">
      <c r="A21656" s="35"/>
      <c r="C21656" s="442"/>
      <c r="P21656" s="235"/>
      <c r="AI21656" s="38"/>
    </row>
    <row r="21657" ht="15.75" customHeight="1">
      <c r="A21657" s="35"/>
      <c r="C21657" s="442"/>
      <c r="P21657" s="235"/>
      <c r="AI21657" s="38"/>
    </row>
    <row r="21658" ht="15.75" customHeight="1">
      <c r="A21658" s="35"/>
      <c r="C21658" s="442"/>
      <c r="P21658" s="235"/>
      <c r="AI21658" s="38"/>
    </row>
    <row r="21659" ht="15.75" customHeight="1">
      <c r="A21659" s="35"/>
      <c r="C21659" s="442"/>
      <c r="P21659" s="235"/>
      <c r="AI21659" s="38"/>
    </row>
    <row r="21660" ht="15.75" customHeight="1">
      <c r="A21660" s="35"/>
      <c r="C21660" s="442"/>
      <c r="P21660" s="235"/>
      <c r="AI21660" s="38"/>
    </row>
    <row r="21661" ht="15.75" customHeight="1">
      <c r="A21661" s="35"/>
      <c r="C21661" s="442"/>
      <c r="P21661" s="235"/>
      <c r="AI21661" s="38"/>
    </row>
    <row r="21662" ht="15.75" customHeight="1">
      <c r="A21662" s="35"/>
      <c r="C21662" s="442"/>
      <c r="P21662" s="235"/>
      <c r="AI21662" s="38"/>
    </row>
    <row r="21663" ht="15.75" customHeight="1">
      <c r="A21663" s="35"/>
      <c r="C21663" s="442"/>
      <c r="P21663" s="235"/>
      <c r="AI21663" s="38"/>
    </row>
    <row r="21664" ht="15.75" customHeight="1">
      <c r="A21664" s="35"/>
      <c r="C21664" s="442"/>
      <c r="P21664" s="235"/>
      <c r="AI21664" s="38"/>
    </row>
    <row r="21665" ht="15.75" customHeight="1">
      <c r="A21665" s="35"/>
      <c r="C21665" s="442"/>
      <c r="P21665" s="235"/>
      <c r="AI21665" s="38"/>
    </row>
    <row r="21666" ht="15.75" customHeight="1">
      <c r="A21666" s="35"/>
      <c r="C21666" s="442"/>
      <c r="P21666" s="235"/>
      <c r="AI21666" s="38"/>
    </row>
    <row r="21667" ht="15.75" customHeight="1">
      <c r="A21667" s="35"/>
      <c r="C21667" s="442"/>
      <c r="P21667" s="235"/>
      <c r="AI21667" s="38"/>
    </row>
    <row r="21668" ht="15.75" customHeight="1">
      <c r="A21668" s="35"/>
      <c r="C21668" s="442"/>
      <c r="P21668" s="235"/>
      <c r="AI21668" s="38"/>
    </row>
    <row r="21669" ht="15.75" customHeight="1">
      <c r="A21669" s="35"/>
      <c r="C21669" s="442"/>
      <c r="P21669" s="235"/>
      <c r="AI21669" s="38"/>
    </row>
    <row r="21670" ht="15.75" customHeight="1">
      <c r="A21670" s="35"/>
      <c r="C21670" s="442"/>
      <c r="P21670" s="235"/>
      <c r="AI21670" s="38"/>
    </row>
    <row r="21671" ht="15.75" customHeight="1">
      <c r="A21671" s="35"/>
      <c r="C21671" s="442"/>
      <c r="P21671" s="235"/>
      <c r="AI21671" s="38"/>
    </row>
    <row r="21672" ht="15.75" customHeight="1">
      <c r="A21672" s="35"/>
      <c r="C21672" s="442"/>
      <c r="P21672" s="235"/>
      <c r="AI21672" s="38"/>
    </row>
    <row r="21673" ht="15.75" customHeight="1">
      <c r="A21673" s="35"/>
      <c r="C21673" s="442"/>
      <c r="P21673" s="235"/>
      <c r="AI21673" s="38"/>
    </row>
    <row r="21674" ht="15.75" customHeight="1">
      <c r="A21674" s="35"/>
      <c r="C21674" s="442"/>
      <c r="P21674" s="235"/>
      <c r="AI21674" s="38"/>
    </row>
    <row r="21675" ht="15.75" customHeight="1">
      <c r="A21675" s="35"/>
      <c r="C21675" s="442"/>
      <c r="P21675" s="235"/>
      <c r="AI21675" s="38"/>
    </row>
    <row r="21676" ht="15.75" customHeight="1">
      <c r="A21676" s="35"/>
      <c r="C21676" s="442"/>
      <c r="P21676" s="235"/>
      <c r="AI21676" s="38"/>
    </row>
    <row r="21677" ht="15.75" customHeight="1">
      <c r="A21677" s="35"/>
      <c r="C21677" s="442"/>
      <c r="P21677" s="235"/>
      <c r="AI21677" s="38"/>
    </row>
    <row r="21678" ht="15.75" customHeight="1">
      <c r="A21678" s="35"/>
      <c r="C21678" s="442"/>
      <c r="P21678" s="235"/>
      <c r="AI21678" s="38"/>
    </row>
    <row r="21679" ht="15.75" customHeight="1">
      <c r="A21679" s="35"/>
      <c r="C21679" s="442"/>
      <c r="P21679" s="235"/>
      <c r="AI21679" s="38"/>
    </row>
    <row r="21680" ht="15.75" customHeight="1">
      <c r="A21680" s="35"/>
      <c r="C21680" s="442"/>
      <c r="P21680" s="235"/>
      <c r="AI21680" s="38"/>
    </row>
    <row r="21681" ht="15.75" customHeight="1">
      <c r="A21681" s="35"/>
      <c r="C21681" s="442"/>
      <c r="P21681" s="235"/>
      <c r="AI21681" s="38"/>
    </row>
    <row r="21682" ht="15.75" customHeight="1">
      <c r="A21682" s="35"/>
      <c r="C21682" s="442"/>
      <c r="P21682" s="235"/>
      <c r="AI21682" s="38"/>
    </row>
    <row r="21683" ht="15.75" customHeight="1">
      <c r="A21683" s="35"/>
      <c r="C21683" s="442"/>
      <c r="P21683" s="235"/>
      <c r="AI21683" s="38"/>
    </row>
    <row r="21684" ht="15.75" customHeight="1">
      <c r="A21684" s="35"/>
      <c r="C21684" s="442"/>
      <c r="P21684" s="235"/>
      <c r="AI21684" s="38"/>
    </row>
    <row r="21685" ht="15.75" customHeight="1">
      <c r="A21685" s="35"/>
      <c r="C21685" s="442"/>
      <c r="P21685" s="235"/>
      <c r="AI21685" s="38"/>
    </row>
    <row r="21686" ht="15.75" customHeight="1">
      <c r="A21686" s="35"/>
      <c r="C21686" s="442"/>
      <c r="P21686" s="235"/>
      <c r="AI21686" s="38"/>
    </row>
    <row r="21687" ht="15.75" customHeight="1">
      <c r="A21687" s="35"/>
      <c r="C21687" s="442"/>
      <c r="P21687" s="235"/>
      <c r="AI21687" s="38"/>
    </row>
    <row r="21688" ht="15.75" customHeight="1">
      <c r="A21688" s="35"/>
      <c r="C21688" s="442"/>
      <c r="P21688" s="235"/>
      <c r="AI21688" s="38"/>
    </row>
    <row r="21689" ht="15.75" customHeight="1">
      <c r="A21689" s="35"/>
      <c r="C21689" s="442"/>
      <c r="P21689" s="235"/>
      <c r="AI21689" s="38"/>
    </row>
    <row r="21690" ht="15.75" customHeight="1">
      <c r="A21690" s="35"/>
      <c r="C21690" s="442"/>
      <c r="P21690" s="235"/>
      <c r="AI21690" s="38"/>
    </row>
    <row r="21691" ht="15.75" customHeight="1">
      <c r="A21691" s="35"/>
      <c r="C21691" s="442"/>
      <c r="P21691" s="235"/>
      <c r="AI21691" s="38"/>
    </row>
    <row r="21692" ht="15.75" customHeight="1">
      <c r="A21692" s="35"/>
      <c r="C21692" s="442"/>
      <c r="P21692" s="235"/>
      <c r="AI21692" s="38"/>
    </row>
    <row r="21693" ht="15.75" customHeight="1">
      <c r="A21693" s="35"/>
      <c r="C21693" s="442"/>
      <c r="P21693" s="235"/>
      <c r="AI21693" s="38"/>
    </row>
    <row r="21694" ht="15.75" customHeight="1">
      <c r="A21694" s="35"/>
      <c r="C21694" s="442"/>
      <c r="P21694" s="235"/>
      <c r="AI21694" s="38"/>
    </row>
    <row r="21695" ht="15.75" customHeight="1">
      <c r="A21695" s="35"/>
      <c r="C21695" s="442"/>
      <c r="P21695" s="235"/>
      <c r="AI21695" s="38"/>
    </row>
    <row r="21696" ht="15.75" customHeight="1">
      <c r="A21696" s="35"/>
      <c r="C21696" s="442"/>
      <c r="P21696" s="235"/>
      <c r="AI21696" s="38"/>
    </row>
    <row r="21697" ht="15.75" customHeight="1">
      <c r="A21697" s="35"/>
      <c r="C21697" s="442"/>
      <c r="P21697" s="235"/>
      <c r="AI21697" s="38"/>
    </row>
    <row r="21698" ht="15.75" customHeight="1">
      <c r="A21698" s="35"/>
      <c r="C21698" s="442"/>
      <c r="P21698" s="235"/>
      <c r="AI21698" s="38"/>
    </row>
    <row r="21699" ht="15.75" customHeight="1">
      <c r="A21699" s="35"/>
      <c r="C21699" s="442"/>
      <c r="P21699" s="235"/>
      <c r="AI21699" s="38"/>
    </row>
    <row r="21700" ht="15.75" customHeight="1">
      <c r="A21700" s="35"/>
      <c r="C21700" s="442"/>
      <c r="P21700" s="235"/>
      <c r="AI21700" s="38"/>
    </row>
    <row r="21701" ht="15.75" customHeight="1">
      <c r="A21701" s="35"/>
      <c r="C21701" s="442"/>
      <c r="P21701" s="235"/>
      <c r="AI21701" s="38"/>
    </row>
    <row r="21702" ht="15.75" customHeight="1">
      <c r="A21702" s="35"/>
      <c r="C21702" s="442"/>
      <c r="P21702" s="235"/>
      <c r="AI21702" s="38"/>
    </row>
    <row r="21703" ht="15.75" customHeight="1">
      <c r="A21703" s="35"/>
      <c r="C21703" s="442"/>
      <c r="P21703" s="235"/>
      <c r="AI21703" s="38"/>
    </row>
    <row r="21704" ht="15.75" customHeight="1">
      <c r="A21704" s="35"/>
      <c r="C21704" s="442"/>
      <c r="P21704" s="235"/>
      <c r="AI21704" s="38"/>
    </row>
    <row r="21705" ht="15.75" customHeight="1">
      <c r="A21705" s="35"/>
      <c r="C21705" s="442"/>
      <c r="P21705" s="235"/>
      <c r="AI21705" s="38"/>
    </row>
    <row r="21706" ht="15.75" customHeight="1">
      <c r="A21706" s="35"/>
      <c r="C21706" s="442"/>
      <c r="P21706" s="235"/>
      <c r="AI21706" s="38"/>
    </row>
    <row r="21707" ht="15.75" customHeight="1">
      <c r="A21707" s="35"/>
      <c r="C21707" s="442"/>
      <c r="P21707" s="235"/>
      <c r="AI21707" s="38"/>
    </row>
    <row r="21708" ht="15.75" customHeight="1">
      <c r="A21708" s="35"/>
      <c r="C21708" s="442"/>
      <c r="P21708" s="235"/>
      <c r="AI21708" s="38"/>
    </row>
    <row r="21709" ht="15.75" customHeight="1">
      <c r="A21709" s="35"/>
      <c r="C21709" s="442"/>
      <c r="P21709" s="235"/>
      <c r="AI21709" s="38"/>
    </row>
    <row r="21710" ht="15.75" customHeight="1">
      <c r="A21710" s="35"/>
      <c r="C21710" s="442"/>
      <c r="P21710" s="235"/>
      <c r="AI21710" s="38"/>
    </row>
    <row r="21711" ht="15.75" customHeight="1">
      <c r="A21711" s="35"/>
      <c r="C21711" s="442"/>
      <c r="P21711" s="235"/>
      <c r="AI21711" s="38"/>
    </row>
    <row r="21712" ht="15.75" customHeight="1">
      <c r="A21712" s="35"/>
      <c r="C21712" s="442"/>
      <c r="P21712" s="235"/>
      <c r="AI21712" s="38"/>
    </row>
    <row r="21713" ht="15.75" customHeight="1">
      <c r="A21713" s="35"/>
      <c r="C21713" s="442"/>
      <c r="P21713" s="235"/>
      <c r="AI21713" s="38"/>
    </row>
    <row r="21714" ht="15.75" customHeight="1">
      <c r="A21714" s="35"/>
      <c r="C21714" s="442"/>
      <c r="P21714" s="235"/>
      <c r="AI21714" s="38"/>
    </row>
    <row r="21715" ht="15.75" customHeight="1">
      <c r="A21715" s="35"/>
      <c r="C21715" s="442"/>
      <c r="P21715" s="235"/>
      <c r="AI21715" s="38"/>
    </row>
    <row r="21716" ht="15.75" customHeight="1">
      <c r="A21716" s="35"/>
      <c r="C21716" s="442"/>
      <c r="P21716" s="235"/>
      <c r="AI21716" s="38"/>
    </row>
    <row r="21717" ht="15.75" customHeight="1">
      <c r="A21717" s="35"/>
      <c r="C21717" s="442"/>
      <c r="P21717" s="235"/>
      <c r="AI21717" s="38"/>
    </row>
    <row r="21718" ht="15.75" customHeight="1">
      <c r="A21718" s="35"/>
      <c r="C21718" s="442"/>
      <c r="P21718" s="235"/>
      <c r="AI21718" s="38"/>
    </row>
    <row r="21719" ht="15.75" customHeight="1">
      <c r="A21719" s="35"/>
      <c r="C21719" s="442"/>
      <c r="P21719" s="235"/>
      <c r="AI21719" s="38"/>
    </row>
    <row r="21720" ht="15.75" customHeight="1">
      <c r="A21720" s="35"/>
      <c r="C21720" s="442"/>
      <c r="P21720" s="235"/>
      <c r="AI21720" s="38"/>
    </row>
    <row r="21721" ht="15.75" customHeight="1">
      <c r="A21721" s="35"/>
      <c r="C21721" s="442"/>
      <c r="P21721" s="235"/>
      <c r="AI21721" s="38"/>
    </row>
    <row r="21722" ht="15.75" customHeight="1">
      <c r="A21722" s="35"/>
      <c r="C21722" s="442"/>
      <c r="P21722" s="235"/>
      <c r="AI21722" s="38"/>
    </row>
    <row r="21723" ht="15.75" customHeight="1">
      <c r="A21723" s="35"/>
      <c r="C21723" s="442"/>
      <c r="P21723" s="235"/>
      <c r="AI21723" s="38"/>
    </row>
    <row r="21724" ht="15.75" customHeight="1">
      <c r="A21724" s="35"/>
      <c r="C21724" s="442"/>
      <c r="P21724" s="235"/>
      <c r="AI21724" s="38"/>
    </row>
    <row r="21725" ht="15.75" customHeight="1">
      <c r="A21725" s="35"/>
      <c r="C21725" s="442"/>
      <c r="P21725" s="235"/>
      <c r="AI21725" s="38"/>
    </row>
    <row r="21726" ht="15.75" customHeight="1">
      <c r="A21726" s="35"/>
      <c r="C21726" s="442"/>
      <c r="P21726" s="235"/>
      <c r="AI21726" s="38"/>
    </row>
    <row r="21727" ht="15.75" customHeight="1">
      <c r="A21727" s="35"/>
      <c r="C21727" s="442"/>
      <c r="P21727" s="235"/>
      <c r="AI21727" s="38"/>
    </row>
    <row r="21728" ht="15.75" customHeight="1">
      <c r="A21728" s="35"/>
      <c r="C21728" s="442"/>
      <c r="P21728" s="235"/>
      <c r="AI21728" s="38"/>
    </row>
    <row r="21729" ht="15.75" customHeight="1">
      <c r="A21729" s="35"/>
      <c r="C21729" s="442"/>
      <c r="P21729" s="235"/>
      <c r="AI21729" s="38"/>
    </row>
    <row r="21730" ht="15.75" customHeight="1">
      <c r="A21730" s="35"/>
      <c r="C21730" s="442"/>
      <c r="P21730" s="235"/>
      <c r="AI21730" s="38"/>
    </row>
    <row r="21731" ht="15.75" customHeight="1">
      <c r="A21731" s="35"/>
      <c r="C21731" s="442"/>
      <c r="P21731" s="235"/>
      <c r="AI21731" s="38"/>
    </row>
    <row r="21732" ht="15.75" customHeight="1">
      <c r="A21732" s="35"/>
      <c r="C21732" s="442"/>
      <c r="P21732" s="235"/>
      <c r="AI21732" s="38"/>
    </row>
    <row r="21733" ht="15.75" customHeight="1">
      <c r="A21733" s="35"/>
      <c r="C21733" s="442"/>
      <c r="P21733" s="235"/>
      <c r="AI21733" s="38"/>
    </row>
    <row r="21734" ht="15.75" customHeight="1">
      <c r="A21734" s="35"/>
      <c r="C21734" s="442"/>
      <c r="P21734" s="235"/>
      <c r="AI21734" s="38"/>
    </row>
    <row r="21735" ht="15.75" customHeight="1">
      <c r="A21735" s="35"/>
      <c r="C21735" s="442"/>
      <c r="P21735" s="235"/>
      <c r="AI21735" s="38"/>
    </row>
    <row r="21736" ht="15.75" customHeight="1">
      <c r="A21736" s="35"/>
      <c r="C21736" s="442"/>
      <c r="P21736" s="235"/>
      <c r="AI21736" s="38"/>
    </row>
    <row r="21737" ht="15.75" customHeight="1">
      <c r="A21737" s="35"/>
      <c r="C21737" s="442"/>
      <c r="P21737" s="235"/>
      <c r="AI21737" s="38"/>
    </row>
    <row r="21738" ht="15.75" customHeight="1">
      <c r="A21738" s="35"/>
      <c r="C21738" s="442"/>
      <c r="P21738" s="235"/>
      <c r="AI21738" s="38"/>
    </row>
    <row r="21739" ht="15.75" customHeight="1">
      <c r="A21739" s="35"/>
      <c r="C21739" s="442"/>
      <c r="P21739" s="235"/>
      <c r="AI21739" s="38"/>
    </row>
    <row r="21740" ht="15.75" customHeight="1">
      <c r="A21740" s="35"/>
      <c r="C21740" s="442"/>
      <c r="P21740" s="235"/>
      <c r="AI21740" s="38"/>
    </row>
    <row r="21741" ht="15.75" customHeight="1">
      <c r="A21741" s="35"/>
      <c r="C21741" s="442"/>
      <c r="P21741" s="235"/>
      <c r="AI21741" s="38"/>
    </row>
    <row r="21742" ht="15.75" customHeight="1">
      <c r="A21742" s="35"/>
      <c r="C21742" s="442"/>
      <c r="P21742" s="235"/>
      <c r="AI21742" s="38"/>
    </row>
    <row r="21743" ht="15.75" customHeight="1">
      <c r="A21743" s="35"/>
      <c r="C21743" s="442"/>
      <c r="P21743" s="235"/>
      <c r="AI21743" s="38"/>
    </row>
    <row r="21744" ht="15.75" customHeight="1">
      <c r="A21744" s="35"/>
      <c r="C21744" s="442"/>
      <c r="P21744" s="235"/>
      <c r="AI21744" s="38"/>
    </row>
    <row r="21745" ht="15.75" customHeight="1">
      <c r="A21745" s="35"/>
      <c r="C21745" s="442"/>
      <c r="P21745" s="235"/>
      <c r="AI21745" s="38"/>
    </row>
    <row r="21746" ht="15.75" customHeight="1">
      <c r="A21746" s="35"/>
      <c r="C21746" s="442"/>
      <c r="P21746" s="235"/>
      <c r="AI21746" s="38"/>
    </row>
    <row r="21747" ht="15.75" customHeight="1">
      <c r="A21747" s="35"/>
      <c r="C21747" s="442"/>
      <c r="P21747" s="235"/>
      <c r="AI21747" s="38"/>
    </row>
    <row r="21748" ht="15.75" customHeight="1">
      <c r="A21748" s="35"/>
      <c r="C21748" s="442"/>
      <c r="P21748" s="235"/>
      <c r="AI21748" s="38"/>
    </row>
    <row r="21749" ht="15.75" customHeight="1">
      <c r="A21749" s="35"/>
      <c r="C21749" s="442"/>
      <c r="P21749" s="235"/>
      <c r="AI21749" s="38"/>
    </row>
    <row r="21750" ht="15.75" customHeight="1">
      <c r="A21750" s="35"/>
      <c r="C21750" s="442"/>
      <c r="P21750" s="235"/>
      <c r="AI21750" s="38"/>
    </row>
    <row r="21751" ht="15.75" customHeight="1">
      <c r="A21751" s="35"/>
      <c r="C21751" s="442"/>
      <c r="P21751" s="235"/>
      <c r="AI21751" s="38"/>
    </row>
    <row r="21752" ht="15.75" customHeight="1">
      <c r="A21752" s="35"/>
      <c r="C21752" s="442"/>
      <c r="P21752" s="235"/>
      <c r="AI21752" s="38"/>
    </row>
    <row r="21753" ht="15.75" customHeight="1">
      <c r="A21753" s="35"/>
      <c r="C21753" s="442"/>
      <c r="P21753" s="235"/>
      <c r="AI21753" s="38"/>
    </row>
    <row r="21754" ht="15.75" customHeight="1">
      <c r="A21754" s="35"/>
      <c r="C21754" s="442"/>
      <c r="P21754" s="235"/>
      <c r="AI21754" s="38"/>
    </row>
    <row r="21755" ht="15.75" customHeight="1">
      <c r="A21755" s="35"/>
      <c r="C21755" s="442"/>
      <c r="P21755" s="235"/>
      <c r="AI21755" s="38"/>
    </row>
    <row r="21756" ht="15.75" customHeight="1">
      <c r="A21756" s="35"/>
      <c r="C21756" s="442"/>
      <c r="P21756" s="235"/>
      <c r="AI21756" s="38"/>
    </row>
    <row r="21757" ht="15.75" customHeight="1">
      <c r="A21757" s="35"/>
      <c r="C21757" s="442"/>
      <c r="P21757" s="235"/>
      <c r="AI21757" s="38"/>
    </row>
    <row r="21758" ht="15.75" customHeight="1">
      <c r="A21758" s="35"/>
      <c r="C21758" s="442"/>
      <c r="P21758" s="235"/>
      <c r="AI21758" s="38"/>
    </row>
    <row r="21759" ht="15.75" customHeight="1">
      <c r="A21759" s="35"/>
      <c r="C21759" s="442"/>
      <c r="P21759" s="235"/>
      <c r="AI21759" s="38"/>
    </row>
    <row r="21760" ht="15.75" customHeight="1">
      <c r="A21760" s="35"/>
      <c r="C21760" s="442"/>
      <c r="P21760" s="235"/>
      <c r="AI21760" s="38"/>
    </row>
    <row r="21761" ht="15.75" customHeight="1">
      <c r="A21761" s="35"/>
      <c r="C21761" s="442"/>
      <c r="P21761" s="235"/>
      <c r="AI21761" s="38"/>
    </row>
    <row r="21762" ht="15.75" customHeight="1">
      <c r="A21762" s="35"/>
      <c r="C21762" s="442"/>
      <c r="P21762" s="235"/>
      <c r="AI21762" s="38"/>
    </row>
    <row r="21763" ht="15.75" customHeight="1">
      <c r="A21763" s="35"/>
      <c r="C21763" s="442"/>
      <c r="P21763" s="235"/>
      <c r="AI21763" s="38"/>
    </row>
    <row r="21764" ht="15.75" customHeight="1">
      <c r="A21764" s="35"/>
      <c r="C21764" s="442"/>
      <c r="P21764" s="235"/>
      <c r="AI21764" s="38"/>
    </row>
    <row r="21765" ht="15.75" customHeight="1">
      <c r="A21765" s="35"/>
      <c r="C21765" s="442"/>
      <c r="P21765" s="235"/>
      <c r="AI21765" s="38"/>
    </row>
    <row r="21766" ht="15.75" customHeight="1">
      <c r="A21766" s="35"/>
      <c r="C21766" s="442"/>
      <c r="P21766" s="235"/>
      <c r="AI21766" s="38"/>
    </row>
    <row r="21767" ht="15.75" customHeight="1">
      <c r="A21767" s="35"/>
      <c r="C21767" s="442"/>
      <c r="P21767" s="235"/>
      <c r="AI21767" s="38"/>
    </row>
    <row r="21768" ht="15.75" customHeight="1">
      <c r="A21768" s="35"/>
      <c r="C21768" s="442"/>
      <c r="P21768" s="235"/>
      <c r="AI21768" s="38"/>
    </row>
    <row r="21769" ht="15.75" customHeight="1">
      <c r="A21769" s="35"/>
      <c r="C21769" s="442"/>
      <c r="P21769" s="235"/>
      <c r="AI21769" s="38"/>
    </row>
    <row r="21770" ht="15.75" customHeight="1">
      <c r="A21770" s="35"/>
      <c r="C21770" s="442"/>
      <c r="P21770" s="235"/>
      <c r="AI21770" s="38"/>
    </row>
    <row r="21771" ht="15.75" customHeight="1">
      <c r="A21771" s="35"/>
      <c r="C21771" s="442"/>
      <c r="P21771" s="235"/>
      <c r="AI21771" s="38"/>
    </row>
    <row r="21772" ht="15.75" customHeight="1">
      <c r="A21772" s="35"/>
      <c r="C21772" s="442"/>
      <c r="P21772" s="235"/>
      <c r="AI21772" s="38"/>
    </row>
    <row r="21773" ht="15.75" customHeight="1">
      <c r="A21773" s="35"/>
      <c r="C21773" s="442"/>
      <c r="P21773" s="235"/>
      <c r="AI21773" s="38"/>
    </row>
    <row r="21774" ht="15.75" customHeight="1">
      <c r="A21774" s="35"/>
      <c r="C21774" s="442"/>
      <c r="P21774" s="235"/>
      <c r="AI21774" s="38"/>
    </row>
    <row r="21775" ht="15.75" customHeight="1">
      <c r="A21775" s="35"/>
      <c r="C21775" s="442"/>
      <c r="P21775" s="235"/>
      <c r="AI21775" s="38"/>
    </row>
    <row r="21776" ht="15.75" customHeight="1">
      <c r="A21776" s="35"/>
      <c r="C21776" s="442"/>
      <c r="P21776" s="235"/>
      <c r="AI21776" s="38"/>
    </row>
    <row r="21777" ht="15.75" customHeight="1">
      <c r="A21777" s="35"/>
      <c r="C21777" s="442"/>
      <c r="P21777" s="235"/>
      <c r="AI21777" s="38"/>
    </row>
    <row r="21778" ht="15.75" customHeight="1">
      <c r="A21778" s="35"/>
      <c r="C21778" s="442"/>
      <c r="P21778" s="235"/>
      <c r="AI21778" s="38"/>
    </row>
    <row r="21779" ht="15.75" customHeight="1">
      <c r="A21779" s="35"/>
      <c r="C21779" s="442"/>
      <c r="P21779" s="235"/>
      <c r="AI21779" s="38"/>
    </row>
    <row r="21780" ht="15.75" customHeight="1">
      <c r="A21780" s="35"/>
      <c r="C21780" s="442"/>
      <c r="P21780" s="235"/>
      <c r="AI21780" s="38"/>
    </row>
    <row r="21781" ht="15.75" customHeight="1">
      <c r="A21781" s="35"/>
      <c r="C21781" s="442"/>
      <c r="P21781" s="235"/>
      <c r="AI21781" s="38"/>
    </row>
    <row r="21782" ht="15.75" customHeight="1">
      <c r="A21782" s="35"/>
      <c r="C21782" s="442"/>
      <c r="P21782" s="235"/>
      <c r="AI21782" s="38"/>
    </row>
    <row r="21783" ht="15.75" customHeight="1">
      <c r="A21783" s="35"/>
      <c r="C21783" s="442"/>
      <c r="P21783" s="235"/>
      <c r="AI21783" s="38"/>
    </row>
    <row r="21784" ht="15.75" customHeight="1">
      <c r="A21784" s="35"/>
      <c r="C21784" s="442"/>
      <c r="P21784" s="235"/>
      <c r="AI21784" s="38"/>
    </row>
    <row r="21785" ht="15.75" customHeight="1">
      <c r="A21785" s="35"/>
      <c r="C21785" s="442"/>
      <c r="P21785" s="235"/>
      <c r="AI21785" s="38"/>
    </row>
    <row r="21786" ht="15.75" customHeight="1">
      <c r="A21786" s="35"/>
      <c r="C21786" s="442"/>
      <c r="P21786" s="235"/>
      <c r="AI21786" s="38"/>
    </row>
    <row r="21787" ht="15.75" customHeight="1">
      <c r="A21787" s="35"/>
      <c r="C21787" s="442"/>
      <c r="P21787" s="235"/>
      <c r="AI21787" s="38"/>
    </row>
    <row r="21788" ht="15.75" customHeight="1">
      <c r="A21788" s="35"/>
      <c r="C21788" s="442"/>
      <c r="P21788" s="235"/>
      <c r="AI21788" s="38"/>
    </row>
    <row r="21789" ht="15.75" customHeight="1">
      <c r="A21789" s="35"/>
      <c r="C21789" s="442"/>
      <c r="P21789" s="235"/>
      <c r="AI21789" s="38"/>
    </row>
    <row r="21790" ht="15.75" customHeight="1">
      <c r="A21790" s="35"/>
      <c r="C21790" s="442"/>
      <c r="P21790" s="235"/>
      <c r="AI21790" s="38"/>
    </row>
    <row r="21791" ht="15.75" customHeight="1">
      <c r="A21791" s="35"/>
      <c r="C21791" s="442"/>
      <c r="P21791" s="235"/>
      <c r="AI21791" s="38"/>
    </row>
    <row r="21792" ht="15.75" customHeight="1">
      <c r="A21792" s="35"/>
      <c r="C21792" s="442"/>
      <c r="P21792" s="235"/>
      <c r="AI21792" s="38"/>
    </row>
    <row r="21793" ht="15.75" customHeight="1">
      <c r="A21793" s="35"/>
      <c r="C21793" s="442"/>
      <c r="P21793" s="235"/>
      <c r="AI21793" s="38"/>
    </row>
    <row r="21794" ht="15.75" customHeight="1">
      <c r="A21794" s="35"/>
      <c r="C21794" s="442"/>
      <c r="P21794" s="235"/>
      <c r="AI21794" s="38"/>
    </row>
    <row r="21795" ht="15.75" customHeight="1">
      <c r="A21795" s="35"/>
      <c r="C21795" s="442"/>
      <c r="P21795" s="235"/>
      <c r="AI21795" s="38"/>
    </row>
    <row r="21796" ht="15.75" customHeight="1">
      <c r="A21796" s="35"/>
      <c r="C21796" s="442"/>
      <c r="P21796" s="235"/>
      <c r="AI21796" s="38"/>
    </row>
    <row r="21797" ht="15.75" customHeight="1">
      <c r="A21797" s="35"/>
      <c r="C21797" s="442"/>
      <c r="P21797" s="235"/>
      <c r="AI21797" s="38"/>
    </row>
    <row r="21798" ht="15.75" customHeight="1">
      <c r="A21798" s="35"/>
      <c r="C21798" s="442"/>
      <c r="P21798" s="235"/>
      <c r="AI21798" s="38"/>
    </row>
    <row r="21799" ht="15.75" customHeight="1">
      <c r="A21799" s="35"/>
      <c r="C21799" s="442"/>
      <c r="P21799" s="235"/>
      <c r="AI21799" s="38"/>
    </row>
    <row r="21800" ht="15.75" customHeight="1">
      <c r="A21800" s="35"/>
      <c r="C21800" s="442"/>
      <c r="P21800" s="235"/>
      <c r="AI21800" s="38"/>
    </row>
    <row r="21801" ht="15.75" customHeight="1">
      <c r="A21801" s="35"/>
      <c r="C21801" s="442"/>
      <c r="P21801" s="235"/>
      <c r="AI21801" s="38"/>
    </row>
    <row r="21802" ht="15.75" customHeight="1">
      <c r="A21802" s="35"/>
      <c r="C21802" s="442"/>
      <c r="P21802" s="235"/>
      <c r="AI21802" s="38"/>
    </row>
    <row r="21803" ht="15.75" customHeight="1">
      <c r="A21803" s="35"/>
      <c r="C21803" s="442"/>
      <c r="P21803" s="235"/>
      <c r="AI21803" s="38"/>
    </row>
    <row r="21804" ht="15.75" customHeight="1">
      <c r="A21804" s="35"/>
      <c r="C21804" s="442"/>
      <c r="P21804" s="235"/>
      <c r="AI21804" s="38"/>
    </row>
    <row r="21805" ht="15.75" customHeight="1">
      <c r="A21805" s="35"/>
      <c r="C21805" s="442"/>
      <c r="P21805" s="235"/>
      <c r="AI21805" s="38"/>
    </row>
    <row r="21806" ht="15.75" customHeight="1">
      <c r="A21806" s="35"/>
      <c r="C21806" s="442"/>
      <c r="P21806" s="235"/>
      <c r="AI21806" s="38"/>
    </row>
    <row r="21807" ht="15.75" customHeight="1">
      <c r="A21807" s="35"/>
      <c r="C21807" s="442"/>
      <c r="P21807" s="235"/>
      <c r="AI21807" s="38"/>
    </row>
    <row r="21808" ht="15.75" customHeight="1">
      <c r="A21808" s="35"/>
      <c r="C21808" s="442"/>
      <c r="P21808" s="235"/>
      <c r="AI21808" s="38"/>
    </row>
    <row r="21809" ht="15.75" customHeight="1">
      <c r="A21809" s="35"/>
      <c r="C21809" s="442"/>
      <c r="P21809" s="235"/>
      <c r="AI21809" s="38"/>
    </row>
    <row r="21810" ht="15.75" customHeight="1">
      <c r="A21810" s="35"/>
      <c r="C21810" s="442"/>
      <c r="P21810" s="235"/>
      <c r="AI21810" s="38"/>
    </row>
    <row r="21811" ht="15.75" customHeight="1">
      <c r="A21811" s="35"/>
      <c r="C21811" s="442"/>
      <c r="P21811" s="235"/>
      <c r="AI21811" s="38"/>
    </row>
    <row r="21812" ht="15.75" customHeight="1">
      <c r="A21812" s="35"/>
      <c r="C21812" s="442"/>
      <c r="P21812" s="235"/>
      <c r="AI21812" s="38"/>
    </row>
    <row r="21813" ht="15.75" customHeight="1">
      <c r="A21813" s="35"/>
      <c r="C21813" s="442"/>
      <c r="P21813" s="235"/>
      <c r="AI21813" s="38"/>
    </row>
    <row r="21814" ht="15.75" customHeight="1">
      <c r="A21814" s="35"/>
      <c r="C21814" s="442"/>
      <c r="P21814" s="235"/>
      <c r="AI21814" s="38"/>
    </row>
    <row r="21815" ht="15.75" customHeight="1">
      <c r="A21815" s="35"/>
      <c r="C21815" s="442"/>
      <c r="P21815" s="235"/>
      <c r="AI21815" s="38"/>
    </row>
    <row r="21816" ht="15.75" customHeight="1">
      <c r="A21816" s="35"/>
      <c r="C21816" s="442"/>
      <c r="P21816" s="235"/>
      <c r="AI21816" s="38"/>
    </row>
    <row r="21817" ht="15.75" customHeight="1">
      <c r="A21817" s="35"/>
      <c r="C21817" s="442"/>
      <c r="P21817" s="235"/>
      <c r="AI21817" s="38"/>
    </row>
    <row r="21818" ht="15.75" customHeight="1">
      <c r="A21818" s="35"/>
      <c r="C21818" s="442"/>
      <c r="P21818" s="235"/>
      <c r="AI21818" s="38"/>
    </row>
    <row r="21819" ht="15.75" customHeight="1">
      <c r="A21819" s="35"/>
      <c r="C21819" s="442"/>
      <c r="P21819" s="235"/>
      <c r="AI21819" s="38"/>
    </row>
    <row r="21820" ht="15.75" customHeight="1">
      <c r="A21820" s="35"/>
      <c r="C21820" s="442"/>
      <c r="P21820" s="235"/>
      <c r="AI21820" s="38"/>
    </row>
    <row r="21821" ht="15.75" customHeight="1">
      <c r="A21821" s="35"/>
      <c r="C21821" s="442"/>
      <c r="P21821" s="235"/>
      <c r="AI21821" s="38"/>
    </row>
    <row r="21822" ht="15.75" customHeight="1">
      <c r="A21822" s="35"/>
      <c r="C21822" s="442"/>
      <c r="P21822" s="235"/>
      <c r="AI21822" s="38"/>
    </row>
    <row r="21823" ht="15.75" customHeight="1">
      <c r="A21823" s="35"/>
      <c r="C21823" s="442"/>
      <c r="P21823" s="235"/>
      <c r="AI21823" s="38"/>
    </row>
    <row r="21824" ht="15.75" customHeight="1">
      <c r="A21824" s="35"/>
      <c r="C21824" s="442"/>
      <c r="P21824" s="235"/>
      <c r="AI21824" s="38"/>
    </row>
    <row r="21825" ht="15.75" customHeight="1">
      <c r="A21825" s="35"/>
      <c r="C21825" s="442"/>
      <c r="P21825" s="235"/>
      <c r="AI21825" s="38"/>
    </row>
    <row r="21826" ht="15.75" customHeight="1">
      <c r="A21826" s="35"/>
      <c r="C21826" s="442"/>
      <c r="P21826" s="235"/>
      <c r="AI21826" s="38"/>
    </row>
    <row r="21827" ht="15.75" customHeight="1">
      <c r="A21827" s="35"/>
      <c r="C21827" s="442"/>
      <c r="P21827" s="235"/>
      <c r="AI21827" s="38"/>
    </row>
    <row r="21828" ht="15.75" customHeight="1">
      <c r="A21828" s="35"/>
      <c r="C21828" s="442"/>
      <c r="P21828" s="235"/>
      <c r="AI21828" s="38"/>
    </row>
    <row r="21829" ht="15.75" customHeight="1">
      <c r="A21829" s="35"/>
      <c r="C21829" s="442"/>
      <c r="P21829" s="235"/>
      <c r="AI21829" s="38"/>
    </row>
    <row r="21830" ht="15.75" customHeight="1">
      <c r="A21830" s="35"/>
      <c r="C21830" s="442"/>
      <c r="P21830" s="235"/>
      <c r="AI21830" s="38"/>
    </row>
    <row r="21831" ht="15.75" customHeight="1">
      <c r="A21831" s="35"/>
      <c r="C21831" s="442"/>
      <c r="P21831" s="235"/>
      <c r="AI21831" s="38"/>
    </row>
    <row r="21832" ht="15.75" customHeight="1">
      <c r="A21832" s="35"/>
      <c r="C21832" s="442"/>
      <c r="P21832" s="235"/>
      <c r="AI21832" s="38"/>
    </row>
    <row r="21833" ht="15.75" customHeight="1">
      <c r="A21833" s="35"/>
      <c r="C21833" s="442"/>
      <c r="P21833" s="235"/>
      <c r="AI21833" s="38"/>
    </row>
    <row r="21834" ht="15.75" customHeight="1">
      <c r="A21834" s="35"/>
      <c r="C21834" s="442"/>
      <c r="P21834" s="235"/>
      <c r="AI21834" s="38"/>
    </row>
    <row r="21835" ht="15.75" customHeight="1">
      <c r="A21835" s="35"/>
      <c r="C21835" s="442"/>
      <c r="P21835" s="235"/>
      <c r="AI21835" s="38"/>
    </row>
    <row r="21836" ht="15.75" customHeight="1">
      <c r="A21836" s="35"/>
      <c r="C21836" s="442"/>
      <c r="P21836" s="235"/>
      <c r="AI21836" s="38"/>
    </row>
    <row r="21837" ht="15.75" customHeight="1">
      <c r="A21837" s="35"/>
      <c r="C21837" s="442"/>
      <c r="P21837" s="235"/>
      <c r="AI21837" s="38"/>
    </row>
    <row r="21838" ht="15.75" customHeight="1">
      <c r="A21838" s="35"/>
      <c r="C21838" s="442"/>
      <c r="P21838" s="235"/>
      <c r="AI21838" s="38"/>
    </row>
    <row r="21839" ht="15.75" customHeight="1">
      <c r="A21839" s="35"/>
      <c r="C21839" s="442"/>
      <c r="P21839" s="235"/>
      <c r="AI21839" s="38"/>
    </row>
    <row r="21840" ht="15.75" customHeight="1">
      <c r="A21840" s="35"/>
      <c r="C21840" s="442"/>
      <c r="P21840" s="235"/>
      <c r="AI21840" s="38"/>
    </row>
    <row r="21841" ht="15.75" customHeight="1">
      <c r="A21841" s="35"/>
      <c r="C21841" s="442"/>
      <c r="P21841" s="235"/>
      <c r="AI21841" s="38"/>
    </row>
    <row r="21842" ht="15.75" customHeight="1">
      <c r="A21842" s="35"/>
      <c r="C21842" s="442"/>
      <c r="P21842" s="235"/>
      <c r="AI21842" s="38"/>
    </row>
    <row r="21843" ht="15.75" customHeight="1">
      <c r="A21843" s="35"/>
      <c r="C21843" s="442"/>
      <c r="P21843" s="235"/>
      <c r="AI21843" s="38"/>
    </row>
    <row r="21844" ht="15.75" customHeight="1">
      <c r="A21844" s="35"/>
      <c r="C21844" s="442"/>
      <c r="P21844" s="235"/>
      <c r="AI21844" s="38"/>
    </row>
    <row r="21845" ht="15.75" customHeight="1">
      <c r="A21845" s="35"/>
      <c r="C21845" s="442"/>
      <c r="P21845" s="235"/>
      <c r="AI21845" s="38"/>
    </row>
    <row r="21846" ht="15.75" customHeight="1">
      <c r="A21846" s="35"/>
      <c r="C21846" s="442"/>
      <c r="P21846" s="235"/>
      <c r="AI21846" s="38"/>
    </row>
    <row r="21847" ht="15.75" customHeight="1">
      <c r="A21847" s="35"/>
      <c r="C21847" s="442"/>
      <c r="P21847" s="235"/>
      <c r="AI21847" s="38"/>
    </row>
    <row r="21848" ht="15.75" customHeight="1">
      <c r="A21848" s="35"/>
      <c r="C21848" s="442"/>
      <c r="P21848" s="235"/>
      <c r="AI21848" s="38"/>
    </row>
    <row r="21849" ht="15.75" customHeight="1">
      <c r="A21849" s="35"/>
      <c r="C21849" s="442"/>
      <c r="P21849" s="235"/>
      <c r="AI21849" s="38"/>
    </row>
    <row r="21850" ht="15.75" customHeight="1">
      <c r="A21850" s="35"/>
      <c r="C21850" s="442"/>
      <c r="P21850" s="235"/>
      <c r="AI21850" s="38"/>
    </row>
    <row r="21851" ht="15.75" customHeight="1">
      <c r="A21851" s="35"/>
      <c r="C21851" s="442"/>
      <c r="P21851" s="235"/>
      <c r="AI21851" s="38"/>
    </row>
    <row r="21852" ht="15.75" customHeight="1">
      <c r="A21852" s="35"/>
      <c r="C21852" s="442"/>
      <c r="P21852" s="235"/>
      <c r="AI21852" s="38"/>
    </row>
    <row r="21853" ht="15.75" customHeight="1">
      <c r="A21853" s="35"/>
      <c r="C21853" s="442"/>
      <c r="P21853" s="235"/>
      <c r="AI21853" s="38"/>
    </row>
    <row r="21854" ht="15.75" customHeight="1">
      <c r="A21854" s="35"/>
      <c r="C21854" s="442"/>
      <c r="P21854" s="235"/>
      <c r="AI21854" s="38"/>
    </row>
    <row r="21855" ht="15.75" customHeight="1">
      <c r="A21855" s="35"/>
      <c r="C21855" s="442"/>
      <c r="P21855" s="235"/>
      <c r="AI21855" s="38"/>
    </row>
    <row r="21856" ht="15.75" customHeight="1">
      <c r="A21856" s="35"/>
      <c r="C21856" s="442"/>
      <c r="P21856" s="235"/>
      <c r="AI21856" s="38"/>
    </row>
    <row r="21857" ht="15.75" customHeight="1">
      <c r="A21857" s="35"/>
      <c r="C21857" s="442"/>
      <c r="P21857" s="235"/>
      <c r="AI21857" s="38"/>
    </row>
    <row r="21858" ht="15.75" customHeight="1">
      <c r="A21858" s="35"/>
      <c r="C21858" s="442"/>
      <c r="P21858" s="235"/>
      <c r="AI21858" s="38"/>
    </row>
    <row r="21859" ht="15.75" customHeight="1">
      <c r="A21859" s="35"/>
      <c r="C21859" s="442"/>
      <c r="P21859" s="235"/>
      <c r="AI21859" s="38"/>
    </row>
    <row r="21860" ht="15.75" customHeight="1">
      <c r="A21860" s="35"/>
      <c r="C21860" s="442"/>
      <c r="P21860" s="235"/>
      <c r="AI21860" s="38"/>
    </row>
    <row r="21861" ht="15.75" customHeight="1">
      <c r="A21861" s="35"/>
      <c r="C21861" s="442"/>
      <c r="P21861" s="235"/>
      <c r="AI21861" s="38"/>
    </row>
    <row r="21862" ht="15.75" customHeight="1">
      <c r="A21862" s="35"/>
      <c r="C21862" s="442"/>
      <c r="P21862" s="235"/>
      <c r="AI21862" s="38"/>
    </row>
    <row r="21863" ht="15.75" customHeight="1">
      <c r="A21863" s="35"/>
      <c r="C21863" s="442"/>
      <c r="P21863" s="235"/>
      <c r="AI21863" s="38"/>
    </row>
    <row r="21864" ht="15.75" customHeight="1">
      <c r="A21864" s="35"/>
      <c r="C21864" s="442"/>
      <c r="P21864" s="235"/>
      <c r="AI21864" s="38"/>
    </row>
    <row r="21865" ht="15.75" customHeight="1">
      <c r="A21865" s="35"/>
      <c r="C21865" s="442"/>
      <c r="P21865" s="235"/>
      <c r="AI21865" s="38"/>
    </row>
    <row r="21866" ht="15.75" customHeight="1">
      <c r="A21866" s="35"/>
      <c r="C21866" s="442"/>
      <c r="P21866" s="235"/>
      <c r="AI21866" s="38"/>
    </row>
    <row r="21867" ht="15.75" customHeight="1">
      <c r="A21867" s="35"/>
      <c r="C21867" s="442"/>
      <c r="P21867" s="235"/>
      <c r="AI21867" s="38"/>
    </row>
    <row r="21868" ht="15.75" customHeight="1">
      <c r="A21868" s="35"/>
      <c r="C21868" s="442"/>
      <c r="P21868" s="235"/>
      <c r="AI21868" s="38"/>
    </row>
    <row r="21869" ht="15.75" customHeight="1">
      <c r="A21869" s="35"/>
      <c r="C21869" s="442"/>
      <c r="P21869" s="235"/>
      <c r="AI21869" s="38"/>
    </row>
    <row r="21870" ht="15.75" customHeight="1">
      <c r="A21870" s="35"/>
      <c r="C21870" s="442"/>
      <c r="P21870" s="235"/>
      <c r="AI21870" s="38"/>
    </row>
    <row r="21871" ht="15.75" customHeight="1">
      <c r="A21871" s="35"/>
      <c r="C21871" s="442"/>
      <c r="P21871" s="235"/>
      <c r="AI21871" s="38"/>
    </row>
    <row r="21872" ht="15.75" customHeight="1">
      <c r="A21872" s="35"/>
      <c r="C21872" s="442"/>
      <c r="P21872" s="235"/>
      <c r="AI21872" s="38"/>
    </row>
    <row r="21873" ht="15.75" customHeight="1">
      <c r="A21873" s="35"/>
      <c r="C21873" s="442"/>
      <c r="P21873" s="235"/>
      <c r="AI21873" s="38"/>
    </row>
    <row r="21874" ht="15.75" customHeight="1">
      <c r="A21874" s="35"/>
      <c r="C21874" s="442"/>
      <c r="P21874" s="235"/>
      <c r="AI21874" s="38"/>
    </row>
    <row r="21875" ht="15.75" customHeight="1">
      <c r="A21875" s="35"/>
      <c r="C21875" s="442"/>
      <c r="P21875" s="235"/>
      <c r="AI21875" s="38"/>
    </row>
    <row r="21876" ht="15.75" customHeight="1">
      <c r="A21876" s="35"/>
      <c r="C21876" s="442"/>
      <c r="P21876" s="235"/>
      <c r="AI21876" s="38"/>
    </row>
    <row r="21877" ht="15.75" customHeight="1">
      <c r="A21877" s="35"/>
      <c r="C21877" s="442"/>
      <c r="P21877" s="235"/>
      <c r="AI21877" s="38"/>
    </row>
    <row r="21878" ht="15.75" customHeight="1">
      <c r="A21878" s="35"/>
      <c r="C21878" s="442"/>
      <c r="P21878" s="235"/>
      <c r="AI21878" s="38"/>
    </row>
    <row r="21879" ht="15.75" customHeight="1">
      <c r="A21879" s="35"/>
      <c r="C21879" s="442"/>
      <c r="P21879" s="235"/>
      <c r="AI21879" s="38"/>
    </row>
    <row r="21880" ht="15.75" customHeight="1">
      <c r="A21880" s="35"/>
      <c r="C21880" s="442"/>
      <c r="P21880" s="235"/>
      <c r="AI21880" s="38"/>
    </row>
    <row r="21881" ht="15.75" customHeight="1">
      <c r="A21881" s="35"/>
      <c r="C21881" s="442"/>
      <c r="P21881" s="235"/>
      <c r="AI21881" s="38"/>
    </row>
    <row r="21882" ht="15.75" customHeight="1">
      <c r="A21882" s="35"/>
      <c r="C21882" s="442"/>
      <c r="P21882" s="235"/>
      <c r="AI21882" s="38"/>
    </row>
    <row r="21883" ht="15.75" customHeight="1">
      <c r="A21883" s="35"/>
      <c r="C21883" s="442"/>
      <c r="P21883" s="235"/>
      <c r="AI21883" s="38"/>
    </row>
    <row r="21884" ht="15.75" customHeight="1">
      <c r="A21884" s="35"/>
      <c r="C21884" s="442"/>
      <c r="P21884" s="235"/>
      <c r="AI21884" s="38"/>
    </row>
    <row r="21885" ht="15.75" customHeight="1">
      <c r="A21885" s="35"/>
      <c r="C21885" s="442"/>
      <c r="P21885" s="235"/>
      <c r="AI21885" s="38"/>
    </row>
    <row r="21886" ht="15.75" customHeight="1">
      <c r="A21886" s="35"/>
      <c r="C21886" s="442"/>
      <c r="P21886" s="235"/>
      <c r="AI21886" s="38"/>
    </row>
    <row r="21887" ht="15.75" customHeight="1">
      <c r="A21887" s="35"/>
      <c r="C21887" s="442"/>
      <c r="P21887" s="235"/>
      <c r="AI21887" s="38"/>
    </row>
    <row r="21888" ht="15.75" customHeight="1">
      <c r="A21888" s="35"/>
      <c r="C21888" s="442"/>
      <c r="P21888" s="235"/>
      <c r="AI21888" s="38"/>
    </row>
    <row r="21889" ht="15.75" customHeight="1">
      <c r="A21889" s="35"/>
      <c r="C21889" s="442"/>
      <c r="P21889" s="235"/>
      <c r="AI21889" s="38"/>
    </row>
    <row r="21890" ht="15.75" customHeight="1">
      <c r="A21890" s="35"/>
      <c r="C21890" s="442"/>
      <c r="P21890" s="235"/>
      <c r="AI21890" s="38"/>
    </row>
    <row r="21891" ht="15.75" customHeight="1">
      <c r="A21891" s="35"/>
      <c r="C21891" s="442"/>
      <c r="P21891" s="235"/>
      <c r="AI21891" s="38"/>
    </row>
    <row r="21892" ht="15.75" customHeight="1">
      <c r="A21892" s="35"/>
      <c r="C21892" s="442"/>
      <c r="P21892" s="235"/>
      <c r="AI21892" s="38"/>
    </row>
    <row r="21893" ht="15.75" customHeight="1">
      <c r="A21893" s="35"/>
      <c r="C21893" s="442"/>
      <c r="P21893" s="235"/>
      <c r="AI21893" s="38"/>
    </row>
    <row r="21894" ht="15.75" customHeight="1">
      <c r="A21894" s="35"/>
      <c r="C21894" s="442"/>
      <c r="P21894" s="235"/>
      <c r="AI21894" s="38"/>
    </row>
    <row r="21895" ht="15.75" customHeight="1">
      <c r="A21895" s="35"/>
      <c r="C21895" s="442"/>
      <c r="P21895" s="235"/>
      <c r="AI21895" s="38"/>
    </row>
    <row r="21896" ht="15.75" customHeight="1">
      <c r="A21896" s="35"/>
      <c r="C21896" s="442"/>
      <c r="P21896" s="235"/>
      <c r="AI21896" s="38"/>
    </row>
    <row r="21897" ht="15.75" customHeight="1">
      <c r="A21897" s="35"/>
      <c r="C21897" s="442"/>
      <c r="P21897" s="235"/>
      <c r="AI21897" s="38"/>
    </row>
    <row r="21898" ht="15.75" customHeight="1">
      <c r="A21898" s="35"/>
      <c r="C21898" s="442"/>
      <c r="P21898" s="235"/>
      <c r="AI21898" s="38"/>
    </row>
    <row r="21899" ht="15.75" customHeight="1">
      <c r="A21899" s="35"/>
      <c r="C21899" s="442"/>
      <c r="P21899" s="235"/>
      <c r="AI21899" s="38"/>
    </row>
    <row r="21900" ht="15.75" customHeight="1">
      <c r="A21900" s="35"/>
      <c r="C21900" s="442"/>
      <c r="P21900" s="235"/>
      <c r="AI21900" s="38"/>
    </row>
    <row r="21901" ht="15.75" customHeight="1">
      <c r="A21901" s="35"/>
      <c r="C21901" s="442"/>
      <c r="P21901" s="235"/>
      <c r="AI21901" s="38"/>
    </row>
    <row r="21902" ht="15.75" customHeight="1">
      <c r="A21902" s="35"/>
      <c r="C21902" s="442"/>
      <c r="P21902" s="235"/>
      <c r="AI21902" s="38"/>
    </row>
    <row r="21903" ht="15.75" customHeight="1">
      <c r="A21903" s="35"/>
      <c r="C21903" s="442"/>
      <c r="P21903" s="235"/>
      <c r="AI21903" s="38"/>
    </row>
    <row r="21904" ht="15.75" customHeight="1">
      <c r="A21904" s="35"/>
      <c r="C21904" s="442"/>
      <c r="P21904" s="235"/>
      <c r="AI21904" s="38"/>
    </row>
    <row r="21905" ht="15.75" customHeight="1">
      <c r="A21905" s="35"/>
      <c r="C21905" s="442"/>
      <c r="P21905" s="235"/>
      <c r="AI21905" s="38"/>
    </row>
    <row r="21906" ht="15.75" customHeight="1">
      <c r="A21906" s="35"/>
      <c r="C21906" s="442"/>
      <c r="P21906" s="235"/>
      <c r="AI21906" s="38"/>
    </row>
    <row r="21907" ht="15.75" customHeight="1">
      <c r="A21907" s="35"/>
      <c r="C21907" s="442"/>
      <c r="P21907" s="235"/>
      <c r="AI21907" s="38"/>
    </row>
    <row r="21908" ht="15.75" customHeight="1">
      <c r="A21908" s="35"/>
      <c r="C21908" s="442"/>
      <c r="P21908" s="235"/>
      <c r="AI21908" s="38"/>
    </row>
    <row r="21909" ht="15.75" customHeight="1">
      <c r="A21909" s="35"/>
      <c r="C21909" s="442"/>
      <c r="P21909" s="235"/>
      <c r="AI21909" s="38"/>
    </row>
    <row r="21910" ht="15.75" customHeight="1">
      <c r="A21910" s="35"/>
      <c r="C21910" s="442"/>
      <c r="P21910" s="235"/>
      <c r="AI21910" s="38"/>
    </row>
    <row r="21911" ht="15.75" customHeight="1">
      <c r="A21911" s="35"/>
      <c r="C21911" s="442"/>
      <c r="P21911" s="235"/>
      <c r="AI21911" s="38"/>
    </row>
    <row r="21912" ht="15.75" customHeight="1">
      <c r="A21912" s="35"/>
      <c r="C21912" s="442"/>
      <c r="P21912" s="235"/>
      <c r="AI21912" s="38"/>
    </row>
    <row r="21913" ht="15.75" customHeight="1">
      <c r="A21913" s="35"/>
      <c r="C21913" s="442"/>
      <c r="P21913" s="235"/>
      <c r="AI21913" s="38"/>
    </row>
    <row r="21914" ht="15.75" customHeight="1">
      <c r="A21914" s="35"/>
      <c r="C21914" s="442"/>
      <c r="P21914" s="235"/>
      <c r="AI21914" s="38"/>
    </row>
    <row r="21915" ht="15.75" customHeight="1">
      <c r="A21915" s="35"/>
      <c r="C21915" s="442"/>
      <c r="P21915" s="235"/>
      <c r="AI21915" s="38"/>
    </row>
    <row r="21916" ht="15.75" customHeight="1">
      <c r="A21916" s="35"/>
      <c r="C21916" s="442"/>
      <c r="P21916" s="235"/>
      <c r="AI21916" s="38"/>
    </row>
    <row r="21917" ht="15.75" customHeight="1">
      <c r="A21917" s="35"/>
      <c r="C21917" s="442"/>
      <c r="P21917" s="235"/>
      <c r="AI21917" s="38"/>
    </row>
    <row r="21918" ht="15.75" customHeight="1">
      <c r="A21918" s="35"/>
      <c r="C21918" s="442"/>
      <c r="P21918" s="235"/>
      <c r="AI21918" s="38"/>
    </row>
    <row r="21919" ht="15.75" customHeight="1">
      <c r="A21919" s="35"/>
      <c r="C21919" s="442"/>
      <c r="P21919" s="235"/>
      <c r="AI21919" s="38"/>
    </row>
    <row r="21920" ht="15.75" customHeight="1">
      <c r="A21920" s="35"/>
      <c r="C21920" s="442"/>
      <c r="P21920" s="235"/>
      <c r="AI21920" s="38"/>
    </row>
    <row r="21921" ht="15.75" customHeight="1">
      <c r="A21921" s="35"/>
      <c r="C21921" s="442"/>
      <c r="P21921" s="235"/>
      <c r="AI21921" s="38"/>
    </row>
    <row r="21922" ht="15.75" customHeight="1">
      <c r="A21922" s="35"/>
      <c r="C21922" s="442"/>
      <c r="P21922" s="235"/>
      <c r="AI21922" s="38"/>
    </row>
    <row r="21923" ht="15.75" customHeight="1">
      <c r="A21923" s="35"/>
      <c r="C21923" s="442"/>
      <c r="P21923" s="235"/>
      <c r="AI21923" s="38"/>
    </row>
    <row r="21924" ht="15.75" customHeight="1">
      <c r="A21924" s="35"/>
      <c r="C21924" s="442"/>
      <c r="P21924" s="235"/>
      <c r="AI21924" s="38"/>
    </row>
    <row r="21925" ht="15.75" customHeight="1">
      <c r="A21925" s="35"/>
      <c r="C21925" s="442"/>
      <c r="P21925" s="235"/>
      <c r="AI21925" s="38"/>
    </row>
    <row r="21926" ht="15.75" customHeight="1">
      <c r="A21926" s="35"/>
      <c r="C21926" s="442"/>
      <c r="P21926" s="235"/>
      <c r="AI21926" s="38"/>
    </row>
    <row r="21927" ht="15.75" customHeight="1">
      <c r="A21927" s="35"/>
      <c r="C21927" s="442"/>
      <c r="P21927" s="235"/>
      <c r="AI21927" s="38"/>
    </row>
    <row r="21928" ht="15.75" customHeight="1">
      <c r="A21928" s="35"/>
      <c r="C21928" s="442"/>
      <c r="P21928" s="235"/>
      <c r="AI21928" s="38"/>
    </row>
    <row r="21929" ht="15.75" customHeight="1">
      <c r="A21929" s="35"/>
      <c r="C21929" s="442"/>
      <c r="P21929" s="235"/>
      <c r="AI21929" s="38"/>
    </row>
    <row r="21930" ht="15.75" customHeight="1">
      <c r="A21930" s="35"/>
      <c r="C21930" s="442"/>
      <c r="P21930" s="235"/>
      <c r="AI21930" s="38"/>
    </row>
    <row r="21931" ht="15.75" customHeight="1">
      <c r="A21931" s="35"/>
      <c r="C21931" s="442"/>
      <c r="P21931" s="235"/>
      <c r="AI21931" s="38"/>
    </row>
    <row r="21932" ht="15.75" customHeight="1">
      <c r="A21932" s="35"/>
      <c r="C21932" s="442"/>
      <c r="P21932" s="235"/>
      <c r="AI21932" s="38"/>
    </row>
    <row r="21933" ht="15.75" customHeight="1">
      <c r="A21933" s="35"/>
      <c r="C21933" s="442"/>
      <c r="P21933" s="235"/>
      <c r="AI21933" s="38"/>
    </row>
    <row r="21934" ht="15.75" customHeight="1">
      <c r="A21934" s="35"/>
      <c r="C21934" s="442"/>
      <c r="P21934" s="235"/>
      <c r="AI21934" s="38"/>
    </row>
    <row r="21935" ht="15.75" customHeight="1">
      <c r="A21935" s="35"/>
      <c r="C21935" s="442"/>
      <c r="P21935" s="235"/>
      <c r="AI21935" s="38"/>
    </row>
    <row r="21936" ht="15.75" customHeight="1">
      <c r="A21936" s="35"/>
      <c r="C21936" s="442"/>
      <c r="P21936" s="235"/>
      <c r="AI21936" s="38"/>
    </row>
    <row r="21937" ht="15.75" customHeight="1">
      <c r="A21937" s="35"/>
      <c r="C21937" s="442"/>
      <c r="P21937" s="235"/>
      <c r="AI21937" s="38"/>
    </row>
    <row r="21938" ht="15.75" customHeight="1">
      <c r="A21938" s="35"/>
      <c r="C21938" s="442"/>
      <c r="P21938" s="235"/>
      <c r="AI21938" s="38"/>
    </row>
    <row r="21939" ht="15.75" customHeight="1">
      <c r="A21939" s="35"/>
      <c r="C21939" s="442"/>
      <c r="P21939" s="235"/>
      <c r="AI21939" s="38"/>
    </row>
    <row r="21940" ht="15.75" customHeight="1">
      <c r="A21940" s="35"/>
      <c r="C21940" s="442"/>
      <c r="P21940" s="235"/>
      <c r="AI21940" s="38"/>
    </row>
    <row r="21941" ht="15.75" customHeight="1">
      <c r="A21941" s="35"/>
      <c r="C21941" s="442"/>
      <c r="P21941" s="235"/>
      <c r="AI21941" s="38"/>
    </row>
    <row r="21942" ht="15.75" customHeight="1">
      <c r="A21942" s="35"/>
      <c r="C21942" s="442"/>
      <c r="P21942" s="235"/>
      <c r="AI21942" s="38"/>
    </row>
    <row r="21943" ht="15.75" customHeight="1">
      <c r="A21943" s="35"/>
      <c r="C21943" s="442"/>
      <c r="P21943" s="235"/>
      <c r="AI21943" s="38"/>
    </row>
    <row r="21944" ht="15.75" customHeight="1">
      <c r="A21944" s="35"/>
      <c r="C21944" s="442"/>
      <c r="P21944" s="235"/>
      <c r="AI21944" s="38"/>
    </row>
    <row r="21945" ht="15.75" customHeight="1">
      <c r="A21945" s="35"/>
      <c r="C21945" s="442"/>
      <c r="P21945" s="235"/>
      <c r="AI21945" s="38"/>
    </row>
    <row r="21946" ht="15.75" customHeight="1">
      <c r="A21946" s="35"/>
      <c r="C21946" s="442"/>
      <c r="P21946" s="235"/>
      <c r="AI21946" s="38"/>
    </row>
    <row r="21947" ht="15.75" customHeight="1">
      <c r="A21947" s="35"/>
      <c r="C21947" s="442"/>
      <c r="P21947" s="235"/>
      <c r="AI21947" s="38"/>
    </row>
    <row r="21948" ht="15.75" customHeight="1">
      <c r="A21948" s="35"/>
      <c r="C21948" s="442"/>
      <c r="P21948" s="235"/>
      <c r="AI21948" s="38"/>
    </row>
    <row r="21949" ht="15.75" customHeight="1">
      <c r="A21949" s="35"/>
      <c r="C21949" s="442"/>
      <c r="P21949" s="235"/>
      <c r="AI21949" s="38"/>
    </row>
    <row r="21950" ht="15.75" customHeight="1">
      <c r="A21950" s="35"/>
      <c r="C21950" s="442"/>
      <c r="P21950" s="235"/>
      <c r="AI21950" s="38"/>
    </row>
    <row r="21951" ht="15.75" customHeight="1">
      <c r="A21951" s="35"/>
      <c r="C21951" s="442"/>
      <c r="P21951" s="235"/>
      <c r="AI21951" s="38"/>
    </row>
    <row r="21952" ht="15.75" customHeight="1">
      <c r="A21952" s="35"/>
      <c r="C21952" s="442"/>
      <c r="P21952" s="235"/>
      <c r="AI21952" s="38"/>
    </row>
    <row r="21953" ht="15.75" customHeight="1">
      <c r="A21953" s="35"/>
      <c r="C21953" s="442"/>
      <c r="P21953" s="235"/>
      <c r="AI21953" s="38"/>
    </row>
    <row r="21954" ht="15.75" customHeight="1">
      <c r="A21954" s="35"/>
      <c r="C21954" s="442"/>
      <c r="P21954" s="235"/>
      <c r="AI21954" s="38"/>
    </row>
    <row r="21955" ht="15.75" customHeight="1">
      <c r="A21955" s="35"/>
      <c r="C21955" s="442"/>
      <c r="P21955" s="235"/>
      <c r="AI21955" s="38"/>
    </row>
    <row r="21956" ht="15.75" customHeight="1">
      <c r="A21956" s="35"/>
      <c r="C21956" s="442"/>
      <c r="P21956" s="235"/>
      <c r="AI21956" s="38"/>
    </row>
    <row r="21957" ht="15.75" customHeight="1">
      <c r="A21957" s="35"/>
      <c r="C21957" s="442"/>
      <c r="P21957" s="235"/>
      <c r="AI21957" s="38"/>
    </row>
    <row r="21958" ht="15.75" customHeight="1">
      <c r="A21958" s="35"/>
      <c r="C21958" s="442"/>
      <c r="P21958" s="235"/>
      <c r="AI21958" s="38"/>
    </row>
    <row r="21959" ht="15.75" customHeight="1">
      <c r="A21959" s="35"/>
      <c r="C21959" s="442"/>
      <c r="P21959" s="235"/>
      <c r="AI21959" s="38"/>
    </row>
    <row r="21960" ht="15.75" customHeight="1">
      <c r="A21960" s="35"/>
      <c r="C21960" s="442"/>
      <c r="P21960" s="235"/>
      <c r="AI21960" s="38"/>
    </row>
    <row r="21961" ht="15.75" customHeight="1">
      <c r="A21961" s="35"/>
      <c r="C21961" s="442"/>
      <c r="P21961" s="235"/>
      <c r="AI21961" s="38"/>
    </row>
    <row r="21962" ht="15.75" customHeight="1">
      <c r="A21962" s="35"/>
      <c r="C21962" s="442"/>
      <c r="P21962" s="235"/>
      <c r="AI21962" s="38"/>
    </row>
    <row r="21963" ht="15.75" customHeight="1">
      <c r="A21963" s="35"/>
      <c r="C21963" s="442"/>
      <c r="P21963" s="235"/>
      <c r="AI21963" s="38"/>
    </row>
    <row r="21964" ht="15.75" customHeight="1">
      <c r="A21964" s="35"/>
      <c r="C21964" s="442"/>
      <c r="P21964" s="235"/>
      <c r="AI21964" s="38"/>
    </row>
    <row r="21965" ht="15.75" customHeight="1">
      <c r="A21965" s="35"/>
      <c r="C21965" s="442"/>
      <c r="P21965" s="235"/>
      <c r="AI21965" s="38"/>
    </row>
    <row r="21966" ht="15.75" customHeight="1">
      <c r="A21966" s="35"/>
      <c r="C21966" s="442"/>
      <c r="P21966" s="235"/>
      <c r="AI21966" s="38"/>
    </row>
    <row r="21967" ht="15.75" customHeight="1">
      <c r="A21967" s="35"/>
      <c r="C21967" s="442"/>
      <c r="P21967" s="235"/>
      <c r="AI21967" s="38"/>
    </row>
    <row r="21968" ht="15.75" customHeight="1">
      <c r="A21968" s="35"/>
      <c r="C21968" s="442"/>
      <c r="P21968" s="235"/>
      <c r="AI21968" s="38"/>
    </row>
    <row r="21969" ht="15.75" customHeight="1">
      <c r="A21969" s="35"/>
      <c r="C21969" s="442"/>
      <c r="P21969" s="235"/>
      <c r="AI21969" s="38"/>
    </row>
    <row r="21970" ht="15.75" customHeight="1">
      <c r="A21970" s="35"/>
      <c r="C21970" s="442"/>
      <c r="P21970" s="235"/>
      <c r="AI21970" s="38"/>
    </row>
    <row r="21971" ht="15.75" customHeight="1">
      <c r="A21971" s="35"/>
      <c r="C21971" s="442"/>
      <c r="P21971" s="235"/>
      <c r="AI21971" s="38"/>
    </row>
    <row r="21972" ht="15.75" customHeight="1">
      <c r="A21972" s="35"/>
      <c r="C21972" s="442"/>
      <c r="P21972" s="235"/>
      <c r="AI21972" s="38"/>
    </row>
    <row r="21973" ht="15.75" customHeight="1">
      <c r="A21973" s="35"/>
      <c r="C21973" s="442"/>
      <c r="P21973" s="235"/>
      <c r="AI21973" s="38"/>
    </row>
    <row r="21974" ht="15.75" customHeight="1">
      <c r="A21974" s="35"/>
      <c r="C21974" s="442"/>
      <c r="P21974" s="235"/>
      <c r="AI21974" s="38"/>
    </row>
    <row r="21975" ht="15.75" customHeight="1">
      <c r="A21975" s="35"/>
      <c r="C21975" s="442"/>
      <c r="P21975" s="235"/>
      <c r="AI21975" s="38"/>
    </row>
    <row r="21976" ht="15.75" customHeight="1">
      <c r="A21976" s="35"/>
      <c r="C21976" s="442"/>
      <c r="P21976" s="235"/>
      <c r="AI21976" s="38"/>
    </row>
    <row r="21977" ht="15.75" customHeight="1">
      <c r="A21977" s="35"/>
      <c r="C21977" s="442"/>
      <c r="P21977" s="235"/>
      <c r="AI21977" s="38"/>
    </row>
    <row r="21978" ht="15.75" customHeight="1">
      <c r="A21978" s="35"/>
      <c r="C21978" s="442"/>
      <c r="P21978" s="235"/>
      <c r="AI21978" s="38"/>
    </row>
    <row r="21979" ht="15.75" customHeight="1">
      <c r="A21979" s="35"/>
      <c r="C21979" s="442"/>
      <c r="P21979" s="235"/>
      <c r="AI21979" s="38"/>
    </row>
    <row r="21980" ht="15.75" customHeight="1">
      <c r="A21980" s="35"/>
      <c r="C21980" s="442"/>
      <c r="P21980" s="235"/>
      <c r="AI21980" s="38"/>
    </row>
    <row r="21981" ht="15.75" customHeight="1">
      <c r="A21981" s="35"/>
      <c r="C21981" s="442"/>
      <c r="P21981" s="235"/>
      <c r="AI21981" s="38"/>
    </row>
    <row r="21982" ht="15.75" customHeight="1">
      <c r="A21982" s="35"/>
      <c r="C21982" s="442"/>
      <c r="P21982" s="235"/>
      <c r="AI21982" s="38"/>
    </row>
    <row r="21983" ht="15.75" customHeight="1">
      <c r="A21983" s="35"/>
      <c r="C21983" s="442"/>
      <c r="P21983" s="235"/>
      <c r="AI21983" s="38"/>
    </row>
    <row r="21984" ht="15.75" customHeight="1">
      <c r="A21984" s="35"/>
      <c r="C21984" s="442"/>
      <c r="P21984" s="235"/>
      <c r="AI21984" s="38"/>
    </row>
    <row r="21985" ht="15.75" customHeight="1">
      <c r="A21985" s="35"/>
      <c r="C21985" s="442"/>
      <c r="P21985" s="235"/>
      <c r="AI21985" s="38"/>
    </row>
    <row r="21986" ht="15.75" customHeight="1">
      <c r="A21986" s="35"/>
      <c r="C21986" s="442"/>
      <c r="P21986" s="235"/>
      <c r="AI21986" s="38"/>
    </row>
    <row r="21987" ht="15.75" customHeight="1">
      <c r="A21987" s="35"/>
      <c r="C21987" s="442"/>
      <c r="P21987" s="235"/>
      <c r="AI21987" s="38"/>
    </row>
    <row r="21988" ht="15.75" customHeight="1">
      <c r="A21988" s="35"/>
      <c r="C21988" s="442"/>
      <c r="P21988" s="235"/>
      <c r="AI21988" s="38"/>
    </row>
    <row r="21989" ht="15.75" customHeight="1">
      <c r="A21989" s="35"/>
      <c r="C21989" s="442"/>
      <c r="P21989" s="235"/>
      <c r="AI21989" s="38"/>
    </row>
    <row r="21990" ht="15.75" customHeight="1">
      <c r="A21990" s="35"/>
      <c r="C21990" s="442"/>
      <c r="P21990" s="235"/>
      <c r="AI21990" s="38"/>
    </row>
    <row r="21991" ht="15.75" customHeight="1">
      <c r="A21991" s="35"/>
      <c r="C21991" s="442"/>
      <c r="P21991" s="235"/>
      <c r="AI21991" s="38"/>
    </row>
    <row r="21992" ht="15.75" customHeight="1">
      <c r="A21992" s="35"/>
      <c r="C21992" s="442"/>
      <c r="P21992" s="235"/>
      <c r="AI21992" s="38"/>
    </row>
    <row r="21993" ht="15.75" customHeight="1">
      <c r="A21993" s="35"/>
      <c r="C21993" s="442"/>
      <c r="P21993" s="235"/>
      <c r="AI21993" s="38"/>
    </row>
    <row r="21994" ht="15.75" customHeight="1">
      <c r="A21994" s="35"/>
      <c r="C21994" s="442"/>
      <c r="P21994" s="235"/>
      <c r="AI21994" s="38"/>
    </row>
    <row r="21995" ht="15.75" customHeight="1">
      <c r="A21995" s="35"/>
      <c r="C21995" s="442"/>
      <c r="P21995" s="235"/>
      <c r="AI21995" s="38"/>
    </row>
    <row r="21996" ht="15.75" customHeight="1">
      <c r="A21996" s="35"/>
      <c r="C21996" s="442"/>
      <c r="P21996" s="235"/>
      <c r="AI21996" s="38"/>
    </row>
    <row r="21997" ht="15.75" customHeight="1">
      <c r="A21997" s="35"/>
      <c r="C21997" s="442"/>
      <c r="P21997" s="235"/>
      <c r="AI21997" s="38"/>
    </row>
    <row r="21998" ht="15.75" customHeight="1">
      <c r="A21998" s="35"/>
      <c r="C21998" s="442"/>
      <c r="P21998" s="235"/>
      <c r="AI21998" s="38"/>
    </row>
    <row r="21999" ht="15.75" customHeight="1">
      <c r="A21999" s="35"/>
      <c r="C21999" s="442"/>
      <c r="P21999" s="235"/>
      <c r="AI21999" s="38"/>
    </row>
    <row r="22000" ht="15.75" customHeight="1">
      <c r="A22000" s="35"/>
      <c r="C22000" s="442"/>
      <c r="P22000" s="235"/>
      <c r="AI22000" s="38"/>
    </row>
    <row r="22001" ht="15.75" customHeight="1">
      <c r="A22001" s="35"/>
      <c r="C22001" s="442"/>
      <c r="P22001" s="235"/>
      <c r="AI22001" s="38"/>
    </row>
    <row r="22002" ht="15.75" customHeight="1">
      <c r="A22002" s="35"/>
      <c r="C22002" s="442"/>
      <c r="P22002" s="235"/>
      <c r="AI22002" s="38"/>
    </row>
    <row r="22003" ht="15.75" customHeight="1">
      <c r="A22003" s="35"/>
      <c r="C22003" s="442"/>
      <c r="P22003" s="235"/>
      <c r="AI22003" s="38"/>
    </row>
    <row r="22004" ht="15.75" customHeight="1">
      <c r="A22004" s="35"/>
      <c r="C22004" s="442"/>
      <c r="P22004" s="235"/>
      <c r="AI22004" s="38"/>
    </row>
    <row r="22005" ht="15.75" customHeight="1">
      <c r="A22005" s="35"/>
      <c r="C22005" s="442"/>
      <c r="P22005" s="235"/>
      <c r="AI22005" s="38"/>
    </row>
    <row r="22006" ht="15.75" customHeight="1">
      <c r="A22006" s="35"/>
      <c r="C22006" s="442"/>
      <c r="P22006" s="235"/>
      <c r="AI22006" s="38"/>
    </row>
    <row r="22007" ht="15.75" customHeight="1">
      <c r="A22007" s="35"/>
      <c r="C22007" s="442"/>
      <c r="P22007" s="235"/>
      <c r="AI22007" s="38"/>
    </row>
    <row r="22008" ht="15.75" customHeight="1">
      <c r="A22008" s="35"/>
      <c r="C22008" s="442"/>
      <c r="P22008" s="235"/>
      <c r="AI22008" s="38"/>
    </row>
    <row r="22009" ht="15.75" customHeight="1">
      <c r="A22009" s="35"/>
      <c r="C22009" s="442"/>
      <c r="P22009" s="235"/>
      <c r="AI22009" s="38"/>
    </row>
    <row r="22010" ht="15.75" customHeight="1">
      <c r="A22010" s="35"/>
      <c r="C22010" s="442"/>
      <c r="P22010" s="235"/>
      <c r="AI22010" s="38"/>
    </row>
    <row r="22011" ht="15.75" customHeight="1">
      <c r="A22011" s="35"/>
      <c r="C22011" s="442"/>
      <c r="P22011" s="235"/>
      <c r="AI22011" s="38"/>
    </row>
    <row r="22012" ht="15.75" customHeight="1">
      <c r="A22012" s="35"/>
      <c r="C22012" s="442"/>
      <c r="P22012" s="235"/>
      <c r="AI22012" s="38"/>
    </row>
    <row r="22013" ht="15.75" customHeight="1">
      <c r="A22013" s="35"/>
      <c r="C22013" s="442"/>
      <c r="P22013" s="235"/>
      <c r="AI22013" s="38"/>
    </row>
    <row r="22014" ht="15.75" customHeight="1">
      <c r="A22014" s="35"/>
      <c r="C22014" s="442"/>
      <c r="P22014" s="235"/>
      <c r="AI22014" s="38"/>
    </row>
    <row r="22015" ht="15.75" customHeight="1">
      <c r="A22015" s="35"/>
      <c r="C22015" s="442"/>
      <c r="P22015" s="235"/>
      <c r="AI22015" s="38"/>
    </row>
    <row r="22016" ht="15.75" customHeight="1">
      <c r="A22016" s="35"/>
      <c r="C22016" s="442"/>
      <c r="P22016" s="235"/>
      <c r="AI22016" s="38"/>
    </row>
    <row r="22017" ht="15.75" customHeight="1">
      <c r="A22017" s="35"/>
      <c r="C22017" s="442"/>
      <c r="P22017" s="235"/>
      <c r="AI22017" s="38"/>
    </row>
    <row r="22018" ht="15.75" customHeight="1">
      <c r="A22018" s="35"/>
      <c r="C22018" s="442"/>
      <c r="P22018" s="235"/>
      <c r="AI22018" s="38"/>
    </row>
    <row r="22019" ht="15.75" customHeight="1">
      <c r="A22019" s="35"/>
      <c r="C22019" s="442"/>
      <c r="P22019" s="235"/>
      <c r="AI22019" s="38"/>
    </row>
    <row r="22020" ht="15.75" customHeight="1">
      <c r="A22020" s="35"/>
      <c r="C22020" s="442"/>
      <c r="P22020" s="235"/>
      <c r="AI22020" s="38"/>
    </row>
    <row r="22021" ht="15.75" customHeight="1">
      <c r="A22021" s="35"/>
      <c r="C22021" s="442"/>
      <c r="P22021" s="235"/>
      <c r="AI22021" s="38"/>
    </row>
    <row r="22022" ht="15.75" customHeight="1">
      <c r="A22022" s="35"/>
      <c r="C22022" s="442"/>
      <c r="P22022" s="235"/>
      <c r="AI22022" s="38"/>
    </row>
    <row r="22023" ht="15.75" customHeight="1">
      <c r="A22023" s="35"/>
      <c r="C22023" s="442"/>
      <c r="P22023" s="235"/>
      <c r="AI22023" s="38"/>
    </row>
    <row r="22024" ht="15.75" customHeight="1">
      <c r="A22024" s="35"/>
      <c r="C22024" s="442"/>
      <c r="P22024" s="235"/>
      <c r="AI22024" s="38"/>
    </row>
    <row r="22025" ht="15.75" customHeight="1">
      <c r="A22025" s="35"/>
      <c r="C22025" s="442"/>
      <c r="P22025" s="235"/>
      <c r="AI22025" s="38"/>
    </row>
    <row r="22026" ht="15.75" customHeight="1">
      <c r="A22026" s="35"/>
      <c r="C22026" s="442"/>
      <c r="P22026" s="235"/>
      <c r="AI22026" s="38"/>
    </row>
    <row r="22027" ht="15.75" customHeight="1">
      <c r="A22027" s="35"/>
      <c r="C22027" s="442"/>
      <c r="P22027" s="235"/>
      <c r="AI22027" s="38"/>
    </row>
    <row r="22028" ht="15.75" customHeight="1">
      <c r="A22028" s="35"/>
      <c r="C22028" s="442"/>
      <c r="P22028" s="235"/>
      <c r="AI22028" s="38"/>
    </row>
    <row r="22029" ht="15.75" customHeight="1">
      <c r="A22029" s="35"/>
      <c r="C22029" s="442"/>
      <c r="P22029" s="235"/>
      <c r="AI22029" s="38"/>
    </row>
    <row r="22030" ht="15.75" customHeight="1">
      <c r="A22030" s="35"/>
      <c r="C22030" s="442"/>
      <c r="P22030" s="235"/>
      <c r="AI22030" s="38"/>
    </row>
    <row r="22031" ht="15.75" customHeight="1">
      <c r="A22031" s="35"/>
      <c r="C22031" s="442"/>
      <c r="P22031" s="235"/>
      <c r="AI22031" s="38"/>
    </row>
    <row r="22032" ht="15.75" customHeight="1">
      <c r="A22032" s="35"/>
      <c r="C22032" s="442"/>
      <c r="P22032" s="235"/>
      <c r="AI22032" s="38"/>
    </row>
    <row r="22033" ht="15.75" customHeight="1">
      <c r="A22033" s="35"/>
      <c r="C22033" s="442"/>
      <c r="P22033" s="235"/>
      <c r="AI22033" s="38"/>
    </row>
    <row r="22034" ht="15.75" customHeight="1">
      <c r="A22034" s="35"/>
      <c r="C22034" s="442"/>
      <c r="P22034" s="235"/>
      <c r="AI22034" s="38"/>
    </row>
    <row r="22035" ht="15.75" customHeight="1">
      <c r="A22035" s="35"/>
      <c r="C22035" s="442"/>
      <c r="P22035" s="235"/>
      <c r="AI22035" s="38"/>
    </row>
    <row r="22036" ht="15.75" customHeight="1">
      <c r="A22036" s="35"/>
      <c r="C22036" s="442"/>
      <c r="P22036" s="235"/>
      <c r="AI22036" s="38"/>
    </row>
    <row r="22037" ht="15.75" customHeight="1">
      <c r="A22037" s="35"/>
      <c r="C22037" s="442"/>
      <c r="P22037" s="235"/>
      <c r="AI22037" s="38"/>
    </row>
    <row r="22038" ht="15.75" customHeight="1">
      <c r="A22038" s="35"/>
      <c r="C22038" s="442"/>
      <c r="P22038" s="235"/>
      <c r="AI22038" s="38"/>
    </row>
    <row r="22039" ht="15.75" customHeight="1">
      <c r="A22039" s="35"/>
      <c r="C22039" s="442"/>
      <c r="P22039" s="235"/>
      <c r="AI22039" s="38"/>
    </row>
    <row r="22040" ht="15.75" customHeight="1">
      <c r="A22040" s="35"/>
      <c r="C22040" s="442"/>
      <c r="P22040" s="235"/>
      <c r="AI22040" s="38"/>
    </row>
    <row r="22041" ht="15.75" customHeight="1">
      <c r="A22041" s="35"/>
      <c r="C22041" s="442"/>
      <c r="P22041" s="235"/>
      <c r="AI22041" s="38"/>
    </row>
    <row r="22042" ht="15.75" customHeight="1">
      <c r="A22042" s="35"/>
      <c r="C22042" s="442"/>
      <c r="P22042" s="235"/>
      <c r="AI22042" s="38"/>
    </row>
    <row r="22043" ht="15.75" customHeight="1">
      <c r="A22043" s="35"/>
      <c r="C22043" s="442"/>
      <c r="P22043" s="235"/>
      <c r="AI22043" s="38"/>
    </row>
    <row r="22044" ht="15.75" customHeight="1">
      <c r="A22044" s="35"/>
      <c r="C22044" s="442"/>
      <c r="P22044" s="235"/>
      <c r="AI22044" s="38"/>
    </row>
    <row r="22045" ht="15.75" customHeight="1">
      <c r="A22045" s="35"/>
      <c r="C22045" s="442"/>
      <c r="P22045" s="235"/>
      <c r="AI22045" s="38"/>
    </row>
    <row r="22046" ht="15.75" customHeight="1">
      <c r="A22046" s="35"/>
      <c r="C22046" s="442"/>
      <c r="P22046" s="235"/>
      <c r="AI22046" s="38"/>
    </row>
    <row r="22047" ht="15.75" customHeight="1">
      <c r="A22047" s="35"/>
      <c r="C22047" s="442"/>
      <c r="P22047" s="235"/>
      <c r="AI22047" s="38"/>
    </row>
    <row r="22048" ht="15.75" customHeight="1">
      <c r="A22048" s="35"/>
      <c r="C22048" s="442"/>
      <c r="P22048" s="235"/>
      <c r="AI22048" s="38"/>
    </row>
    <row r="22049" ht="15.75" customHeight="1">
      <c r="A22049" s="35"/>
      <c r="C22049" s="442"/>
      <c r="P22049" s="235"/>
      <c r="AI22049" s="38"/>
    </row>
    <row r="22050" ht="15.75" customHeight="1">
      <c r="A22050" s="35"/>
      <c r="C22050" s="442"/>
      <c r="P22050" s="235"/>
      <c r="AI22050" s="38"/>
    </row>
    <row r="22051" ht="15.75" customHeight="1">
      <c r="A22051" s="35"/>
      <c r="C22051" s="442"/>
      <c r="P22051" s="235"/>
      <c r="AI22051" s="38"/>
    </row>
    <row r="22052" ht="15.75" customHeight="1">
      <c r="A22052" s="35"/>
      <c r="C22052" s="442"/>
      <c r="P22052" s="235"/>
      <c r="AI22052" s="38"/>
    </row>
    <row r="22053" ht="15.75" customHeight="1">
      <c r="A22053" s="35"/>
      <c r="C22053" s="442"/>
      <c r="P22053" s="235"/>
      <c r="AI22053" s="38"/>
    </row>
    <row r="22054" ht="15.75" customHeight="1">
      <c r="A22054" s="35"/>
      <c r="C22054" s="442"/>
      <c r="P22054" s="235"/>
      <c r="AI22054" s="38"/>
    </row>
    <row r="22055" ht="15.75" customHeight="1">
      <c r="A22055" s="35"/>
      <c r="C22055" s="442"/>
      <c r="P22055" s="235"/>
      <c r="AI22055" s="38"/>
    </row>
    <row r="22056" ht="15.75" customHeight="1">
      <c r="A22056" s="35"/>
      <c r="C22056" s="442"/>
      <c r="P22056" s="235"/>
      <c r="AI22056" s="38"/>
    </row>
    <row r="22057" ht="15.75" customHeight="1">
      <c r="A22057" s="35"/>
      <c r="C22057" s="442"/>
      <c r="P22057" s="235"/>
      <c r="AI22057" s="38"/>
    </row>
    <row r="22058" ht="15.75" customHeight="1">
      <c r="A22058" s="35"/>
      <c r="C22058" s="442"/>
      <c r="P22058" s="235"/>
      <c r="AI22058" s="38"/>
    </row>
    <row r="22059" ht="15.75" customHeight="1">
      <c r="A22059" s="35"/>
      <c r="C22059" s="442"/>
      <c r="P22059" s="235"/>
      <c r="AI22059" s="38"/>
    </row>
    <row r="22060" ht="15.75" customHeight="1">
      <c r="A22060" s="35"/>
      <c r="C22060" s="442"/>
      <c r="P22060" s="235"/>
      <c r="AI22060" s="38"/>
    </row>
    <row r="22061" ht="15.75" customHeight="1">
      <c r="A22061" s="35"/>
      <c r="C22061" s="442"/>
      <c r="P22061" s="235"/>
      <c r="AI22061" s="38"/>
    </row>
    <row r="22062" ht="15.75" customHeight="1">
      <c r="A22062" s="35"/>
      <c r="C22062" s="442"/>
      <c r="P22062" s="235"/>
      <c r="AI22062" s="38"/>
    </row>
    <row r="22063" ht="15.75" customHeight="1">
      <c r="A22063" s="35"/>
      <c r="C22063" s="442"/>
      <c r="P22063" s="235"/>
      <c r="AI22063" s="38"/>
    </row>
    <row r="22064" ht="15.75" customHeight="1">
      <c r="A22064" s="35"/>
      <c r="C22064" s="442"/>
      <c r="P22064" s="235"/>
      <c r="AI22064" s="38"/>
    </row>
    <row r="22065" ht="15.75" customHeight="1">
      <c r="A22065" s="35"/>
      <c r="C22065" s="442"/>
      <c r="P22065" s="235"/>
      <c r="AI22065" s="38"/>
    </row>
    <row r="22066" ht="15.75" customHeight="1">
      <c r="A22066" s="35"/>
      <c r="C22066" s="442"/>
      <c r="P22066" s="235"/>
      <c r="AI22066" s="38"/>
    </row>
    <row r="22067" ht="15.75" customHeight="1">
      <c r="A22067" s="35"/>
      <c r="C22067" s="442"/>
      <c r="P22067" s="235"/>
      <c r="AI22067" s="38"/>
    </row>
    <row r="22068" ht="15.75" customHeight="1">
      <c r="A22068" s="35"/>
      <c r="C22068" s="442"/>
      <c r="P22068" s="235"/>
      <c r="AI22068" s="38"/>
    </row>
    <row r="22069" ht="15.75" customHeight="1">
      <c r="A22069" s="35"/>
      <c r="C22069" s="442"/>
      <c r="P22069" s="235"/>
      <c r="AI22069" s="38"/>
    </row>
    <row r="22070" ht="15.75" customHeight="1">
      <c r="A22070" s="35"/>
      <c r="C22070" s="442"/>
      <c r="P22070" s="235"/>
      <c r="AI22070" s="38"/>
    </row>
    <row r="22071" ht="15.75" customHeight="1">
      <c r="A22071" s="35"/>
      <c r="C22071" s="442"/>
      <c r="P22071" s="235"/>
      <c r="AI22071" s="38"/>
    </row>
    <row r="22072" ht="15.75" customHeight="1">
      <c r="A22072" s="35"/>
      <c r="C22072" s="442"/>
      <c r="P22072" s="235"/>
      <c r="AI22072" s="38"/>
    </row>
    <row r="22073" ht="15.75" customHeight="1">
      <c r="A22073" s="35"/>
      <c r="C22073" s="442"/>
      <c r="P22073" s="235"/>
      <c r="AI22073" s="38"/>
    </row>
    <row r="22074" ht="15.75" customHeight="1">
      <c r="A22074" s="35"/>
      <c r="C22074" s="442"/>
      <c r="P22074" s="235"/>
      <c r="AI22074" s="38"/>
    </row>
    <row r="22075" ht="15.75" customHeight="1">
      <c r="A22075" s="35"/>
      <c r="C22075" s="442"/>
      <c r="P22075" s="235"/>
      <c r="AI22075" s="38"/>
    </row>
    <row r="22076" ht="15.75" customHeight="1">
      <c r="A22076" s="35"/>
      <c r="C22076" s="442"/>
      <c r="P22076" s="235"/>
      <c r="AI22076" s="38"/>
    </row>
    <row r="22077" ht="15.75" customHeight="1">
      <c r="A22077" s="35"/>
      <c r="C22077" s="442"/>
      <c r="P22077" s="235"/>
      <c r="AI22077" s="38"/>
    </row>
    <row r="22078" ht="15.75" customHeight="1">
      <c r="A22078" s="35"/>
      <c r="C22078" s="442"/>
      <c r="P22078" s="235"/>
      <c r="AI22078" s="38"/>
    </row>
    <row r="22079" ht="15.75" customHeight="1">
      <c r="A22079" s="35"/>
      <c r="C22079" s="442"/>
      <c r="P22079" s="235"/>
      <c r="AI22079" s="38"/>
    </row>
    <row r="22080" ht="15.75" customHeight="1">
      <c r="A22080" s="35"/>
      <c r="C22080" s="442"/>
      <c r="P22080" s="235"/>
      <c r="AI22080" s="38"/>
    </row>
    <row r="22081" ht="15.75" customHeight="1">
      <c r="A22081" s="35"/>
      <c r="C22081" s="442"/>
      <c r="P22081" s="235"/>
      <c r="AI22081" s="38"/>
    </row>
    <row r="22082" ht="15.75" customHeight="1">
      <c r="A22082" s="35"/>
      <c r="C22082" s="442"/>
      <c r="P22082" s="235"/>
      <c r="AI22082" s="38"/>
    </row>
    <row r="22083" ht="15.75" customHeight="1">
      <c r="A22083" s="35"/>
      <c r="C22083" s="442"/>
      <c r="P22083" s="235"/>
      <c r="AI22083" s="38"/>
    </row>
    <row r="22084" ht="15.75" customHeight="1">
      <c r="A22084" s="35"/>
      <c r="C22084" s="442"/>
      <c r="P22084" s="235"/>
      <c r="AI22084" s="38"/>
    </row>
    <row r="22085" ht="15.75" customHeight="1">
      <c r="A22085" s="35"/>
      <c r="C22085" s="442"/>
      <c r="P22085" s="235"/>
      <c r="AI22085" s="38"/>
    </row>
    <row r="22086" ht="15.75" customHeight="1">
      <c r="A22086" s="35"/>
      <c r="C22086" s="442"/>
      <c r="P22086" s="235"/>
      <c r="AI22086" s="38"/>
    </row>
    <row r="22087" ht="15.75" customHeight="1">
      <c r="A22087" s="35"/>
      <c r="C22087" s="442"/>
      <c r="P22087" s="235"/>
      <c r="AI22087" s="38"/>
    </row>
    <row r="22088" ht="15.75" customHeight="1">
      <c r="A22088" s="35"/>
      <c r="C22088" s="442"/>
      <c r="P22088" s="235"/>
      <c r="AI22088" s="38"/>
    </row>
    <row r="22089" ht="15.75" customHeight="1">
      <c r="A22089" s="35"/>
      <c r="C22089" s="442"/>
      <c r="P22089" s="235"/>
      <c r="AI22089" s="38"/>
    </row>
    <row r="22090" ht="15.75" customHeight="1">
      <c r="A22090" s="35"/>
      <c r="C22090" s="442"/>
      <c r="P22090" s="235"/>
      <c r="AI22090" s="38"/>
    </row>
    <row r="22091" ht="15.75" customHeight="1">
      <c r="A22091" s="35"/>
      <c r="C22091" s="442"/>
      <c r="P22091" s="235"/>
      <c r="AI22091" s="38"/>
    </row>
    <row r="22092" ht="15.75" customHeight="1">
      <c r="A22092" s="35"/>
      <c r="C22092" s="442"/>
      <c r="P22092" s="235"/>
      <c r="AI22092" s="38"/>
    </row>
    <row r="22093" ht="15.75" customHeight="1">
      <c r="A22093" s="35"/>
      <c r="C22093" s="442"/>
      <c r="P22093" s="235"/>
      <c r="AI22093" s="38"/>
    </row>
    <row r="22094" ht="15.75" customHeight="1">
      <c r="A22094" s="35"/>
      <c r="C22094" s="442"/>
      <c r="P22094" s="235"/>
      <c r="AI22094" s="38"/>
    </row>
    <row r="22095" ht="15.75" customHeight="1">
      <c r="A22095" s="35"/>
      <c r="C22095" s="442"/>
      <c r="P22095" s="235"/>
      <c r="AI22095" s="38"/>
    </row>
    <row r="22096" ht="15.75" customHeight="1">
      <c r="A22096" s="35"/>
      <c r="C22096" s="442"/>
      <c r="P22096" s="235"/>
      <c r="AI22096" s="38"/>
    </row>
    <row r="22097" ht="15.75" customHeight="1">
      <c r="A22097" s="35"/>
      <c r="C22097" s="442"/>
      <c r="P22097" s="235"/>
      <c r="AI22097" s="38"/>
    </row>
    <row r="22098" ht="15.75" customHeight="1">
      <c r="A22098" s="35"/>
      <c r="C22098" s="442"/>
      <c r="P22098" s="235"/>
      <c r="AI22098" s="38"/>
    </row>
    <row r="22099" ht="15.75" customHeight="1">
      <c r="A22099" s="35"/>
      <c r="C22099" s="442"/>
      <c r="P22099" s="235"/>
      <c r="AI22099" s="38"/>
    </row>
    <row r="22100" ht="15.75" customHeight="1">
      <c r="A22100" s="35"/>
      <c r="C22100" s="442"/>
      <c r="P22100" s="235"/>
      <c r="AI22100" s="38"/>
    </row>
    <row r="22101" ht="15.75" customHeight="1">
      <c r="A22101" s="35"/>
      <c r="C22101" s="442"/>
      <c r="P22101" s="235"/>
      <c r="AI22101" s="38"/>
    </row>
    <row r="22102" ht="15.75" customHeight="1">
      <c r="A22102" s="35"/>
      <c r="C22102" s="442"/>
      <c r="P22102" s="235"/>
      <c r="AI22102" s="38"/>
    </row>
    <row r="22103" ht="15.75" customHeight="1">
      <c r="A22103" s="35"/>
      <c r="C22103" s="442"/>
      <c r="P22103" s="235"/>
      <c r="AI22103" s="38"/>
    </row>
    <row r="22104" ht="15.75" customHeight="1">
      <c r="A22104" s="35"/>
      <c r="C22104" s="442"/>
      <c r="P22104" s="235"/>
      <c r="AI22104" s="38"/>
    </row>
    <row r="22105" ht="15.75" customHeight="1">
      <c r="A22105" s="35"/>
      <c r="C22105" s="442"/>
      <c r="P22105" s="235"/>
      <c r="AI22105" s="38"/>
    </row>
    <row r="22106" ht="15.75" customHeight="1">
      <c r="A22106" s="35"/>
      <c r="C22106" s="442"/>
      <c r="P22106" s="235"/>
      <c r="AI22106" s="38"/>
    </row>
    <row r="22107" ht="15.75" customHeight="1">
      <c r="A22107" s="35"/>
      <c r="C22107" s="442"/>
      <c r="P22107" s="235"/>
      <c r="AI22107" s="38"/>
    </row>
    <row r="22108" ht="15.75" customHeight="1">
      <c r="A22108" s="35"/>
      <c r="C22108" s="442"/>
      <c r="P22108" s="235"/>
      <c r="AI22108" s="38"/>
    </row>
    <row r="22109" ht="15.75" customHeight="1">
      <c r="A22109" s="35"/>
      <c r="C22109" s="442"/>
      <c r="P22109" s="235"/>
      <c r="AI22109" s="38"/>
    </row>
    <row r="22110" ht="15.75" customHeight="1">
      <c r="A22110" s="35"/>
      <c r="C22110" s="442"/>
      <c r="P22110" s="235"/>
      <c r="AI22110" s="38"/>
    </row>
    <row r="22111" ht="15.75" customHeight="1">
      <c r="A22111" s="35"/>
      <c r="C22111" s="442"/>
      <c r="P22111" s="235"/>
      <c r="AI22111" s="38"/>
    </row>
    <row r="22112" ht="15.75" customHeight="1">
      <c r="A22112" s="35"/>
      <c r="C22112" s="442"/>
      <c r="P22112" s="235"/>
      <c r="AI22112" s="38"/>
    </row>
    <row r="22113" ht="15.75" customHeight="1">
      <c r="A22113" s="35"/>
      <c r="C22113" s="442"/>
      <c r="P22113" s="235"/>
      <c r="AI22113" s="38"/>
    </row>
    <row r="22114" ht="15.75" customHeight="1">
      <c r="A22114" s="35"/>
      <c r="C22114" s="442"/>
      <c r="P22114" s="235"/>
      <c r="AI22114" s="38"/>
    </row>
    <row r="22115" ht="15.75" customHeight="1">
      <c r="A22115" s="35"/>
      <c r="C22115" s="442"/>
      <c r="P22115" s="235"/>
      <c r="AI22115" s="38"/>
    </row>
    <row r="22116" ht="15.75" customHeight="1">
      <c r="A22116" s="35"/>
      <c r="C22116" s="442"/>
      <c r="P22116" s="235"/>
      <c r="AI22116" s="38"/>
    </row>
    <row r="22117" ht="15.75" customHeight="1">
      <c r="A22117" s="35"/>
      <c r="C22117" s="442"/>
      <c r="P22117" s="235"/>
      <c r="AI22117" s="38"/>
    </row>
    <row r="22118" ht="15.75" customHeight="1">
      <c r="A22118" s="35"/>
      <c r="C22118" s="442"/>
      <c r="P22118" s="235"/>
      <c r="AI22118" s="38"/>
    </row>
    <row r="22119" ht="15.75" customHeight="1">
      <c r="A22119" s="35"/>
      <c r="C22119" s="442"/>
      <c r="P22119" s="235"/>
      <c r="AI22119" s="38"/>
    </row>
    <row r="22120" ht="15.75" customHeight="1">
      <c r="A22120" s="35"/>
      <c r="C22120" s="442"/>
      <c r="P22120" s="235"/>
      <c r="AI22120" s="38"/>
    </row>
    <row r="22121" ht="15.75" customHeight="1">
      <c r="A22121" s="35"/>
      <c r="C22121" s="442"/>
      <c r="P22121" s="235"/>
      <c r="AI22121" s="38"/>
    </row>
    <row r="22122" ht="15.75" customHeight="1">
      <c r="A22122" s="35"/>
      <c r="C22122" s="442"/>
      <c r="P22122" s="235"/>
      <c r="AI22122" s="38"/>
    </row>
    <row r="22123" ht="15.75" customHeight="1">
      <c r="A22123" s="35"/>
      <c r="C22123" s="442"/>
      <c r="P22123" s="235"/>
      <c r="AI22123" s="38"/>
    </row>
    <row r="22124" ht="15.75" customHeight="1">
      <c r="A22124" s="35"/>
      <c r="C22124" s="442"/>
      <c r="P22124" s="235"/>
      <c r="AI22124" s="38"/>
    </row>
    <row r="22125" ht="15.75" customHeight="1">
      <c r="A22125" s="35"/>
      <c r="C22125" s="442"/>
      <c r="P22125" s="235"/>
      <c r="AI22125" s="38"/>
    </row>
    <row r="22126" ht="15.75" customHeight="1">
      <c r="A22126" s="35"/>
      <c r="C22126" s="442"/>
      <c r="P22126" s="235"/>
      <c r="AI22126" s="38"/>
    </row>
    <row r="22127" ht="15.75" customHeight="1">
      <c r="A22127" s="35"/>
      <c r="C22127" s="442"/>
      <c r="P22127" s="235"/>
      <c r="AI22127" s="38"/>
    </row>
    <row r="22128" ht="15.75" customHeight="1">
      <c r="A22128" s="35"/>
      <c r="C22128" s="442"/>
      <c r="P22128" s="235"/>
      <c r="AI22128" s="38"/>
    </row>
    <row r="22129" ht="15.75" customHeight="1">
      <c r="A22129" s="35"/>
      <c r="C22129" s="442"/>
      <c r="P22129" s="235"/>
      <c r="AI22129" s="38"/>
    </row>
    <row r="22130" ht="15.75" customHeight="1">
      <c r="A22130" s="35"/>
      <c r="C22130" s="442"/>
      <c r="P22130" s="235"/>
      <c r="AI22130" s="38"/>
    </row>
    <row r="22131" ht="15.75" customHeight="1">
      <c r="A22131" s="35"/>
      <c r="C22131" s="442"/>
      <c r="P22131" s="235"/>
      <c r="AI22131" s="38"/>
    </row>
    <row r="22132" ht="15.75" customHeight="1">
      <c r="A22132" s="35"/>
      <c r="C22132" s="442"/>
      <c r="P22132" s="235"/>
      <c r="AI22132" s="38"/>
    </row>
    <row r="22133" ht="15.75" customHeight="1">
      <c r="A22133" s="35"/>
      <c r="C22133" s="442"/>
      <c r="P22133" s="235"/>
      <c r="AI22133" s="38"/>
    </row>
    <row r="22134" ht="15.75" customHeight="1">
      <c r="A22134" s="35"/>
      <c r="C22134" s="442"/>
      <c r="P22134" s="235"/>
      <c r="AI22134" s="38"/>
    </row>
    <row r="22135" ht="15.75" customHeight="1">
      <c r="A22135" s="35"/>
      <c r="C22135" s="442"/>
      <c r="P22135" s="235"/>
      <c r="AI22135" s="38"/>
    </row>
    <row r="22136" ht="15.75" customHeight="1">
      <c r="A22136" s="35"/>
      <c r="C22136" s="442"/>
      <c r="P22136" s="235"/>
      <c r="AI22136" s="38"/>
    </row>
    <row r="22137" ht="15.75" customHeight="1">
      <c r="A22137" s="35"/>
      <c r="C22137" s="442"/>
      <c r="P22137" s="235"/>
      <c r="AI22137" s="38"/>
    </row>
    <row r="22138" ht="15.75" customHeight="1">
      <c r="A22138" s="35"/>
      <c r="C22138" s="442"/>
      <c r="P22138" s="235"/>
      <c r="AI22138" s="38"/>
    </row>
    <row r="22139" ht="15.75" customHeight="1">
      <c r="A22139" s="35"/>
      <c r="C22139" s="442"/>
      <c r="P22139" s="235"/>
      <c r="AI22139" s="38"/>
    </row>
    <row r="22140" ht="15.75" customHeight="1">
      <c r="A22140" s="35"/>
      <c r="C22140" s="442"/>
      <c r="P22140" s="235"/>
      <c r="AI22140" s="38"/>
    </row>
    <row r="22141" ht="15.75" customHeight="1">
      <c r="A22141" s="35"/>
      <c r="C22141" s="442"/>
      <c r="P22141" s="235"/>
      <c r="AI22141" s="38"/>
    </row>
    <row r="22142" ht="15.75" customHeight="1">
      <c r="A22142" s="35"/>
      <c r="C22142" s="442"/>
      <c r="P22142" s="235"/>
      <c r="AI22142" s="38"/>
    </row>
    <row r="22143" ht="15.75" customHeight="1">
      <c r="A22143" s="35"/>
      <c r="C22143" s="442"/>
      <c r="P22143" s="235"/>
      <c r="AI22143" s="38"/>
    </row>
    <row r="22144" ht="15.75" customHeight="1">
      <c r="A22144" s="35"/>
      <c r="C22144" s="442"/>
      <c r="P22144" s="235"/>
      <c r="AI22144" s="38"/>
    </row>
    <row r="22145" ht="15.75" customHeight="1">
      <c r="A22145" s="35"/>
      <c r="C22145" s="442"/>
      <c r="P22145" s="235"/>
      <c r="AI22145" s="38"/>
    </row>
    <row r="22146" ht="15.75" customHeight="1">
      <c r="A22146" s="35"/>
      <c r="C22146" s="442"/>
      <c r="P22146" s="235"/>
      <c r="AI22146" s="38"/>
    </row>
    <row r="22147" ht="15.75" customHeight="1">
      <c r="A22147" s="35"/>
      <c r="C22147" s="442"/>
      <c r="P22147" s="235"/>
      <c r="AI22147" s="38"/>
    </row>
    <row r="22148" ht="15.75" customHeight="1">
      <c r="A22148" s="35"/>
      <c r="C22148" s="442"/>
      <c r="P22148" s="235"/>
      <c r="AI22148" s="38"/>
    </row>
    <row r="22149" ht="15.75" customHeight="1">
      <c r="A22149" s="35"/>
      <c r="C22149" s="442"/>
      <c r="P22149" s="235"/>
      <c r="AI22149" s="38"/>
    </row>
    <row r="22150" ht="15.75" customHeight="1">
      <c r="A22150" s="35"/>
      <c r="C22150" s="442"/>
      <c r="P22150" s="235"/>
      <c r="AI22150" s="38"/>
    </row>
    <row r="22151" ht="15.75" customHeight="1">
      <c r="A22151" s="35"/>
      <c r="C22151" s="442"/>
      <c r="P22151" s="235"/>
      <c r="AI22151" s="38"/>
    </row>
    <row r="22152" ht="15.75" customHeight="1">
      <c r="A22152" s="35"/>
      <c r="C22152" s="442"/>
      <c r="P22152" s="235"/>
      <c r="AI22152" s="38"/>
    </row>
    <row r="22153" ht="15.75" customHeight="1">
      <c r="A22153" s="35"/>
      <c r="C22153" s="442"/>
      <c r="P22153" s="235"/>
      <c r="AI22153" s="38"/>
    </row>
    <row r="22154" ht="15.75" customHeight="1">
      <c r="A22154" s="35"/>
      <c r="C22154" s="442"/>
      <c r="P22154" s="235"/>
      <c r="AI22154" s="38"/>
    </row>
    <row r="22155" ht="15.75" customHeight="1">
      <c r="A22155" s="35"/>
      <c r="C22155" s="442"/>
      <c r="P22155" s="235"/>
      <c r="AI22155" s="38"/>
    </row>
    <row r="22156" ht="15.75" customHeight="1">
      <c r="A22156" s="35"/>
      <c r="C22156" s="442"/>
      <c r="P22156" s="235"/>
      <c r="AI22156" s="38"/>
    </row>
    <row r="22157" ht="15.75" customHeight="1">
      <c r="A22157" s="35"/>
      <c r="C22157" s="442"/>
      <c r="P22157" s="235"/>
      <c r="AI22157" s="38"/>
    </row>
    <row r="22158" ht="15.75" customHeight="1">
      <c r="A22158" s="35"/>
      <c r="C22158" s="442"/>
      <c r="P22158" s="235"/>
      <c r="AI22158" s="38"/>
    </row>
    <row r="22159" ht="15.75" customHeight="1">
      <c r="A22159" s="35"/>
      <c r="C22159" s="442"/>
      <c r="P22159" s="235"/>
      <c r="AI22159" s="38"/>
    </row>
    <row r="22160" ht="15.75" customHeight="1">
      <c r="A22160" s="35"/>
      <c r="C22160" s="442"/>
      <c r="P22160" s="235"/>
      <c r="AI22160" s="38"/>
    </row>
    <row r="22161" ht="15.75" customHeight="1">
      <c r="A22161" s="35"/>
      <c r="C22161" s="442"/>
      <c r="P22161" s="235"/>
      <c r="AI22161" s="38"/>
    </row>
    <row r="22162" ht="15.75" customHeight="1">
      <c r="A22162" s="35"/>
      <c r="C22162" s="442"/>
      <c r="P22162" s="235"/>
      <c r="AI22162" s="38"/>
    </row>
    <row r="22163" ht="15.75" customHeight="1">
      <c r="A22163" s="35"/>
      <c r="C22163" s="442"/>
      <c r="P22163" s="235"/>
      <c r="AI22163" s="38"/>
    </row>
    <row r="22164" ht="15.75" customHeight="1">
      <c r="A22164" s="35"/>
      <c r="C22164" s="442"/>
      <c r="P22164" s="235"/>
      <c r="AI22164" s="38"/>
    </row>
    <row r="22165" ht="15.75" customHeight="1">
      <c r="A22165" s="35"/>
      <c r="C22165" s="442"/>
      <c r="P22165" s="235"/>
      <c r="AI22165" s="38"/>
    </row>
    <row r="22166" ht="15.75" customHeight="1">
      <c r="A22166" s="35"/>
      <c r="C22166" s="442"/>
      <c r="P22166" s="235"/>
      <c r="AI22166" s="38"/>
    </row>
    <row r="22167" ht="15.75" customHeight="1">
      <c r="A22167" s="35"/>
      <c r="C22167" s="442"/>
      <c r="P22167" s="235"/>
      <c r="AI22167" s="38"/>
    </row>
    <row r="22168" ht="15.75" customHeight="1">
      <c r="A22168" s="35"/>
      <c r="C22168" s="442"/>
      <c r="P22168" s="235"/>
      <c r="AI22168" s="38"/>
    </row>
    <row r="22169" ht="15.75" customHeight="1">
      <c r="A22169" s="35"/>
      <c r="C22169" s="442"/>
      <c r="P22169" s="235"/>
      <c r="AI22169" s="38"/>
    </row>
    <row r="22170" ht="15.75" customHeight="1">
      <c r="A22170" s="35"/>
      <c r="C22170" s="442"/>
      <c r="P22170" s="235"/>
      <c r="AI22170" s="38"/>
    </row>
    <row r="22171" ht="15.75" customHeight="1">
      <c r="A22171" s="35"/>
      <c r="C22171" s="442"/>
      <c r="P22171" s="235"/>
      <c r="AI22171" s="38"/>
    </row>
    <row r="22172" ht="15.75" customHeight="1">
      <c r="A22172" s="35"/>
      <c r="C22172" s="442"/>
      <c r="P22172" s="235"/>
      <c r="AI22172" s="38"/>
    </row>
    <row r="22173" ht="15.75" customHeight="1">
      <c r="A22173" s="35"/>
      <c r="C22173" s="442"/>
      <c r="P22173" s="235"/>
      <c r="AI22173" s="38"/>
    </row>
    <row r="22174" ht="15.75" customHeight="1">
      <c r="A22174" s="35"/>
      <c r="C22174" s="442"/>
      <c r="P22174" s="235"/>
      <c r="AI22174" s="38"/>
    </row>
    <row r="22175" ht="15.75" customHeight="1">
      <c r="A22175" s="35"/>
      <c r="C22175" s="442"/>
      <c r="P22175" s="235"/>
      <c r="AI22175" s="38"/>
    </row>
    <row r="22176" ht="15.75" customHeight="1">
      <c r="A22176" s="35"/>
      <c r="C22176" s="442"/>
      <c r="P22176" s="235"/>
      <c r="AI22176" s="38"/>
    </row>
    <row r="22177" ht="15.75" customHeight="1">
      <c r="A22177" s="35"/>
      <c r="C22177" s="442"/>
      <c r="P22177" s="235"/>
      <c r="AI22177" s="38"/>
    </row>
    <row r="22178" ht="15.75" customHeight="1">
      <c r="A22178" s="35"/>
      <c r="C22178" s="442"/>
      <c r="P22178" s="235"/>
      <c r="AI22178" s="38"/>
    </row>
    <row r="22179" ht="15.75" customHeight="1">
      <c r="A22179" s="35"/>
      <c r="C22179" s="442"/>
      <c r="P22179" s="235"/>
      <c r="AI22179" s="38"/>
    </row>
    <row r="22180" ht="15.75" customHeight="1">
      <c r="A22180" s="35"/>
      <c r="C22180" s="442"/>
      <c r="P22180" s="235"/>
      <c r="AI22180" s="38"/>
    </row>
    <row r="22181" ht="15.75" customHeight="1">
      <c r="A22181" s="35"/>
      <c r="C22181" s="442"/>
      <c r="P22181" s="235"/>
      <c r="AI22181" s="38"/>
    </row>
    <row r="22182" ht="15.75" customHeight="1">
      <c r="A22182" s="35"/>
      <c r="C22182" s="442"/>
      <c r="P22182" s="235"/>
      <c r="AI22182" s="38"/>
    </row>
    <row r="22183" ht="15.75" customHeight="1">
      <c r="A22183" s="35"/>
      <c r="C22183" s="442"/>
      <c r="P22183" s="235"/>
      <c r="AI22183" s="38"/>
    </row>
    <row r="22184" ht="15.75" customHeight="1">
      <c r="A22184" s="35"/>
      <c r="C22184" s="442"/>
      <c r="P22184" s="235"/>
      <c r="AI22184" s="38"/>
    </row>
    <row r="22185" ht="15.75" customHeight="1">
      <c r="A22185" s="35"/>
      <c r="C22185" s="442"/>
      <c r="P22185" s="235"/>
      <c r="AI22185" s="38"/>
    </row>
    <row r="22186" ht="15.75" customHeight="1">
      <c r="A22186" s="35"/>
      <c r="C22186" s="442"/>
      <c r="P22186" s="235"/>
      <c r="AI22186" s="38"/>
    </row>
    <row r="22187" ht="15.75" customHeight="1">
      <c r="A22187" s="35"/>
      <c r="C22187" s="442"/>
      <c r="P22187" s="235"/>
      <c r="AI22187" s="38"/>
    </row>
    <row r="22188" ht="15.75" customHeight="1">
      <c r="A22188" s="35"/>
      <c r="C22188" s="442"/>
      <c r="P22188" s="235"/>
      <c r="AI22188" s="38"/>
    </row>
    <row r="22189" ht="15.75" customHeight="1">
      <c r="A22189" s="35"/>
      <c r="C22189" s="442"/>
      <c r="P22189" s="235"/>
      <c r="AI22189" s="38"/>
    </row>
    <row r="22190" ht="15.75" customHeight="1">
      <c r="A22190" s="35"/>
      <c r="C22190" s="442"/>
      <c r="P22190" s="235"/>
      <c r="AI22190" s="38"/>
    </row>
    <row r="22191" ht="15.75" customHeight="1">
      <c r="A22191" s="35"/>
      <c r="C22191" s="442"/>
      <c r="P22191" s="235"/>
      <c r="AI22191" s="38"/>
    </row>
    <row r="22192" ht="15.75" customHeight="1">
      <c r="A22192" s="35"/>
      <c r="C22192" s="442"/>
      <c r="P22192" s="235"/>
      <c r="AI22192" s="38"/>
    </row>
    <row r="22193" ht="15.75" customHeight="1">
      <c r="A22193" s="35"/>
      <c r="C22193" s="442"/>
      <c r="P22193" s="235"/>
      <c r="AI22193" s="38"/>
    </row>
    <row r="22194" ht="15.75" customHeight="1">
      <c r="A22194" s="35"/>
      <c r="C22194" s="442"/>
      <c r="P22194" s="235"/>
      <c r="AI22194" s="38"/>
    </row>
    <row r="22195" ht="15.75" customHeight="1">
      <c r="A22195" s="35"/>
      <c r="C22195" s="442"/>
      <c r="P22195" s="235"/>
      <c r="AI22195" s="38"/>
    </row>
    <row r="22196" ht="15.75" customHeight="1">
      <c r="A22196" s="35"/>
      <c r="C22196" s="442"/>
      <c r="P22196" s="235"/>
      <c r="AI22196" s="38"/>
    </row>
    <row r="22197" ht="15.75" customHeight="1">
      <c r="A22197" s="35"/>
      <c r="C22197" s="442"/>
      <c r="P22197" s="235"/>
      <c r="AI22197" s="38"/>
    </row>
    <row r="22198" ht="15.75" customHeight="1">
      <c r="A22198" s="35"/>
      <c r="C22198" s="442"/>
      <c r="P22198" s="235"/>
      <c r="AI22198" s="38"/>
    </row>
    <row r="22199" ht="15.75" customHeight="1">
      <c r="A22199" s="35"/>
      <c r="C22199" s="442"/>
      <c r="P22199" s="235"/>
      <c r="AI22199" s="38"/>
    </row>
    <row r="22200" ht="15.75" customHeight="1">
      <c r="A22200" s="35"/>
      <c r="C22200" s="442"/>
      <c r="P22200" s="235"/>
      <c r="AI22200" s="38"/>
    </row>
    <row r="22201" ht="15.75" customHeight="1">
      <c r="A22201" s="35"/>
      <c r="C22201" s="442"/>
      <c r="P22201" s="235"/>
      <c r="AI22201" s="38"/>
    </row>
    <row r="22202" ht="15.75" customHeight="1">
      <c r="A22202" s="35"/>
      <c r="C22202" s="442"/>
      <c r="P22202" s="235"/>
      <c r="AI22202" s="38"/>
    </row>
    <row r="22203" ht="15.75" customHeight="1">
      <c r="A22203" s="35"/>
      <c r="C22203" s="442"/>
      <c r="P22203" s="235"/>
      <c r="AI22203" s="38"/>
    </row>
    <row r="22204" ht="15.75" customHeight="1">
      <c r="A22204" s="35"/>
      <c r="C22204" s="442"/>
      <c r="P22204" s="235"/>
      <c r="AI22204" s="38"/>
    </row>
    <row r="22205" ht="15.75" customHeight="1">
      <c r="A22205" s="35"/>
      <c r="C22205" s="442"/>
      <c r="P22205" s="235"/>
      <c r="AI22205" s="38"/>
    </row>
    <row r="22206" ht="15.75" customHeight="1">
      <c r="A22206" s="35"/>
      <c r="C22206" s="442"/>
      <c r="P22206" s="235"/>
      <c r="AI22206" s="38"/>
    </row>
    <row r="22207" ht="15.75" customHeight="1">
      <c r="A22207" s="35"/>
      <c r="C22207" s="442"/>
      <c r="P22207" s="235"/>
      <c r="AI22207" s="38"/>
    </row>
    <row r="22208" ht="15.75" customHeight="1">
      <c r="A22208" s="35"/>
      <c r="C22208" s="442"/>
      <c r="P22208" s="235"/>
      <c r="AI22208" s="38"/>
    </row>
    <row r="22209" ht="15.75" customHeight="1">
      <c r="A22209" s="35"/>
      <c r="C22209" s="442"/>
      <c r="P22209" s="235"/>
      <c r="AI22209" s="38"/>
    </row>
    <row r="22210" ht="15.75" customHeight="1">
      <c r="A22210" s="35"/>
      <c r="C22210" s="442"/>
      <c r="P22210" s="235"/>
      <c r="AI22210" s="38"/>
    </row>
    <row r="22211" ht="15.75" customHeight="1">
      <c r="A22211" s="35"/>
      <c r="C22211" s="442"/>
      <c r="P22211" s="235"/>
      <c r="AI22211" s="38"/>
    </row>
    <row r="22212" ht="15.75" customHeight="1">
      <c r="A22212" s="35"/>
      <c r="C22212" s="442"/>
      <c r="P22212" s="235"/>
      <c r="AI22212" s="38"/>
    </row>
    <row r="22213" ht="15.75" customHeight="1">
      <c r="A22213" s="35"/>
      <c r="C22213" s="442"/>
      <c r="P22213" s="235"/>
      <c r="AI22213" s="38"/>
    </row>
    <row r="22214" ht="15.75" customHeight="1">
      <c r="A22214" s="35"/>
      <c r="C22214" s="442"/>
      <c r="P22214" s="235"/>
      <c r="AI22214" s="38"/>
    </row>
    <row r="22215" ht="15.75" customHeight="1">
      <c r="A22215" s="35"/>
      <c r="C22215" s="442"/>
      <c r="P22215" s="235"/>
      <c r="AI22215" s="38"/>
    </row>
    <row r="22216" ht="15.75" customHeight="1">
      <c r="A22216" s="35"/>
      <c r="C22216" s="442"/>
      <c r="P22216" s="235"/>
      <c r="AI22216" s="38"/>
    </row>
    <row r="22217" ht="15.75" customHeight="1">
      <c r="A22217" s="35"/>
      <c r="C22217" s="442"/>
      <c r="P22217" s="235"/>
      <c r="AI22217" s="38"/>
    </row>
    <row r="22218" ht="15.75" customHeight="1">
      <c r="A22218" s="35"/>
      <c r="C22218" s="442"/>
      <c r="P22218" s="235"/>
      <c r="AI22218" s="38"/>
    </row>
    <row r="22219" ht="15.75" customHeight="1">
      <c r="A22219" s="35"/>
      <c r="C22219" s="442"/>
      <c r="P22219" s="235"/>
      <c r="AI22219" s="38"/>
    </row>
    <row r="22220" ht="15.75" customHeight="1">
      <c r="A22220" s="35"/>
      <c r="C22220" s="442"/>
      <c r="P22220" s="235"/>
      <c r="AI22220" s="38"/>
    </row>
    <row r="22221" ht="15.75" customHeight="1">
      <c r="A22221" s="35"/>
      <c r="C22221" s="442"/>
      <c r="P22221" s="235"/>
      <c r="AI22221" s="38"/>
    </row>
    <row r="22222" ht="15.75" customHeight="1">
      <c r="A22222" s="35"/>
      <c r="C22222" s="442"/>
      <c r="P22222" s="235"/>
      <c r="AI22222" s="38"/>
    </row>
    <row r="22223" ht="15.75" customHeight="1">
      <c r="A22223" s="35"/>
      <c r="C22223" s="442"/>
      <c r="P22223" s="235"/>
      <c r="AI22223" s="38"/>
    </row>
    <row r="22224" ht="15.75" customHeight="1">
      <c r="A22224" s="35"/>
      <c r="C22224" s="442"/>
      <c r="P22224" s="235"/>
      <c r="AI22224" s="38"/>
    </row>
    <row r="22225" ht="15.75" customHeight="1">
      <c r="A22225" s="35"/>
      <c r="C22225" s="442"/>
      <c r="P22225" s="235"/>
      <c r="AI22225" s="38"/>
    </row>
    <row r="22226" ht="15.75" customHeight="1">
      <c r="A22226" s="35"/>
      <c r="C22226" s="442"/>
      <c r="P22226" s="235"/>
      <c r="AI22226" s="38"/>
    </row>
    <row r="22227" ht="15.75" customHeight="1">
      <c r="A22227" s="35"/>
      <c r="C22227" s="442"/>
      <c r="P22227" s="235"/>
      <c r="AI22227" s="38"/>
    </row>
    <row r="22228" ht="15.75" customHeight="1">
      <c r="A22228" s="35"/>
      <c r="C22228" s="442"/>
      <c r="P22228" s="235"/>
      <c r="AI22228" s="38"/>
    </row>
    <row r="22229" ht="15.75" customHeight="1">
      <c r="A22229" s="35"/>
      <c r="C22229" s="442"/>
      <c r="P22229" s="235"/>
      <c r="AI22229" s="38"/>
    </row>
    <row r="22230" ht="15.75" customHeight="1">
      <c r="A22230" s="35"/>
      <c r="C22230" s="442"/>
      <c r="P22230" s="235"/>
      <c r="AI22230" s="38"/>
    </row>
    <row r="22231" ht="15.75" customHeight="1">
      <c r="A22231" s="35"/>
      <c r="C22231" s="442"/>
      <c r="P22231" s="235"/>
      <c r="AI22231" s="38"/>
    </row>
    <row r="22232" ht="15.75" customHeight="1">
      <c r="A22232" s="35"/>
      <c r="C22232" s="442"/>
      <c r="P22232" s="235"/>
      <c r="AI22232" s="38"/>
    </row>
    <row r="22233" ht="15.75" customHeight="1">
      <c r="A22233" s="35"/>
      <c r="C22233" s="442"/>
      <c r="P22233" s="235"/>
      <c r="AI22233" s="38"/>
    </row>
    <row r="22234" ht="15.75" customHeight="1">
      <c r="A22234" s="35"/>
      <c r="C22234" s="442"/>
      <c r="P22234" s="235"/>
      <c r="AI22234" s="38"/>
    </row>
    <row r="22235" ht="15.75" customHeight="1">
      <c r="A22235" s="35"/>
      <c r="C22235" s="442"/>
      <c r="P22235" s="235"/>
      <c r="AI22235" s="38"/>
    </row>
    <row r="22236" ht="15.75" customHeight="1">
      <c r="A22236" s="35"/>
      <c r="C22236" s="442"/>
      <c r="P22236" s="235"/>
      <c r="AI22236" s="38"/>
    </row>
    <row r="22237" ht="15.75" customHeight="1">
      <c r="A22237" s="35"/>
      <c r="C22237" s="442"/>
      <c r="P22237" s="235"/>
      <c r="AI22237" s="38"/>
    </row>
    <row r="22238" ht="15.75" customHeight="1">
      <c r="A22238" s="35"/>
      <c r="C22238" s="442"/>
      <c r="P22238" s="235"/>
      <c r="AI22238" s="38"/>
    </row>
    <row r="22239" ht="15.75" customHeight="1">
      <c r="A22239" s="35"/>
      <c r="C22239" s="442"/>
      <c r="P22239" s="235"/>
      <c r="AI22239" s="38"/>
    </row>
    <row r="22240" ht="15.75" customHeight="1">
      <c r="A22240" s="35"/>
      <c r="C22240" s="442"/>
      <c r="P22240" s="235"/>
      <c r="AI22240" s="38"/>
    </row>
    <row r="22241" ht="15.75" customHeight="1">
      <c r="A22241" s="35"/>
      <c r="C22241" s="442"/>
      <c r="P22241" s="235"/>
      <c r="AI22241" s="38"/>
    </row>
    <row r="22242" ht="15.75" customHeight="1">
      <c r="A22242" s="35"/>
      <c r="C22242" s="442"/>
      <c r="P22242" s="235"/>
      <c r="AI22242" s="38"/>
    </row>
    <row r="22243" ht="15.75" customHeight="1">
      <c r="A22243" s="35"/>
      <c r="C22243" s="442"/>
      <c r="P22243" s="235"/>
      <c r="AI22243" s="38"/>
    </row>
    <row r="22244" ht="15.75" customHeight="1">
      <c r="A22244" s="35"/>
      <c r="C22244" s="442"/>
      <c r="P22244" s="235"/>
      <c r="AI22244" s="38"/>
    </row>
    <row r="22245" ht="15.75" customHeight="1">
      <c r="A22245" s="35"/>
      <c r="C22245" s="442"/>
      <c r="P22245" s="235"/>
      <c r="AI22245" s="38"/>
    </row>
    <row r="22246" ht="15.75" customHeight="1">
      <c r="A22246" s="35"/>
      <c r="C22246" s="442"/>
      <c r="P22246" s="235"/>
      <c r="AI22246" s="38"/>
    </row>
    <row r="22247" ht="15.75" customHeight="1">
      <c r="A22247" s="35"/>
      <c r="C22247" s="442"/>
      <c r="P22247" s="235"/>
      <c r="AI22247" s="38"/>
    </row>
    <row r="22248" ht="15.75" customHeight="1">
      <c r="A22248" s="35"/>
      <c r="C22248" s="442"/>
      <c r="P22248" s="235"/>
      <c r="AI22248" s="38"/>
    </row>
    <row r="22249" ht="15.75" customHeight="1">
      <c r="A22249" s="35"/>
      <c r="C22249" s="442"/>
      <c r="P22249" s="235"/>
      <c r="AI22249" s="38"/>
    </row>
    <row r="22250" ht="15.75" customHeight="1">
      <c r="A22250" s="35"/>
      <c r="C22250" s="442"/>
      <c r="P22250" s="235"/>
      <c r="AI22250" s="38"/>
    </row>
    <row r="22251" ht="15.75" customHeight="1">
      <c r="A22251" s="35"/>
      <c r="C22251" s="442"/>
      <c r="P22251" s="235"/>
      <c r="AI22251" s="38"/>
    </row>
    <row r="22252" ht="15.75" customHeight="1">
      <c r="A22252" s="35"/>
      <c r="C22252" s="442"/>
      <c r="P22252" s="235"/>
      <c r="AI22252" s="38"/>
    </row>
    <row r="22253" ht="15.75" customHeight="1">
      <c r="A22253" s="35"/>
      <c r="C22253" s="442"/>
      <c r="P22253" s="235"/>
      <c r="AI22253" s="38"/>
    </row>
    <row r="22254" ht="15.75" customHeight="1">
      <c r="A22254" s="35"/>
      <c r="C22254" s="442"/>
      <c r="P22254" s="235"/>
      <c r="AI22254" s="38"/>
    </row>
    <row r="22255" ht="15.75" customHeight="1">
      <c r="A22255" s="35"/>
      <c r="C22255" s="442"/>
      <c r="P22255" s="235"/>
      <c r="AI22255" s="38"/>
    </row>
    <row r="22256" ht="15.75" customHeight="1">
      <c r="A22256" s="35"/>
      <c r="C22256" s="442"/>
      <c r="P22256" s="235"/>
      <c r="AI22256" s="38"/>
    </row>
    <row r="22257" ht="15.75" customHeight="1">
      <c r="A22257" s="35"/>
      <c r="C22257" s="442"/>
      <c r="P22257" s="235"/>
      <c r="AI22257" s="38"/>
    </row>
    <row r="22258" ht="15.75" customHeight="1">
      <c r="A22258" s="35"/>
      <c r="C22258" s="442"/>
      <c r="P22258" s="235"/>
      <c r="AI22258" s="38"/>
    </row>
    <row r="22259" ht="15.75" customHeight="1">
      <c r="A22259" s="35"/>
      <c r="C22259" s="442"/>
      <c r="P22259" s="235"/>
      <c r="AI22259" s="38"/>
    </row>
    <row r="22260" ht="15.75" customHeight="1">
      <c r="A22260" s="35"/>
      <c r="C22260" s="442"/>
      <c r="P22260" s="235"/>
      <c r="AI22260" s="38"/>
    </row>
    <row r="22261" ht="15.75" customHeight="1">
      <c r="A22261" s="35"/>
      <c r="C22261" s="442"/>
      <c r="P22261" s="235"/>
      <c r="AI22261" s="38"/>
    </row>
    <row r="22262" ht="15.75" customHeight="1">
      <c r="A22262" s="35"/>
      <c r="C22262" s="442"/>
      <c r="P22262" s="235"/>
      <c r="AI22262" s="38"/>
    </row>
    <row r="22263" ht="15.75" customHeight="1">
      <c r="A22263" s="35"/>
      <c r="C22263" s="442"/>
      <c r="P22263" s="235"/>
      <c r="AI22263" s="38"/>
    </row>
    <row r="22264" ht="15.75" customHeight="1">
      <c r="A22264" s="35"/>
      <c r="C22264" s="442"/>
      <c r="P22264" s="235"/>
      <c r="AI22264" s="38"/>
    </row>
    <row r="22265" ht="15.75" customHeight="1">
      <c r="A22265" s="35"/>
      <c r="C22265" s="442"/>
      <c r="P22265" s="235"/>
      <c r="AI22265" s="38"/>
    </row>
    <row r="22266" ht="15.75" customHeight="1">
      <c r="A22266" s="35"/>
      <c r="C22266" s="442"/>
      <c r="P22266" s="235"/>
      <c r="AI22266" s="38"/>
    </row>
    <row r="22267" ht="15.75" customHeight="1">
      <c r="A22267" s="35"/>
      <c r="C22267" s="442"/>
      <c r="P22267" s="235"/>
      <c r="AI22267" s="38"/>
    </row>
    <row r="22268" ht="15.75" customHeight="1">
      <c r="A22268" s="35"/>
      <c r="C22268" s="442"/>
      <c r="P22268" s="235"/>
      <c r="AI22268" s="38"/>
    </row>
    <row r="22269" ht="15.75" customHeight="1">
      <c r="A22269" s="35"/>
      <c r="C22269" s="442"/>
      <c r="P22269" s="235"/>
      <c r="AI22269" s="38"/>
    </row>
    <row r="22270" ht="15.75" customHeight="1">
      <c r="A22270" s="35"/>
      <c r="C22270" s="442"/>
      <c r="P22270" s="235"/>
      <c r="AI22270" s="38"/>
    </row>
    <row r="22271" ht="15.75" customHeight="1">
      <c r="A22271" s="35"/>
      <c r="C22271" s="442"/>
      <c r="P22271" s="235"/>
      <c r="AI22271" s="38"/>
    </row>
    <row r="22272" ht="15.75" customHeight="1">
      <c r="A22272" s="35"/>
      <c r="C22272" s="442"/>
      <c r="P22272" s="235"/>
      <c r="AI22272" s="38"/>
    </row>
    <row r="22273" ht="15.75" customHeight="1">
      <c r="A22273" s="35"/>
      <c r="C22273" s="442"/>
      <c r="P22273" s="235"/>
      <c r="AI22273" s="38"/>
    </row>
    <row r="22274" ht="15.75" customHeight="1">
      <c r="A22274" s="35"/>
      <c r="C22274" s="442"/>
      <c r="P22274" s="235"/>
      <c r="AI22274" s="38"/>
    </row>
    <row r="22275" ht="15.75" customHeight="1">
      <c r="A22275" s="35"/>
      <c r="C22275" s="442"/>
      <c r="P22275" s="235"/>
      <c r="AI22275" s="38"/>
    </row>
    <row r="22276" ht="15.75" customHeight="1">
      <c r="A22276" s="35"/>
      <c r="C22276" s="442"/>
      <c r="P22276" s="235"/>
      <c r="AI22276" s="38"/>
    </row>
    <row r="22277" ht="15.75" customHeight="1">
      <c r="A22277" s="35"/>
      <c r="C22277" s="442"/>
      <c r="P22277" s="235"/>
      <c r="AI22277" s="38"/>
    </row>
    <row r="22278" ht="15.75" customHeight="1">
      <c r="A22278" s="35"/>
      <c r="C22278" s="442"/>
      <c r="P22278" s="235"/>
      <c r="AI22278" s="38"/>
    </row>
    <row r="22279" ht="15.75" customHeight="1">
      <c r="A22279" s="35"/>
      <c r="C22279" s="442"/>
      <c r="P22279" s="235"/>
      <c r="AI22279" s="38"/>
    </row>
    <row r="22280" ht="15.75" customHeight="1">
      <c r="A22280" s="35"/>
      <c r="C22280" s="442"/>
      <c r="P22280" s="235"/>
      <c r="AI22280" s="38"/>
    </row>
    <row r="22281" ht="15.75" customHeight="1">
      <c r="A22281" s="35"/>
      <c r="C22281" s="442"/>
      <c r="P22281" s="235"/>
      <c r="AI22281" s="38"/>
    </row>
    <row r="22282" ht="15.75" customHeight="1">
      <c r="A22282" s="35"/>
      <c r="C22282" s="442"/>
      <c r="P22282" s="235"/>
      <c r="AI22282" s="38"/>
    </row>
    <row r="22283" ht="15.75" customHeight="1">
      <c r="A22283" s="35"/>
      <c r="C22283" s="442"/>
      <c r="P22283" s="235"/>
      <c r="AI22283" s="38"/>
    </row>
    <row r="22284" ht="15.75" customHeight="1">
      <c r="A22284" s="35"/>
      <c r="C22284" s="442"/>
      <c r="P22284" s="235"/>
      <c r="AI22284" s="38"/>
    </row>
    <row r="22285" ht="15.75" customHeight="1">
      <c r="A22285" s="35"/>
      <c r="C22285" s="442"/>
      <c r="P22285" s="235"/>
      <c r="AI22285" s="38"/>
    </row>
    <row r="22286" ht="15.75" customHeight="1">
      <c r="A22286" s="35"/>
      <c r="C22286" s="442"/>
      <c r="P22286" s="235"/>
      <c r="AI22286" s="38"/>
    </row>
    <row r="22287" ht="15.75" customHeight="1">
      <c r="A22287" s="35"/>
      <c r="C22287" s="442"/>
      <c r="P22287" s="235"/>
      <c r="AI22287" s="38"/>
    </row>
    <row r="22288" ht="15.75" customHeight="1">
      <c r="A22288" s="35"/>
      <c r="C22288" s="442"/>
      <c r="P22288" s="235"/>
      <c r="AI22288" s="38"/>
    </row>
    <row r="22289" ht="15.75" customHeight="1">
      <c r="A22289" s="35"/>
      <c r="C22289" s="442"/>
      <c r="P22289" s="235"/>
      <c r="AI22289" s="38"/>
    </row>
    <row r="22290" ht="15.75" customHeight="1">
      <c r="A22290" s="35"/>
      <c r="C22290" s="442"/>
      <c r="P22290" s="235"/>
      <c r="AI22290" s="38"/>
    </row>
    <row r="22291" ht="15.75" customHeight="1">
      <c r="A22291" s="35"/>
      <c r="C22291" s="442"/>
      <c r="P22291" s="235"/>
      <c r="AI22291" s="38"/>
    </row>
    <row r="22292" ht="15.75" customHeight="1">
      <c r="A22292" s="35"/>
      <c r="C22292" s="442"/>
      <c r="P22292" s="235"/>
      <c r="AI22292" s="38"/>
    </row>
    <row r="22293" ht="15.75" customHeight="1">
      <c r="A22293" s="35"/>
      <c r="C22293" s="442"/>
      <c r="P22293" s="235"/>
      <c r="AI22293" s="38"/>
    </row>
    <row r="22294" ht="15.75" customHeight="1">
      <c r="A22294" s="35"/>
      <c r="C22294" s="442"/>
      <c r="P22294" s="235"/>
      <c r="AI22294" s="38"/>
    </row>
    <row r="22295" ht="15.75" customHeight="1">
      <c r="A22295" s="35"/>
      <c r="C22295" s="442"/>
      <c r="P22295" s="235"/>
      <c r="AI22295" s="38"/>
    </row>
    <row r="22296" ht="15.75" customHeight="1">
      <c r="A22296" s="35"/>
      <c r="C22296" s="442"/>
      <c r="P22296" s="235"/>
      <c r="AI22296" s="38"/>
    </row>
    <row r="22297" ht="15.75" customHeight="1">
      <c r="A22297" s="35"/>
      <c r="C22297" s="442"/>
      <c r="P22297" s="235"/>
      <c r="AI22297" s="38"/>
    </row>
    <row r="22298" ht="15.75" customHeight="1">
      <c r="A22298" s="35"/>
      <c r="C22298" s="442"/>
      <c r="P22298" s="235"/>
      <c r="AI22298" s="38"/>
    </row>
    <row r="22299" ht="15.75" customHeight="1">
      <c r="A22299" s="35"/>
      <c r="C22299" s="442"/>
      <c r="P22299" s="235"/>
      <c r="AI22299" s="38"/>
    </row>
    <row r="22300" ht="15.75" customHeight="1">
      <c r="A22300" s="35"/>
      <c r="C22300" s="442"/>
      <c r="P22300" s="235"/>
      <c r="AI22300" s="38"/>
    </row>
    <row r="22301" ht="15.75" customHeight="1">
      <c r="A22301" s="35"/>
      <c r="C22301" s="442"/>
      <c r="P22301" s="235"/>
      <c r="AI22301" s="38"/>
    </row>
    <row r="22302" ht="15.75" customHeight="1">
      <c r="A22302" s="35"/>
      <c r="C22302" s="442"/>
      <c r="P22302" s="235"/>
      <c r="AI22302" s="38"/>
    </row>
    <row r="22303" ht="15.75" customHeight="1">
      <c r="A22303" s="35"/>
      <c r="C22303" s="442"/>
      <c r="P22303" s="235"/>
      <c r="AI22303" s="38"/>
    </row>
    <row r="22304" ht="15.75" customHeight="1">
      <c r="A22304" s="35"/>
      <c r="C22304" s="442"/>
      <c r="P22304" s="235"/>
      <c r="AI22304" s="38"/>
    </row>
    <row r="22305" ht="15.75" customHeight="1">
      <c r="A22305" s="35"/>
      <c r="C22305" s="442"/>
      <c r="P22305" s="235"/>
      <c r="AI22305" s="38"/>
    </row>
    <row r="22306" ht="15.75" customHeight="1">
      <c r="A22306" s="35"/>
      <c r="C22306" s="442"/>
      <c r="P22306" s="235"/>
      <c r="AI22306" s="38"/>
    </row>
    <row r="22307" ht="15.75" customHeight="1">
      <c r="A22307" s="35"/>
      <c r="C22307" s="442"/>
      <c r="P22307" s="235"/>
      <c r="AI22307" s="38"/>
    </row>
    <row r="22308" ht="15.75" customHeight="1">
      <c r="A22308" s="35"/>
      <c r="C22308" s="442"/>
      <c r="P22308" s="235"/>
      <c r="AI22308" s="38"/>
    </row>
    <row r="22309" ht="15.75" customHeight="1">
      <c r="A22309" s="35"/>
      <c r="C22309" s="442"/>
      <c r="P22309" s="235"/>
      <c r="AI22309" s="38"/>
    </row>
    <row r="22310" ht="15.75" customHeight="1">
      <c r="A22310" s="35"/>
      <c r="C22310" s="442"/>
      <c r="P22310" s="235"/>
      <c r="AI22310" s="38"/>
    </row>
    <row r="22311" ht="15.75" customHeight="1">
      <c r="A22311" s="35"/>
      <c r="C22311" s="442"/>
      <c r="P22311" s="235"/>
      <c r="AI22311" s="38"/>
    </row>
    <row r="22312" ht="15.75" customHeight="1">
      <c r="A22312" s="35"/>
      <c r="C22312" s="442"/>
      <c r="P22312" s="235"/>
      <c r="AI22312" s="38"/>
    </row>
    <row r="22313" ht="15.75" customHeight="1">
      <c r="A22313" s="35"/>
      <c r="C22313" s="442"/>
      <c r="P22313" s="235"/>
      <c r="AI22313" s="38"/>
    </row>
    <row r="22314" ht="15.75" customHeight="1">
      <c r="A22314" s="35"/>
      <c r="C22314" s="442"/>
      <c r="P22314" s="235"/>
      <c r="AI22314" s="38"/>
    </row>
    <row r="22315" ht="15.75" customHeight="1">
      <c r="A22315" s="35"/>
      <c r="C22315" s="442"/>
      <c r="P22315" s="235"/>
      <c r="AI22315" s="38"/>
    </row>
    <row r="22316" ht="15.75" customHeight="1">
      <c r="A22316" s="35"/>
      <c r="C22316" s="442"/>
      <c r="P22316" s="235"/>
      <c r="AI22316" s="38"/>
    </row>
    <row r="22317" ht="15.75" customHeight="1">
      <c r="A22317" s="35"/>
      <c r="C22317" s="442"/>
      <c r="P22317" s="235"/>
      <c r="AI22317" s="38"/>
    </row>
    <row r="22318" ht="15.75" customHeight="1">
      <c r="A22318" s="35"/>
      <c r="C22318" s="442"/>
      <c r="P22318" s="235"/>
      <c r="AI22318" s="38"/>
    </row>
    <row r="22319" ht="15.75" customHeight="1">
      <c r="A22319" s="35"/>
      <c r="C22319" s="442"/>
      <c r="P22319" s="235"/>
      <c r="AI22319" s="38"/>
    </row>
    <row r="22320" ht="15.75" customHeight="1">
      <c r="A22320" s="35"/>
      <c r="C22320" s="442"/>
      <c r="P22320" s="235"/>
      <c r="AI22320" s="38"/>
    </row>
    <row r="22321" ht="15.75" customHeight="1">
      <c r="A22321" s="35"/>
      <c r="C22321" s="442"/>
      <c r="P22321" s="235"/>
      <c r="AI22321" s="38"/>
    </row>
    <row r="22322" ht="15.75" customHeight="1">
      <c r="A22322" s="35"/>
      <c r="C22322" s="442"/>
      <c r="P22322" s="235"/>
      <c r="AI22322" s="38"/>
    </row>
    <row r="22323" ht="15.75" customHeight="1">
      <c r="A22323" s="35"/>
      <c r="C22323" s="442"/>
      <c r="P22323" s="235"/>
      <c r="AI22323" s="38"/>
    </row>
    <row r="22324" ht="15.75" customHeight="1">
      <c r="A22324" s="35"/>
      <c r="C22324" s="442"/>
      <c r="P22324" s="235"/>
      <c r="AI22324" s="38"/>
    </row>
    <row r="22325" ht="15.75" customHeight="1">
      <c r="A22325" s="35"/>
      <c r="C22325" s="442"/>
      <c r="P22325" s="235"/>
      <c r="AI22325" s="38"/>
    </row>
    <row r="22326" ht="15.75" customHeight="1">
      <c r="A22326" s="35"/>
      <c r="C22326" s="442"/>
      <c r="P22326" s="235"/>
      <c r="AI22326" s="38"/>
    </row>
    <row r="22327" ht="15.75" customHeight="1">
      <c r="A22327" s="35"/>
      <c r="C22327" s="442"/>
      <c r="P22327" s="235"/>
      <c r="AI22327" s="38"/>
    </row>
    <row r="22328" ht="15.75" customHeight="1">
      <c r="A22328" s="35"/>
      <c r="C22328" s="442"/>
      <c r="P22328" s="235"/>
      <c r="AI22328" s="38"/>
    </row>
    <row r="22329" ht="15.75" customHeight="1">
      <c r="A22329" s="35"/>
      <c r="C22329" s="442"/>
      <c r="P22329" s="235"/>
      <c r="AI22329" s="38"/>
    </row>
    <row r="22330" ht="15.75" customHeight="1">
      <c r="A22330" s="35"/>
      <c r="C22330" s="442"/>
      <c r="P22330" s="235"/>
      <c r="AI22330" s="38"/>
    </row>
    <row r="22331" ht="15.75" customHeight="1">
      <c r="A22331" s="35"/>
      <c r="C22331" s="442"/>
      <c r="P22331" s="235"/>
      <c r="AI22331" s="38"/>
    </row>
    <row r="22332" ht="15.75" customHeight="1">
      <c r="A22332" s="35"/>
      <c r="C22332" s="442"/>
      <c r="P22332" s="235"/>
      <c r="AI22332" s="38"/>
    </row>
    <row r="22333" ht="15.75" customHeight="1">
      <c r="A22333" s="35"/>
      <c r="C22333" s="442"/>
      <c r="P22333" s="235"/>
      <c r="AI22333" s="38"/>
    </row>
    <row r="22334" ht="15.75" customHeight="1">
      <c r="A22334" s="35"/>
      <c r="C22334" s="442"/>
      <c r="P22334" s="235"/>
      <c r="AI22334" s="38"/>
    </row>
    <row r="22335" ht="15.75" customHeight="1">
      <c r="A22335" s="35"/>
      <c r="C22335" s="442"/>
      <c r="P22335" s="235"/>
      <c r="AI22335" s="38"/>
    </row>
    <row r="22336" ht="15.75" customHeight="1">
      <c r="A22336" s="35"/>
      <c r="C22336" s="442"/>
      <c r="P22336" s="235"/>
      <c r="AI22336" s="38"/>
    </row>
    <row r="22337" ht="15.75" customHeight="1">
      <c r="A22337" s="35"/>
      <c r="C22337" s="442"/>
      <c r="P22337" s="235"/>
      <c r="AI22337" s="38"/>
    </row>
    <row r="22338" ht="15.75" customHeight="1">
      <c r="A22338" s="35"/>
      <c r="C22338" s="442"/>
      <c r="P22338" s="235"/>
      <c r="AI22338" s="38"/>
    </row>
    <row r="22339" ht="15.75" customHeight="1">
      <c r="A22339" s="35"/>
      <c r="C22339" s="442"/>
      <c r="P22339" s="235"/>
      <c r="AI22339" s="38"/>
    </row>
    <row r="22340" ht="15.75" customHeight="1">
      <c r="A22340" s="35"/>
      <c r="C22340" s="442"/>
      <c r="P22340" s="235"/>
      <c r="AI22340" s="38"/>
    </row>
    <row r="22341" ht="15.75" customHeight="1">
      <c r="A22341" s="35"/>
      <c r="C22341" s="442"/>
      <c r="P22341" s="235"/>
      <c r="AI22341" s="38"/>
    </row>
    <row r="22342" ht="15.75" customHeight="1">
      <c r="A22342" s="35"/>
      <c r="C22342" s="442"/>
      <c r="P22342" s="235"/>
      <c r="AI22342" s="38"/>
    </row>
    <row r="22343" ht="15.75" customHeight="1">
      <c r="A22343" s="35"/>
      <c r="C22343" s="442"/>
      <c r="P22343" s="235"/>
      <c r="AI22343" s="38"/>
    </row>
    <row r="22344" ht="15.75" customHeight="1">
      <c r="A22344" s="35"/>
      <c r="C22344" s="442"/>
      <c r="P22344" s="235"/>
      <c r="AI22344" s="38"/>
    </row>
    <row r="22345" ht="15.75" customHeight="1">
      <c r="A22345" s="35"/>
      <c r="C22345" s="442"/>
      <c r="P22345" s="235"/>
      <c r="AI22345" s="38"/>
    </row>
    <row r="22346" ht="15.75" customHeight="1">
      <c r="A22346" s="35"/>
      <c r="C22346" s="442"/>
      <c r="P22346" s="235"/>
      <c r="AI22346" s="38"/>
    </row>
    <row r="22347" ht="15.75" customHeight="1">
      <c r="A22347" s="35"/>
      <c r="C22347" s="442"/>
      <c r="P22347" s="235"/>
      <c r="AI22347" s="38"/>
    </row>
    <row r="22348" ht="15.75" customHeight="1">
      <c r="A22348" s="35"/>
      <c r="C22348" s="442"/>
      <c r="P22348" s="235"/>
      <c r="AI22348" s="38"/>
    </row>
    <row r="22349" ht="15.75" customHeight="1">
      <c r="A22349" s="35"/>
      <c r="C22349" s="442"/>
      <c r="P22349" s="235"/>
      <c r="AI22349" s="38"/>
    </row>
    <row r="22350" ht="15.75" customHeight="1">
      <c r="A22350" s="35"/>
      <c r="C22350" s="442"/>
      <c r="P22350" s="235"/>
      <c r="AI22350" s="38"/>
    </row>
    <row r="22351" ht="15.75" customHeight="1">
      <c r="A22351" s="35"/>
      <c r="C22351" s="442"/>
      <c r="P22351" s="235"/>
      <c r="AI22351" s="38"/>
    </row>
    <row r="22352" ht="15.75" customHeight="1">
      <c r="A22352" s="35"/>
      <c r="C22352" s="442"/>
      <c r="P22352" s="235"/>
      <c r="AI22352" s="38"/>
    </row>
    <row r="22353" ht="15.75" customHeight="1">
      <c r="A22353" s="35"/>
      <c r="C22353" s="442"/>
      <c r="P22353" s="235"/>
      <c r="AI22353" s="38"/>
    </row>
    <row r="22354" ht="15.75" customHeight="1">
      <c r="A22354" s="35"/>
      <c r="C22354" s="442"/>
      <c r="P22354" s="235"/>
      <c r="AI22354" s="38"/>
    </row>
    <row r="22355" ht="15.75" customHeight="1">
      <c r="A22355" s="35"/>
      <c r="C22355" s="442"/>
      <c r="P22355" s="235"/>
      <c r="AI22355" s="38"/>
    </row>
    <row r="22356" ht="15.75" customHeight="1">
      <c r="A22356" s="35"/>
      <c r="C22356" s="442"/>
      <c r="P22356" s="235"/>
      <c r="AI22356" s="38"/>
    </row>
    <row r="22357" ht="15.75" customHeight="1">
      <c r="A22357" s="35"/>
      <c r="C22357" s="442"/>
      <c r="P22357" s="235"/>
      <c r="AI22357" s="38"/>
    </row>
    <row r="22358" ht="15.75" customHeight="1">
      <c r="A22358" s="35"/>
      <c r="C22358" s="442"/>
      <c r="P22358" s="235"/>
      <c r="AI22358" s="38"/>
    </row>
    <row r="22359" ht="15.75" customHeight="1">
      <c r="A22359" s="35"/>
      <c r="C22359" s="442"/>
      <c r="P22359" s="235"/>
      <c r="AI22359" s="38"/>
    </row>
    <row r="22360" ht="15.75" customHeight="1">
      <c r="A22360" s="35"/>
      <c r="C22360" s="442"/>
      <c r="P22360" s="235"/>
      <c r="AI22360" s="38"/>
    </row>
    <row r="22361" ht="15.75" customHeight="1">
      <c r="A22361" s="35"/>
      <c r="C22361" s="442"/>
      <c r="P22361" s="235"/>
      <c r="AI22361" s="38"/>
    </row>
    <row r="22362" ht="15.75" customHeight="1">
      <c r="A22362" s="35"/>
      <c r="C22362" s="442"/>
      <c r="P22362" s="235"/>
      <c r="AI22362" s="38"/>
    </row>
    <row r="22363" ht="15.75" customHeight="1">
      <c r="A22363" s="35"/>
      <c r="C22363" s="442"/>
      <c r="P22363" s="235"/>
      <c r="AI22363" s="38"/>
    </row>
    <row r="22364" ht="15.75" customHeight="1">
      <c r="A22364" s="35"/>
      <c r="C22364" s="442"/>
      <c r="P22364" s="235"/>
      <c r="AI22364" s="38"/>
    </row>
    <row r="22365" ht="15.75" customHeight="1">
      <c r="A22365" s="35"/>
      <c r="C22365" s="442"/>
      <c r="P22365" s="235"/>
      <c r="AI22365" s="38"/>
    </row>
    <row r="22366" ht="15.75" customHeight="1">
      <c r="A22366" s="35"/>
      <c r="C22366" s="442"/>
      <c r="P22366" s="235"/>
      <c r="AI22366" s="38"/>
    </row>
    <row r="22367" ht="15.75" customHeight="1">
      <c r="A22367" s="35"/>
      <c r="C22367" s="442"/>
      <c r="P22367" s="235"/>
      <c r="AI22367" s="38"/>
    </row>
    <row r="22368" ht="15.75" customHeight="1">
      <c r="A22368" s="35"/>
      <c r="C22368" s="442"/>
      <c r="P22368" s="235"/>
      <c r="AI22368" s="38"/>
    </row>
    <row r="22369" ht="15.75" customHeight="1">
      <c r="A22369" s="35"/>
      <c r="C22369" s="442"/>
      <c r="P22369" s="235"/>
      <c r="AI22369" s="38"/>
    </row>
    <row r="22370" ht="15.75" customHeight="1">
      <c r="A22370" s="35"/>
      <c r="C22370" s="442"/>
      <c r="P22370" s="235"/>
      <c r="AI22370" s="38"/>
    </row>
    <row r="22371" ht="15.75" customHeight="1">
      <c r="A22371" s="35"/>
      <c r="C22371" s="442"/>
      <c r="P22371" s="235"/>
      <c r="AI22371" s="38"/>
    </row>
    <row r="22372" ht="15.75" customHeight="1">
      <c r="A22372" s="35"/>
      <c r="C22372" s="442"/>
      <c r="P22372" s="235"/>
      <c r="AI22372" s="38"/>
    </row>
    <row r="22373" ht="15.75" customHeight="1">
      <c r="A22373" s="35"/>
      <c r="C22373" s="442"/>
      <c r="P22373" s="235"/>
      <c r="AI22373" s="38"/>
    </row>
    <row r="22374" ht="15.75" customHeight="1">
      <c r="A22374" s="35"/>
      <c r="C22374" s="442"/>
      <c r="P22374" s="235"/>
      <c r="AI22374" s="38"/>
    </row>
    <row r="22375" ht="15.75" customHeight="1">
      <c r="A22375" s="35"/>
      <c r="C22375" s="442"/>
      <c r="P22375" s="235"/>
      <c r="AI22375" s="38"/>
    </row>
    <row r="22376" ht="15.75" customHeight="1">
      <c r="A22376" s="35"/>
      <c r="C22376" s="442"/>
      <c r="P22376" s="235"/>
      <c r="AI22376" s="38"/>
    </row>
    <row r="22377" ht="15.75" customHeight="1">
      <c r="A22377" s="35"/>
      <c r="C22377" s="442"/>
      <c r="P22377" s="235"/>
      <c r="AI22377" s="38"/>
    </row>
    <row r="22378" ht="15.75" customHeight="1">
      <c r="A22378" s="35"/>
      <c r="C22378" s="442"/>
      <c r="P22378" s="235"/>
      <c r="AI22378" s="38"/>
    </row>
    <row r="22379" ht="15.75" customHeight="1">
      <c r="A22379" s="35"/>
      <c r="C22379" s="442"/>
      <c r="P22379" s="235"/>
      <c r="AI22379" s="38"/>
    </row>
    <row r="22380" ht="15.75" customHeight="1">
      <c r="A22380" s="35"/>
      <c r="C22380" s="442"/>
      <c r="P22380" s="235"/>
      <c r="AI22380" s="38"/>
    </row>
    <row r="22381" ht="15.75" customHeight="1">
      <c r="A22381" s="35"/>
      <c r="C22381" s="442"/>
      <c r="P22381" s="235"/>
      <c r="AI22381" s="38"/>
    </row>
    <row r="22382" ht="15.75" customHeight="1">
      <c r="A22382" s="35"/>
      <c r="C22382" s="442"/>
      <c r="P22382" s="235"/>
      <c r="AI22382" s="38"/>
    </row>
    <row r="22383" ht="15.75" customHeight="1">
      <c r="A22383" s="35"/>
      <c r="C22383" s="442"/>
      <c r="P22383" s="235"/>
      <c r="AI22383" s="38"/>
    </row>
    <row r="22384" ht="15.75" customHeight="1">
      <c r="A22384" s="35"/>
      <c r="C22384" s="442"/>
      <c r="P22384" s="235"/>
      <c r="AI22384" s="38"/>
    </row>
    <row r="22385" ht="15.75" customHeight="1">
      <c r="A22385" s="35"/>
      <c r="C22385" s="442"/>
      <c r="P22385" s="235"/>
      <c r="AI22385" s="38"/>
    </row>
    <row r="22386" ht="15.75" customHeight="1">
      <c r="A22386" s="35"/>
      <c r="C22386" s="442"/>
      <c r="P22386" s="235"/>
      <c r="AI22386" s="38"/>
    </row>
    <row r="22387" ht="15.75" customHeight="1">
      <c r="A22387" s="35"/>
      <c r="C22387" s="442"/>
      <c r="P22387" s="235"/>
      <c r="AI22387" s="38"/>
    </row>
    <row r="22388" ht="15.75" customHeight="1">
      <c r="A22388" s="35"/>
      <c r="C22388" s="442"/>
      <c r="P22388" s="235"/>
      <c r="AI22388" s="38"/>
    </row>
    <row r="22389" ht="15.75" customHeight="1">
      <c r="A22389" s="35"/>
      <c r="C22389" s="442"/>
      <c r="P22389" s="235"/>
      <c r="AI22389" s="38"/>
    </row>
    <row r="22390" ht="15.75" customHeight="1">
      <c r="A22390" s="35"/>
      <c r="C22390" s="442"/>
      <c r="P22390" s="235"/>
      <c r="AI22390" s="38"/>
    </row>
    <row r="22391" ht="15.75" customHeight="1">
      <c r="A22391" s="35"/>
      <c r="C22391" s="442"/>
      <c r="P22391" s="235"/>
      <c r="AI22391" s="38"/>
    </row>
    <row r="22392" ht="15.75" customHeight="1">
      <c r="A22392" s="35"/>
      <c r="C22392" s="442"/>
      <c r="P22392" s="235"/>
      <c r="AI22392" s="38"/>
    </row>
    <row r="22393" ht="15.75" customHeight="1">
      <c r="A22393" s="35"/>
      <c r="C22393" s="442"/>
      <c r="P22393" s="235"/>
      <c r="AI22393" s="38"/>
    </row>
    <row r="22394" ht="15.75" customHeight="1">
      <c r="A22394" s="35"/>
      <c r="C22394" s="442"/>
      <c r="P22394" s="235"/>
      <c r="AI22394" s="38"/>
    </row>
    <row r="22395" ht="15.75" customHeight="1">
      <c r="A22395" s="35"/>
      <c r="C22395" s="442"/>
      <c r="P22395" s="235"/>
      <c r="AI22395" s="38"/>
    </row>
    <row r="22396" ht="15.75" customHeight="1">
      <c r="A22396" s="35"/>
      <c r="C22396" s="442"/>
      <c r="P22396" s="235"/>
      <c r="AI22396" s="38"/>
    </row>
    <row r="22397" ht="15.75" customHeight="1">
      <c r="A22397" s="35"/>
      <c r="C22397" s="442"/>
      <c r="P22397" s="235"/>
      <c r="AI22397" s="38"/>
    </row>
    <row r="22398" ht="15.75" customHeight="1">
      <c r="A22398" s="35"/>
      <c r="C22398" s="442"/>
      <c r="P22398" s="235"/>
      <c r="AI22398" s="38"/>
    </row>
    <row r="22399" ht="15.75" customHeight="1">
      <c r="A22399" s="35"/>
      <c r="C22399" s="442"/>
      <c r="P22399" s="235"/>
      <c r="AI22399" s="38"/>
    </row>
    <row r="22400" ht="15.75" customHeight="1">
      <c r="A22400" s="35"/>
      <c r="C22400" s="442"/>
      <c r="P22400" s="235"/>
      <c r="AI22400" s="38"/>
    </row>
    <row r="22401" ht="15.75" customHeight="1">
      <c r="A22401" s="35"/>
      <c r="C22401" s="442"/>
      <c r="P22401" s="235"/>
      <c r="AI22401" s="38"/>
    </row>
    <row r="22402" ht="15.75" customHeight="1">
      <c r="A22402" s="35"/>
      <c r="C22402" s="442"/>
      <c r="P22402" s="235"/>
      <c r="AI22402" s="38"/>
    </row>
    <row r="22403" ht="15.75" customHeight="1">
      <c r="A22403" s="35"/>
      <c r="C22403" s="442"/>
      <c r="P22403" s="235"/>
      <c r="AI22403" s="38"/>
    </row>
    <row r="22404" ht="15.75" customHeight="1">
      <c r="A22404" s="35"/>
      <c r="C22404" s="442"/>
      <c r="P22404" s="235"/>
      <c r="AI22404" s="38"/>
    </row>
    <row r="22405" ht="15.75" customHeight="1">
      <c r="A22405" s="35"/>
      <c r="C22405" s="442"/>
      <c r="P22405" s="235"/>
      <c r="AI22405" s="38"/>
    </row>
    <row r="22406" ht="15.75" customHeight="1">
      <c r="A22406" s="35"/>
      <c r="C22406" s="442"/>
      <c r="P22406" s="235"/>
      <c r="AI22406" s="38"/>
    </row>
    <row r="22407" ht="15.75" customHeight="1">
      <c r="A22407" s="35"/>
      <c r="C22407" s="442"/>
      <c r="P22407" s="235"/>
      <c r="AI22407" s="38"/>
    </row>
    <row r="22408" ht="15.75" customHeight="1">
      <c r="A22408" s="35"/>
      <c r="C22408" s="442"/>
      <c r="P22408" s="235"/>
      <c r="AI22408" s="38"/>
    </row>
    <row r="22409" ht="15.75" customHeight="1">
      <c r="A22409" s="35"/>
      <c r="C22409" s="442"/>
      <c r="P22409" s="235"/>
      <c r="AI22409" s="38"/>
    </row>
    <row r="22410" ht="15.75" customHeight="1">
      <c r="A22410" s="35"/>
      <c r="C22410" s="442"/>
      <c r="P22410" s="235"/>
      <c r="AI22410" s="38"/>
    </row>
    <row r="22411" ht="15.75" customHeight="1">
      <c r="A22411" s="35"/>
      <c r="C22411" s="442"/>
      <c r="P22411" s="235"/>
      <c r="AI22411" s="38"/>
    </row>
    <row r="22412" ht="15.75" customHeight="1">
      <c r="A22412" s="35"/>
      <c r="C22412" s="442"/>
      <c r="P22412" s="235"/>
      <c r="AI22412" s="38"/>
    </row>
    <row r="22413" ht="15.75" customHeight="1">
      <c r="A22413" s="35"/>
      <c r="C22413" s="442"/>
      <c r="P22413" s="235"/>
      <c r="AI22413" s="38"/>
    </row>
    <row r="22414" ht="15.75" customHeight="1">
      <c r="A22414" s="35"/>
      <c r="C22414" s="442"/>
      <c r="P22414" s="235"/>
      <c r="AI22414" s="38"/>
    </row>
    <row r="22415" ht="15.75" customHeight="1">
      <c r="A22415" s="35"/>
      <c r="C22415" s="442"/>
      <c r="P22415" s="235"/>
      <c r="AI22415" s="38"/>
    </row>
    <row r="22416" ht="15.75" customHeight="1">
      <c r="A22416" s="35"/>
      <c r="C22416" s="442"/>
      <c r="P22416" s="235"/>
      <c r="AI22416" s="38"/>
    </row>
    <row r="22417" ht="15.75" customHeight="1">
      <c r="A22417" s="35"/>
      <c r="C22417" s="442"/>
      <c r="P22417" s="235"/>
      <c r="AI22417" s="38"/>
    </row>
    <row r="22418" ht="15.75" customHeight="1">
      <c r="A22418" s="35"/>
      <c r="C22418" s="442"/>
      <c r="P22418" s="235"/>
      <c r="AI22418" s="38"/>
    </row>
    <row r="22419" ht="15.75" customHeight="1">
      <c r="A22419" s="35"/>
      <c r="C22419" s="442"/>
      <c r="P22419" s="235"/>
      <c r="AI22419" s="38"/>
    </row>
    <row r="22420" ht="15.75" customHeight="1">
      <c r="A22420" s="35"/>
      <c r="C22420" s="442"/>
      <c r="P22420" s="235"/>
      <c r="AI22420" s="38"/>
    </row>
    <row r="22421" ht="15.75" customHeight="1">
      <c r="A22421" s="35"/>
      <c r="C22421" s="442"/>
      <c r="P22421" s="235"/>
      <c r="AI22421" s="38"/>
    </row>
    <row r="22422" ht="15.75" customHeight="1">
      <c r="A22422" s="35"/>
      <c r="C22422" s="442"/>
      <c r="P22422" s="235"/>
      <c r="AI22422" s="38"/>
    </row>
    <row r="22423" ht="15.75" customHeight="1">
      <c r="A22423" s="35"/>
      <c r="C22423" s="442"/>
      <c r="P22423" s="235"/>
      <c r="AI22423" s="38"/>
    </row>
    <row r="22424" ht="15.75" customHeight="1">
      <c r="A22424" s="35"/>
      <c r="C22424" s="442"/>
      <c r="P22424" s="235"/>
      <c r="AI22424" s="38"/>
    </row>
    <row r="22425" ht="15.75" customHeight="1">
      <c r="A22425" s="35"/>
      <c r="C22425" s="442"/>
      <c r="P22425" s="235"/>
      <c r="AI22425" s="38"/>
    </row>
    <row r="22426" ht="15.75" customHeight="1">
      <c r="A22426" s="35"/>
      <c r="C22426" s="442"/>
      <c r="P22426" s="235"/>
      <c r="AI22426" s="38"/>
    </row>
    <row r="22427" ht="15.75" customHeight="1">
      <c r="A22427" s="35"/>
      <c r="C22427" s="442"/>
      <c r="P22427" s="235"/>
      <c r="AI22427" s="38"/>
    </row>
    <row r="22428" ht="15.75" customHeight="1">
      <c r="A22428" s="35"/>
      <c r="C22428" s="442"/>
      <c r="P22428" s="235"/>
      <c r="AI22428" s="38"/>
    </row>
    <row r="22429" ht="15.75" customHeight="1">
      <c r="A22429" s="35"/>
      <c r="C22429" s="442"/>
      <c r="P22429" s="235"/>
      <c r="AI22429" s="38"/>
    </row>
    <row r="22430" ht="15.75" customHeight="1">
      <c r="A22430" s="35"/>
      <c r="C22430" s="442"/>
      <c r="P22430" s="235"/>
      <c r="AI22430" s="38"/>
    </row>
    <row r="22431" ht="15.75" customHeight="1">
      <c r="A22431" s="35"/>
      <c r="C22431" s="442"/>
      <c r="P22431" s="235"/>
      <c r="AI22431" s="38"/>
    </row>
    <row r="22432" ht="15.75" customHeight="1">
      <c r="A22432" s="35"/>
      <c r="C22432" s="442"/>
      <c r="P22432" s="235"/>
      <c r="AI22432" s="38"/>
    </row>
    <row r="22433" ht="15.75" customHeight="1">
      <c r="A22433" s="35"/>
      <c r="C22433" s="442"/>
      <c r="P22433" s="235"/>
      <c r="AI22433" s="38"/>
    </row>
    <row r="22434" ht="15.75" customHeight="1">
      <c r="A22434" s="35"/>
      <c r="C22434" s="442"/>
      <c r="P22434" s="235"/>
      <c r="AI22434" s="38"/>
    </row>
    <row r="22435" ht="15.75" customHeight="1">
      <c r="A22435" s="35"/>
      <c r="C22435" s="442"/>
      <c r="P22435" s="235"/>
      <c r="AI22435" s="38"/>
    </row>
    <row r="22436" ht="15.75" customHeight="1">
      <c r="A22436" s="35"/>
      <c r="C22436" s="442"/>
      <c r="P22436" s="235"/>
      <c r="AI22436" s="38"/>
    </row>
    <row r="22437" ht="15.75" customHeight="1">
      <c r="A22437" s="35"/>
      <c r="C22437" s="442"/>
      <c r="P22437" s="235"/>
      <c r="AI22437" s="38"/>
    </row>
    <row r="22438" ht="15.75" customHeight="1">
      <c r="A22438" s="35"/>
      <c r="C22438" s="442"/>
      <c r="P22438" s="235"/>
      <c r="AI22438" s="38"/>
    </row>
    <row r="22439" ht="15.75" customHeight="1">
      <c r="A22439" s="35"/>
      <c r="C22439" s="442"/>
      <c r="P22439" s="235"/>
      <c r="AI22439" s="38"/>
    </row>
    <row r="22440" ht="15.75" customHeight="1">
      <c r="A22440" s="35"/>
      <c r="C22440" s="442"/>
      <c r="P22440" s="235"/>
      <c r="AI22440" s="38"/>
    </row>
    <row r="22441" ht="15.75" customHeight="1">
      <c r="A22441" s="35"/>
      <c r="C22441" s="442"/>
      <c r="P22441" s="235"/>
      <c r="AI22441" s="38"/>
    </row>
    <row r="22442" ht="15.75" customHeight="1">
      <c r="A22442" s="35"/>
      <c r="C22442" s="442"/>
      <c r="P22442" s="235"/>
      <c r="AI22442" s="38"/>
    </row>
    <row r="22443" ht="15.75" customHeight="1">
      <c r="A22443" s="35"/>
      <c r="C22443" s="442"/>
      <c r="P22443" s="235"/>
      <c r="AI22443" s="38"/>
    </row>
    <row r="22444" ht="15.75" customHeight="1">
      <c r="A22444" s="35"/>
      <c r="C22444" s="442"/>
      <c r="P22444" s="235"/>
      <c r="AI22444" s="38"/>
    </row>
    <row r="22445" ht="15.75" customHeight="1">
      <c r="A22445" s="35"/>
      <c r="C22445" s="442"/>
      <c r="P22445" s="235"/>
      <c r="AI22445" s="38"/>
    </row>
    <row r="22446" ht="15.75" customHeight="1">
      <c r="A22446" s="35"/>
      <c r="C22446" s="442"/>
      <c r="P22446" s="235"/>
      <c r="AI22446" s="38"/>
    </row>
    <row r="22447" ht="15.75" customHeight="1">
      <c r="A22447" s="35"/>
      <c r="C22447" s="442"/>
      <c r="P22447" s="235"/>
      <c r="AI22447" s="38"/>
    </row>
    <row r="22448" ht="15.75" customHeight="1">
      <c r="A22448" s="35"/>
      <c r="C22448" s="442"/>
      <c r="P22448" s="235"/>
      <c r="AI22448" s="38"/>
    </row>
    <row r="22449" ht="15.75" customHeight="1">
      <c r="A22449" s="35"/>
      <c r="C22449" s="442"/>
      <c r="P22449" s="235"/>
      <c r="AI22449" s="38"/>
    </row>
    <row r="22450" ht="15.75" customHeight="1">
      <c r="A22450" s="35"/>
      <c r="C22450" s="442"/>
      <c r="P22450" s="235"/>
      <c r="AI22450" s="38"/>
    </row>
    <row r="22451" ht="15.75" customHeight="1">
      <c r="A22451" s="35"/>
      <c r="C22451" s="442"/>
      <c r="P22451" s="235"/>
      <c r="AI22451" s="38"/>
    </row>
    <row r="22452" ht="15.75" customHeight="1">
      <c r="A22452" s="35"/>
      <c r="C22452" s="442"/>
      <c r="P22452" s="235"/>
      <c r="AI22452" s="38"/>
    </row>
    <row r="22453" ht="15.75" customHeight="1">
      <c r="A22453" s="35"/>
      <c r="C22453" s="442"/>
      <c r="P22453" s="235"/>
      <c r="AI22453" s="38"/>
    </row>
    <row r="22454" ht="15.75" customHeight="1">
      <c r="A22454" s="35"/>
      <c r="C22454" s="442"/>
      <c r="P22454" s="235"/>
      <c r="AI22454" s="38"/>
    </row>
    <row r="22455" ht="15.75" customHeight="1">
      <c r="A22455" s="35"/>
      <c r="C22455" s="442"/>
      <c r="P22455" s="235"/>
      <c r="AI22455" s="38"/>
    </row>
    <row r="22456" ht="15.75" customHeight="1">
      <c r="A22456" s="35"/>
      <c r="C22456" s="442"/>
      <c r="P22456" s="235"/>
      <c r="AI22456" s="38"/>
    </row>
    <row r="22457" ht="15.75" customHeight="1">
      <c r="A22457" s="35"/>
      <c r="C22457" s="442"/>
      <c r="P22457" s="235"/>
      <c r="AI22457" s="38"/>
    </row>
    <row r="22458" ht="15.75" customHeight="1">
      <c r="A22458" s="35"/>
      <c r="C22458" s="442"/>
      <c r="P22458" s="235"/>
      <c r="AI22458" s="38"/>
    </row>
    <row r="22459" ht="15.75" customHeight="1">
      <c r="A22459" s="35"/>
      <c r="C22459" s="442"/>
      <c r="P22459" s="235"/>
      <c r="AI22459" s="38"/>
    </row>
    <row r="22460" ht="15.75" customHeight="1">
      <c r="A22460" s="35"/>
      <c r="C22460" s="442"/>
      <c r="P22460" s="235"/>
      <c r="AI22460" s="38"/>
    </row>
    <row r="22461" ht="15.75" customHeight="1">
      <c r="A22461" s="35"/>
      <c r="C22461" s="442"/>
      <c r="P22461" s="235"/>
      <c r="AI22461" s="38"/>
    </row>
    <row r="22462" ht="15.75" customHeight="1">
      <c r="A22462" s="35"/>
      <c r="C22462" s="442"/>
      <c r="P22462" s="235"/>
      <c r="AI22462" s="38"/>
    </row>
    <row r="22463" ht="15.75" customHeight="1">
      <c r="A22463" s="35"/>
      <c r="C22463" s="442"/>
      <c r="P22463" s="235"/>
      <c r="AI22463" s="38"/>
    </row>
    <row r="22464" ht="15.75" customHeight="1">
      <c r="A22464" s="35"/>
      <c r="C22464" s="442"/>
      <c r="P22464" s="235"/>
      <c r="AI22464" s="38"/>
    </row>
    <row r="22465" ht="15.75" customHeight="1">
      <c r="A22465" s="35"/>
      <c r="C22465" s="442"/>
      <c r="P22465" s="235"/>
      <c r="AI22465" s="38"/>
    </row>
    <row r="22466" ht="15.75" customHeight="1">
      <c r="A22466" s="35"/>
      <c r="C22466" s="442"/>
      <c r="P22466" s="235"/>
      <c r="AI22466" s="38"/>
    </row>
    <row r="22467" ht="15.75" customHeight="1">
      <c r="A22467" s="35"/>
      <c r="C22467" s="442"/>
      <c r="P22467" s="235"/>
      <c r="AI22467" s="38"/>
    </row>
    <row r="22468" ht="15.75" customHeight="1">
      <c r="A22468" s="35"/>
      <c r="C22468" s="442"/>
      <c r="P22468" s="235"/>
      <c r="AI22468" s="38"/>
    </row>
    <row r="22469" ht="15.75" customHeight="1">
      <c r="A22469" s="35"/>
      <c r="C22469" s="442"/>
      <c r="P22469" s="235"/>
      <c r="AI22469" s="38"/>
    </row>
    <row r="22470" ht="15.75" customHeight="1">
      <c r="A22470" s="35"/>
      <c r="C22470" s="442"/>
      <c r="P22470" s="235"/>
      <c r="AI22470" s="38"/>
    </row>
    <row r="22471" ht="15.75" customHeight="1">
      <c r="A22471" s="35"/>
      <c r="C22471" s="442"/>
      <c r="P22471" s="235"/>
      <c r="AI22471" s="38"/>
    </row>
    <row r="22472" ht="15.75" customHeight="1">
      <c r="A22472" s="35"/>
      <c r="C22472" s="442"/>
      <c r="P22472" s="235"/>
      <c r="AI22472" s="38"/>
    </row>
    <row r="22473" ht="15.75" customHeight="1">
      <c r="A22473" s="35"/>
      <c r="C22473" s="442"/>
      <c r="P22473" s="235"/>
      <c r="AI22473" s="38"/>
    </row>
    <row r="22474" ht="15.75" customHeight="1">
      <c r="A22474" s="35"/>
      <c r="C22474" s="442"/>
      <c r="P22474" s="235"/>
      <c r="AI22474" s="38"/>
    </row>
    <row r="22475" ht="15.75" customHeight="1">
      <c r="A22475" s="35"/>
      <c r="C22475" s="442"/>
      <c r="P22475" s="235"/>
      <c r="AI22475" s="38"/>
    </row>
    <row r="22476" ht="15.75" customHeight="1">
      <c r="A22476" s="35"/>
      <c r="C22476" s="442"/>
      <c r="P22476" s="235"/>
      <c r="AI22476" s="38"/>
    </row>
    <row r="22477" ht="15.75" customHeight="1">
      <c r="A22477" s="35"/>
      <c r="C22477" s="442"/>
      <c r="P22477" s="235"/>
      <c r="AI22477" s="38"/>
    </row>
    <row r="22478" ht="15.75" customHeight="1">
      <c r="A22478" s="35"/>
      <c r="C22478" s="442"/>
      <c r="P22478" s="235"/>
      <c r="AI22478" s="38"/>
    </row>
    <row r="22479" ht="15.75" customHeight="1">
      <c r="A22479" s="35"/>
      <c r="C22479" s="442"/>
      <c r="P22479" s="235"/>
      <c r="AI22479" s="38"/>
    </row>
    <row r="22480" ht="15.75" customHeight="1">
      <c r="A22480" s="35"/>
      <c r="C22480" s="442"/>
      <c r="P22480" s="235"/>
      <c r="AI22480" s="38"/>
    </row>
    <row r="22481" ht="15.75" customHeight="1">
      <c r="A22481" s="35"/>
      <c r="C22481" s="442"/>
      <c r="P22481" s="235"/>
      <c r="AI22481" s="38"/>
    </row>
    <row r="22482" ht="15.75" customHeight="1">
      <c r="A22482" s="35"/>
      <c r="C22482" s="442"/>
      <c r="P22482" s="235"/>
      <c r="AI22482" s="38"/>
    </row>
    <row r="22483" ht="15.75" customHeight="1">
      <c r="A22483" s="35"/>
      <c r="C22483" s="442"/>
      <c r="P22483" s="235"/>
      <c r="AI22483" s="38"/>
    </row>
    <row r="22484" ht="15.75" customHeight="1">
      <c r="A22484" s="35"/>
      <c r="C22484" s="442"/>
      <c r="P22484" s="235"/>
      <c r="AI22484" s="38"/>
    </row>
    <row r="22485" ht="15.75" customHeight="1">
      <c r="A22485" s="35"/>
      <c r="C22485" s="442"/>
      <c r="P22485" s="235"/>
      <c r="AI22485" s="38"/>
    </row>
    <row r="22486" ht="15.75" customHeight="1">
      <c r="A22486" s="35"/>
      <c r="C22486" s="442"/>
      <c r="P22486" s="235"/>
      <c r="AI22486" s="38"/>
    </row>
    <row r="22487" ht="15.75" customHeight="1">
      <c r="A22487" s="35"/>
      <c r="C22487" s="442"/>
      <c r="P22487" s="235"/>
      <c r="AI22487" s="38"/>
    </row>
    <row r="22488" ht="15.75" customHeight="1">
      <c r="A22488" s="35"/>
      <c r="C22488" s="442"/>
      <c r="P22488" s="235"/>
      <c r="AI22488" s="38"/>
    </row>
    <row r="22489" ht="15.75" customHeight="1">
      <c r="A22489" s="35"/>
      <c r="C22489" s="442"/>
      <c r="P22489" s="235"/>
      <c r="AI22489" s="38"/>
    </row>
    <row r="22490" ht="15.75" customHeight="1">
      <c r="A22490" s="35"/>
      <c r="C22490" s="442"/>
      <c r="P22490" s="235"/>
      <c r="AI22490" s="38"/>
    </row>
    <row r="22491" ht="15.75" customHeight="1">
      <c r="A22491" s="35"/>
      <c r="C22491" s="442"/>
      <c r="P22491" s="235"/>
      <c r="AI22491" s="38"/>
    </row>
    <row r="22492" ht="15.75" customHeight="1">
      <c r="A22492" s="35"/>
      <c r="C22492" s="442"/>
      <c r="P22492" s="235"/>
      <c r="AI22492" s="38"/>
    </row>
    <row r="22493" ht="15.75" customHeight="1">
      <c r="A22493" s="35"/>
      <c r="C22493" s="442"/>
      <c r="P22493" s="235"/>
      <c r="AI22493" s="38"/>
    </row>
    <row r="22494" ht="15.75" customHeight="1">
      <c r="A22494" s="35"/>
      <c r="C22494" s="442"/>
      <c r="P22494" s="235"/>
      <c r="AI22494" s="38"/>
    </row>
    <row r="22495" ht="15.75" customHeight="1">
      <c r="A22495" s="35"/>
      <c r="C22495" s="442"/>
      <c r="P22495" s="235"/>
      <c r="AI22495" s="38"/>
    </row>
    <row r="22496" ht="15.75" customHeight="1">
      <c r="A22496" s="35"/>
      <c r="C22496" s="442"/>
      <c r="P22496" s="235"/>
      <c r="AI22496" s="38"/>
    </row>
    <row r="22497" ht="15.75" customHeight="1">
      <c r="A22497" s="35"/>
      <c r="C22497" s="442"/>
      <c r="P22497" s="235"/>
      <c r="AI22497" s="38"/>
    </row>
    <row r="22498" ht="15.75" customHeight="1">
      <c r="A22498" s="35"/>
      <c r="C22498" s="442"/>
      <c r="P22498" s="235"/>
      <c r="AI22498" s="38"/>
    </row>
    <row r="22499" ht="15.75" customHeight="1">
      <c r="A22499" s="35"/>
      <c r="C22499" s="442"/>
      <c r="P22499" s="235"/>
      <c r="AI22499" s="38"/>
    </row>
    <row r="22500" ht="15.75" customHeight="1">
      <c r="A22500" s="35"/>
      <c r="C22500" s="442"/>
      <c r="P22500" s="235"/>
      <c r="AI22500" s="38"/>
    </row>
    <row r="22501" ht="15.75" customHeight="1">
      <c r="A22501" s="35"/>
      <c r="C22501" s="442"/>
      <c r="P22501" s="235"/>
      <c r="AI22501" s="38"/>
    </row>
    <row r="22502" ht="15.75" customHeight="1">
      <c r="A22502" s="35"/>
      <c r="C22502" s="442"/>
      <c r="P22502" s="235"/>
      <c r="AI22502" s="38"/>
    </row>
    <row r="22503" ht="15.75" customHeight="1">
      <c r="A22503" s="35"/>
      <c r="C22503" s="442"/>
      <c r="P22503" s="235"/>
      <c r="AI22503" s="38"/>
    </row>
    <row r="22504" ht="15.75" customHeight="1">
      <c r="A22504" s="35"/>
      <c r="C22504" s="442"/>
      <c r="P22504" s="235"/>
      <c r="AI22504" s="38"/>
    </row>
    <row r="22505" ht="15.75" customHeight="1">
      <c r="A22505" s="35"/>
      <c r="C22505" s="442"/>
      <c r="P22505" s="235"/>
      <c r="AI22505" s="38"/>
    </row>
    <row r="22506" ht="15.75" customHeight="1">
      <c r="A22506" s="35"/>
      <c r="C22506" s="442"/>
      <c r="P22506" s="235"/>
      <c r="AI22506" s="38"/>
    </row>
    <row r="22507" ht="15.75" customHeight="1">
      <c r="A22507" s="35"/>
      <c r="C22507" s="442"/>
      <c r="P22507" s="235"/>
      <c r="AI22507" s="38"/>
    </row>
    <row r="22508" ht="15.75" customHeight="1">
      <c r="A22508" s="35"/>
      <c r="C22508" s="442"/>
      <c r="P22508" s="235"/>
      <c r="AI22508" s="38"/>
    </row>
    <row r="22509" ht="15.75" customHeight="1">
      <c r="A22509" s="35"/>
      <c r="C22509" s="442"/>
      <c r="P22509" s="235"/>
      <c r="AI22509" s="38"/>
    </row>
    <row r="22510" ht="15.75" customHeight="1">
      <c r="A22510" s="35"/>
      <c r="C22510" s="442"/>
      <c r="P22510" s="235"/>
      <c r="AI22510" s="38"/>
    </row>
    <row r="22511" ht="15.75" customHeight="1">
      <c r="A22511" s="35"/>
      <c r="C22511" s="442"/>
      <c r="P22511" s="235"/>
      <c r="AI22511" s="38"/>
    </row>
    <row r="22512" ht="15.75" customHeight="1">
      <c r="A22512" s="35"/>
      <c r="C22512" s="442"/>
      <c r="P22512" s="235"/>
      <c r="AI22512" s="38"/>
    </row>
    <row r="22513" ht="15.75" customHeight="1">
      <c r="A22513" s="35"/>
      <c r="C22513" s="442"/>
      <c r="P22513" s="235"/>
      <c r="AI22513" s="38"/>
    </row>
    <row r="22514" ht="15.75" customHeight="1">
      <c r="A22514" s="35"/>
      <c r="C22514" s="442"/>
      <c r="P22514" s="235"/>
      <c r="AI22514" s="38"/>
    </row>
    <row r="22515" ht="15.75" customHeight="1">
      <c r="A22515" s="35"/>
      <c r="C22515" s="442"/>
      <c r="P22515" s="235"/>
      <c r="AI22515" s="38"/>
    </row>
    <row r="22516" ht="15.75" customHeight="1">
      <c r="A22516" s="35"/>
      <c r="C22516" s="442"/>
      <c r="P22516" s="235"/>
      <c r="AI22516" s="38"/>
    </row>
    <row r="22517" ht="15.75" customHeight="1">
      <c r="A22517" s="35"/>
      <c r="C22517" s="442"/>
      <c r="P22517" s="235"/>
      <c r="AI22517" s="38"/>
    </row>
    <row r="22518" ht="15.75" customHeight="1">
      <c r="A22518" s="35"/>
      <c r="C22518" s="442"/>
      <c r="P22518" s="235"/>
      <c r="AI22518" s="38"/>
    </row>
    <row r="22519" ht="15.75" customHeight="1">
      <c r="A22519" s="35"/>
      <c r="C22519" s="442"/>
      <c r="P22519" s="235"/>
      <c r="AI22519" s="38"/>
    </row>
    <row r="22520" ht="15.75" customHeight="1">
      <c r="A22520" s="35"/>
      <c r="C22520" s="442"/>
      <c r="P22520" s="235"/>
      <c r="AI22520" s="38"/>
    </row>
    <row r="22521" ht="15.75" customHeight="1">
      <c r="A22521" s="35"/>
      <c r="C22521" s="442"/>
      <c r="P22521" s="235"/>
      <c r="AI22521" s="38"/>
    </row>
    <row r="22522" ht="15.75" customHeight="1">
      <c r="A22522" s="35"/>
      <c r="C22522" s="442"/>
      <c r="P22522" s="235"/>
      <c r="AI22522" s="38"/>
    </row>
    <row r="22523" ht="15.75" customHeight="1">
      <c r="A22523" s="35"/>
      <c r="C22523" s="442"/>
      <c r="P22523" s="235"/>
      <c r="AI22523" s="38"/>
    </row>
    <row r="22524" ht="15.75" customHeight="1">
      <c r="A22524" s="35"/>
      <c r="C22524" s="442"/>
      <c r="P22524" s="235"/>
      <c r="AI22524" s="38"/>
    </row>
    <row r="22525" ht="15.75" customHeight="1">
      <c r="A22525" s="35"/>
      <c r="C22525" s="442"/>
      <c r="P22525" s="235"/>
      <c r="AI22525" s="38"/>
    </row>
    <row r="22526" ht="15.75" customHeight="1">
      <c r="A22526" s="35"/>
      <c r="C22526" s="442"/>
      <c r="P22526" s="235"/>
      <c r="AI22526" s="38"/>
    </row>
    <row r="22527" ht="15.75" customHeight="1">
      <c r="A22527" s="35"/>
      <c r="C22527" s="442"/>
      <c r="P22527" s="235"/>
      <c r="AI22527" s="38"/>
    </row>
    <row r="22528" ht="15.75" customHeight="1">
      <c r="A22528" s="35"/>
      <c r="C22528" s="442"/>
      <c r="P22528" s="235"/>
      <c r="AI22528" s="38"/>
    </row>
    <row r="22529" ht="15.75" customHeight="1">
      <c r="A22529" s="35"/>
      <c r="C22529" s="442"/>
      <c r="P22529" s="235"/>
      <c r="AI22529" s="38"/>
    </row>
    <row r="22530" ht="15.75" customHeight="1">
      <c r="A22530" s="35"/>
      <c r="C22530" s="442"/>
      <c r="P22530" s="235"/>
      <c r="AI22530" s="38"/>
    </row>
    <row r="22531" ht="15.75" customHeight="1">
      <c r="A22531" s="35"/>
      <c r="C22531" s="442"/>
      <c r="P22531" s="235"/>
      <c r="AI22531" s="38"/>
    </row>
    <row r="22532" ht="15.75" customHeight="1">
      <c r="A22532" s="35"/>
      <c r="C22532" s="442"/>
      <c r="P22532" s="235"/>
      <c r="AI22532" s="38"/>
    </row>
    <row r="22533" ht="15.75" customHeight="1">
      <c r="A22533" s="35"/>
      <c r="C22533" s="442"/>
      <c r="P22533" s="235"/>
      <c r="AI22533" s="38"/>
    </row>
    <row r="22534" ht="15.75" customHeight="1">
      <c r="A22534" s="35"/>
      <c r="C22534" s="442"/>
      <c r="P22534" s="235"/>
      <c r="AI22534" s="38"/>
    </row>
    <row r="22535" ht="15.75" customHeight="1">
      <c r="A22535" s="35"/>
      <c r="C22535" s="442"/>
      <c r="P22535" s="235"/>
      <c r="AI22535" s="38"/>
    </row>
    <row r="22536" ht="15.75" customHeight="1">
      <c r="A22536" s="35"/>
      <c r="C22536" s="442"/>
      <c r="P22536" s="235"/>
      <c r="AI22536" s="38"/>
    </row>
    <row r="22537" ht="15.75" customHeight="1">
      <c r="A22537" s="35"/>
      <c r="C22537" s="442"/>
      <c r="P22537" s="235"/>
      <c r="AI22537" s="38"/>
    </row>
    <row r="22538" ht="15.75" customHeight="1">
      <c r="A22538" s="35"/>
      <c r="C22538" s="442"/>
      <c r="P22538" s="235"/>
      <c r="AI22538" s="38"/>
    </row>
    <row r="22539" ht="15.75" customHeight="1">
      <c r="A22539" s="35"/>
      <c r="C22539" s="442"/>
      <c r="P22539" s="235"/>
      <c r="AI22539" s="38"/>
    </row>
    <row r="22540" ht="15.75" customHeight="1">
      <c r="A22540" s="35"/>
      <c r="C22540" s="442"/>
      <c r="P22540" s="235"/>
      <c r="AI22540" s="38"/>
    </row>
    <row r="22541" ht="15.75" customHeight="1">
      <c r="A22541" s="35"/>
      <c r="C22541" s="442"/>
      <c r="P22541" s="235"/>
      <c r="AI22541" s="38"/>
    </row>
    <row r="22542" ht="15.75" customHeight="1">
      <c r="A22542" s="35"/>
      <c r="C22542" s="442"/>
      <c r="P22542" s="235"/>
      <c r="AI22542" s="38"/>
    </row>
    <row r="22543" ht="15.75" customHeight="1">
      <c r="A22543" s="35"/>
      <c r="C22543" s="442"/>
      <c r="P22543" s="235"/>
      <c r="AI22543" s="38"/>
    </row>
    <row r="22544" ht="15.75" customHeight="1">
      <c r="A22544" s="35"/>
      <c r="C22544" s="442"/>
      <c r="P22544" s="235"/>
      <c r="AI22544" s="38"/>
    </row>
    <row r="22545" ht="15.75" customHeight="1">
      <c r="A22545" s="35"/>
      <c r="C22545" s="442"/>
      <c r="P22545" s="235"/>
      <c r="AI22545" s="38"/>
    </row>
    <row r="22546" ht="15.75" customHeight="1">
      <c r="A22546" s="35"/>
      <c r="C22546" s="442"/>
      <c r="P22546" s="235"/>
      <c r="AI22546" s="38"/>
    </row>
    <row r="22547" ht="15.75" customHeight="1">
      <c r="A22547" s="35"/>
      <c r="C22547" s="442"/>
      <c r="P22547" s="235"/>
      <c r="AI22547" s="38"/>
    </row>
    <row r="22548" ht="15.75" customHeight="1">
      <c r="A22548" s="35"/>
      <c r="C22548" s="442"/>
      <c r="P22548" s="235"/>
      <c r="AI22548" s="38"/>
    </row>
    <row r="22549" ht="15.75" customHeight="1">
      <c r="A22549" s="35"/>
      <c r="C22549" s="442"/>
      <c r="P22549" s="235"/>
      <c r="AI22549" s="38"/>
    </row>
    <row r="22550" ht="15.75" customHeight="1">
      <c r="A22550" s="35"/>
      <c r="C22550" s="442"/>
      <c r="P22550" s="235"/>
      <c r="AI22550" s="38"/>
    </row>
    <row r="22551" ht="15.75" customHeight="1">
      <c r="A22551" s="35"/>
      <c r="C22551" s="442"/>
      <c r="P22551" s="235"/>
      <c r="AI22551" s="38"/>
    </row>
    <row r="22552" ht="15.75" customHeight="1">
      <c r="A22552" s="35"/>
      <c r="C22552" s="442"/>
      <c r="P22552" s="235"/>
      <c r="AI22552" s="38"/>
    </row>
    <row r="22553" ht="15.75" customHeight="1">
      <c r="A22553" s="35"/>
      <c r="C22553" s="442"/>
      <c r="P22553" s="235"/>
      <c r="AI22553" s="38"/>
    </row>
    <row r="22554" ht="15.75" customHeight="1">
      <c r="A22554" s="35"/>
      <c r="C22554" s="442"/>
      <c r="P22554" s="235"/>
      <c r="AI22554" s="38"/>
    </row>
    <row r="22555" ht="15.75" customHeight="1">
      <c r="A22555" s="35"/>
      <c r="C22555" s="442"/>
      <c r="P22555" s="235"/>
      <c r="AI22555" s="38"/>
    </row>
    <row r="22556" ht="15.75" customHeight="1">
      <c r="A22556" s="35"/>
      <c r="C22556" s="442"/>
      <c r="P22556" s="235"/>
      <c r="AI22556" s="38"/>
    </row>
    <row r="22557" ht="15.75" customHeight="1">
      <c r="A22557" s="35"/>
      <c r="C22557" s="442"/>
      <c r="P22557" s="235"/>
      <c r="AI22557" s="38"/>
    </row>
    <row r="22558" ht="15.75" customHeight="1">
      <c r="A22558" s="35"/>
      <c r="C22558" s="442"/>
      <c r="P22558" s="235"/>
      <c r="AI22558" s="38"/>
    </row>
    <row r="22559" ht="15.75" customHeight="1">
      <c r="A22559" s="35"/>
      <c r="C22559" s="442"/>
      <c r="P22559" s="235"/>
      <c r="AI22559" s="38"/>
    </row>
    <row r="22560" ht="15.75" customHeight="1">
      <c r="A22560" s="35"/>
      <c r="C22560" s="442"/>
      <c r="P22560" s="235"/>
      <c r="AI22560" s="38"/>
    </row>
    <row r="22561" ht="15.75" customHeight="1">
      <c r="A22561" s="35"/>
      <c r="C22561" s="442"/>
      <c r="P22561" s="235"/>
      <c r="AI22561" s="38"/>
    </row>
    <row r="22562" ht="15.75" customHeight="1">
      <c r="A22562" s="35"/>
      <c r="C22562" s="442"/>
      <c r="P22562" s="235"/>
      <c r="AI22562" s="38"/>
    </row>
    <row r="22563" ht="15.75" customHeight="1">
      <c r="A22563" s="35"/>
      <c r="C22563" s="442"/>
      <c r="P22563" s="235"/>
      <c r="AI22563" s="38"/>
    </row>
    <row r="22564" ht="15.75" customHeight="1">
      <c r="A22564" s="35"/>
      <c r="C22564" s="442"/>
      <c r="P22564" s="235"/>
      <c r="AI22564" s="38"/>
    </row>
    <row r="22565" ht="15.75" customHeight="1">
      <c r="A22565" s="35"/>
      <c r="C22565" s="442"/>
      <c r="P22565" s="235"/>
      <c r="AI22565" s="38"/>
    </row>
    <row r="22566" ht="15.75" customHeight="1">
      <c r="A22566" s="35"/>
      <c r="C22566" s="442"/>
      <c r="P22566" s="235"/>
      <c r="AI22566" s="38"/>
    </row>
    <row r="22567" ht="15.75" customHeight="1">
      <c r="A22567" s="35"/>
      <c r="C22567" s="442"/>
      <c r="P22567" s="235"/>
      <c r="AI22567" s="38"/>
    </row>
    <row r="22568" ht="15.75" customHeight="1">
      <c r="A22568" s="35"/>
      <c r="C22568" s="442"/>
      <c r="P22568" s="235"/>
      <c r="AI22568" s="38"/>
    </row>
    <row r="22569" ht="15.75" customHeight="1">
      <c r="A22569" s="35"/>
      <c r="C22569" s="442"/>
      <c r="P22569" s="235"/>
      <c r="AI22569" s="38"/>
    </row>
    <row r="22570" ht="15.75" customHeight="1">
      <c r="A22570" s="35"/>
      <c r="C22570" s="442"/>
      <c r="P22570" s="235"/>
      <c r="AI22570" s="38"/>
    </row>
    <row r="22571" ht="15.75" customHeight="1">
      <c r="A22571" s="35"/>
      <c r="C22571" s="442"/>
      <c r="P22571" s="235"/>
      <c r="AI22571" s="38"/>
    </row>
    <row r="22572" ht="15.75" customHeight="1">
      <c r="A22572" s="35"/>
      <c r="C22572" s="442"/>
      <c r="P22572" s="235"/>
      <c r="AI22572" s="38"/>
    </row>
    <row r="22573" ht="15.75" customHeight="1">
      <c r="A22573" s="35"/>
      <c r="C22573" s="442"/>
      <c r="P22573" s="235"/>
      <c r="AI22573" s="38"/>
    </row>
    <row r="22574" ht="15.75" customHeight="1">
      <c r="A22574" s="35"/>
      <c r="C22574" s="442"/>
      <c r="P22574" s="235"/>
      <c r="AI22574" s="38"/>
    </row>
    <row r="22575" ht="15.75" customHeight="1">
      <c r="A22575" s="35"/>
      <c r="C22575" s="442"/>
      <c r="P22575" s="235"/>
      <c r="AI22575" s="38"/>
    </row>
    <row r="22576" ht="15.75" customHeight="1">
      <c r="A22576" s="35"/>
      <c r="C22576" s="442"/>
      <c r="P22576" s="235"/>
      <c r="AI22576" s="38"/>
    </row>
    <row r="22577" ht="15.75" customHeight="1">
      <c r="A22577" s="35"/>
      <c r="C22577" s="442"/>
      <c r="P22577" s="235"/>
      <c r="AI22577" s="38"/>
    </row>
    <row r="22578" ht="15.75" customHeight="1">
      <c r="A22578" s="35"/>
      <c r="C22578" s="442"/>
      <c r="P22578" s="235"/>
      <c r="AI22578" s="38"/>
    </row>
    <row r="22579" ht="15.75" customHeight="1">
      <c r="A22579" s="35"/>
      <c r="C22579" s="442"/>
      <c r="P22579" s="235"/>
      <c r="AI22579" s="38"/>
    </row>
    <row r="22580" ht="15.75" customHeight="1">
      <c r="A22580" s="35"/>
      <c r="C22580" s="442"/>
      <c r="P22580" s="235"/>
      <c r="AI22580" s="38"/>
    </row>
    <row r="22581" ht="15.75" customHeight="1">
      <c r="A22581" s="35"/>
      <c r="C22581" s="442"/>
      <c r="P22581" s="235"/>
      <c r="AI22581" s="38"/>
    </row>
    <row r="22582" ht="15.75" customHeight="1">
      <c r="A22582" s="35"/>
      <c r="C22582" s="442"/>
      <c r="P22582" s="235"/>
      <c r="AI22582" s="38"/>
    </row>
    <row r="22583" ht="15.75" customHeight="1">
      <c r="A22583" s="35"/>
      <c r="C22583" s="442"/>
      <c r="P22583" s="235"/>
      <c r="AI22583" s="38"/>
    </row>
    <row r="22584" ht="15.75" customHeight="1">
      <c r="A22584" s="35"/>
      <c r="C22584" s="442"/>
      <c r="P22584" s="235"/>
      <c r="AI22584" s="38"/>
    </row>
    <row r="22585" ht="15.75" customHeight="1">
      <c r="A22585" s="35"/>
      <c r="C22585" s="442"/>
      <c r="P22585" s="235"/>
      <c r="AI22585" s="38"/>
    </row>
    <row r="22586" ht="15.75" customHeight="1">
      <c r="A22586" s="35"/>
      <c r="C22586" s="442"/>
      <c r="P22586" s="235"/>
      <c r="AI22586" s="38"/>
    </row>
    <row r="22587" ht="15.75" customHeight="1">
      <c r="A22587" s="35"/>
      <c r="C22587" s="442"/>
      <c r="P22587" s="235"/>
      <c r="AI22587" s="38"/>
    </row>
    <row r="22588" ht="15.75" customHeight="1">
      <c r="A22588" s="35"/>
      <c r="C22588" s="442"/>
      <c r="P22588" s="235"/>
      <c r="AI22588" s="38"/>
    </row>
    <row r="22589" ht="15.75" customHeight="1">
      <c r="A22589" s="35"/>
      <c r="C22589" s="442"/>
      <c r="P22589" s="235"/>
      <c r="AI22589" s="38"/>
    </row>
    <row r="22590" ht="15.75" customHeight="1">
      <c r="A22590" s="35"/>
      <c r="C22590" s="442"/>
      <c r="P22590" s="235"/>
      <c r="AI22590" s="38"/>
    </row>
    <row r="22591" ht="15.75" customHeight="1">
      <c r="A22591" s="35"/>
      <c r="C22591" s="442"/>
      <c r="P22591" s="235"/>
      <c r="AI22591" s="38"/>
    </row>
    <row r="22592" ht="15.75" customHeight="1">
      <c r="A22592" s="35"/>
      <c r="C22592" s="442"/>
      <c r="P22592" s="235"/>
      <c r="AI22592" s="38"/>
    </row>
    <row r="22593" ht="15.75" customHeight="1">
      <c r="A22593" s="35"/>
      <c r="C22593" s="442"/>
      <c r="P22593" s="235"/>
      <c r="AI22593" s="38"/>
    </row>
    <row r="22594" ht="15.75" customHeight="1">
      <c r="A22594" s="35"/>
      <c r="C22594" s="442"/>
      <c r="P22594" s="235"/>
      <c r="AI22594" s="38"/>
    </row>
    <row r="22595" ht="15.75" customHeight="1">
      <c r="A22595" s="35"/>
      <c r="C22595" s="442"/>
      <c r="P22595" s="235"/>
      <c r="AI22595" s="38"/>
    </row>
    <row r="22596" ht="15.75" customHeight="1">
      <c r="A22596" s="35"/>
      <c r="C22596" s="442"/>
      <c r="P22596" s="235"/>
      <c r="AI22596" s="38"/>
    </row>
    <row r="22597" ht="15.75" customHeight="1">
      <c r="A22597" s="35"/>
      <c r="C22597" s="442"/>
      <c r="P22597" s="235"/>
      <c r="AI22597" s="38"/>
    </row>
    <row r="22598" ht="15.75" customHeight="1">
      <c r="A22598" s="35"/>
      <c r="C22598" s="442"/>
      <c r="P22598" s="235"/>
      <c r="AI22598" s="38"/>
    </row>
    <row r="22599" ht="15.75" customHeight="1">
      <c r="A22599" s="35"/>
      <c r="C22599" s="442"/>
      <c r="P22599" s="235"/>
      <c r="AI22599" s="38"/>
    </row>
    <row r="22600" ht="15.75" customHeight="1">
      <c r="A22600" s="35"/>
      <c r="C22600" s="442"/>
      <c r="P22600" s="235"/>
      <c r="AI22600" s="38"/>
    </row>
    <row r="22601" ht="15.75" customHeight="1">
      <c r="A22601" s="35"/>
      <c r="C22601" s="442"/>
      <c r="P22601" s="235"/>
      <c r="AI22601" s="38"/>
    </row>
    <row r="22602" ht="15.75" customHeight="1">
      <c r="A22602" s="35"/>
      <c r="C22602" s="442"/>
      <c r="P22602" s="235"/>
      <c r="AI22602" s="38"/>
    </row>
    <row r="22603" ht="15.75" customHeight="1">
      <c r="A22603" s="35"/>
      <c r="C22603" s="442"/>
      <c r="P22603" s="235"/>
      <c r="AI22603" s="38"/>
    </row>
    <row r="22604" ht="15.75" customHeight="1">
      <c r="A22604" s="35"/>
      <c r="C22604" s="442"/>
      <c r="P22604" s="235"/>
      <c r="AI22604" s="38"/>
    </row>
    <row r="22605" ht="15.75" customHeight="1">
      <c r="A22605" s="35"/>
      <c r="C22605" s="442"/>
      <c r="P22605" s="235"/>
      <c r="AI22605" s="38"/>
    </row>
    <row r="22606" ht="15.75" customHeight="1">
      <c r="A22606" s="35"/>
      <c r="C22606" s="442"/>
      <c r="P22606" s="235"/>
      <c r="AI22606" s="38"/>
    </row>
    <row r="22607" ht="15.75" customHeight="1">
      <c r="A22607" s="35"/>
      <c r="C22607" s="442"/>
      <c r="P22607" s="235"/>
      <c r="AI22607" s="38"/>
    </row>
    <row r="22608" ht="15.75" customHeight="1">
      <c r="A22608" s="35"/>
      <c r="C22608" s="442"/>
      <c r="P22608" s="235"/>
      <c r="AI22608" s="38"/>
    </row>
    <row r="22609" ht="15.75" customHeight="1">
      <c r="A22609" s="35"/>
      <c r="C22609" s="442"/>
      <c r="P22609" s="235"/>
      <c r="AI22609" s="38"/>
    </row>
    <row r="22610" ht="15.75" customHeight="1">
      <c r="A22610" s="35"/>
      <c r="C22610" s="442"/>
      <c r="P22610" s="235"/>
      <c r="AI22610" s="38"/>
    </row>
    <row r="22611" ht="15.75" customHeight="1">
      <c r="A22611" s="35"/>
      <c r="C22611" s="442"/>
      <c r="P22611" s="235"/>
      <c r="AI22611" s="38"/>
    </row>
    <row r="22612" ht="15.75" customHeight="1">
      <c r="A22612" s="35"/>
      <c r="C22612" s="442"/>
      <c r="P22612" s="235"/>
      <c r="AI22612" s="38"/>
    </row>
    <row r="22613" ht="15.75" customHeight="1">
      <c r="A22613" s="35"/>
      <c r="C22613" s="442"/>
      <c r="P22613" s="235"/>
      <c r="AI22613" s="38"/>
    </row>
    <row r="22614" ht="15.75" customHeight="1">
      <c r="A22614" s="35"/>
      <c r="C22614" s="442"/>
      <c r="P22614" s="235"/>
      <c r="AI22614" s="38"/>
    </row>
    <row r="22615" ht="15.75" customHeight="1">
      <c r="A22615" s="35"/>
      <c r="C22615" s="442"/>
      <c r="P22615" s="235"/>
      <c r="AI22615" s="38"/>
    </row>
    <row r="22616" ht="15.75" customHeight="1">
      <c r="A22616" s="35"/>
      <c r="C22616" s="442"/>
      <c r="P22616" s="235"/>
      <c r="AI22616" s="38"/>
    </row>
    <row r="22617" ht="15.75" customHeight="1">
      <c r="A22617" s="35"/>
      <c r="C22617" s="442"/>
      <c r="P22617" s="235"/>
      <c r="AI22617" s="38"/>
    </row>
    <row r="22618" ht="15.75" customHeight="1">
      <c r="A22618" s="35"/>
      <c r="C22618" s="442"/>
      <c r="P22618" s="235"/>
      <c r="AI22618" s="38"/>
    </row>
    <row r="22619" ht="15.75" customHeight="1">
      <c r="A22619" s="35"/>
      <c r="C22619" s="442"/>
      <c r="P22619" s="235"/>
      <c r="AI22619" s="38"/>
    </row>
    <row r="22620" ht="15.75" customHeight="1">
      <c r="A22620" s="35"/>
      <c r="C22620" s="442"/>
      <c r="P22620" s="235"/>
      <c r="AI22620" s="38"/>
    </row>
    <row r="22621" ht="15.75" customHeight="1">
      <c r="A22621" s="35"/>
      <c r="C22621" s="442"/>
      <c r="P22621" s="235"/>
      <c r="AI22621" s="38"/>
    </row>
    <row r="22622" ht="15.75" customHeight="1">
      <c r="A22622" s="35"/>
      <c r="C22622" s="442"/>
      <c r="P22622" s="235"/>
      <c r="AI22622" s="38"/>
    </row>
    <row r="22623" ht="15.75" customHeight="1">
      <c r="A22623" s="35"/>
      <c r="C22623" s="442"/>
      <c r="P22623" s="235"/>
      <c r="AI22623" s="38"/>
    </row>
    <row r="22624" ht="15.75" customHeight="1">
      <c r="A22624" s="35"/>
      <c r="C22624" s="442"/>
      <c r="P22624" s="235"/>
      <c r="AI22624" s="38"/>
    </row>
    <row r="22625" ht="15.75" customHeight="1">
      <c r="A22625" s="35"/>
      <c r="C22625" s="442"/>
      <c r="P22625" s="235"/>
      <c r="AI22625" s="38"/>
    </row>
    <row r="22626" ht="15.75" customHeight="1">
      <c r="A22626" s="35"/>
      <c r="C22626" s="442"/>
      <c r="P22626" s="235"/>
      <c r="AI22626" s="38"/>
    </row>
    <row r="22627" ht="15.75" customHeight="1">
      <c r="A22627" s="35"/>
      <c r="C22627" s="442"/>
      <c r="P22627" s="235"/>
      <c r="AI22627" s="38"/>
    </row>
    <row r="22628" ht="15.75" customHeight="1">
      <c r="A22628" s="35"/>
      <c r="C22628" s="442"/>
      <c r="P22628" s="235"/>
      <c r="AI22628" s="38"/>
    </row>
    <row r="22629" ht="15.75" customHeight="1">
      <c r="A22629" s="35"/>
      <c r="C22629" s="442"/>
      <c r="P22629" s="235"/>
      <c r="AI22629" s="38"/>
    </row>
    <row r="22630" ht="15.75" customHeight="1">
      <c r="A22630" s="35"/>
      <c r="C22630" s="442"/>
      <c r="P22630" s="235"/>
      <c r="AI22630" s="38"/>
    </row>
    <row r="22631" ht="15.75" customHeight="1">
      <c r="A22631" s="35"/>
      <c r="C22631" s="442"/>
      <c r="P22631" s="235"/>
      <c r="AI22631" s="38"/>
    </row>
    <row r="22632" ht="15.75" customHeight="1">
      <c r="A22632" s="35"/>
      <c r="C22632" s="442"/>
      <c r="P22632" s="235"/>
      <c r="AI22632" s="38"/>
    </row>
    <row r="22633" ht="15.75" customHeight="1">
      <c r="A22633" s="35"/>
      <c r="C22633" s="442"/>
      <c r="P22633" s="235"/>
      <c r="AI22633" s="38"/>
    </row>
    <row r="22634" ht="15.75" customHeight="1">
      <c r="A22634" s="35"/>
      <c r="C22634" s="442"/>
      <c r="P22634" s="235"/>
      <c r="AI22634" s="38"/>
    </row>
    <row r="22635" ht="15.75" customHeight="1">
      <c r="A22635" s="35"/>
      <c r="C22635" s="442"/>
      <c r="P22635" s="235"/>
      <c r="AI22635" s="38"/>
    </row>
    <row r="22636" ht="15.75" customHeight="1">
      <c r="A22636" s="35"/>
      <c r="C22636" s="442"/>
      <c r="P22636" s="235"/>
      <c r="AI22636" s="38"/>
    </row>
    <row r="22637" ht="15.75" customHeight="1">
      <c r="A22637" s="35"/>
      <c r="C22637" s="442"/>
      <c r="P22637" s="235"/>
      <c r="AI22637" s="38"/>
    </row>
    <row r="22638" ht="15.75" customHeight="1">
      <c r="A22638" s="35"/>
      <c r="C22638" s="442"/>
      <c r="P22638" s="235"/>
      <c r="AI22638" s="38"/>
    </row>
    <row r="22639" ht="15.75" customHeight="1">
      <c r="A22639" s="35"/>
      <c r="C22639" s="442"/>
      <c r="P22639" s="235"/>
      <c r="AI22639" s="38"/>
    </row>
    <row r="22640" ht="15.75" customHeight="1">
      <c r="A22640" s="35"/>
      <c r="C22640" s="442"/>
      <c r="P22640" s="235"/>
      <c r="AI22640" s="38"/>
    </row>
    <row r="22641" ht="15.75" customHeight="1">
      <c r="A22641" s="35"/>
      <c r="C22641" s="442"/>
      <c r="P22641" s="235"/>
      <c r="AI22641" s="38"/>
    </row>
    <row r="22642" ht="15.75" customHeight="1">
      <c r="A22642" s="35"/>
      <c r="C22642" s="442"/>
      <c r="P22642" s="235"/>
      <c r="AI22642" s="38"/>
    </row>
    <row r="22643" ht="15.75" customHeight="1">
      <c r="A22643" s="35"/>
      <c r="C22643" s="442"/>
      <c r="P22643" s="235"/>
      <c r="AI22643" s="38"/>
    </row>
    <row r="22644" ht="15.75" customHeight="1">
      <c r="A22644" s="35"/>
      <c r="C22644" s="442"/>
      <c r="P22644" s="235"/>
      <c r="AI22644" s="38"/>
    </row>
    <row r="22645" ht="15.75" customHeight="1">
      <c r="A22645" s="35"/>
      <c r="C22645" s="442"/>
      <c r="P22645" s="235"/>
      <c r="AI22645" s="38"/>
    </row>
    <row r="22646" ht="15.75" customHeight="1">
      <c r="A22646" s="35"/>
      <c r="C22646" s="442"/>
      <c r="P22646" s="235"/>
      <c r="AI22646" s="38"/>
    </row>
    <row r="22647" ht="15.75" customHeight="1">
      <c r="A22647" s="35"/>
      <c r="C22647" s="442"/>
      <c r="P22647" s="235"/>
      <c r="AI22647" s="38"/>
    </row>
    <row r="22648" ht="15.75" customHeight="1">
      <c r="A22648" s="35"/>
      <c r="C22648" s="442"/>
      <c r="P22648" s="235"/>
      <c r="AI22648" s="38"/>
    </row>
    <row r="22649" ht="15.75" customHeight="1">
      <c r="A22649" s="35"/>
      <c r="C22649" s="442"/>
      <c r="P22649" s="235"/>
      <c r="AI22649" s="38"/>
    </row>
    <row r="22650" ht="15.75" customHeight="1">
      <c r="A22650" s="35"/>
      <c r="C22650" s="442"/>
      <c r="P22650" s="235"/>
      <c r="AI22650" s="38"/>
    </row>
    <row r="22651" ht="15.75" customHeight="1">
      <c r="A22651" s="35"/>
      <c r="C22651" s="442"/>
      <c r="P22651" s="235"/>
      <c r="AI22651" s="38"/>
    </row>
    <row r="22652" ht="15.75" customHeight="1">
      <c r="A22652" s="35"/>
      <c r="C22652" s="442"/>
      <c r="P22652" s="235"/>
      <c r="AI22652" s="38"/>
    </row>
    <row r="22653" ht="15.75" customHeight="1">
      <c r="A22653" s="35"/>
      <c r="C22653" s="442"/>
      <c r="P22653" s="235"/>
      <c r="AI22653" s="38"/>
    </row>
    <row r="22654" ht="15.75" customHeight="1">
      <c r="A22654" s="35"/>
      <c r="C22654" s="442"/>
      <c r="P22654" s="235"/>
      <c r="AI22654" s="38"/>
    </row>
    <row r="22655" ht="15.75" customHeight="1">
      <c r="A22655" s="35"/>
      <c r="C22655" s="442"/>
      <c r="P22655" s="235"/>
      <c r="AI22655" s="38"/>
    </row>
    <row r="22656" ht="15.75" customHeight="1">
      <c r="A22656" s="35"/>
      <c r="C22656" s="442"/>
      <c r="P22656" s="235"/>
      <c r="AI22656" s="38"/>
    </row>
    <row r="22657" ht="15.75" customHeight="1">
      <c r="A22657" s="35"/>
      <c r="C22657" s="442"/>
      <c r="P22657" s="235"/>
      <c r="AI22657" s="38"/>
    </row>
    <row r="22658" ht="15.75" customHeight="1">
      <c r="A22658" s="35"/>
      <c r="C22658" s="442"/>
      <c r="P22658" s="235"/>
      <c r="AI22658" s="38"/>
    </row>
    <row r="22659" ht="15.75" customHeight="1">
      <c r="A22659" s="35"/>
      <c r="C22659" s="442"/>
      <c r="P22659" s="235"/>
      <c r="AI22659" s="38"/>
    </row>
    <row r="22660" ht="15.75" customHeight="1">
      <c r="A22660" s="35"/>
      <c r="C22660" s="442"/>
      <c r="P22660" s="235"/>
      <c r="AI22660" s="38"/>
    </row>
    <row r="22661" ht="15.75" customHeight="1">
      <c r="A22661" s="35"/>
      <c r="C22661" s="442"/>
      <c r="P22661" s="235"/>
      <c r="AI22661" s="38"/>
    </row>
    <row r="22662" ht="15.75" customHeight="1">
      <c r="A22662" s="35"/>
      <c r="C22662" s="442"/>
      <c r="P22662" s="235"/>
      <c r="AI22662" s="38"/>
    </row>
    <row r="22663" ht="15.75" customHeight="1">
      <c r="A22663" s="35"/>
      <c r="C22663" s="442"/>
      <c r="P22663" s="235"/>
      <c r="AI22663" s="38"/>
    </row>
    <row r="22664" ht="15.75" customHeight="1">
      <c r="A22664" s="35"/>
      <c r="C22664" s="442"/>
      <c r="P22664" s="235"/>
      <c r="AI22664" s="38"/>
    </row>
    <row r="22665" ht="15.75" customHeight="1">
      <c r="A22665" s="35"/>
      <c r="C22665" s="442"/>
      <c r="P22665" s="235"/>
      <c r="AI22665" s="38"/>
    </row>
    <row r="22666" ht="15.75" customHeight="1">
      <c r="A22666" s="35"/>
      <c r="C22666" s="442"/>
      <c r="P22666" s="235"/>
      <c r="AI22666" s="38"/>
    </row>
    <row r="22667" ht="15.75" customHeight="1">
      <c r="A22667" s="35"/>
      <c r="C22667" s="442"/>
      <c r="P22667" s="235"/>
      <c r="AI22667" s="38"/>
    </row>
    <row r="22668" ht="15.75" customHeight="1">
      <c r="A22668" s="35"/>
      <c r="C22668" s="442"/>
      <c r="P22668" s="235"/>
      <c r="AI22668" s="38"/>
    </row>
    <row r="22669" ht="15.75" customHeight="1">
      <c r="A22669" s="35"/>
      <c r="C22669" s="442"/>
      <c r="P22669" s="235"/>
      <c r="AI22669" s="38"/>
    </row>
    <row r="22670" ht="15.75" customHeight="1">
      <c r="A22670" s="35"/>
      <c r="C22670" s="442"/>
      <c r="P22670" s="235"/>
      <c r="AI22670" s="38"/>
    </row>
    <row r="22671" ht="15.75" customHeight="1">
      <c r="A22671" s="35"/>
      <c r="C22671" s="442"/>
      <c r="P22671" s="235"/>
      <c r="AI22671" s="38"/>
    </row>
    <row r="22672" ht="15.75" customHeight="1">
      <c r="A22672" s="35"/>
      <c r="C22672" s="442"/>
      <c r="P22672" s="235"/>
      <c r="AI22672" s="38"/>
    </row>
    <row r="22673" ht="15.75" customHeight="1">
      <c r="A22673" s="35"/>
      <c r="C22673" s="442"/>
      <c r="P22673" s="235"/>
      <c r="AI22673" s="38"/>
    </row>
    <row r="22674" ht="15.75" customHeight="1">
      <c r="A22674" s="35"/>
      <c r="C22674" s="442"/>
      <c r="P22674" s="235"/>
      <c r="AI22674" s="38"/>
    </row>
    <row r="22675" ht="15.75" customHeight="1">
      <c r="A22675" s="35"/>
      <c r="C22675" s="442"/>
      <c r="P22675" s="235"/>
      <c r="AI22675" s="38"/>
    </row>
    <row r="22676" ht="15.75" customHeight="1">
      <c r="A22676" s="35"/>
      <c r="C22676" s="442"/>
      <c r="P22676" s="235"/>
      <c r="AI22676" s="38"/>
    </row>
    <row r="22677" ht="15.75" customHeight="1">
      <c r="A22677" s="35"/>
      <c r="C22677" s="442"/>
      <c r="P22677" s="235"/>
      <c r="AI22677" s="38"/>
    </row>
    <row r="22678" ht="15.75" customHeight="1">
      <c r="A22678" s="35"/>
      <c r="C22678" s="442"/>
      <c r="P22678" s="235"/>
      <c r="AI22678" s="38"/>
    </row>
    <row r="22679" ht="15.75" customHeight="1">
      <c r="A22679" s="35"/>
      <c r="C22679" s="442"/>
      <c r="P22679" s="235"/>
      <c r="AI22679" s="38"/>
    </row>
    <row r="22680" ht="15.75" customHeight="1">
      <c r="A22680" s="35"/>
      <c r="C22680" s="442"/>
      <c r="P22680" s="235"/>
      <c r="AI22680" s="38"/>
    </row>
    <row r="22681" ht="15.75" customHeight="1">
      <c r="A22681" s="35"/>
      <c r="C22681" s="442"/>
      <c r="P22681" s="235"/>
      <c r="AI22681" s="38"/>
    </row>
    <row r="22682" ht="15.75" customHeight="1">
      <c r="A22682" s="35"/>
      <c r="C22682" s="442"/>
      <c r="P22682" s="235"/>
      <c r="AI22682" s="38"/>
    </row>
    <row r="22683" ht="15.75" customHeight="1">
      <c r="A22683" s="35"/>
      <c r="C22683" s="442"/>
      <c r="P22683" s="235"/>
      <c r="AI22683" s="38"/>
    </row>
    <row r="22684" ht="15.75" customHeight="1">
      <c r="A22684" s="35"/>
      <c r="C22684" s="442"/>
      <c r="P22684" s="235"/>
      <c r="AI22684" s="38"/>
    </row>
    <row r="22685" ht="15.75" customHeight="1">
      <c r="A22685" s="35"/>
      <c r="C22685" s="442"/>
      <c r="P22685" s="235"/>
      <c r="AI22685" s="38"/>
    </row>
    <row r="22686" ht="15.75" customHeight="1">
      <c r="A22686" s="35"/>
      <c r="C22686" s="442"/>
      <c r="P22686" s="235"/>
      <c r="AI22686" s="38"/>
    </row>
    <row r="22687" ht="15.75" customHeight="1">
      <c r="A22687" s="35"/>
      <c r="C22687" s="442"/>
      <c r="P22687" s="235"/>
      <c r="AI22687" s="38"/>
    </row>
    <row r="22688" ht="15.75" customHeight="1">
      <c r="A22688" s="35"/>
      <c r="C22688" s="442"/>
      <c r="P22688" s="235"/>
      <c r="AI22688" s="38"/>
    </row>
    <row r="22689" ht="15.75" customHeight="1">
      <c r="A22689" s="35"/>
      <c r="C22689" s="442"/>
      <c r="P22689" s="235"/>
      <c r="AI22689" s="38"/>
    </row>
    <row r="22690" ht="15.75" customHeight="1">
      <c r="A22690" s="35"/>
      <c r="C22690" s="442"/>
      <c r="P22690" s="235"/>
      <c r="AI22690" s="38"/>
    </row>
    <row r="22691" ht="15.75" customHeight="1">
      <c r="A22691" s="35"/>
      <c r="C22691" s="442"/>
      <c r="P22691" s="235"/>
      <c r="AI22691" s="38"/>
    </row>
    <row r="22692" ht="15.75" customHeight="1">
      <c r="A22692" s="35"/>
      <c r="C22692" s="442"/>
      <c r="P22692" s="235"/>
      <c r="AI22692" s="38"/>
    </row>
    <row r="22693" ht="15.75" customHeight="1">
      <c r="A22693" s="35"/>
      <c r="C22693" s="442"/>
      <c r="P22693" s="235"/>
      <c r="AI22693" s="38"/>
    </row>
    <row r="22694" ht="15.75" customHeight="1">
      <c r="A22694" s="35"/>
      <c r="C22694" s="442"/>
      <c r="P22694" s="235"/>
      <c r="AI22694" s="38"/>
    </row>
    <row r="22695" ht="15.75" customHeight="1">
      <c r="A22695" s="35"/>
      <c r="C22695" s="442"/>
      <c r="P22695" s="235"/>
      <c r="AI22695" s="38"/>
    </row>
    <row r="22696" ht="15.75" customHeight="1">
      <c r="A22696" s="35"/>
      <c r="C22696" s="442"/>
      <c r="P22696" s="235"/>
      <c r="AI22696" s="38"/>
    </row>
    <row r="22697" ht="15.75" customHeight="1">
      <c r="A22697" s="35"/>
      <c r="C22697" s="442"/>
      <c r="P22697" s="235"/>
      <c r="AI22697" s="38"/>
    </row>
    <row r="22698" ht="15.75" customHeight="1">
      <c r="A22698" s="35"/>
      <c r="C22698" s="442"/>
      <c r="P22698" s="235"/>
      <c r="AI22698" s="38"/>
    </row>
    <row r="22699" ht="15.75" customHeight="1">
      <c r="A22699" s="35"/>
      <c r="C22699" s="442"/>
      <c r="P22699" s="235"/>
      <c r="AI22699" s="38"/>
    </row>
    <row r="22700" ht="15.75" customHeight="1">
      <c r="A22700" s="35"/>
      <c r="C22700" s="442"/>
      <c r="P22700" s="235"/>
      <c r="AI22700" s="38"/>
    </row>
    <row r="22701" ht="15.75" customHeight="1">
      <c r="A22701" s="35"/>
      <c r="C22701" s="442"/>
      <c r="P22701" s="235"/>
      <c r="AI22701" s="38"/>
    </row>
    <row r="22702" ht="15.75" customHeight="1">
      <c r="A22702" s="35"/>
      <c r="C22702" s="442"/>
      <c r="P22702" s="235"/>
      <c r="AI22702" s="38"/>
    </row>
    <row r="22703" ht="15.75" customHeight="1">
      <c r="A22703" s="35"/>
      <c r="C22703" s="442"/>
      <c r="P22703" s="235"/>
      <c r="AI22703" s="38"/>
    </row>
    <row r="22704" ht="15.75" customHeight="1">
      <c r="A22704" s="35"/>
      <c r="C22704" s="442"/>
      <c r="P22704" s="235"/>
      <c r="AI22704" s="38"/>
    </row>
    <row r="22705" ht="15.75" customHeight="1">
      <c r="A22705" s="35"/>
      <c r="C22705" s="442"/>
      <c r="P22705" s="235"/>
      <c r="AI22705" s="38"/>
    </row>
    <row r="22706" ht="15.75" customHeight="1">
      <c r="A22706" s="35"/>
      <c r="C22706" s="442"/>
      <c r="P22706" s="235"/>
      <c r="AI22706" s="38"/>
    </row>
    <row r="22707" ht="15.75" customHeight="1">
      <c r="A22707" s="35"/>
      <c r="C22707" s="442"/>
      <c r="P22707" s="235"/>
      <c r="AI22707" s="38"/>
    </row>
    <row r="22708" ht="15.75" customHeight="1">
      <c r="A22708" s="35"/>
      <c r="C22708" s="442"/>
      <c r="P22708" s="235"/>
      <c r="AI22708" s="38"/>
    </row>
    <row r="22709" ht="15.75" customHeight="1">
      <c r="A22709" s="35"/>
      <c r="C22709" s="442"/>
      <c r="P22709" s="235"/>
      <c r="AI22709" s="38"/>
    </row>
    <row r="22710" ht="15.75" customHeight="1">
      <c r="A22710" s="35"/>
      <c r="C22710" s="442"/>
      <c r="P22710" s="235"/>
      <c r="AI22710" s="38"/>
    </row>
    <row r="22711" ht="15.75" customHeight="1">
      <c r="A22711" s="35"/>
      <c r="C22711" s="442"/>
      <c r="P22711" s="235"/>
      <c r="AI22711" s="38"/>
    </row>
    <row r="22712" ht="15.75" customHeight="1">
      <c r="A22712" s="35"/>
      <c r="C22712" s="442"/>
      <c r="P22712" s="235"/>
      <c r="AI22712" s="38"/>
    </row>
    <row r="22713" ht="15.75" customHeight="1">
      <c r="A22713" s="35"/>
      <c r="C22713" s="442"/>
      <c r="P22713" s="235"/>
      <c r="AI22713" s="38"/>
    </row>
    <row r="22714" ht="15.75" customHeight="1">
      <c r="A22714" s="35"/>
      <c r="C22714" s="442"/>
      <c r="P22714" s="235"/>
      <c r="AI22714" s="38"/>
    </row>
    <row r="22715" ht="15.75" customHeight="1">
      <c r="A22715" s="35"/>
      <c r="C22715" s="442"/>
      <c r="P22715" s="235"/>
      <c r="AI22715" s="38"/>
    </row>
    <row r="22716" ht="15.75" customHeight="1">
      <c r="A22716" s="35"/>
      <c r="C22716" s="442"/>
      <c r="P22716" s="235"/>
      <c r="AI22716" s="38"/>
    </row>
    <row r="22717" ht="15.75" customHeight="1">
      <c r="A22717" s="35"/>
      <c r="C22717" s="442"/>
      <c r="P22717" s="235"/>
      <c r="AI22717" s="38"/>
    </row>
    <row r="22718" ht="15.75" customHeight="1">
      <c r="A22718" s="35"/>
      <c r="C22718" s="442"/>
      <c r="P22718" s="235"/>
      <c r="AI22718" s="38"/>
    </row>
    <row r="22719" ht="15.75" customHeight="1">
      <c r="A22719" s="35"/>
      <c r="C22719" s="442"/>
      <c r="P22719" s="235"/>
      <c r="AI22719" s="38"/>
    </row>
    <row r="22720" ht="15.75" customHeight="1">
      <c r="A22720" s="35"/>
      <c r="C22720" s="442"/>
      <c r="P22720" s="235"/>
      <c r="AI22720" s="38"/>
    </row>
    <row r="22721" ht="15.75" customHeight="1">
      <c r="A22721" s="35"/>
      <c r="C22721" s="442"/>
      <c r="P22721" s="235"/>
      <c r="AI22721" s="38"/>
    </row>
    <row r="22722" ht="15.75" customHeight="1">
      <c r="A22722" s="35"/>
      <c r="C22722" s="442"/>
      <c r="P22722" s="235"/>
      <c r="AI22722" s="38"/>
    </row>
    <row r="22723" ht="15.75" customHeight="1">
      <c r="A22723" s="35"/>
      <c r="C22723" s="442"/>
      <c r="P22723" s="235"/>
      <c r="AI22723" s="38"/>
    </row>
    <row r="22724" ht="15.75" customHeight="1">
      <c r="A22724" s="35"/>
      <c r="C22724" s="442"/>
      <c r="P22724" s="235"/>
      <c r="AI22724" s="38"/>
    </row>
    <row r="22725" ht="15.75" customHeight="1">
      <c r="A22725" s="35"/>
      <c r="C22725" s="442"/>
      <c r="P22725" s="235"/>
      <c r="AI22725" s="38"/>
    </row>
    <row r="22726" ht="15.75" customHeight="1">
      <c r="A22726" s="35"/>
      <c r="C22726" s="442"/>
      <c r="P22726" s="235"/>
      <c r="AI22726" s="38"/>
    </row>
    <row r="22727" ht="15.75" customHeight="1">
      <c r="A22727" s="35"/>
      <c r="C22727" s="442"/>
      <c r="P22727" s="235"/>
      <c r="AI22727" s="38"/>
    </row>
    <row r="22728" ht="15.75" customHeight="1">
      <c r="A22728" s="35"/>
      <c r="C22728" s="442"/>
      <c r="P22728" s="235"/>
      <c r="AI22728" s="38"/>
    </row>
    <row r="22729" ht="15.75" customHeight="1">
      <c r="A22729" s="35"/>
      <c r="C22729" s="442"/>
      <c r="P22729" s="235"/>
      <c r="AI22729" s="38"/>
    </row>
    <row r="22730" ht="15.75" customHeight="1">
      <c r="A22730" s="35"/>
      <c r="C22730" s="442"/>
      <c r="P22730" s="235"/>
      <c r="AI22730" s="38"/>
    </row>
    <row r="22731" ht="15.75" customHeight="1">
      <c r="A22731" s="35"/>
      <c r="C22731" s="442"/>
      <c r="P22731" s="235"/>
      <c r="AI22731" s="38"/>
    </row>
    <row r="22732" ht="15.75" customHeight="1">
      <c r="A22732" s="35"/>
      <c r="C22732" s="442"/>
      <c r="P22732" s="235"/>
      <c r="AI22732" s="38"/>
    </row>
    <row r="22733" ht="15.75" customHeight="1">
      <c r="A22733" s="35"/>
      <c r="C22733" s="442"/>
      <c r="P22733" s="235"/>
      <c r="AI22733" s="38"/>
    </row>
    <row r="22734" ht="15.75" customHeight="1">
      <c r="A22734" s="35"/>
      <c r="C22734" s="442"/>
      <c r="P22734" s="235"/>
      <c r="AI22734" s="38"/>
    </row>
    <row r="22735" ht="15.75" customHeight="1">
      <c r="A22735" s="35"/>
      <c r="C22735" s="442"/>
      <c r="P22735" s="235"/>
      <c r="AI22735" s="38"/>
    </row>
    <row r="22736" ht="15.75" customHeight="1">
      <c r="A22736" s="35"/>
      <c r="C22736" s="442"/>
      <c r="P22736" s="235"/>
      <c r="AI22736" s="38"/>
    </row>
    <row r="22737" ht="15.75" customHeight="1">
      <c r="A22737" s="35"/>
      <c r="C22737" s="442"/>
      <c r="P22737" s="235"/>
      <c r="AI22737" s="38"/>
    </row>
    <row r="22738" ht="15.75" customHeight="1">
      <c r="A22738" s="35"/>
      <c r="C22738" s="442"/>
      <c r="P22738" s="235"/>
      <c r="AI22738" s="38"/>
    </row>
    <row r="22739" ht="15.75" customHeight="1">
      <c r="A22739" s="35"/>
      <c r="C22739" s="442"/>
      <c r="P22739" s="235"/>
      <c r="AI22739" s="38"/>
    </row>
    <row r="22740" ht="15.75" customHeight="1">
      <c r="A22740" s="35"/>
      <c r="C22740" s="442"/>
      <c r="P22740" s="235"/>
      <c r="AI22740" s="38"/>
    </row>
    <row r="22741" ht="15.75" customHeight="1">
      <c r="A22741" s="35"/>
      <c r="C22741" s="442"/>
      <c r="P22741" s="235"/>
      <c r="AI22741" s="38"/>
    </row>
    <row r="22742" ht="15.75" customHeight="1">
      <c r="A22742" s="35"/>
      <c r="C22742" s="442"/>
      <c r="P22742" s="235"/>
      <c r="AI22742" s="38"/>
    </row>
    <row r="22743" ht="15.75" customHeight="1">
      <c r="A22743" s="35"/>
      <c r="C22743" s="442"/>
      <c r="P22743" s="235"/>
      <c r="AI22743" s="38"/>
    </row>
    <row r="22744" ht="15.75" customHeight="1">
      <c r="A22744" s="35"/>
      <c r="C22744" s="442"/>
      <c r="P22744" s="235"/>
      <c r="AI22744" s="38"/>
    </row>
    <row r="22745" ht="15.75" customHeight="1">
      <c r="A22745" s="35"/>
      <c r="C22745" s="442"/>
      <c r="P22745" s="235"/>
      <c r="AI22745" s="38"/>
    </row>
    <row r="22746" ht="15.75" customHeight="1">
      <c r="A22746" s="35"/>
      <c r="C22746" s="442"/>
      <c r="P22746" s="235"/>
      <c r="AI22746" s="38"/>
    </row>
    <row r="22747" ht="15.75" customHeight="1">
      <c r="A22747" s="35"/>
      <c r="C22747" s="442"/>
      <c r="P22747" s="235"/>
      <c r="AI22747" s="38"/>
    </row>
    <row r="22748" ht="15.75" customHeight="1">
      <c r="A22748" s="35"/>
      <c r="C22748" s="442"/>
      <c r="P22748" s="235"/>
      <c r="AI22748" s="38"/>
    </row>
    <row r="22749" ht="15.75" customHeight="1">
      <c r="A22749" s="35"/>
      <c r="C22749" s="442"/>
      <c r="P22749" s="235"/>
      <c r="AI22749" s="38"/>
    </row>
    <row r="22750" ht="15.75" customHeight="1">
      <c r="A22750" s="35"/>
      <c r="C22750" s="442"/>
      <c r="P22750" s="235"/>
      <c r="AI22750" s="38"/>
    </row>
    <row r="22751" ht="15.75" customHeight="1">
      <c r="A22751" s="35"/>
      <c r="C22751" s="442"/>
      <c r="P22751" s="235"/>
      <c r="AI22751" s="38"/>
    </row>
    <row r="22752" ht="15.75" customHeight="1">
      <c r="A22752" s="35"/>
      <c r="C22752" s="442"/>
      <c r="P22752" s="235"/>
      <c r="AI22752" s="38"/>
    </row>
    <row r="22753" ht="15.75" customHeight="1">
      <c r="A22753" s="35"/>
      <c r="C22753" s="442"/>
      <c r="P22753" s="235"/>
      <c r="AI22753" s="38"/>
    </row>
    <row r="22754" ht="15.75" customHeight="1">
      <c r="A22754" s="35"/>
      <c r="C22754" s="442"/>
      <c r="P22754" s="235"/>
      <c r="AI22754" s="38"/>
    </row>
    <row r="22755" ht="15.75" customHeight="1">
      <c r="A22755" s="35"/>
      <c r="C22755" s="442"/>
      <c r="P22755" s="235"/>
      <c r="AI22755" s="38"/>
    </row>
    <row r="22756" ht="15.75" customHeight="1">
      <c r="A22756" s="35"/>
      <c r="C22756" s="442"/>
      <c r="P22756" s="235"/>
      <c r="AI22756" s="38"/>
    </row>
    <row r="22757" ht="15.75" customHeight="1">
      <c r="A22757" s="35"/>
      <c r="C22757" s="442"/>
      <c r="P22757" s="235"/>
      <c r="AI22757" s="38"/>
    </row>
    <row r="22758" ht="15.75" customHeight="1">
      <c r="A22758" s="35"/>
      <c r="C22758" s="442"/>
      <c r="P22758" s="235"/>
      <c r="AI22758" s="38"/>
    </row>
    <row r="22759" ht="15.75" customHeight="1">
      <c r="A22759" s="35"/>
      <c r="C22759" s="442"/>
      <c r="P22759" s="235"/>
      <c r="AI22759" s="38"/>
    </row>
    <row r="22760" ht="15.75" customHeight="1">
      <c r="A22760" s="35"/>
      <c r="C22760" s="442"/>
      <c r="P22760" s="235"/>
      <c r="AI22760" s="38"/>
    </row>
    <row r="22761" ht="15.75" customHeight="1">
      <c r="A22761" s="35"/>
      <c r="C22761" s="442"/>
      <c r="P22761" s="235"/>
      <c r="AI22761" s="38"/>
    </row>
    <row r="22762" ht="15.75" customHeight="1">
      <c r="A22762" s="35"/>
      <c r="C22762" s="442"/>
      <c r="P22762" s="235"/>
      <c r="AI22762" s="38"/>
    </row>
    <row r="22763" ht="15.75" customHeight="1">
      <c r="A22763" s="35"/>
      <c r="C22763" s="442"/>
      <c r="P22763" s="235"/>
      <c r="AI22763" s="38"/>
    </row>
    <row r="22764" ht="15.75" customHeight="1">
      <c r="A22764" s="35"/>
      <c r="C22764" s="442"/>
      <c r="P22764" s="235"/>
      <c r="AI22764" s="38"/>
    </row>
    <row r="22765" ht="15.75" customHeight="1">
      <c r="A22765" s="35"/>
      <c r="C22765" s="442"/>
      <c r="P22765" s="235"/>
      <c r="AI22765" s="38"/>
    </row>
    <row r="22766" ht="15.75" customHeight="1">
      <c r="A22766" s="35"/>
      <c r="C22766" s="442"/>
      <c r="P22766" s="235"/>
      <c r="AI22766" s="38"/>
    </row>
    <row r="22767" ht="15.75" customHeight="1">
      <c r="A22767" s="35"/>
      <c r="C22767" s="442"/>
      <c r="P22767" s="235"/>
      <c r="AI22767" s="38"/>
    </row>
    <row r="22768" ht="15.75" customHeight="1">
      <c r="A22768" s="35"/>
      <c r="C22768" s="442"/>
      <c r="P22768" s="235"/>
      <c r="AI22768" s="38"/>
    </row>
    <row r="22769" ht="15.75" customHeight="1">
      <c r="A22769" s="35"/>
      <c r="C22769" s="442"/>
      <c r="P22769" s="235"/>
      <c r="AI22769" s="38"/>
    </row>
    <row r="22770" ht="15.75" customHeight="1">
      <c r="A22770" s="35"/>
      <c r="C22770" s="442"/>
      <c r="P22770" s="235"/>
      <c r="AI22770" s="38"/>
    </row>
    <row r="22771" ht="15.75" customHeight="1">
      <c r="A22771" s="35"/>
      <c r="C22771" s="442"/>
      <c r="P22771" s="235"/>
      <c r="AI22771" s="38"/>
    </row>
    <row r="22772" ht="15.75" customHeight="1">
      <c r="A22772" s="35"/>
      <c r="C22772" s="442"/>
      <c r="P22772" s="235"/>
      <c r="AI22772" s="38"/>
    </row>
    <row r="22773" ht="15.75" customHeight="1">
      <c r="A22773" s="35"/>
      <c r="C22773" s="442"/>
      <c r="P22773" s="235"/>
      <c r="AI22773" s="38"/>
    </row>
    <row r="22774" ht="15.75" customHeight="1">
      <c r="A22774" s="35"/>
      <c r="C22774" s="442"/>
      <c r="P22774" s="235"/>
      <c r="AI22774" s="38"/>
    </row>
    <row r="22775" ht="15.75" customHeight="1">
      <c r="A22775" s="35"/>
      <c r="C22775" s="442"/>
      <c r="P22775" s="235"/>
      <c r="AI22775" s="38"/>
    </row>
    <row r="22776" ht="15.75" customHeight="1">
      <c r="A22776" s="35"/>
      <c r="C22776" s="442"/>
      <c r="P22776" s="235"/>
      <c r="AI22776" s="38"/>
    </row>
    <row r="22777" ht="15.75" customHeight="1">
      <c r="A22777" s="35"/>
      <c r="C22777" s="442"/>
      <c r="P22777" s="235"/>
      <c r="AI22777" s="38"/>
    </row>
    <row r="22778" ht="15.75" customHeight="1">
      <c r="A22778" s="35"/>
      <c r="C22778" s="442"/>
      <c r="P22778" s="235"/>
      <c r="AI22778" s="38"/>
    </row>
    <row r="22779" ht="15.75" customHeight="1">
      <c r="A22779" s="35"/>
      <c r="C22779" s="442"/>
      <c r="P22779" s="235"/>
      <c r="AI22779" s="38"/>
    </row>
    <row r="22780" ht="15.75" customHeight="1">
      <c r="A22780" s="35"/>
      <c r="C22780" s="442"/>
      <c r="P22780" s="235"/>
      <c r="AI22780" s="38"/>
    </row>
    <row r="22781" ht="15.75" customHeight="1">
      <c r="A22781" s="35"/>
      <c r="C22781" s="442"/>
      <c r="P22781" s="235"/>
      <c r="AI22781" s="38"/>
    </row>
    <row r="22782" ht="15.75" customHeight="1">
      <c r="A22782" s="35"/>
      <c r="C22782" s="442"/>
      <c r="P22782" s="235"/>
      <c r="AI22782" s="38"/>
    </row>
    <row r="22783" ht="15.75" customHeight="1">
      <c r="A22783" s="35"/>
      <c r="C22783" s="442"/>
      <c r="P22783" s="235"/>
      <c r="AI22783" s="38"/>
    </row>
    <row r="22784" ht="15.75" customHeight="1">
      <c r="A22784" s="35"/>
      <c r="C22784" s="442"/>
      <c r="P22784" s="235"/>
      <c r="AI22784" s="38"/>
    </row>
    <row r="22785" ht="15.75" customHeight="1">
      <c r="A22785" s="35"/>
      <c r="C22785" s="442"/>
      <c r="P22785" s="235"/>
      <c r="AI22785" s="38"/>
    </row>
    <row r="22786" ht="15.75" customHeight="1">
      <c r="A22786" s="35"/>
      <c r="C22786" s="442"/>
      <c r="P22786" s="235"/>
      <c r="AI22786" s="38"/>
    </row>
    <row r="22787" ht="15.75" customHeight="1">
      <c r="A22787" s="35"/>
      <c r="C22787" s="442"/>
      <c r="P22787" s="235"/>
      <c r="AI22787" s="38"/>
    </row>
    <row r="22788" ht="15.75" customHeight="1">
      <c r="A22788" s="35"/>
      <c r="C22788" s="442"/>
      <c r="P22788" s="235"/>
      <c r="AI22788" s="38"/>
    </row>
    <row r="22789" ht="15.75" customHeight="1">
      <c r="A22789" s="35"/>
      <c r="C22789" s="442"/>
      <c r="P22789" s="235"/>
      <c r="AI22789" s="38"/>
    </row>
    <row r="22790" ht="15.75" customHeight="1">
      <c r="A22790" s="35"/>
      <c r="C22790" s="442"/>
      <c r="P22790" s="235"/>
      <c r="AI22790" s="38"/>
    </row>
    <row r="22791" ht="15.75" customHeight="1">
      <c r="A22791" s="35"/>
      <c r="C22791" s="442"/>
      <c r="P22791" s="235"/>
      <c r="AI22791" s="38"/>
    </row>
    <row r="22792" ht="15.75" customHeight="1">
      <c r="A22792" s="35"/>
      <c r="C22792" s="442"/>
      <c r="P22792" s="235"/>
      <c r="AI22792" s="38"/>
    </row>
    <row r="22793" ht="15.75" customHeight="1">
      <c r="A22793" s="35"/>
      <c r="C22793" s="442"/>
      <c r="P22793" s="235"/>
      <c r="AI22793" s="38"/>
    </row>
    <row r="22794" ht="15.75" customHeight="1">
      <c r="A22794" s="35"/>
      <c r="C22794" s="442"/>
      <c r="P22794" s="235"/>
      <c r="AI22794" s="38"/>
    </row>
    <row r="22795" ht="15.75" customHeight="1">
      <c r="A22795" s="35"/>
      <c r="C22795" s="442"/>
      <c r="P22795" s="235"/>
      <c r="AI22795" s="38"/>
    </row>
    <row r="22796" ht="15.75" customHeight="1">
      <c r="A22796" s="35"/>
      <c r="C22796" s="442"/>
      <c r="P22796" s="235"/>
      <c r="AI22796" s="38"/>
    </row>
    <row r="22797" ht="15.75" customHeight="1">
      <c r="A22797" s="35"/>
      <c r="C22797" s="442"/>
      <c r="P22797" s="235"/>
      <c r="AI22797" s="38"/>
    </row>
    <row r="22798" ht="15.75" customHeight="1">
      <c r="A22798" s="35"/>
      <c r="C22798" s="442"/>
      <c r="P22798" s="235"/>
      <c r="AI22798" s="38"/>
    </row>
    <row r="22799" ht="15.75" customHeight="1">
      <c r="A22799" s="35"/>
      <c r="C22799" s="442"/>
      <c r="P22799" s="235"/>
      <c r="AI22799" s="38"/>
    </row>
    <row r="22800" ht="15.75" customHeight="1">
      <c r="A22800" s="35"/>
      <c r="C22800" s="442"/>
      <c r="P22800" s="235"/>
      <c r="AI22800" s="38"/>
    </row>
    <row r="22801" ht="15.75" customHeight="1">
      <c r="A22801" s="35"/>
      <c r="C22801" s="442"/>
      <c r="P22801" s="235"/>
      <c r="AI22801" s="38"/>
    </row>
    <row r="22802" ht="15.75" customHeight="1">
      <c r="A22802" s="35"/>
      <c r="C22802" s="442"/>
      <c r="P22802" s="235"/>
      <c r="AI22802" s="38"/>
    </row>
    <row r="22803" ht="15.75" customHeight="1">
      <c r="A22803" s="35"/>
      <c r="C22803" s="442"/>
      <c r="P22803" s="235"/>
      <c r="AI22803" s="38"/>
    </row>
    <row r="22804" ht="15.75" customHeight="1">
      <c r="A22804" s="35"/>
      <c r="C22804" s="442"/>
      <c r="P22804" s="235"/>
      <c r="AI22804" s="38"/>
    </row>
    <row r="22805" ht="15.75" customHeight="1">
      <c r="A22805" s="35"/>
      <c r="C22805" s="442"/>
      <c r="P22805" s="235"/>
      <c r="AI22805" s="38"/>
    </row>
    <row r="22806" ht="15.75" customHeight="1">
      <c r="A22806" s="35"/>
      <c r="C22806" s="442"/>
      <c r="P22806" s="235"/>
      <c r="AI22806" s="38"/>
    </row>
    <row r="22807" ht="15.75" customHeight="1">
      <c r="A22807" s="35"/>
      <c r="C22807" s="442"/>
      <c r="P22807" s="235"/>
      <c r="AI22807" s="38"/>
    </row>
    <row r="22808" ht="15.75" customHeight="1">
      <c r="A22808" s="35"/>
      <c r="C22808" s="442"/>
      <c r="P22808" s="235"/>
      <c r="AI22808" s="38"/>
    </row>
    <row r="22809" ht="15.75" customHeight="1">
      <c r="A22809" s="35"/>
      <c r="C22809" s="442"/>
      <c r="P22809" s="235"/>
      <c r="AI22809" s="38"/>
    </row>
    <row r="22810" ht="15.75" customHeight="1">
      <c r="A22810" s="35"/>
      <c r="C22810" s="442"/>
      <c r="P22810" s="235"/>
      <c r="AI22810" s="38"/>
    </row>
    <row r="22811" ht="15.75" customHeight="1">
      <c r="A22811" s="35"/>
      <c r="C22811" s="442"/>
      <c r="P22811" s="235"/>
      <c r="AI22811" s="38"/>
    </row>
    <row r="22812" ht="15.75" customHeight="1">
      <c r="A22812" s="35"/>
      <c r="C22812" s="442"/>
      <c r="P22812" s="235"/>
      <c r="AI22812" s="38"/>
    </row>
    <row r="22813" ht="15.75" customHeight="1">
      <c r="A22813" s="35"/>
      <c r="C22813" s="442"/>
      <c r="P22813" s="235"/>
      <c r="AI22813" s="38"/>
    </row>
    <row r="22814" ht="15.75" customHeight="1">
      <c r="A22814" s="35"/>
      <c r="C22814" s="442"/>
      <c r="P22814" s="235"/>
      <c r="AI22814" s="38"/>
    </row>
    <row r="22815" ht="15.75" customHeight="1">
      <c r="A22815" s="35"/>
      <c r="C22815" s="442"/>
      <c r="P22815" s="235"/>
      <c r="AI22815" s="38"/>
    </row>
    <row r="22816" ht="15.75" customHeight="1">
      <c r="A22816" s="35"/>
      <c r="C22816" s="442"/>
      <c r="P22816" s="235"/>
      <c r="AI22816" s="38"/>
    </row>
    <row r="22817" ht="15.75" customHeight="1">
      <c r="A22817" s="35"/>
      <c r="C22817" s="442"/>
      <c r="P22817" s="235"/>
      <c r="AI22817" s="38"/>
    </row>
    <row r="22818" ht="15.75" customHeight="1">
      <c r="A22818" s="35"/>
      <c r="C22818" s="442"/>
      <c r="P22818" s="235"/>
      <c r="AI22818" s="38"/>
    </row>
    <row r="22819" ht="15.75" customHeight="1">
      <c r="A22819" s="35"/>
      <c r="C22819" s="442"/>
      <c r="P22819" s="235"/>
      <c r="AI22819" s="38"/>
    </row>
    <row r="22820" ht="15.75" customHeight="1">
      <c r="A22820" s="35"/>
      <c r="C22820" s="442"/>
      <c r="P22820" s="235"/>
      <c r="AI22820" s="38"/>
    </row>
    <row r="22821" ht="15.75" customHeight="1">
      <c r="A22821" s="35"/>
      <c r="C22821" s="442"/>
      <c r="P22821" s="235"/>
      <c r="AI22821" s="38"/>
    </row>
    <row r="22822" ht="15.75" customHeight="1">
      <c r="A22822" s="35"/>
      <c r="C22822" s="442"/>
      <c r="P22822" s="235"/>
      <c r="AI22822" s="38"/>
    </row>
    <row r="22823" ht="15.75" customHeight="1">
      <c r="A22823" s="35"/>
      <c r="C22823" s="442"/>
      <c r="P22823" s="235"/>
      <c r="AI22823" s="38"/>
    </row>
    <row r="22824" ht="15.75" customHeight="1">
      <c r="A22824" s="35"/>
      <c r="C22824" s="442"/>
      <c r="P22824" s="235"/>
      <c r="AI22824" s="38"/>
    </row>
    <row r="22825" ht="15.75" customHeight="1">
      <c r="A22825" s="35"/>
      <c r="C22825" s="442"/>
      <c r="P22825" s="235"/>
      <c r="AI22825" s="38"/>
    </row>
    <row r="22826" ht="15.75" customHeight="1">
      <c r="A22826" s="35"/>
      <c r="C22826" s="442"/>
      <c r="P22826" s="235"/>
      <c r="AI22826" s="38"/>
    </row>
    <row r="22827" ht="15.75" customHeight="1">
      <c r="A22827" s="35"/>
      <c r="C22827" s="442"/>
      <c r="P22827" s="235"/>
      <c r="AI22827" s="38"/>
    </row>
    <row r="22828" ht="15.75" customHeight="1">
      <c r="A22828" s="35"/>
      <c r="C22828" s="442"/>
      <c r="P22828" s="235"/>
      <c r="AI22828" s="38"/>
    </row>
    <row r="22829" ht="15.75" customHeight="1">
      <c r="A22829" s="35"/>
      <c r="C22829" s="442"/>
      <c r="P22829" s="235"/>
      <c r="AI22829" s="38"/>
    </row>
    <row r="22830" ht="15.75" customHeight="1">
      <c r="A22830" s="35"/>
      <c r="C22830" s="442"/>
      <c r="P22830" s="235"/>
      <c r="AI22830" s="38"/>
    </row>
    <row r="22831" ht="15.75" customHeight="1">
      <c r="A22831" s="35"/>
      <c r="C22831" s="442"/>
      <c r="P22831" s="235"/>
      <c r="AI22831" s="38"/>
    </row>
    <row r="22832" ht="15.75" customHeight="1">
      <c r="A22832" s="35"/>
      <c r="C22832" s="442"/>
      <c r="P22832" s="235"/>
      <c r="AI22832" s="38"/>
    </row>
    <row r="22833" ht="15.75" customHeight="1">
      <c r="A22833" s="35"/>
      <c r="C22833" s="442"/>
      <c r="P22833" s="235"/>
      <c r="AI22833" s="38"/>
    </row>
    <row r="22834" ht="15.75" customHeight="1">
      <c r="A22834" s="35"/>
      <c r="C22834" s="442"/>
      <c r="P22834" s="235"/>
      <c r="AI22834" s="38"/>
    </row>
    <row r="22835" ht="15.75" customHeight="1">
      <c r="A22835" s="35"/>
      <c r="C22835" s="442"/>
      <c r="P22835" s="235"/>
      <c r="AI22835" s="38"/>
    </row>
    <row r="22836" ht="15.75" customHeight="1">
      <c r="A22836" s="35"/>
      <c r="C22836" s="442"/>
      <c r="P22836" s="235"/>
      <c r="AI22836" s="38"/>
    </row>
    <row r="22837" ht="15.75" customHeight="1">
      <c r="A22837" s="35"/>
      <c r="C22837" s="442"/>
      <c r="P22837" s="235"/>
      <c r="AI22837" s="38"/>
    </row>
    <row r="22838" ht="15.75" customHeight="1">
      <c r="A22838" s="35"/>
      <c r="C22838" s="442"/>
      <c r="P22838" s="235"/>
      <c r="AI22838" s="38"/>
    </row>
    <row r="22839" ht="15.75" customHeight="1">
      <c r="A22839" s="35"/>
      <c r="C22839" s="442"/>
      <c r="P22839" s="235"/>
      <c r="AI22839" s="38"/>
    </row>
    <row r="22840" ht="15.75" customHeight="1">
      <c r="A22840" s="35"/>
      <c r="C22840" s="442"/>
      <c r="P22840" s="235"/>
      <c r="AI22840" s="38"/>
    </row>
    <row r="22841" ht="15.75" customHeight="1">
      <c r="A22841" s="35"/>
      <c r="C22841" s="442"/>
      <c r="P22841" s="235"/>
      <c r="AI22841" s="38"/>
    </row>
    <row r="22842" ht="15.75" customHeight="1">
      <c r="A22842" s="35"/>
      <c r="C22842" s="442"/>
      <c r="P22842" s="235"/>
      <c r="AI22842" s="38"/>
    </row>
    <row r="22843" ht="15.75" customHeight="1">
      <c r="A22843" s="35"/>
      <c r="C22843" s="442"/>
      <c r="P22843" s="235"/>
      <c r="AI22843" s="38"/>
    </row>
    <row r="22844" ht="15.75" customHeight="1">
      <c r="A22844" s="35"/>
      <c r="C22844" s="442"/>
      <c r="P22844" s="235"/>
      <c r="AI22844" s="38"/>
    </row>
    <row r="22845" ht="15.75" customHeight="1">
      <c r="A22845" s="35"/>
      <c r="C22845" s="442"/>
      <c r="P22845" s="235"/>
      <c r="AI22845" s="38"/>
    </row>
    <row r="22846" ht="15.75" customHeight="1">
      <c r="A22846" s="35"/>
      <c r="C22846" s="442"/>
      <c r="P22846" s="235"/>
      <c r="AI22846" s="38"/>
    </row>
    <row r="22847" ht="15.75" customHeight="1">
      <c r="A22847" s="35"/>
      <c r="C22847" s="442"/>
      <c r="P22847" s="235"/>
      <c r="AI22847" s="38"/>
    </row>
    <row r="22848" ht="15.75" customHeight="1">
      <c r="A22848" s="35"/>
      <c r="C22848" s="442"/>
      <c r="P22848" s="235"/>
      <c r="AI22848" s="38"/>
    </row>
    <row r="22849" ht="15.75" customHeight="1">
      <c r="A22849" s="35"/>
      <c r="C22849" s="442"/>
      <c r="P22849" s="235"/>
      <c r="AI22849" s="38"/>
    </row>
    <row r="22850" ht="15.75" customHeight="1">
      <c r="A22850" s="35"/>
      <c r="C22850" s="442"/>
      <c r="P22850" s="235"/>
      <c r="AI22850" s="38"/>
    </row>
    <row r="22851" ht="15.75" customHeight="1">
      <c r="A22851" s="35"/>
      <c r="C22851" s="442"/>
      <c r="P22851" s="235"/>
      <c r="AI22851" s="38"/>
    </row>
    <row r="22852" ht="15.75" customHeight="1">
      <c r="A22852" s="35"/>
      <c r="C22852" s="442"/>
      <c r="P22852" s="235"/>
      <c r="AI22852" s="38"/>
    </row>
    <row r="22853" ht="15.75" customHeight="1">
      <c r="A22853" s="35"/>
      <c r="C22853" s="442"/>
      <c r="P22853" s="235"/>
      <c r="AI22853" s="38"/>
    </row>
    <row r="22854" ht="15.75" customHeight="1">
      <c r="A22854" s="35"/>
      <c r="C22854" s="442"/>
      <c r="P22854" s="235"/>
      <c r="AI22854" s="38"/>
    </row>
    <row r="22855" ht="15.75" customHeight="1">
      <c r="A22855" s="35"/>
      <c r="C22855" s="442"/>
      <c r="P22855" s="235"/>
      <c r="AI22855" s="38"/>
    </row>
    <row r="22856" ht="15.75" customHeight="1">
      <c r="A22856" s="35"/>
      <c r="C22856" s="442"/>
      <c r="P22856" s="235"/>
      <c r="AI22856" s="38"/>
    </row>
    <row r="22857" ht="15.75" customHeight="1">
      <c r="A22857" s="35"/>
      <c r="C22857" s="442"/>
      <c r="P22857" s="235"/>
      <c r="AI22857" s="38"/>
    </row>
    <row r="22858" ht="15.75" customHeight="1">
      <c r="A22858" s="35"/>
      <c r="C22858" s="442"/>
      <c r="P22858" s="235"/>
      <c r="AI22858" s="38"/>
    </row>
    <row r="22859" ht="15.75" customHeight="1">
      <c r="A22859" s="35"/>
      <c r="C22859" s="442"/>
      <c r="P22859" s="235"/>
      <c r="AI22859" s="38"/>
    </row>
    <row r="22860" ht="15.75" customHeight="1">
      <c r="A22860" s="35"/>
      <c r="C22860" s="442"/>
      <c r="P22860" s="235"/>
      <c r="AI22860" s="38"/>
    </row>
    <row r="22861" ht="15.75" customHeight="1">
      <c r="A22861" s="35"/>
      <c r="C22861" s="442"/>
      <c r="P22861" s="235"/>
      <c r="AI22861" s="38"/>
    </row>
    <row r="22862" ht="15.75" customHeight="1">
      <c r="A22862" s="35"/>
      <c r="C22862" s="442"/>
      <c r="P22862" s="235"/>
      <c r="AI22862" s="38"/>
    </row>
    <row r="22863" ht="15.75" customHeight="1">
      <c r="A22863" s="35"/>
      <c r="C22863" s="442"/>
      <c r="P22863" s="235"/>
      <c r="AI22863" s="38"/>
    </row>
    <row r="22864" ht="15.75" customHeight="1">
      <c r="A22864" s="35"/>
      <c r="C22864" s="442"/>
      <c r="P22864" s="235"/>
      <c r="AI22864" s="38"/>
    </row>
    <row r="22865" ht="15.75" customHeight="1">
      <c r="A22865" s="35"/>
      <c r="C22865" s="442"/>
      <c r="P22865" s="235"/>
      <c r="AI22865" s="38"/>
    </row>
    <row r="22866" ht="15.75" customHeight="1">
      <c r="A22866" s="35"/>
      <c r="C22866" s="442"/>
      <c r="P22866" s="235"/>
      <c r="AI22866" s="38"/>
    </row>
    <row r="22867" ht="15.75" customHeight="1">
      <c r="A22867" s="35"/>
      <c r="C22867" s="442"/>
      <c r="P22867" s="235"/>
      <c r="AI22867" s="38"/>
    </row>
    <row r="22868" ht="15.75" customHeight="1">
      <c r="A22868" s="35"/>
      <c r="C22868" s="442"/>
      <c r="P22868" s="235"/>
      <c r="AI22868" s="38"/>
    </row>
    <row r="22869" ht="15.75" customHeight="1">
      <c r="A22869" s="35"/>
      <c r="C22869" s="442"/>
      <c r="P22869" s="235"/>
      <c r="AI22869" s="38"/>
    </row>
    <row r="22870" ht="15.75" customHeight="1">
      <c r="A22870" s="35"/>
      <c r="C22870" s="442"/>
      <c r="P22870" s="235"/>
      <c r="AI22870" s="38"/>
    </row>
    <row r="22871" ht="15.75" customHeight="1">
      <c r="A22871" s="35"/>
      <c r="C22871" s="442"/>
      <c r="P22871" s="235"/>
      <c r="AI22871" s="38"/>
    </row>
    <row r="22872" ht="15.75" customHeight="1">
      <c r="A22872" s="35"/>
      <c r="C22872" s="442"/>
      <c r="P22872" s="235"/>
      <c r="AI22872" s="38"/>
    </row>
    <row r="22873" ht="15.75" customHeight="1">
      <c r="A22873" s="35"/>
      <c r="C22873" s="442"/>
      <c r="P22873" s="235"/>
      <c r="AI22873" s="38"/>
    </row>
    <row r="22874" ht="15.75" customHeight="1">
      <c r="A22874" s="35"/>
      <c r="C22874" s="442"/>
      <c r="P22874" s="235"/>
      <c r="AI22874" s="38"/>
    </row>
    <row r="22875" ht="15.75" customHeight="1">
      <c r="A22875" s="35"/>
      <c r="C22875" s="442"/>
      <c r="P22875" s="235"/>
      <c r="AI22875" s="38"/>
    </row>
    <row r="22876" ht="15.75" customHeight="1">
      <c r="A22876" s="35"/>
      <c r="C22876" s="442"/>
      <c r="P22876" s="235"/>
      <c r="AI22876" s="38"/>
    </row>
    <row r="22877" ht="15.75" customHeight="1">
      <c r="A22877" s="35"/>
      <c r="C22877" s="442"/>
      <c r="P22877" s="235"/>
      <c r="AI22877" s="38"/>
    </row>
    <row r="22878" ht="15.75" customHeight="1">
      <c r="A22878" s="35"/>
      <c r="C22878" s="442"/>
      <c r="P22878" s="235"/>
      <c r="AI22878" s="38"/>
    </row>
    <row r="22879" ht="15.75" customHeight="1">
      <c r="A22879" s="35"/>
      <c r="C22879" s="442"/>
      <c r="P22879" s="235"/>
      <c r="AI22879" s="38"/>
    </row>
    <row r="22880" ht="15.75" customHeight="1">
      <c r="A22880" s="35"/>
      <c r="C22880" s="442"/>
      <c r="P22880" s="235"/>
      <c r="AI22880" s="38"/>
    </row>
    <row r="22881" ht="15.75" customHeight="1">
      <c r="A22881" s="35"/>
      <c r="C22881" s="442"/>
      <c r="P22881" s="235"/>
      <c r="AI22881" s="38"/>
    </row>
    <row r="22882" ht="15.75" customHeight="1">
      <c r="A22882" s="35"/>
      <c r="C22882" s="442"/>
      <c r="P22882" s="235"/>
      <c r="AI22882" s="38"/>
    </row>
    <row r="22883" ht="15.75" customHeight="1">
      <c r="A22883" s="35"/>
      <c r="C22883" s="442"/>
      <c r="P22883" s="235"/>
      <c r="AI22883" s="38"/>
    </row>
    <row r="22884" ht="15.75" customHeight="1">
      <c r="A22884" s="35"/>
      <c r="C22884" s="442"/>
      <c r="P22884" s="235"/>
      <c r="AI22884" s="38"/>
    </row>
    <row r="22885" ht="15.75" customHeight="1">
      <c r="A22885" s="35"/>
      <c r="C22885" s="442"/>
      <c r="P22885" s="235"/>
      <c r="AI22885" s="38"/>
    </row>
    <row r="22886" ht="15.75" customHeight="1">
      <c r="A22886" s="35"/>
      <c r="C22886" s="442"/>
      <c r="P22886" s="235"/>
      <c r="AI22886" s="38"/>
    </row>
    <row r="22887" ht="15.75" customHeight="1">
      <c r="A22887" s="35"/>
      <c r="C22887" s="442"/>
      <c r="P22887" s="235"/>
      <c r="AI22887" s="38"/>
    </row>
    <row r="22888" ht="15.75" customHeight="1">
      <c r="A22888" s="35"/>
      <c r="C22888" s="442"/>
      <c r="P22888" s="235"/>
      <c r="AI22888" s="38"/>
    </row>
    <row r="22889" ht="15.75" customHeight="1">
      <c r="A22889" s="35"/>
      <c r="C22889" s="442"/>
      <c r="P22889" s="235"/>
      <c r="AI22889" s="38"/>
    </row>
    <row r="22890" ht="15.75" customHeight="1">
      <c r="A22890" s="35"/>
      <c r="C22890" s="442"/>
      <c r="P22890" s="235"/>
      <c r="AI22890" s="38"/>
    </row>
    <row r="22891" ht="15.75" customHeight="1">
      <c r="A22891" s="35"/>
      <c r="C22891" s="442"/>
      <c r="P22891" s="235"/>
      <c r="AI22891" s="38"/>
    </row>
    <row r="22892" ht="15.75" customHeight="1">
      <c r="A22892" s="35"/>
      <c r="C22892" s="442"/>
      <c r="P22892" s="235"/>
      <c r="AI22892" s="38"/>
    </row>
    <row r="22893" ht="15.75" customHeight="1">
      <c r="A22893" s="35"/>
      <c r="C22893" s="442"/>
      <c r="P22893" s="235"/>
      <c r="AI22893" s="38"/>
    </row>
    <row r="22894" ht="15.75" customHeight="1">
      <c r="A22894" s="35"/>
      <c r="C22894" s="442"/>
      <c r="P22894" s="235"/>
      <c r="AI22894" s="38"/>
    </row>
    <row r="22895" ht="15.75" customHeight="1">
      <c r="A22895" s="35"/>
      <c r="C22895" s="442"/>
      <c r="P22895" s="235"/>
      <c r="AI22895" s="38"/>
    </row>
    <row r="22896" ht="15.75" customHeight="1">
      <c r="A22896" s="35"/>
      <c r="C22896" s="442"/>
      <c r="P22896" s="235"/>
      <c r="AI22896" s="38"/>
    </row>
    <row r="22897" ht="15.75" customHeight="1">
      <c r="A22897" s="35"/>
      <c r="C22897" s="442"/>
      <c r="P22897" s="235"/>
      <c r="AI22897" s="38"/>
    </row>
    <row r="22898" ht="15.75" customHeight="1">
      <c r="A22898" s="35"/>
      <c r="C22898" s="442"/>
      <c r="P22898" s="235"/>
      <c r="AI22898" s="38"/>
    </row>
    <row r="22899" ht="15.75" customHeight="1">
      <c r="A22899" s="35"/>
      <c r="C22899" s="442"/>
      <c r="P22899" s="235"/>
      <c r="AI22899" s="38"/>
    </row>
    <row r="22900" ht="15.75" customHeight="1">
      <c r="A22900" s="35"/>
      <c r="C22900" s="442"/>
      <c r="P22900" s="235"/>
      <c r="AI22900" s="38"/>
    </row>
    <row r="22901" ht="15.75" customHeight="1">
      <c r="A22901" s="35"/>
      <c r="C22901" s="442"/>
      <c r="P22901" s="235"/>
      <c r="AI22901" s="38"/>
    </row>
    <row r="22902" ht="15.75" customHeight="1">
      <c r="A22902" s="35"/>
      <c r="C22902" s="442"/>
      <c r="P22902" s="235"/>
      <c r="AI22902" s="38"/>
    </row>
    <row r="22903" ht="15.75" customHeight="1">
      <c r="A22903" s="35"/>
      <c r="C22903" s="442"/>
      <c r="P22903" s="235"/>
      <c r="AI22903" s="38"/>
    </row>
    <row r="22904" ht="15.75" customHeight="1">
      <c r="A22904" s="35"/>
      <c r="C22904" s="442"/>
      <c r="P22904" s="235"/>
      <c r="AI22904" s="38"/>
    </row>
    <row r="22905" ht="15.75" customHeight="1">
      <c r="A22905" s="35"/>
      <c r="C22905" s="442"/>
      <c r="P22905" s="235"/>
      <c r="AI22905" s="38"/>
    </row>
    <row r="22906" ht="15.75" customHeight="1">
      <c r="A22906" s="35"/>
      <c r="C22906" s="442"/>
      <c r="P22906" s="235"/>
      <c r="AI22906" s="38"/>
    </row>
    <row r="22907" ht="15.75" customHeight="1">
      <c r="A22907" s="35"/>
      <c r="C22907" s="442"/>
      <c r="P22907" s="235"/>
      <c r="AI22907" s="38"/>
    </row>
    <row r="22908" ht="15.75" customHeight="1">
      <c r="A22908" s="35"/>
      <c r="C22908" s="442"/>
      <c r="P22908" s="235"/>
      <c r="AI22908" s="38"/>
    </row>
    <row r="22909" ht="15.75" customHeight="1">
      <c r="A22909" s="35"/>
      <c r="C22909" s="442"/>
      <c r="P22909" s="235"/>
      <c r="AI22909" s="38"/>
    </row>
    <row r="22910" ht="15.75" customHeight="1">
      <c r="A22910" s="35"/>
      <c r="C22910" s="442"/>
      <c r="P22910" s="235"/>
      <c r="AI22910" s="38"/>
    </row>
    <row r="22911" ht="15.75" customHeight="1">
      <c r="A22911" s="35"/>
      <c r="C22911" s="442"/>
      <c r="P22911" s="235"/>
      <c r="AI22911" s="38"/>
    </row>
    <row r="22912" ht="15.75" customHeight="1">
      <c r="A22912" s="35"/>
      <c r="C22912" s="442"/>
      <c r="P22912" s="235"/>
      <c r="AI22912" s="38"/>
    </row>
    <row r="22913" ht="15.75" customHeight="1">
      <c r="A22913" s="35"/>
      <c r="C22913" s="442"/>
      <c r="P22913" s="235"/>
      <c r="AI22913" s="38"/>
    </row>
    <row r="22914" ht="15.75" customHeight="1">
      <c r="A22914" s="35"/>
      <c r="C22914" s="442"/>
      <c r="P22914" s="235"/>
      <c r="AI22914" s="38"/>
    </row>
    <row r="22915" ht="15.75" customHeight="1">
      <c r="A22915" s="35"/>
      <c r="C22915" s="442"/>
      <c r="P22915" s="235"/>
      <c r="AI22915" s="38"/>
    </row>
    <row r="22916" ht="15.75" customHeight="1">
      <c r="A22916" s="35"/>
      <c r="C22916" s="442"/>
      <c r="P22916" s="235"/>
      <c r="AI22916" s="38"/>
    </row>
    <row r="22917" ht="15.75" customHeight="1">
      <c r="A22917" s="35"/>
      <c r="C22917" s="442"/>
      <c r="P22917" s="235"/>
      <c r="AI22917" s="38"/>
    </row>
    <row r="22918" ht="15.75" customHeight="1">
      <c r="A22918" s="35"/>
      <c r="C22918" s="442"/>
      <c r="P22918" s="235"/>
      <c r="AI22918" s="38"/>
    </row>
    <row r="22919" ht="15.75" customHeight="1">
      <c r="A22919" s="35"/>
      <c r="C22919" s="442"/>
      <c r="P22919" s="235"/>
      <c r="AI22919" s="38"/>
    </row>
    <row r="22920" ht="15.75" customHeight="1">
      <c r="A22920" s="35"/>
      <c r="C22920" s="442"/>
      <c r="P22920" s="235"/>
      <c r="AI22920" s="38"/>
    </row>
    <row r="22921" ht="15.75" customHeight="1">
      <c r="A22921" s="35"/>
      <c r="C22921" s="442"/>
      <c r="P22921" s="235"/>
      <c r="AI22921" s="38"/>
    </row>
    <row r="22922" ht="15.75" customHeight="1">
      <c r="A22922" s="35"/>
      <c r="C22922" s="442"/>
      <c r="P22922" s="235"/>
      <c r="AI22922" s="38"/>
    </row>
    <row r="22923" ht="15.75" customHeight="1">
      <c r="A22923" s="35"/>
      <c r="C22923" s="442"/>
      <c r="P22923" s="235"/>
      <c r="AI22923" s="38"/>
    </row>
    <row r="22924" ht="15.75" customHeight="1">
      <c r="A22924" s="35"/>
      <c r="C22924" s="442"/>
      <c r="P22924" s="235"/>
      <c r="AI22924" s="38"/>
    </row>
    <row r="22925" ht="15.75" customHeight="1">
      <c r="A22925" s="35"/>
      <c r="C22925" s="442"/>
      <c r="P22925" s="235"/>
      <c r="AI22925" s="38"/>
    </row>
    <row r="22926" ht="15.75" customHeight="1">
      <c r="A22926" s="35"/>
      <c r="C22926" s="442"/>
      <c r="P22926" s="235"/>
      <c r="AI22926" s="38"/>
    </row>
    <row r="22927" ht="15.75" customHeight="1">
      <c r="A22927" s="35"/>
      <c r="C22927" s="442"/>
      <c r="P22927" s="235"/>
      <c r="AI22927" s="38"/>
    </row>
    <row r="22928" ht="15.75" customHeight="1">
      <c r="A22928" s="35"/>
      <c r="C22928" s="442"/>
      <c r="P22928" s="235"/>
      <c r="AI22928" s="38"/>
    </row>
    <row r="22929" ht="15.75" customHeight="1">
      <c r="A22929" s="35"/>
      <c r="C22929" s="442"/>
      <c r="P22929" s="235"/>
      <c r="AI22929" s="38"/>
    </row>
    <row r="22930" ht="15.75" customHeight="1">
      <c r="A22930" s="35"/>
      <c r="C22930" s="442"/>
      <c r="P22930" s="235"/>
      <c r="AI22930" s="38"/>
    </row>
    <row r="22931" ht="15.75" customHeight="1">
      <c r="A22931" s="35"/>
      <c r="C22931" s="442"/>
      <c r="P22931" s="235"/>
      <c r="AI22931" s="38"/>
    </row>
    <row r="22932" ht="15.75" customHeight="1">
      <c r="A22932" s="35"/>
      <c r="C22932" s="442"/>
      <c r="P22932" s="235"/>
      <c r="AI22932" s="38"/>
    </row>
    <row r="22933" ht="15.75" customHeight="1">
      <c r="A22933" s="35"/>
      <c r="C22933" s="442"/>
      <c r="P22933" s="235"/>
      <c r="AI22933" s="38"/>
    </row>
    <row r="22934" ht="15.75" customHeight="1">
      <c r="A22934" s="35"/>
      <c r="C22934" s="442"/>
      <c r="P22934" s="235"/>
      <c r="AI22934" s="38"/>
    </row>
    <row r="22935" ht="15.75" customHeight="1">
      <c r="A22935" s="35"/>
      <c r="C22935" s="442"/>
      <c r="P22935" s="235"/>
      <c r="AI22935" s="38"/>
    </row>
    <row r="22936" ht="15.75" customHeight="1">
      <c r="A22936" s="35"/>
      <c r="C22936" s="442"/>
      <c r="P22936" s="235"/>
      <c r="AI22936" s="38"/>
    </row>
    <row r="22937" ht="15.75" customHeight="1">
      <c r="A22937" s="35"/>
      <c r="C22937" s="442"/>
      <c r="P22937" s="235"/>
      <c r="AI22937" s="38"/>
    </row>
    <row r="22938" ht="15.75" customHeight="1">
      <c r="A22938" s="35"/>
      <c r="C22938" s="442"/>
      <c r="P22938" s="235"/>
      <c r="AI22938" s="38"/>
    </row>
    <row r="22939" ht="15.75" customHeight="1">
      <c r="A22939" s="35"/>
      <c r="C22939" s="442"/>
      <c r="P22939" s="235"/>
      <c r="AI22939" s="38"/>
    </row>
    <row r="22940" ht="15.75" customHeight="1">
      <c r="A22940" s="35"/>
      <c r="C22940" s="442"/>
      <c r="P22940" s="235"/>
      <c r="AI22940" s="38"/>
    </row>
    <row r="22941" ht="15.75" customHeight="1">
      <c r="A22941" s="35"/>
      <c r="C22941" s="442"/>
      <c r="P22941" s="235"/>
      <c r="AI22941" s="38"/>
    </row>
    <row r="22942" ht="15.75" customHeight="1">
      <c r="A22942" s="35"/>
      <c r="C22942" s="442"/>
      <c r="P22942" s="235"/>
      <c r="AI22942" s="38"/>
    </row>
    <row r="22943" ht="15.75" customHeight="1">
      <c r="A22943" s="35"/>
      <c r="C22943" s="442"/>
      <c r="P22943" s="235"/>
      <c r="AI22943" s="38"/>
    </row>
    <row r="22944" ht="15.75" customHeight="1">
      <c r="A22944" s="35"/>
      <c r="C22944" s="442"/>
      <c r="P22944" s="235"/>
      <c r="AI22944" s="38"/>
    </row>
    <row r="22945" ht="15.75" customHeight="1">
      <c r="A22945" s="35"/>
      <c r="C22945" s="442"/>
      <c r="P22945" s="235"/>
      <c r="AI22945" s="38"/>
    </row>
    <row r="22946" ht="15.75" customHeight="1">
      <c r="A22946" s="35"/>
      <c r="C22946" s="442"/>
      <c r="P22946" s="235"/>
      <c r="AI22946" s="38"/>
    </row>
    <row r="22947" ht="15.75" customHeight="1">
      <c r="A22947" s="35"/>
      <c r="C22947" s="442"/>
      <c r="P22947" s="235"/>
      <c r="AI22947" s="38"/>
    </row>
    <row r="22948" ht="15.75" customHeight="1">
      <c r="A22948" s="35"/>
      <c r="C22948" s="442"/>
      <c r="P22948" s="235"/>
      <c r="AI22948" s="38"/>
    </row>
    <row r="22949" ht="15.75" customHeight="1">
      <c r="A22949" s="35"/>
      <c r="C22949" s="442"/>
      <c r="P22949" s="235"/>
      <c r="AI22949" s="38"/>
    </row>
    <row r="22950" ht="15.75" customHeight="1">
      <c r="A22950" s="35"/>
      <c r="C22950" s="442"/>
      <c r="P22950" s="235"/>
      <c r="AI22950" s="38"/>
    </row>
    <row r="22951" ht="15.75" customHeight="1">
      <c r="A22951" s="35"/>
      <c r="C22951" s="442"/>
      <c r="P22951" s="235"/>
      <c r="AI22951" s="38"/>
    </row>
    <row r="22952" ht="15.75" customHeight="1">
      <c r="A22952" s="35"/>
      <c r="C22952" s="442"/>
      <c r="P22952" s="235"/>
      <c r="AI22952" s="38"/>
    </row>
    <row r="22953" ht="15.75" customHeight="1">
      <c r="A22953" s="35"/>
      <c r="C22953" s="442"/>
      <c r="P22953" s="235"/>
      <c r="AI22953" s="38"/>
    </row>
    <row r="22954" ht="15.75" customHeight="1">
      <c r="A22954" s="35"/>
      <c r="C22954" s="442"/>
      <c r="P22954" s="235"/>
      <c r="AI22954" s="38"/>
    </row>
    <row r="22955" ht="15.75" customHeight="1">
      <c r="A22955" s="35"/>
      <c r="C22955" s="442"/>
      <c r="P22955" s="235"/>
      <c r="AI22955" s="38"/>
    </row>
    <row r="22956" ht="15.75" customHeight="1">
      <c r="A22956" s="35"/>
      <c r="C22956" s="442"/>
      <c r="P22956" s="235"/>
      <c r="AI22956" s="38"/>
    </row>
    <row r="22957" ht="15.75" customHeight="1">
      <c r="A22957" s="35"/>
      <c r="C22957" s="442"/>
      <c r="P22957" s="235"/>
      <c r="AI22957" s="38"/>
    </row>
    <row r="22958" ht="15.75" customHeight="1">
      <c r="A22958" s="35"/>
      <c r="C22958" s="442"/>
      <c r="P22958" s="235"/>
      <c r="AI22958" s="38"/>
    </row>
    <row r="22959" ht="15.75" customHeight="1">
      <c r="A22959" s="35"/>
      <c r="C22959" s="442"/>
      <c r="P22959" s="235"/>
      <c r="AI22959" s="38"/>
    </row>
    <row r="22960" ht="15.75" customHeight="1">
      <c r="A22960" s="35"/>
      <c r="C22960" s="442"/>
      <c r="P22960" s="235"/>
      <c r="AI22960" s="38"/>
    </row>
    <row r="22961" ht="15.75" customHeight="1">
      <c r="A22961" s="35"/>
      <c r="C22961" s="442"/>
      <c r="P22961" s="235"/>
      <c r="AI22961" s="38"/>
    </row>
    <row r="22962" ht="15.75" customHeight="1">
      <c r="A22962" s="35"/>
      <c r="C22962" s="442"/>
      <c r="P22962" s="235"/>
      <c r="AI22962" s="38"/>
    </row>
    <row r="22963" ht="15.75" customHeight="1">
      <c r="A22963" s="35"/>
      <c r="C22963" s="442"/>
      <c r="P22963" s="235"/>
      <c r="AI22963" s="38"/>
    </row>
    <row r="22964" ht="15.75" customHeight="1">
      <c r="A22964" s="35"/>
      <c r="C22964" s="442"/>
      <c r="P22964" s="235"/>
      <c r="AI22964" s="38"/>
    </row>
    <row r="22965" ht="15.75" customHeight="1">
      <c r="A22965" s="35"/>
      <c r="C22965" s="442"/>
      <c r="P22965" s="235"/>
      <c r="AI22965" s="38"/>
    </row>
    <row r="22966" ht="15.75" customHeight="1">
      <c r="A22966" s="35"/>
      <c r="C22966" s="442"/>
      <c r="P22966" s="235"/>
      <c r="AI22966" s="38"/>
    </row>
    <row r="22967" ht="15.75" customHeight="1">
      <c r="A22967" s="35"/>
      <c r="C22967" s="442"/>
      <c r="P22967" s="235"/>
      <c r="AI22967" s="38"/>
    </row>
    <row r="22968" ht="15.75" customHeight="1">
      <c r="A22968" s="35"/>
      <c r="C22968" s="442"/>
      <c r="P22968" s="235"/>
      <c r="AI22968" s="38"/>
    </row>
    <row r="22969" ht="15.75" customHeight="1">
      <c r="A22969" s="35"/>
      <c r="C22969" s="442"/>
      <c r="P22969" s="235"/>
      <c r="AI22969" s="38"/>
    </row>
    <row r="22970" ht="15.75" customHeight="1">
      <c r="A22970" s="35"/>
      <c r="C22970" s="442"/>
      <c r="P22970" s="235"/>
      <c r="AI22970" s="38"/>
    </row>
    <row r="22971" ht="15.75" customHeight="1">
      <c r="A22971" s="35"/>
      <c r="C22971" s="442"/>
      <c r="P22971" s="235"/>
      <c r="AI22971" s="38"/>
    </row>
    <row r="22972" ht="15.75" customHeight="1">
      <c r="A22972" s="35"/>
      <c r="C22972" s="442"/>
      <c r="P22972" s="235"/>
      <c r="AI22972" s="38"/>
    </row>
    <row r="22973" ht="15.75" customHeight="1">
      <c r="A22973" s="35"/>
      <c r="C22973" s="442"/>
      <c r="P22973" s="235"/>
      <c r="AI22973" s="38"/>
    </row>
    <row r="22974" ht="15.75" customHeight="1">
      <c r="A22974" s="35"/>
      <c r="C22974" s="442"/>
      <c r="P22974" s="235"/>
      <c r="AI22974" s="38"/>
    </row>
    <row r="22975" ht="15.75" customHeight="1">
      <c r="A22975" s="35"/>
      <c r="C22975" s="442"/>
      <c r="P22975" s="235"/>
      <c r="AI22975" s="38"/>
    </row>
    <row r="22976" ht="15.75" customHeight="1">
      <c r="A22976" s="35"/>
      <c r="C22976" s="442"/>
      <c r="P22976" s="235"/>
      <c r="AI22976" s="38"/>
    </row>
    <row r="22977" ht="15.75" customHeight="1">
      <c r="A22977" s="35"/>
      <c r="C22977" s="442"/>
      <c r="P22977" s="235"/>
      <c r="AI22977" s="38"/>
    </row>
    <row r="22978" ht="15.75" customHeight="1">
      <c r="A22978" s="35"/>
      <c r="C22978" s="442"/>
      <c r="P22978" s="235"/>
      <c r="AI22978" s="38"/>
    </row>
    <row r="22979" ht="15.75" customHeight="1">
      <c r="A22979" s="35"/>
      <c r="C22979" s="442"/>
      <c r="P22979" s="235"/>
      <c r="AI22979" s="38"/>
    </row>
    <row r="22980" ht="15.75" customHeight="1">
      <c r="A22980" s="35"/>
      <c r="C22980" s="442"/>
      <c r="P22980" s="235"/>
      <c r="AI22980" s="38"/>
    </row>
    <row r="22981" ht="15.75" customHeight="1">
      <c r="A22981" s="35"/>
      <c r="C22981" s="442"/>
      <c r="P22981" s="235"/>
      <c r="AI22981" s="38"/>
    </row>
    <row r="22982" ht="15.75" customHeight="1">
      <c r="A22982" s="35"/>
      <c r="C22982" s="442"/>
      <c r="P22982" s="235"/>
      <c r="AI22982" s="38"/>
    </row>
    <row r="22983" ht="15.75" customHeight="1">
      <c r="A22983" s="35"/>
      <c r="C22983" s="442"/>
      <c r="P22983" s="235"/>
      <c r="AI22983" s="38"/>
    </row>
    <row r="22984" ht="15.75" customHeight="1">
      <c r="A22984" s="35"/>
      <c r="C22984" s="442"/>
      <c r="P22984" s="235"/>
      <c r="AI22984" s="38"/>
    </row>
    <row r="22985" ht="15.75" customHeight="1">
      <c r="A22985" s="35"/>
      <c r="C22985" s="442"/>
      <c r="P22985" s="235"/>
      <c r="AI22985" s="38"/>
    </row>
    <row r="22986" ht="15.75" customHeight="1">
      <c r="A22986" s="35"/>
      <c r="C22986" s="442"/>
      <c r="P22986" s="235"/>
      <c r="AI22986" s="38"/>
    </row>
    <row r="22987" ht="15.75" customHeight="1">
      <c r="A22987" s="35"/>
      <c r="C22987" s="442"/>
      <c r="P22987" s="235"/>
      <c r="AI22987" s="38"/>
    </row>
    <row r="22988" ht="15.75" customHeight="1">
      <c r="A22988" s="35"/>
      <c r="C22988" s="442"/>
      <c r="P22988" s="235"/>
      <c r="AI22988" s="38"/>
    </row>
    <row r="22989" ht="15.75" customHeight="1">
      <c r="A22989" s="35"/>
      <c r="C22989" s="442"/>
      <c r="P22989" s="235"/>
      <c r="AI22989" s="38"/>
    </row>
    <row r="22990" ht="15.75" customHeight="1">
      <c r="A22990" s="35"/>
      <c r="C22990" s="442"/>
      <c r="P22990" s="235"/>
      <c r="AI22990" s="38"/>
    </row>
    <row r="22991" ht="15.75" customHeight="1">
      <c r="A22991" s="35"/>
      <c r="C22991" s="442"/>
      <c r="P22991" s="235"/>
      <c r="AI22991" s="38"/>
    </row>
    <row r="22992" ht="15.75" customHeight="1">
      <c r="A22992" s="35"/>
      <c r="C22992" s="442"/>
      <c r="P22992" s="235"/>
      <c r="AI22992" s="38"/>
    </row>
    <row r="22993" ht="15.75" customHeight="1">
      <c r="A22993" s="35"/>
      <c r="C22993" s="442"/>
      <c r="P22993" s="235"/>
      <c r="AI22993" s="38"/>
    </row>
    <row r="22994" ht="15.75" customHeight="1">
      <c r="A22994" s="35"/>
      <c r="C22994" s="442"/>
      <c r="P22994" s="235"/>
      <c r="AI22994" s="38"/>
    </row>
    <row r="22995" ht="15.75" customHeight="1">
      <c r="A22995" s="35"/>
      <c r="C22995" s="442"/>
      <c r="P22995" s="235"/>
      <c r="AI22995" s="38"/>
    </row>
    <row r="22996" ht="15.75" customHeight="1">
      <c r="A22996" s="35"/>
      <c r="C22996" s="442"/>
      <c r="P22996" s="235"/>
      <c r="AI22996" s="38"/>
    </row>
    <row r="22997" ht="15.75" customHeight="1">
      <c r="A22997" s="35"/>
      <c r="C22997" s="442"/>
      <c r="P22997" s="235"/>
      <c r="AI22997" s="38"/>
    </row>
    <row r="22998" ht="15.75" customHeight="1">
      <c r="A22998" s="35"/>
      <c r="C22998" s="442"/>
      <c r="P22998" s="235"/>
      <c r="AI22998" s="38"/>
    </row>
    <row r="22999" ht="15.75" customHeight="1">
      <c r="A22999" s="35"/>
      <c r="C22999" s="442"/>
      <c r="P22999" s="235"/>
      <c r="AI22999" s="38"/>
    </row>
    <row r="23000" ht="15.75" customHeight="1">
      <c r="A23000" s="35"/>
      <c r="C23000" s="442"/>
      <c r="P23000" s="235"/>
      <c r="AI23000" s="38"/>
    </row>
    <row r="23001" ht="15.75" customHeight="1">
      <c r="A23001" s="35"/>
      <c r="C23001" s="442"/>
      <c r="P23001" s="235"/>
      <c r="AI23001" s="38"/>
    </row>
    <row r="23002" ht="15.75" customHeight="1">
      <c r="A23002" s="35"/>
      <c r="C23002" s="442"/>
      <c r="P23002" s="235"/>
      <c r="AI23002" s="38"/>
    </row>
    <row r="23003" ht="15.75" customHeight="1">
      <c r="A23003" s="35"/>
      <c r="C23003" s="442"/>
      <c r="P23003" s="235"/>
      <c r="AI23003" s="38"/>
    </row>
    <row r="23004" ht="15.75" customHeight="1">
      <c r="A23004" s="35"/>
      <c r="C23004" s="442"/>
      <c r="P23004" s="235"/>
      <c r="AI23004" s="38"/>
    </row>
    <row r="23005" ht="15.75" customHeight="1">
      <c r="A23005" s="35"/>
      <c r="C23005" s="442"/>
      <c r="P23005" s="235"/>
      <c r="AI23005" s="38"/>
    </row>
    <row r="23006" ht="15.75" customHeight="1">
      <c r="A23006" s="35"/>
      <c r="C23006" s="442"/>
      <c r="P23006" s="235"/>
      <c r="AI23006" s="38"/>
    </row>
    <row r="23007" ht="15.75" customHeight="1">
      <c r="A23007" s="35"/>
      <c r="C23007" s="442"/>
      <c r="P23007" s="235"/>
      <c r="AI23007" s="38"/>
    </row>
    <row r="23008" ht="15.75" customHeight="1">
      <c r="A23008" s="35"/>
      <c r="C23008" s="442"/>
      <c r="P23008" s="235"/>
      <c r="AI23008" s="38"/>
    </row>
    <row r="23009" ht="15.75" customHeight="1">
      <c r="A23009" s="35"/>
      <c r="C23009" s="442"/>
      <c r="P23009" s="235"/>
      <c r="AI23009" s="38"/>
    </row>
    <row r="23010" ht="15.75" customHeight="1">
      <c r="A23010" s="35"/>
      <c r="C23010" s="442"/>
      <c r="P23010" s="235"/>
      <c r="AI23010" s="38"/>
    </row>
    <row r="23011" ht="15.75" customHeight="1">
      <c r="A23011" s="35"/>
      <c r="C23011" s="442"/>
      <c r="P23011" s="235"/>
      <c r="AI23011" s="38"/>
    </row>
    <row r="23012" ht="15.75" customHeight="1">
      <c r="A23012" s="35"/>
      <c r="C23012" s="442"/>
      <c r="P23012" s="235"/>
      <c r="AI23012" s="38"/>
    </row>
    <row r="23013" ht="15.75" customHeight="1">
      <c r="A23013" s="35"/>
      <c r="C23013" s="442"/>
      <c r="P23013" s="235"/>
      <c r="AI23013" s="38"/>
    </row>
    <row r="23014" ht="15.75" customHeight="1">
      <c r="A23014" s="35"/>
      <c r="C23014" s="442"/>
      <c r="P23014" s="235"/>
      <c r="AI23014" s="38"/>
    </row>
    <row r="23015" ht="15.75" customHeight="1">
      <c r="A23015" s="35"/>
      <c r="C23015" s="442"/>
      <c r="P23015" s="235"/>
      <c r="AI23015" s="38"/>
    </row>
    <row r="23016" ht="15.75" customHeight="1">
      <c r="A23016" s="35"/>
      <c r="C23016" s="442"/>
      <c r="P23016" s="235"/>
      <c r="AI23016" s="38"/>
    </row>
    <row r="23017" ht="15.75" customHeight="1">
      <c r="A23017" s="35"/>
      <c r="C23017" s="442"/>
      <c r="P23017" s="235"/>
      <c r="AI23017" s="38"/>
    </row>
    <row r="23018" ht="15.75" customHeight="1">
      <c r="A23018" s="35"/>
      <c r="C23018" s="442"/>
      <c r="P23018" s="235"/>
      <c r="AI23018" s="38"/>
    </row>
    <row r="23019" ht="15.75" customHeight="1">
      <c r="A23019" s="35"/>
      <c r="C23019" s="442"/>
      <c r="P23019" s="235"/>
      <c r="AI23019" s="38"/>
    </row>
    <row r="23020" ht="15.75" customHeight="1">
      <c r="A23020" s="35"/>
      <c r="C23020" s="442"/>
      <c r="P23020" s="235"/>
      <c r="AI23020" s="38"/>
    </row>
    <row r="23021" ht="15.75" customHeight="1">
      <c r="A23021" s="35"/>
      <c r="C23021" s="442"/>
      <c r="P23021" s="235"/>
      <c r="AI23021" s="38"/>
    </row>
    <row r="23022" ht="15.75" customHeight="1">
      <c r="A23022" s="35"/>
      <c r="C23022" s="442"/>
      <c r="P23022" s="235"/>
      <c r="AI23022" s="38"/>
    </row>
    <row r="23023" ht="15.75" customHeight="1">
      <c r="A23023" s="35"/>
      <c r="C23023" s="442"/>
      <c r="P23023" s="235"/>
      <c r="AI23023" s="38"/>
    </row>
    <row r="23024" ht="15.75" customHeight="1">
      <c r="A23024" s="35"/>
      <c r="C23024" s="442"/>
      <c r="P23024" s="235"/>
      <c r="AI23024" s="38"/>
    </row>
    <row r="23025" ht="15.75" customHeight="1">
      <c r="A23025" s="35"/>
      <c r="C23025" s="442"/>
      <c r="P23025" s="235"/>
      <c r="AI23025" s="38"/>
    </row>
    <row r="23026" ht="15.75" customHeight="1">
      <c r="A23026" s="35"/>
      <c r="C23026" s="442"/>
      <c r="P23026" s="235"/>
      <c r="AI23026" s="38"/>
    </row>
    <row r="23027" ht="15.75" customHeight="1">
      <c r="A23027" s="35"/>
      <c r="C23027" s="442"/>
      <c r="P23027" s="235"/>
      <c r="AI23027" s="38"/>
    </row>
    <row r="23028" ht="15.75" customHeight="1">
      <c r="A23028" s="35"/>
      <c r="C23028" s="442"/>
      <c r="P23028" s="235"/>
      <c r="AI23028" s="38"/>
    </row>
    <row r="23029" ht="15.75" customHeight="1">
      <c r="A23029" s="35"/>
      <c r="C23029" s="442"/>
      <c r="P23029" s="235"/>
      <c r="AI23029" s="38"/>
    </row>
    <row r="23030" ht="15.75" customHeight="1">
      <c r="A23030" s="35"/>
      <c r="C23030" s="442"/>
      <c r="P23030" s="235"/>
      <c r="AI23030" s="38"/>
    </row>
    <row r="23031" ht="15.75" customHeight="1">
      <c r="A23031" s="35"/>
      <c r="C23031" s="442"/>
      <c r="P23031" s="235"/>
      <c r="AI23031" s="38"/>
    </row>
    <row r="23032" ht="15.75" customHeight="1">
      <c r="A23032" s="35"/>
      <c r="C23032" s="442"/>
      <c r="P23032" s="235"/>
      <c r="AI23032" s="38"/>
    </row>
    <row r="23033" ht="15.75" customHeight="1">
      <c r="A23033" s="35"/>
      <c r="C23033" s="442"/>
      <c r="P23033" s="235"/>
      <c r="AI23033" s="38"/>
    </row>
    <row r="23034" ht="15.75" customHeight="1">
      <c r="A23034" s="35"/>
      <c r="C23034" s="442"/>
      <c r="P23034" s="235"/>
      <c r="AI23034" s="38"/>
    </row>
    <row r="23035" ht="15.75" customHeight="1">
      <c r="A23035" s="35"/>
      <c r="C23035" s="442"/>
      <c r="P23035" s="235"/>
      <c r="AI23035" s="38"/>
    </row>
    <row r="23036" ht="15.75" customHeight="1">
      <c r="A23036" s="35"/>
      <c r="C23036" s="442"/>
      <c r="P23036" s="235"/>
      <c r="AI23036" s="38"/>
    </row>
    <row r="23037" ht="15.75" customHeight="1">
      <c r="A23037" s="35"/>
      <c r="C23037" s="442"/>
      <c r="P23037" s="235"/>
      <c r="AI23037" s="38"/>
    </row>
    <row r="23038" ht="15.75" customHeight="1">
      <c r="A23038" s="35"/>
      <c r="C23038" s="442"/>
      <c r="P23038" s="235"/>
      <c r="AI23038" s="38"/>
    </row>
    <row r="23039" ht="15.75" customHeight="1">
      <c r="A23039" s="35"/>
      <c r="C23039" s="442"/>
      <c r="P23039" s="235"/>
      <c r="AI23039" s="38"/>
    </row>
    <row r="23040" ht="15.75" customHeight="1">
      <c r="A23040" s="35"/>
      <c r="C23040" s="442"/>
      <c r="P23040" s="235"/>
      <c r="AI23040" s="38"/>
    </row>
    <row r="23041" ht="15.75" customHeight="1">
      <c r="A23041" s="35"/>
      <c r="C23041" s="442"/>
      <c r="P23041" s="235"/>
      <c r="AI23041" s="38"/>
    </row>
    <row r="23042" ht="15.75" customHeight="1">
      <c r="A23042" s="35"/>
      <c r="C23042" s="442"/>
      <c r="P23042" s="235"/>
      <c r="AI23042" s="38"/>
    </row>
    <row r="23043" ht="15.75" customHeight="1">
      <c r="A23043" s="35"/>
      <c r="C23043" s="442"/>
      <c r="P23043" s="235"/>
      <c r="AI23043" s="38"/>
    </row>
    <row r="23044" ht="15.75" customHeight="1">
      <c r="A23044" s="35"/>
      <c r="C23044" s="442"/>
      <c r="P23044" s="235"/>
      <c r="AI23044" s="38"/>
    </row>
    <row r="23045" ht="15.75" customHeight="1">
      <c r="A23045" s="35"/>
      <c r="C23045" s="442"/>
      <c r="P23045" s="235"/>
      <c r="AI23045" s="38"/>
    </row>
    <row r="23046" ht="15.75" customHeight="1">
      <c r="A23046" s="35"/>
      <c r="C23046" s="442"/>
      <c r="P23046" s="235"/>
      <c r="AI23046" s="38"/>
    </row>
    <row r="23047" ht="15.75" customHeight="1">
      <c r="A23047" s="35"/>
      <c r="C23047" s="442"/>
      <c r="P23047" s="235"/>
      <c r="AI23047" s="38"/>
    </row>
    <row r="23048" ht="15.75" customHeight="1">
      <c r="A23048" s="35"/>
      <c r="C23048" s="442"/>
      <c r="P23048" s="235"/>
      <c r="AI23048" s="38"/>
    </row>
    <row r="23049" ht="15.75" customHeight="1">
      <c r="A23049" s="35"/>
      <c r="C23049" s="442"/>
      <c r="P23049" s="235"/>
      <c r="AI23049" s="38"/>
    </row>
    <row r="23050" ht="15.75" customHeight="1">
      <c r="A23050" s="35"/>
      <c r="C23050" s="442"/>
      <c r="P23050" s="235"/>
      <c r="AI23050" s="38"/>
    </row>
    <row r="23051" ht="15.75" customHeight="1">
      <c r="A23051" s="35"/>
      <c r="C23051" s="442"/>
      <c r="P23051" s="235"/>
      <c r="AI23051" s="38"/>
    </row>
    <row r="23052" ht="15.75" customHeight="1">
      <c r="A23052" s="35"/>
      <c r="C23052" s="442"/>
      <c r="P23052" s="235"/>
      <c r="AI23052" s="38"/>
    </row>
    <row r="23053" ht="15.75" customHeight="1">
      <c r="A23053" s="35"/>
      <c r="C23053" s="442"/>
      <c r="P23053" s="235"/>
      <c r="AI23053" s="38"/>
    </row>
    <row r="23054" ht="15.75" customHeight="1">
      <c r="A23054" s="35"/>
      <c r="C23054" s="442"/>
      <c r="P23054" s="235"/>
      <c r="AI23054" s="38"/>
    </row>
    <row r="23055" ht="15.75" customHeight="1">
      <c r="A23055" s="35"/>
      <c r="C23055" s="442"/>
      <c r="P23055" s="235"/>
      <c r="AI23055" s="38"/>
    </row>
    <row r="23056" ht="15.75" customHeight="1">
      <c r="A23056" s="35"/>
      <c r="C23056" s="442"/>
      <c r="P23056" s="235"/>
      <c r="AI23056" s="38"/>
    </row>
    <row r="23057" ht="15.75" customHeight="1">
      <c r="A23057" s="35"/>
      <c r="C23057" s="442"/>
      <c r="P23057" s="235"/>
      <c r="AI23057" s="38"/>
    </row>
    <row r="23058" ht="15.75" customHeight="1">
      <c r="A23058" s="35"/>
      <c r="C23058" s="442"/>
      <c r="P23058" s="235"/>
      <c r="AI23058" s="38"/>
    </row>
    <row r="23059" ht="15.75" customHeight="1">
      <c r="A23059" s="35"/>
      <c r="C23059" s="442"/>
      <c r="P23059" s="235"/>
      <c r="AI23059" s="38"/>
    </row>
    <row r="23060" ht="15.75" customHeight="1">
      <c r="A23060" s="35"/>
      <c r="C23060" s="442"/>
      <c r="P23060" s="235"/>
      <c r="AI23060" s="38"/>
    </row>
    <row r="23061" ht="15.75" customHeight="1">
      <c r="A23061" s="35"/>
      <c r="C23061" s="442"/>
      <c r="P23061" s="235"/>
      <c r="AI23061" s="38"/>
    </row>
    <row r="23062" ht="15.75" customHeight="1">
      <c r="A23062" s="35"/>
      <c r="C23062" s="442"/>
      <c r="P23062" s="235"/>
      <c r="AI23062" s="38"/>
    </row>
    <row r="23063" ht="15.75" customHeight="1">
      <c r="A23063" s="35"/>
      <c r="C23063" s="442"/>
      <c r="P23063" s="235"/>
      <c r="AI23063" s="38"/>
    </row>
    <row r="23064" ht="15.75" customHeight="1">
      <c r="A23064" s="35"/>
      <c r="C23064" s="442"/>
      <c r="P23064" s="235"/>
      <c r="AI23064" s="38"/>
    </row>
    <row r="23065" ht="15.75" customHeight="1">
      <c r="A23065" s="35"/>
      <c r="C23065" s="442"/>
      <c r="P23065" s="235"/>
      <c r="AI23065" s="38"/>
    </row>
    <row r="23066" ht="15.75" customHeight="1">
      <c r="A23066" s="35"/>
      <c r="C23066" s="442"/>
      <c r="P23066" s="235"/>
      <c r="AI23066" s="38"/>
    </row>
    <row r="23067" ht="15.75" customHeight="1">
      <c r="A23067" s="35"/>
      <c r="C23067" s="442"/>
      <c r="P23067" s="235"/>
      <c r="AI23067" s="38"/>
    </row>
    <row r="23068" ht="15.75" customHeight="1">
      <c r="A23068" s="35"/>
      <c r="C23068" s="442"/>
      <c r="P23068" s="235"/>
      <c r="AI23068" s="38"/>
    </row>
    <row r="23069" ht="15.75" customHeight="1">
      <c r="A23069" s="35"/>
      <c r="C23069" s="442"/>
      <c r="P23069" s="235"/>
      <c r="AI23069" s="38"/>
    </row>
    <row r="23070" ht="15.75" customHeight="1">
      <c r="A23070" s="35"/>
      <c r="C23070" s="442"/>
      <c r="P23070" s="235"/>
      <c r="AI23070" s="38"/>
    </row>
    <row r="23071" ht="15.75" customHeight="1">
      <c r="A23071" s="35"/>
      <c r="C23071" s="442"/>
      <c r="P23071" s="235"/>
      <c r="AI23071" s="38"/>
    </row>
    <row r="23072" ht="15.75" customHeight="1">
      <c r="A23072" s="35"/>
      <c r="C23072" s="442"/>
      <c r="P23072" s="235"/>
      <c r="AI23072" s="38"/>
    </row>
    <row r="23073" ht="15.75" customHeight="1">
      <c r="A23073" s="35"/>
      <c r="C23073" s="442"/>
      <c r="P23073" s="235"/>
      <c r="AI23073" s="38"/>
    </row>
    <row r="23074" ht="15.75" customHeight="1">
      <c r="A23074" s="35"/>
      <c r="C23074" s="442"/>
      <c r="P23074" s="235"/>
      <c r="AI23074" s="38"/>
    </row>
    <row r="23075" ht="15.75" customHeight="1">
      <c r="A23075" s="35"/>
      <c r="C23075" s="442"/>
      <c r="P23075" s="235"/>
      <c r="AI23075" s="38"/>
    </row>
    <row r="23076" ht="15.75" customHeight="1">
      <c r="A23076" s="35"/>
      <c r="C23076" s="442"/>
      <c r="P23076" s="235"/>
      <c r="AI23076" s="38"/>
    </row>
    <row r="23077" ht="15.75" customHeight="1">
      <c r="A23077" s="35"/>
      <c r="C23077" s="442"/>
      <c r="P23077" s="235"/>
      <c r="AI23077" s="38"/>
    </row>
    <row r="23078" ht="15.75" customHeight="1">
      <c r="A23078" s="35"/>
      <c r="C23078" s="442"/>
      <c r="P23078" s="235"/>
      <c r="AI23078" s="38"/>
    </row>
    <row r="23079" ht="15.75" customHeight="1">
      <c r="A23079" s="35"/>
      <c r="C23079" s="442"/>
      <c r="P23079" s="235"/>
      <c r="AI23079" s="38"/>
    </row>
    <row r="23080" ht="15.75" customHeight="1">
      <c r="A23080" s="35"/>
      <c r="C23080" s="442"/>
      <c r="P23080" s="235"/>
      <c r="AI23080" s="38"/>
    </row>
    <row r="23081" ht="15.75" customHeight="1">
      <c r="A23081" s="35"/>
      <c r="C23081" s="442"/>
      <c r="P23081" s="235"/>
      <c r="AI23081" s="38"/>
    </row>
    <row r="23082" ht="15.75" customHeight="1">
      <c r="A23082" s="35"/>
      <c r="C23082" s="442"/>
      <c r="P23082" s="235"/>
      <c r="AI23082" s="38"/>
    </row>
    <row r="23083" ht="15.75" customHeight="1">
      <c r="A23083" s="35"/>
      <c r="C23083" s="442"/>
      <c r="P23083" s="235"/>
      <c r="AI23083" s="38"/>
    </row>
    <row r="23084" ht="15.75" customHeight="1">
      <c r="A23084" s="35"/>
      <c r="C23084" s="442"/>
      <c r="P23084" s="235"/>
      <c r="AI23084" s="38"/>
    </row>
    <row r="23085" ht="15.75" customHeight="1">
      <c r="A23085" s="35"/>
      <c r="C23085" s="442"/>
      <c r="P23085" s="235"/>
      <c r="AI23085" s="38"/>
    </row>
    <row r="23086" ht="15.75" customHeight="1">
      <c r="A23086" s="35"/>
      <c r="C23086" s="442"/>
      <c r="P23086" s="235"/>
      <c r="AI23086" s="38"/>
    </row>
    <row r="23087" ht="15.75" customHeight="1">
      <c r="A23087" s="35"/>
      <c r="C23087" s="442"/>
      <c r="P23087" s="235"/>
      <c r="AI23087" s="38"/>
    </row>
    <row r="23088" ht="15.75" customHeight="1">
      <c r="A23088" s="35"/>
      <c r="C23088" s="442"/>
      <c r="P23088" s="235"/>
      <c r="AI23088" s="38"/>
    </row>
    <row r="23089" ht="15.75" customHeight="1">
      <c r="A23089" s="35"/>
      <c r="C23089" s="442"/>
      <c r="P23089" s="235"/>
      <c r="AI23089" s="38"/>
    </row>
    <row r="23090" ht="15.75" customHeight="1">
      <c r="A23090" s="35"/>
      <c r="C23090" s="442"/>
      <c r="P23090" s="235"/>
      <c r="AI23090" s="38"/>
    </row>
    <row r="23091" ht="15.75" customHeight="1">
      <c r="A23091" s="35"/>
      <c r="C23091" s="442"/>
      <c r="P23091" s="235"/>
      <c r="AI23091" s="38"/>
    </row>
    <row r="23092" ht="15.75" customHeight="1">
      <c r="A23092" s="35"/>
      <c r="C23092" s="442"/>
      <c r="P23092" s="235"/>
      <c r="AI23092" s="38"/>
    </row>
    <row r="23093" ht="15.75" customHeight="1">
      <c r="A23093" s="35"/>
      <c r="C23093" s="442"/>
      <c r="P23093" s="235"/>
      <c r="AI23093" s="38"/>
    </row>
    <row r="23094" ht="15.75" customHeight="1">
      <c r="A23094" s="35"/>
      <c r="C23094" s="442"/>
      <c r="P23094" s="235"/>
      <c r="AI23094" s="38"/>
    </row>
    <row r="23095" ht="15.75" customHeight="1">
      <c r="A23095" s="35"/>
      <c r="C23095" s="442"/>
      <c r="P23095" s="235"/>
      <c r="AI23095" s="38"/>
    </row>
    <row r="23096" ht="15.75" customHeight="1">
      <c r="A23096" s="35"/>
      <c r="C23096" s="442"/>
      <c r="P23096" s="235"/>
      <c r="AI23096" s="38"/>
    </row>
    <row r="23097" ht="15.75" customHeight="1">
      <c r="A23097" s="35"/>
      <c r="C23097" s="442"/>
      <c r="P23097" s="235"/>
      <c r="AI23097" s="38"/>
    </row>
    <row r="23098" ht="15.75" customHeight="1">
      <c r="A23098" s="35"/>
      <c r="C23098" s="442"/>
      <c r="P23098" s="235"/>
      <c r="AI23098" s="38"/>
    </row>
    <row r="23099" ht="15.75" customHeight="1">
      <c r="A23099" s="35"/>
      <c r="C23099" s="442"/>
      <c r="P23099" s="235"/>
      <c r="AI23099" s="38"/>
    </row>
    <row r="23100" ht="15.75" customHeight="1">
      <c r="A23100" s="35"/>
      <c r="C23100" s="442"/>
      <c r="P23100" s="235"/>
      <c r="AI23100" s="38"/>
    </row>
    <row r="23101" ht="15.75" customHeight="1">
      <c r="A23101" s="35"/>
      <c r="C23101" s="442"/>
      <c r="P23101" s="235"/>
      <c r="AI23101" s="38"/>
    </row>
    <row r="23102" ht="15.75" customHeight="1">
      <c r="A23102" s="35"/>
      <c r="C23102" s="442"/>
      <c r="P23102" s="235"/>
      <c r="AI23102" s="38"/>
    </row>
    <row r="23103" ht="15.75" customHeight="1">
      <c r="A23103" s="35"/>
      <c r="C23103" s="442"/>
      <c r="P23103" s="235"/>
      <c r="AI23103" s="38"/>
    </row>
    <row r="23104" ht="15.75" customHeight="1">
      <c r="A23104" s="35"/>
      <c r="C23104" s="442"/>
      <c r="P23104" s="235"/>
      <c r="AI23104" s="38"/>
    </row>
    <row r="23105" ht="15.75" customHeight="1">
      <c r="A23105" s="35"/>
      <c r="C23105" s="442"/>
      <c r="P23105" s="235"/>
      <c r="AI23105" s="38"/>
    </row>
    <row r="23106" ht="15.75" customHeight="1">
      <c r="A23106" s="35"/>
      <c r="C23106" s="442"/>
      <c r="P23106" s="235"/>
      <c r="AI23106" s="38"/>
    </row>
    <row r="23107" ht="15.75" customHeight="1">
      <c r="A23107" s="35"/>
      <c r="C23107" s="442"/>
      <c r="P23107" s="235"/>
      <c r="AI23107" s="38"/>
    </row>
    <row r="23108" ht="15.75" customHeight="1">
      <c r="A23108" s="35"/>
      <c r="C23108" s="442"/>
      <c r="P23108" s="235"/>
      <c r="AI23108" s="38"/>
    </row>
    <row r="23109" ht="15.75" customHeight="1">
      <c r="A23109" s="35"/>
      <c r="C23109" s="442"/>
      <c r="P23109" s="235"/>
      <c r="AI23109" s="38"/>
    </row>
    <row r="23110" ht="15.75" customHeight="1">
      <c r="A23110" s="35"/>
      <c r="C23110" s="442"/>
      <c r="P23110" s="235"/>
      <c r="AI23110" s="38"/>
    </row>
    <row r="23111" ht="15.75" customHeight="1">
      <c r="A23111" s="35"/>
      <c r="C23111" s="442"/>
      <c r="P23111" s="235"/>
      <c r="AI23111" s="38"/>
    </row>
    <row r="23112" ht="15.75" customHeight="1">
      <c r="A23112" s="35"/>
      <c r="C23112" s="442"/>
      <c r="P23112" s="235"/>
      <c r="AI23112" s="38"/>
    </row>
    <row r="23113" ht="15.75" customHeight="1">
      <c r="A23113" s="35"/>
      <c r="C23113" s="442"/>
      <c r="P23113" s="235"/>
      <c r="AI23113" s="38"/>
    </row>
    <row r="23114" ht="15.75" customHeight="1">
      <c r="A23114" s="35"/>
      <c r="C23114" s="442"/>
      <c r="P23114" s="235"/>
      <c r="AI23114" s="38"/>
    </row>
    <row r="23115" ht="15.75" customHeight="1">
      <c r="A23115" s="35"/>
      <c r="C23115" s="442"/>
      <c r="P23115" s="235"/>
      <c r="AI23115" s="38"/>
    </row>
    <row r="23116" ht="15.75" customHeight="1">
      <c r="A23116" s="35"/>
      <c r="C23116" s="442"/>
      <c r="P23116" s="235"/>
      <c r="AI23116" s="38"/>
    </row>
    <row r="23117" ht="15.75" customHeight="1">
      <c r="A23117" s="35"/>
      <c r="C23117" s="442"/>
      <c r="P23117" s="235"/>
      <c r="AI23117" s="38"/>
    </row>
    <row r="23118" ht="15.75" customHeight="1">
      <c r="A23118" s="35"/>
      <c r="C23118" s="442"/>
      <c r="P23118" s="235"/>
      <c r="AI23118" s="38"/>
    </row>
    <row r="23119" ht="15.75" customHeight="1">
      <c r="A23119" s="35"/>
      <c r="C23119" s="442"/>
      <c r="P23119" s="235"/>
      <c r="AI23119" s="38"/>
    </row>
    <row r="23120" ht="15.75" customHeight="1">
      <c r="A23120" s="35"/>
      <c r="C23120" s="442"/>
      <c r="P23120" s="235"/>
      <c r="AI23120" s="38"/>
    </row>
    <row r="23121" ht="15.75" customHeight="1">
      <c r="A23121" s="35"/>
      <c r="C23121" s="442"/>
      <c r="P23121" s="235"/>
      <c r="AI23121" s="38"/>
    </row>
    <row r="23122" ht="15.75" customHeight="1">
      <c r="A23122" s="35"/>
      <c r="C23122" s="442"/>
      <c r="P23122" s="235"/>
      <c r="AI23122" s="38"/>
    </row>
    <row r="23123" ht="15.75" customHeight="1">
      <c r="A23123" s="35"/>
      <c r="C23123" s="442"/>
      <c r="P23123" s="235"/>
      <c r="AI23123" s="38"/>
    </row>
    <row r="23124" ht="15.75" customHeight="1">
      <c r="A23124" s="35"/>
      <c r="C23124" s="442"/>
      <c r="P23124" s="235"/>
      <c r="AI23124" s="38"/>
    </row>
    <row r="23125" ht="15.75" customHeight="1">
      <c r="A23125" s="35"/>
      <c r="C23125" s="442"/>
      <c r="P23125" s="235"/>
      <c r="AI23125" s="38"/>
    </row>
    <row r="23126" ht="15.75" customHeight="1">
      <c r="A23126" s="35"/>
      <c r="C23126" s="442"/>
      <c r="P23126" s="235"/>
      <c r="AI23126" s="38"/>
    </row>
    <row r="23127" ht="15.75" customHeight="1">
      <c r="A23127" s="35"/>
      <c r="C23127" s="442"/>
      <c r="P23127" s="235"/>
      <c r="AI23127" s="38"/>
    </row>
    <row r="23128" ht="15.75" customHeight="1">
      <c r="A23128" s="35"/>
      <c r="C23128" s="442"/>
      <c r="P23128" s="235"/>
      <c r="AI23128" s="38"/>
    </row>
    <row r="23129" ht="15.75" customHeight="1">
      <c r="A23129" s="35"/>
      <c r="C23129" s="442"/>
      <c r="P23129" s="235"/>
      <c r="AI23129" s="38"/>
    </row>
    <row r="23130" ht="15.75" customHeight="1">
      <c r="A23130" s="35"/>
      <c r="C23130" s="442"/>
      <c r="P23130" s="235"/>
      <c r="AI23130" s="38"/>
    </row>
    <row r="23131" ht="15.75" customHeight="1">
      <c r="A23131" s="35"/>
      <c r="C23131" s="442"/>
      <c r="P23131" s="235"/>
      <c r="AI23131" s="38"/>
    </row>
    <row r="23132" ht="15.75" customHeight="1">
      <c r="A23132" s="35"/>
      <c r="C23132" s="442"/>
      <c r="P23132" s="235"/>
      <c r="AI23132" s="38"/>
    </row>
    <row r="23133" ht="15.75" customHeight="1">
      <c r="A23133" s="35"/>
      <c r="C23133" s="442"/>
      <c r="P23133" s="235"/>
      <c r="AI23133" s="38"/>
    </row>
    <row r="23134" ht="15.75" customHeight="1">
      <c r="A23134" s="35"/>
      <c r="C23134" s="442"/>
      <c r="P23134" s="235"/>
      <c r="AI23134" s="38"/>
    </row>
    <row r="23135" ht="15.75" customHeight="1">
      <c r="A23135" s="35"/>
      <c r="C23135" s="442"/>
      <c r="P23135" s="235"/>
      <c r="AI23135" s="38"/>
    </row>
    <row r="23136" ht="15.75" customHeight="1">
      <c r="A23136" s="35"/>
      <c r="C23136" s="442"/>
      <c r="P23136" s="235"/>
      <c r="AI23136" s="38"/>
    </row>
    <row r="23137" ht="15.75" customHeight="1">
      <c r="A23137" s="35"/>
      <c r="C23137" s="442"/>
      <c r="P23137" s="235"/>
      <c r="AI23137" s="38"/>
    </row>
    <row r="23138" ht="15.75" customHeight="1">
      <c r="A23138" s="35"/>
      <c r="C23138" s="442"/>
      <c r="P23138" s="235"/>
      <c r="AI23138" s="38"/>
    </row>
    <row r="23139" ht="15.75" customHeight="1">
      <c r="A23139" s="35"/>
      <c r="C23139" s="442"/>
      <c r="P23139" s="235"/>
      <c r="AI23139" s="38"/>
    </row>
    <row r="23140" ht="15.75" customHeight="1">
      <c r="A23140" s="35"/>
      <c r="C23140" s="442"/>
      <c r="P23140" s="235"/>
      <c r="AI23140" s="38"/>
    </row>
    <row r="23141" ht="15.75" customHeight="1">
      <c r="A23141" s="35"/>
      <c r="C23141" s="442"/>
      <c r="P23141" s="235"/>
      <c r="AI23141" s="38"/>
    </row>
    <row r="23142" ht="15.75" customHeight="1">
      <c r="A23142" s="35"/>
      <c r="C23142" s="442"/>
      <c r="P23142" s="235"/>
      <c r="AI23142" s="38"/>
    </row>
    <row r="23143" ht="15.75" customHeight="1">
      <c r="A23143" s="35"/>
      <c r="C23143" s="442"/>
      <c r="P23143" s="235"/>
      <c r="AI23143" s="38"/>
    </row>
    <row r="23144" ht="15.75" customHeight="1">
      <c r="A23144" s="35"/>
      <c r="C23144" s="442"/>
      <c r="P23144" s="235"/>
      <c r="AI23144" s="38"/>
    </row>
    <row r="23145" ht="15.75" customHeight="1">
      <c r="A23145" s="35"/>
      <c r="C23145" s="442"/>
      <c r="P23145" s="235"/>
      <c r="AI23145" s="38"/>
    </row>
    <row r="23146" ht="15.75" customHeight="1">
      <c r="A23146" s="35"/>
      <c r="C23146" s="442"/>
      <c r="P23146" s="235"/>
      <c r="AI23146" s="38"/>
    </row>
    <row r="23147" ht="15.75" customHeight="1">
      <c r="A23147" s="35"/>
      <c r="C23147" s="442"/>
      <c r="P23147" s="235"/>
      <c r="AI23147" s="38"/>
    </row>
    <row r="23148" ht="15.75" customHeight="1">
      <c r="A23148" s="35"/>
      <c r="C23148" s="442"/>
      <c r="P23148" s="235"/>
      <c r="AI23148" s="38"/>
    </row>
    <row r="23149" ht="15.75" customHeight="1">
      <c r="A23149" s="35"/>
      <c r="C23149" s="442"/>
      <c r="P23149" s="235"/>
      <c r="AI23149" s="38"/>
    </row>
    <row r="23150" ht="15.75" customHeight="1">
      <c r="A23150" s="35"/>
      <c r="C23150" s="442"/>
      <c r="P23150" s="235"/>
      <c r="AI23150" s="38"/>
    </row>
    <row r="23151" ht="15.75" customHeight="1">
      <c r="A23151" s="35"/>
      <c r="C23151" s="442"/>
      <c r="P23151" s="235"/>
      <c r="AI23151" s="38"/>
    </row>
    <row r="23152" ht="15.75" customHeight="1">
      <c r="A23152" s="35"/>
      <c r="C23152" s="442"/>
      <c r="P23152" s="235"/>
      <c r="AI23152" s="38"/>
    </row>
    <row r="23153" ht="15.75" customHeight="1">
      <c r="A23153" s="35"/>
      <c r="C23153" s="442"/>
      <c r="P23153" s="235"/>
      <c r="AI23153" s="38"/>
    </row>
    <row r="23154" ht="15.75" customHeight="1">
      <c r="A23154" s="35"/>
      <c r="C23154" s="442"/>
      <c r="P23154" s="235"/>
      <c r="AI23154" s="38"/>
    </row>
    <row r="23155" ht="15.75" customHeight="1">
      <c r="A23155" s="35"/>
      <c r="C23155" s="442"/>
      <c r="P23155" s="235"/>
      <c r="AI23155" s="38"/>
    </row>
    <row r="23156" ht="15.75" customHeight="1">
      <c r="A23156" s="35"/>
      <c r="C23156" s="442"/>
      <c r="P23156" s="235"/>
      <c r="AI23156" s="38"/>
    </row>
    <row r="23157" ht="15.75" customHeight="1">
      <c r="A23157" s="35"/>
      <c r="C23157" s="442"/>
      <c r="P23157" s="235"/>
      <c r="AI23157" s="38"/>
    </row>
    <row r="23158" ht="15.75" customHeight="1">
      <c r="A23158" s="35"/>
      <c r="C23158" s="442"/>
      <c r="P23158" s="235"/>
      <c r="AI23158" s="38"/>
    </row>
    <row r="23159" ht="15.75" customHeight="1">
      <c r="A23159" s="35"/>
      <c r="C23159" s="442"/>
      <c r="P23159" s="235"/>
      <c r="AI23159" s="38"/>
    </row>
    <row r="23160" ht="15.75" customHeight="1">
      <c r="A23160" s="35"/>
      <c r="C23160" s="442"/>
      <c r="P23160" s="235"/>
      <c r="AI23160" s="38"/>
    </row>
    <row r="23161" ht="15.75" customHeight="1">
      <c r="A23161" s="35"/>
      <c r="C23161" s="442"/>
      <c r="P23161" s="235"/>
      <c r="AI23161" s="38"/>
    </row>
    <row r="23162" ht="15.75" customHeight="1">
      <c r="A23162" s="35"/>
      <c r="C23162" s="442"/>
      <c r="P23162" s="235"/>
      <c r="AI23162" s="38"/>
    </row>
    <row r="23163" ht="15.75" customHeight="1">
      <c r="A23163" s="35"/>
      <c r="C23163" s="442"/>
      <c r="P23163" s="235"/>
      <c r="AI23163" s="38"/>
    </row>
    <row r="23164" ht="15.75" customHeight="1">
      <c r="A23164" s="35"/>
      <c r="C23164" s="442"/>
      <c r="P23164" s="235"/>
      <c r="AI23164" s="38"/>
    </row>
    <row r="23165" ht="15.75" customHeight="1">
      <c r="A23165" s="35"/>
      <c r="C23165" s="442"/>
      <c r="P23165" s="235"/>
      <c r="AI23165" s="38"/>
    </row>
    <row r="23166" ht="15.75" customHeight="1">
      <c r="A23166" s="35"/>
      <c r="C23166" s="442"/>
      <c r="P23166" s="235"/>
      <c r="AI23166" s="38"/>
    </row>
    <row r="23167" ht="15.75" customHeight="1">
      <c r="A23167" s="35"/>
      <c r="C23167" s="442"/>
      <c r="P23167" s="235"/>
      <c r="AI23167" s="38"/>
    </row>
    <row r="23168" ht="15.75" customHeight="1">
      <c r="A23168" s="35"/>
      <c r="C23168" s="442"/>
      <c r="P23168" s="235"/>
      <c r="AI23168" s="38"/>
    </row>
    <row r="23169" ht="15.75" customHeight="1">
      <c r="A23169" s="35"/>
      <c r="C23169" s="442"/>
      <c r="P23169" s="235"/>
      <c r="AI23169" s="38"/>
    </row>
    <row r="23170" ht="15.75" customHeight="1">
      <c r="A23170" s="35"/>
      <c r="C23170" s="442"/>
      <c r="P23170" s="235"/>
      <c r="AI23170" s="38"/>
    </row>
    <row r="23171" ht="15.75" customHeight="1">
      <c r="A23171" s="35"/>
      <c r="C23171" s="442"/>
      <c r="P23171" s="235"/>
      <c r="AI23171" s="38"/>
    </row>
    <row r="23172" ht="15.75" customHeight="1">
      <c r="A23172" s="35"/>
      <c r="C23172" s="442"/>
      <c r="P23172" s="235"/>
      <c r="AI23172" s="38"/>
    </row>
    <row r="23173" ht="15.75" customHeight="1">
      <c r="A23173" s="35"/>
      <c r="C23173" s="442"/>
      <c r="P23173" s="235"/>
      <c r="AI23173" s="38"/>
    </row>
    <row r="23174" ht="15.75" customHeight="1">
      <c r="A23174" s="35"/>
      <c r="C23174" s="442"/>
      <c r="P23174" s="235"/>
      <c r="AI23174" s="38"/>
    </row>
    <row r="23175" ht="15.75" customHeight="1">
      <c r="A23175" s="35"/>
      <c r="C23175" s="442"/>
      <c r="P23175" s="235"/>
      <c r="AI23175" s="38"/>
    </row>
    <row r="23176" ht="15.75" customHeight="1">
      <c r="A23176" s="35"/>
      <c r="C23176" s="442"/>
      <c r="P23176" s="235"/>
      <c r="AI23176" s="38"/>
    </row>
    <row r="23177" ht="15.75" customHeight="1">
      <c r="A23177" s="35"/>
      <c r="C23177" s="442"/>
      <c r="P23177" s="235"/>
      <c r="AI23177" s="38"/>
    </row>
    <row r="23178" ht="15.75" customHeight="1">
      <c r="A23178" s="35"/>
      <c r="C23178" s="442"/>
      <c r="P23178" s="235"/>
      <c r="AI23178" s="38"/>
    </row>
    <row r="23179" ht="15.75" customHeight="1">
      <c r="A23179" s="35"/>
      <c r="C23179" s="442"/>
      <c r="P23179" s="235"/>
      <c r="AI23179" s="38"/>
    </row>
    <row r="23180" ht="15.75" customHeight="1">
      <c r="A23180" s="35"/>
      <c r="C23180" s="442"/>
      <c r="P23180" s="235"/>
      <c r="AI23180" s="38"/>
    </row>
    <row r="23181" ht="15.75" customHeight="1">
      <c r="A23181" s="35"/>
      <c r="C23181" s="442"/>
      <c r="P23181" s="235"/>
      <c r="AI23181" s="38"/>
    </row>
    <row r="23182" ht="15.75" customHeight="1">
      <c r="A23182" s="35"/>
      <c r="C23182" s="442"/>
      <c r="P23182" s="235"/>
      <c r="AI23182" s="38"/>
    </row>
    <row r="23183" ht="15.75" customHeight="1">
      <c r="A23183" s="35"/>
      <c r="C23183" s="442"/>
      <c r="P23183" s="235"/>
      <c r="AI23183" s="38"/>
    </row>
    <row r="23184" ht="15.75" customHeight="1">
      <c r="A23184" s="35"/>
      <c r="C23184" s="442"/>
      <c r="P23184" s="235"/>
      <c r="AI23184" s="38"/>
    </row>
    <row r="23185" ht="15.75" customHeight="1">
      <c r="A23185" s="35"/>
      <c r="C23185" s="442"/>
      <c r="P23185" s="235"/>
      <c r="AI23185" s="38"/>
    </row>
    <row r="23186" ht="15.75" customHeight="1">
      <c r="A23186" s="35"/>
      <c r="C23186" s="442"/>
      <c r="P23186" s="235"/>
      <c r="AI23186" s="38"/>
    </row>
    <row r="23187" ht="15.75" customHeight="1">
      <c r="A23187" s="35"/>
      <c r="C23187" s="442"/>
      <c r="P23187" s="235"/>
      <c r="AI23187" s="38"/>
    </row>
    <row r="23188" ht="15.75" customHeight="1">
      <c r="A23188" s="35"/>
      <c r="C23188" s="442"/>
      <c r="P23188" s="235"/>
      <c r="AI23188" s="38"/>
    </row>
    <row r="23189" ht="15.75" customHeight="1">
      <c r="A23189" s="35"/>
      <c r="C23189" s="442"/>
      <c r="P23189" s="235"/>
      <c r="AI23189" s="38"/>
    </row>
    <row r="23190" ht="15.75" customHeight="1">
      <c r="A23190" s="35"/>
      <c r="C23190" s="442"/>
      <c r="P23190" s="235"/>
      <c r="AI23190" s="38"/>
    </row>
    <row r="23191" ht="15.75" customHeight="1">
      <c r="A23191" s="35"/>
      <c r="C23191" s="442"/>
      <c r="P23191" s="235"/>
      <c r="AI23191" s="38"/>
    </row>
    <row r="23192" ht="15.75" customHeight="1">
      <c r="A23192" s="35"/>
      <c r="C23192" s="442"/>
      <c r="P23192" s="235"/>
      <c r="AI23192" s="38"/>
    </row>
    <row r="23193" ht="15.75" customHeight="1">
      <c r="A23193" s="35"/>
      <c r="C23193" s="442"/>
      <c r="P23193" s="235"/>
      <c r="AI23193" s="38"/>
    </row>
    <row r="23194" ht="15.75" customHeight="1">
      <c r="A23194" s="35"/>
      <c r="C23194" s="442"/>
      <c r="P23194" s="235"/>
      <c r="AI23194" s="38"/>
    </row>
    <row r="23195" ht="15.75" customHeight="1">
      <c r="A23195" s="35"/>
      <c r="C23195" s="442"/>
      <c r="P23195" s="235"/>
      <c r="AI23195" s="38"/>
    </row>
    <row r="23196" ht="15.75" customHeight="1">
      <c r="A23196" s="35"/>
      <c r="C23196" s="442"/>
      <c r="P23196" s="235"/>
      <c r="AI23196" s="38"/>
    </row>
    <row r="23197" ht="15.75" customHeight="1">
      <c r="A23197" s="35"/>
      <c r="C23197" s="442"/>
      <c r="P23197" s="235"/>
      <c r="AI23197" s="38"/>
    </row>
    <row r="23198" ht="15.75" customHeight="1">
      <c r="A23198" s="35"/>
      <c r="C23198" s="442"/>
      <c r="P23198" s="235"/>
      <c r="AI23198" s="38"/>
    </row>
    <row r="23199" ht="15.75" customHeight="1">
      <c r="A23199" s="35"/>
      <c r="C23199" s="442"/>
      <c r="P23199" s="235"/>
      <c r="AI23199" s="38"/>
    </row>
    <row r="23200" ht="15.75" customHeight="1">
      <c r="A23200" s="35"/>
      <c r="C23200" s="442"/>
      <c r="P23200" s="235"/>
      <c r="AI23200" s="38"/>
    </row>
    <row r="23201" ht="15.75" customHeight="1">
      <c r="A23201" s="35"/>
      <c r="C23201" s="442"/>
      <c r="P23201" s="235"/>
      <c r="AI23201" s="38"/>
    </row>
    <row r="23202" ht="15.75" customHeight="1">
      <c r="A23202" s="35"/>
      <c r="C23202" s="442"/>
      <c r="P23202" s="235"/>
      <c r="AI23202" s="38"/>
    </row>
    <row r="23203" ht="15.75" customHeight="1">
      <c r="A23203" s="35"/>
      <c r="C23203" s="442"/>
      <c r="P23203" s="235"/>
      <c r="AI23203" s="38"/>
    </row>
    <row r="23204" ht="15.75" customHeight="1">
      <c r="A23204" s="35"/>
      <c r="C23204" s="442"/>
      <c r="P23204" s="235"/>
      <c r="AI23204" s="38"/>
    </row>
    <row r="23205" ht="15.75" customHeight="1">
      <c r="A23205" s="35"/>
      <c r="C23205" s="442"/>
      <c r="P23205" s="235"/>
      <c r="AI23205" s="38"/>
    </row>
    <row r="23206" ht="15.75" customHeight="1">
      <c r="A23206" s="35"/>
      <c r="C23206" s="442"/>
      <c r="P23206" s="235"/>
      <c r="AI23206" s="38"/>
    </row>
    <row r="23207" ht="15.75" customHeight="1">
      <c r="A23207" s="35"/>
      <c r="C23207" s="442"/>
      <c r="P23207" s="235"/>
      <c r="AI23207" s="38"/>
    </row>
    <row r="23208" ht="15.75" customHeight="1">
      <c r="A23208" s="35"/>
      <c r="C23208" s="442"/>
      <c r="P23208" s="235"/>
      <c r="AI23208" s="38"/>
    </row>
    <row r="23209" ht="15.75" customHeight="1">
      <c r="A23209" s="35"/>
      <c r="C23209" s="442"/>
      <c r="P23209" s="235"/>
      <c r="AI23209" s="38"/>
    </row>
    <row r="23210" ht="15.75" customHeight="1">
      <c r="A23210" s="35"/>
      <c r="C23210" s="442"/>
      <c r="P23210" s="235"/>
      <c r="AI23210" s="38"/>
    </row>
    <row r="23211" ht="15.75" customHeight="1">
      <c r="A23211" s="35"/>
      <c r="C23211" s="442"/>
      <c r="P23211" s="235"/>
      <c r="AI23211" s="38"/>
    </row>
    <row r="23212" ht="15.75" customHeight="1">
      <c r="A23212" s="35"/>
      <c r="C23212" s="442"/>
      <c r="P23212" s="235"/>
      <c r="AI23212" s="38"/>
    </row>
    <row r="23213" ht="15.75" customHeight="1">
      <c r="A23213" s="35"/>
      <c r="C23213" s="442"/>
      <c r="P23213" s="235"/>
      <c r="AI23213" s="38"/>
    </row>
    <row r="23214" ht="15.75" customHeight="1">
      <c r="A23214" s="35"/>
      <c r="C23214" s="442"/>
      <c r="P23214" s="235"/>
      <c r="AI23214" s="38"/>
    </row>
    <row r="23215" ht="15.75" customHeight="1">
      <c r="A23215" s="35"/>
      <c r="C23215" s="442"/>
      <c r="P23215" s="235"/>
      <c r="AI23215" s="38"/>
    </row>
    <row r="23216" ht="15.75" customHeight="1">
      <c r="A23216" s="35"/>
      <c r="C23216" s="442"/>
      <c r="P23216" s="235"/>
      <c r="AI23216" s="38"/>
    </row>
    <row r="23217" ht="15.75" customHeight="1">
      <c r="A23217" s="35"/>
      <c r="C23217" s="442"/>
      <c r="P23217" s="235"/>
      <c r="AI23217" s="38"/>
    </row>
    <row r="23218" ht="15.75" customHeight="1">
      <c r="A23218" s="35"/>
      <c r="C23218" s="442"/>
      <c r="P23218" s="235"/>
      <c r="AI23218" s="38"/>
    </row>
    <row r="23219" ht="15.75" customHeight="1">
      <c r="A23219" s="35"/>
      <c r="C23219" s="442"/>
      <c r="P23219" s="235"/>
      <c r="AI23219" s="38"/>
    </row>
    <row r="23220" ht="15.75" customHeight="1">
      <c r="A23220" s="35"/>
      <c r="C23220" s="442"/>
      <c r="P23220" s="235"/>
      <c r="AI23220" s="38"/>
    </row>
    <row r="23221" ht="15.75" customHeight="1">
      <c r="A23221" s="35"/>
      <c r="C23221" s="442"/>
      <c r="P23221" s="235"/>
      <c r="AI23221" s="38"/>
    </row>
    <row r="23222" ht="15.75" customHeight="1">
      <c r="A23222" s="35"/>
      <c r="C23222" s="442"/>
      <c r="P23222" s="235"/>
      <c r="AI23222" s="38"/>
    </row>
    <row r="23223" ht="15.75" customHeight="1">
      <c r="A23223" s="35"/>
      <c r="C23223" s="442"/>
      <c r="P23223" s="235"/>
      <c r="AI23223" s="38"/>
    </row>
    <row r="23224" ht="15.75" customHeight="1">
      <c r="A23224" s="35"/>
      <c r="C23224" s="442"/>
      <c r="P23224" s="235"/>
      <c r="AI23224" s="38"/>
    </row>
    <row r="23225" ht="15.75" customHeight="1">
      <c r="A23225" s="35"/>
      <c r="C23225" s="442"/>
      <c r="P23225" s="235"/>
      <c r="AI23225" s="38"/>
    </row>
    <row r="23226" ht="15.75" customHeight="1">
      <c r="A23226" s="35"/>
      <c r="C23226" s="442"/>
      <c r="P23226" s="235"/>
      <c r="AI23226" s="38"/>
    </row>
    <row r="23227" ht="15.75" customHeight="1">
      <c r="A23227" s="35"/>
      <c r="C23227" s="442"/>
      <c r="P23227" s="235"/>
      <c r="AI23227" s="38"/>
    </row>
    <row r="23228" ht="15.75" customHeight="1">
      <c r="A23228" s="35"/>
      <c r="C23228" s="442"/>
      <c r="P23228" s="235"/>
      <c r="AI23228" s="38"/>
    </row>
    <row r="23229" ht="15.75" customHeight="1">
      <c r="A23229" s="35"/>
      <c r="C23229" s="442"/>
      <c r="P23229" s="235"/>
      <c r="AI23229" s="38"/>
    </row>
    <row r="23230" ht="15.75" customHeight="1">
      <c r="A23230" s="35"/>
      <c r="C23230" s="442"/>
      <c r="P23230" s="235"/>
      <c r="AI23230" s="38"/>
    </row>
    <row r="23231" ht="15.75" customHeight="1">
      <c r="A23231" s="35"/>
      <c r="C23231" s="442"/>
      <c r="P23231" s="235"/>
      <c r="AI23231" s="38"/>
    </row>
    <row r="23232" ht="15.75" customHeight="1">
      <c r="A23232" s="35"/>
      <c r="C23232" s="442"/>
      <c r="P23232" s="235"/>
      <c r="AI23232" s="38"/>
    </row>
    <row r="23233" ht="15.75" customHeight="1">
      <c r="A23233" s="35"/>
      <c r="C23233" s="442"/>
      <c r="P23233" s="235"/>
      <c r="AI23233" s="38"/>
    </row>
    <row r="23234" ht="15.75" customHeight="1">
      <c r="A23234" s="35"/>
      <c r="C23234" s="442"/>
      <c r="P23234" s="235"/>
      <c r="AI23234" s="38"/>
    </row>
    <row r="23235" ht="15.75" customHeight="1">
      <c r="A23235" s="35"/>
      <c r="C23235" s="442"/>
      <c r="P23235" s="235"/>
      <c r="AI23235" s="38"/>
    </row>
    <row r="23236" ht="15.75" customHeight="1">
      <c r="A23236" s="35"/>
      <c r="C23236" s="442"/>
      <c r="P23236" s="235"/>
      <c r="AI23236" s="38"/>
    </row>
    <row r="23237" ht="15.75" customHeight="1">
      <c r="A23237" s="35"/>
      <c r="C23237" s="442"/>
      <c r="P23237" s="235"/>
      <c r="AI23237" s="38"/>
    </row>
    <row r="23238" ht="15.75" customHeight="1">
      <c r="A23238" s="35"/>
      <c r="C23238" s="442"/>
      <c r="P23238" s="235"/>
      <c r="AI23238" s="38"/>
    </row>
    <row r="23239" ht="15.75" customHeight="1">
      <c r="A23239" s="35"/>
      <c r="C23239" s="442"/>
      <c r="P23239" s="235"/>
      <c r="AI23239" s="38"/>
    </row>
    <row r="23240" ht="15.75" customHeight="1">
      <c r="A23240" s="35"/>
      <c r="C23240" s="442"/>
      <c r="P23240" s="235"/>
      <c r="AI23240" s="38"/>
    </row>
    <row r="23241" ht="15.75" customHeight="1">
      <c r="A23241" s="35"/>
      <c r="C23241" s="442"/>
      <c r="P23241" s="235"/>
      <c r="AI23241" s="38"/>
    </row>
    <row r="23242" ht="15.75" customHeight="1">
      <c r="A23242" s="35"/>
      <c r="C23242" s="442"/>
      <c r="P23242" s="235"/>
      <c r="AI23242" s="38"/>
    </row>
    <row r="23243" ht="15.75" customHeight="1">
      <c r="A23243" s="35"/>
      <c r="C23243" s="442"/>
      <c r="P23243" s="235"/>
      <c r="AI23243" s="38"/>
    </row>
    <row r="23244" ht="15.75" customHeight="1">
      <c r="A23244" s="35"/>
      <c r="C23244" s="442"/>
      <c r="P23244" s="235"/>
      <c r="AI23244" s="38"/>
    </row>
    <row r="23245" ht="15.75" customHeight="1">
      <c r="A23245" s="35"/>
      <c r="C23245" s="442"/>
      <c r="P23245" s="235"/>
      <c r="AI23245" s="38"/>
    </row>
    <row r="23246" ht="15.75" customHeight="1">
      <c r="A23246" s="35"/>
      <c r="C23246" s="442"/>
      <c r="P23246" s="235"/>
      <c r="AI23246" s="38"/>
    </row>
    <row r="23247" ht="15.75" customHeight="1">
      <c r="A23247" s="35"/>
      <c r="C23247" s="442"/>
      <c r="P23247" s="235"/>
      <c r="AI23247" s="38"/>
    </row>
    <row r="23248" ht="15.75" customHeight="1">
      <c r="A23248" s="35"/>
      <c r="C23248" s="442"/>
      <c r="P23248" s="235"/>
      <c r="AI23248" s="38"/>
    </row>
    <row r="23249" ht="15.75" customHeight="1">
      <c r="A23249" s="35"/>
      <c r="C23249" s="442"/>
      <c r="P23249" s="235"/>
      <c r="AI23249" s="38"/>
    </row>
    <row r="23250" ht="15.75" customHeight="1">
      <c r="A23250" s="35"/>
      <c r="C23250" s="442"/>
      <c r="P23250" s="235"/>
      <c r="AI23250" s="38"/>
    </row>
    <row r="23251" ht="15.75" customHeight="1">
      <c r="A23251" s="35"/>
      <c r="C23251" s="442"/>
      <c r="P23251" s="235"/>
      <c r="AI23251" s="38"/>
    </row>
    <row r="23252" ht="15.75" customHeight="1">
      <c r="A23252" s="35"/>
      <c r="C23252" s="442"/>
      <c r="P23252" s="235"/>
      <c r="AI23252" s="38"/>
    </row>
    <row r="23253" ht="15.75" customHeight="1">
      <c r="A23253" s="35"/>
      <c r="C23253" s="442"/>
      <c r="P23253" s="235"/>
      <c r="AI23253" s="38"/>
    </row>
    <row r="23254" ht="15.75" customHeight="1">
      <c r="A23254" s="35"/>
      <c r="C23254" s="442"/>
      <c r="P23254" s="235"/>
      <c r="AI23254" s="38"/>
    </row>
    <row r="23255" ht="15.75" customHeight="1">
      <c r="A23255" s="35"/>
      <c r="C23255" s="442"/>
      <c r="P23255" s="235"/>
      <c r="AI23255" s="38"/>
    </row>
    <row r="23256" ht="15.75" customHeight="1">
      <c r="A23256" s="35"/>
      <c r="C23256" s="442"/>
      <c r="P23256" s="235"/>
      <c r="AI23256" s="38"/>
    </row>
    <row r="23257" ht="15.75" customHeight="1">
      <c r="A23257" s="35"/>
      <c r="C23257" s="442"/>
      <c r="P23257" s="235"/>
      <c r="AI23257" s="38"/>
    </row>
    <row r="23258" ht="15.75" customHeight="1">
      <c r="A23258" s="35"/>
      <c r="C23258" s="442"/>
      <c r="P23258" s="235"/>
      <c r="AI23258" s="38"/>
    </row>
    <row r="23259" ht="15.75" customHeight="1">
      <c r="A23259" s="35"/>
      <c r="C23259" s="442"/>
      <c r="P23259" s="235"/>
      <c r="AI23259" s="38"/>
    </row>
    <row r="23260" ht="15.75" customHeight="1">
      <c r="A23260" s="35"/>
      <c r="C23260" s="442"/>
      <c r="P23260" s="235"/>
      <c r="AI23260" s="38"/>
    </row>
    <row r="23261" ht="15.75" customHeight="1">
      <c r="A23261" s="35"/>
      <c r="C23261" s="442"/>
      <c r="P23261" s="235"/>
      <c r="AI23261" s="38"/>
    </row>
    <row r="23262" ht="15.75" customHeight="1">
      <c r="A23262" s="35"/>
      <c r="C23262" s="442"/>
      <c r="P23262" s="235"/>
      <c r="AI23262" s="38"/>
    </row>
    <row r="23263" ht="15.75" customHeight="1">
      <c r="A23263" s="35"/>
      <c r="C23263" s="442"/>
      <c r="P23263" s="235"/>
      <c r="AI23263" s="38"/>
    </row>
    <row r="23264" ht="15.75" customHeight="1">
      <c r="A23264" s="35"/>
      <c r="C23264" s="442"/>
      <c r="P23264" s="235"/>
      <c r="AI23264" s="38"/>
    </row>
    <row r="23265" ht="15.75" customHeight="1">
      <c r="A23265" s="35"/>
      <c r="C23265" s="442"/>
      <c r="P23265" s="235"/>
      <c r="AI23265" s="38"/>
    </row>
    <row r="23266" ht="15.75" customHeight="1">
      <c r="A23266" s="35"/>
      <c r="C23266" s="442"/>
      <c r="P23266" s="235"/>
      <c r="AI23266" s="38"/>
    </row>
    <row r="23267" ht="15.75" customHeight="1">
      <c r="A23267" s="35"/>
      <c r="C23267" s="442"/>
      <c r="P23267" s="235"/>
      <c r="AI23267" s="38"/>
    </row>
    <row r="23268" ht="15.75" customHeight="1">
      <c r="A23268" s="35"/>
      <c r="C23268" s="442"/>
      <c r="P23268" s="235"/>
      <c r="AI23268" s="38"/>
    </row>
    <row r="23269" ht="15.75" customHeight="1">
      <c r="A23269" s="35"/>
      <c r="C23269" s="442"/>
      <c r="P23269" s="235"/>
      <c r="AI23269" s="38"/>
    </row>
    <row r="23270" ht="15.75" customHeight="1">
      <c r="A23270" s="35"/>
      <c r="C23270" s="442"/>
      <c r="P23270" s="235"/>
      <c r="AI23270" s="38"/>
    </row>
    <row r="23271" ht="15.75" customHeight="1">
      <c r="A23271" s="35"/>
      <c r="C23271" s="442"/>
      <c r="P23271" s="235"/>
      <c r="AI23271" s="38"/>
    </row>
    <row r="23272" ht="15.75" customHeight="1">
      <c r="A23272" s="35"/>
      <c r="C23272" s="442"/>
      <c r="P23272" s="235"/>
      <c r="AI23272" s="38"/>
    </row>
    <row r="23273" ht="15.75" customHeight="1">
      <c r="A23273" s="35"/>
      <c r="C23273" s="442"/>
      <c r="P23273" s="235"/>
      <c r="AI23273" s="38"/>
    </row>
    <row r="23274" ht="15.75" customHeight="1">
      <c r="A23274" s="35"/>
      <c r="C23274" s="442"/>
      <c r="P23274" s="235"/>
      <c r="AI23274" s="38"/>
    </row>
    <row r="23275" ht="15.75" customHeight="1">
      <c r="A23275" s="35"/>
      <c r="C23275" s="442"/>
      <c r="P23275" s="235"/>
      <c r="AI23275" s="38"/>
    </row>
    <row r="23276" ht="15.75" customHeight="1">
      <c r="A23276" s="35"/>
      <c r="C23276" s="442"/>
      <c r="P23276" s="235"/>
      <c r="AI23276" s="38"/>
    </row>
    <row r="23277" ht="15.75" customHeight="1">
      <c r="A23277" s="35"/>
      <c r="C23277" s="442"/>
      <c r="P23277" s="235"/>
      <c r="AI23277" s="38"/>
    </row>
    <row r="23278" ht="15.75" customHeight="1">
      <c r="A23278" s="35"/>
      <c r="C23278" s="442"/>
      <c r="P23278" s="235"/>
      <c r="AI23278" s="38"/>
    </row>
    <row r="23279" ht="15.75" customHeight="1">
      <c r="A23279" s="35"/>
      <c r="C23279" s="442"/>
      <c r="P23279" s="235"/>
      <c r="AI23279" s="38"/>
    </row>
    <row r="23280" ht="15.75" customHeight="1">
      <c r="A23280" s="35"/>
      <c r="C23280" s="442"/>
      <c r="P23280" s="235"/>
      <c r="AI23280" s="38"/>
    </row>
    <row r="23281" ht="15.75" customHeight="1">
      <c r="A23281" s="35"/>
      <c r="C23281" s="442"/>
      <c r="P23281" s="235"/>
      <c r="AI23281" s="38"/>
    </row>
    <row r="23282" ht="15.75" customHeight="1">
      <c r="A23282" s="35"/>
      <c r="C23282" s="442"/>
      <c r="P23282" s="235"/>
      <c r="AI23282" s="38"/>
    </row>
    <row r="23283" ht="15.75" customHeight="1">
      <c r="A23283" s="35"/>
      <c r="C23283" s="442"/>
      <c r="P23283" s="235"/>
      <c r="AI23283" s="38"/>
    </row>
    <row r="23284" ht="15.75" customHeight="1">
      <c r="A23284" s="35"/>
      <c r="C23284" s="442"/>
      <c r="P23284" s="235"/>
      <c r="AI23284" s="38"/>
    </row>
    <row r="23285" ht="15.75" customHeight="1">
      <c r="A23285" s="35"/>
      <c r="C23285" s="442"/>
      <c r="P23285" s="235"/>
      <c r="AI23285" s="38"/>
    </row>
    <row r="23286" ht="15.75" customHeight="1">
      <c r="A23286" s="35"/>
      <c r="C23286" s="442"/>
      <c r="P23286" s="235"/>
      <c r="AI23286" s="38"/>
    </row>
    <row r="23287" ht="15.75" customHeight="1">
      <c r="A23287" s="35"/>
      <c r="C23287" s="442"/>
      <c r="P23287" s="235"/>
      <c r="AI23287" s="38"/>
    </row>
    <row r="23288" ht="15.75" customHeight="1">
      <c r="A23288" s="35"/>
      <c r="C23288" s="442"/>
      <c r="P23288" s="235"/>
      <c r="AI23288" s="38"/>
    </row>
    <row r="23289" ht="15.75" customHeight="1">
      <c r="A23289" s="35"/>
      <c r="C23289" s="442"/>
      <c r="P23289" s="235"/>
      <c r="AI23289" s="38"/>
    </row>
    <row r="23290" ht="15.75" customHeight="1">
      <c r="A23290" s="35"/>
      <c r="C23290" s="442"/>
      <c r="P23290" s="235"/>
      <c r="AI23290" s="38"/>
    </row>
    <row r="23291" ht="15.75" customHeight="1">
      <c r="A23291" s="35"/>
      <c r="C23291" s="442"/>
      <c r="P23291" s="235"/>
      <c r="AI23291" s="38"/>
    </row>
    <row r="23292" ht="15.75" customHeight="1">
      <c r="A23292" s="35"/>
      <c r="C23292" s="442"/>
      <c r="P23292" s="235"/>
      <c r="AI23292" s="38"/>
    </row>
    <row r="23293" ht="15.75" customHeight="1">
      <c r="A23293" s="35"/>
      <c r="C23293" s="442"/>
      <c r="P23293" s="235"/>
      <c r="AI23293" s="38"/>
    </row>
    <row r="23294" ht="15.75" customHeight="1">
      <c r="A23294" s="35"/>
      <c r="C23294" s="442"/>
      <c r="P23294" s="235"/>
      <c r="AI23294" s="38"/>
    </row>
    <row r="23295" ht="15.75" customHeight="1">
      <c r="A23295" s="35"/>
      <c r="C23295" s="442"/>
      <c r="P23295" s="235"/>
      <c r="AI23295" s="38"/>
    </row>
    <row r="23296" ht="15.75" customHeight="1">
      <c r="A23296" s="35"/>
      <c r="C23296" s="442"/>
      <c r="P23296" s="235"/>
      <c r="AI23296" s="38"/>
    </row>
    <row r="23297" ht="15.75" customHeight="1">
      <c r="A23297" s="35"/>
      <c r="C23297" s="442"/>
      <c r="P23297" s="235"/>
      <c r="AI23297" s="38"/>
    </row>
    <row r="23298" ht="15.75" customHeight="1">
      <c r="A23298" s="35"/>
      <c r="C23298" s="442"/>
      <c r="P23298" s="235"/>
      <c r="AI23298" s="38"/>
    </row>
    <row r="23299" ht="15.75" customHeight="1">
      <c r="A23299" s="35"/>
      <c r="C23299" s="442"/>
      <c r="P23299" s="235"/>
      <c r="AI23299" s="38"/>
    </row>
    <row r="23300" ht="15.75" customHeight="1">
      <c r="A23300" s="35"/>
      <c r="C23300" s="442"/>
      <c r="P23300" s="235"/>
      <c r="AI23300" s="38"/>
    </row>
    <row r="23301" ht="15.75" customHeight="1">
      <c r="A23301" s="35"/>
      <c r="C23301" s="442"/>
      <c r="P23301" s="235"/>
      <c r="AI23301" s="38"/>
    </row>
    <row r="23302" ht="15.75" customHeight="1">
      <c r="A23302" s="35"/>
      <c r="C23302" s="442"/>
      <c r="P23302" s="235"/>
      <c r="AI23302" s="38"/>
    </row>
    <row r="23303" ht="15.75" customHeight="1">
      <c r="A23303" s="35"/>
      <c r="C23303" s="442"/>
      <c r="P23303" s="235"/>
      <c r="AI23303" s="38"/>
    </row>
    <row r="23304" ht="15.75" customHeight="1">
      <c r="A23304" s="35"/>
      <c r="C23304" s="442"/>
      <c r="P23304" s="235"/>
      <c r="AI23304" s="38"/>
    </row>
    <row r="23305" ht="15.75" customHeight="1">
      <c r="A23305" s="35"/>
      <c r="C23305" s="442"/>
      <c r="P23305" s="235"/>
      <c r="AI23305" s="38"/>
    </row>
    <row r="23306" ht="15.75" customHeight="1">
      <c r="A23306" s="35"/>
      <c r="C23306" s="442"/>
      <c r="P23306" s="235"/>
      <c r="AI23306" s="38"/>
    </row>
    <row r="23307" ht="15.75" customHeight="1">
      <c r="A23307" s="35"/>
      <c r="C23307" s="442"/>
      <c r="P23307" s="235"/>
      <c r="AI23307" s="38"/>
    </row>
    <row r="23308" ht="15.75" customHeight="1">
      <c r="A23308" s="35"/>
      <c r="C23308" s="442"/>
      <c r="P23308" s="235"/>
      <c r="AI23308" s="38"/>
    </row>
    <row r="23309" ht="15.75" customHeight="1">
      <c r="A23309" s="35"/>
      <c r="C23309" s="442"/>
      <c r="P23309" s="235"/>
      <c r="AI23309" s="38"/>
    </row>
    <row r="23310" ht="15.75" customHeight="1">
      <c r="A23310" s="35"/>
      <c r="C23310" s="442"/>
      <c r="P23310" s="235"/>
      <c r="AI23310" s="38"/>
    </row>
    <row r="23311" ht="15.75" customHeight="1">
      <c r="A23311" s="35"/>
      <c r="C23311" s="442"/>
      <c r="P23311" s="235"/>
      <c r="AI23311" s="38"/>
    </row>
    <row r="23312" ht="15.75" customHeight="1">
      <c r="A23312" s="35"/>
      <c r="C23312" s="442"/>
      <c r="P23312" s="235"/>
      <c r="AI23312" s="38"/>
    </row>
    <row r="23313" ht="15.75" customHeight="1">
      <c r="A23313" s="35"/>
      <c r="C23313" s="442"/>
      <c r="P23313" s="235"/>
      <c r="AI23313" s="38"/>
    </row>
    <row r="23314" ht="15.75" customHeight="1">
      <c r="A23314" s="35"/>
      <c r="C23314" s="442"/>
      <c r="P23314" s="235"/>
      <c r="AI23314" s="38"/>
    </row>
    <row r="23315" ht="15.75" customHeight="1">
      <c r="A23315" s="35"/>
      <c r="C23315" s="442"/>
      <c r="P23315" s="235"/>
      <c r="AI23315" s="38"/>
    </row>
    <row r="23316" ht="15.75" customHeight="1">
      <c r="A23316" s="35"/>
      <c r="C23316" s="442"/>
      <c r="P23316" s="235"/>
      <c r="AI23316" s="38"/>
    </row>
    <row r="23317" ht="15.75" customHeight="1">
      <c r="A23317" s="35"/>
      <c r="C23317" s="442"/>
      <c r="P23317" s="235"/>
      <c r="AI23317" s="38"/>
    </row>
    <row r="23318" ht="15.75" customHeight="1">
      <c r="A23318" s="35"/>
      <c r="C23318" s="442"/>
      <c r="P23318" s="235"/>
      <c r="AI23318" s="38"/>
    </row>
    <row r="23319" ht="15.75" customHeight="1">
      <c r="A23319" s="35"/>
      <c r="C23319" s="442"/>
      <c r="P23319" s="235"/>
      <c r="AI23319" s="38"/>
    </row>
    <row r="23320" ht="15.75" customHeight="1">
      <c r="A23320" s="35"/>
      <c r="C23320" s="442"/>
      <c r="P23320" s="235"/>
      <c r="AI23320" s="38"/>
    </row>
    <row r="23321" ht="15.75" customHeight="1">
      <c r="A23321" s="35"/>
      <c r="C23321" s="442"/>
      <c r="P23321" s="235"/>
      <c r="AI23321" s="38"/>
    </row>
    <row r="23322" ht="15.75" customHeight="1">
      <c r="A23322" s="35"/>
      <c r="C23322" s="442"/>
      <c r="P23322" s="235"/>
      <c r="AI23322" s="38"/>
    </row>
    <row r="23323" ht="15.75" customHeight="1">
      <c r="A23323" s="35"/>
      <c r="C23323" s="442"/>
      <c r="P23323" s="235"/>
      <c r="AI23323" s="38"/>
    </row>
    <row r="23324" ht="15.75" customHeight="1">
      <c r="A23324" s="35"/>
      <c r="C23324" s="442"/>
      <c r="P23324" s="235"/>
      <c r="AI23324" s="38"/>
    </row>
    <row r="23325" ht="15.75" customHeight="1">
      <c r="A23325" s="35"/>
      <c r="C23325" s="442"/>
      <c r="P23325" s="235"/>
      <c r="AI23325" s="38"/>
    </row>
    <row r="23326" ht="15.75" customHeight="1">
      <c r="A23326" s="35"/>
      <c r="C23326" s="442"/>
      <c r="P23326" s="235"/>
      <c r="AI23326" s="38"/>
    </row>
    <row r="23327" ht="15.75" customHeight="1">
      <c r="A23327" s="35"/>
      <c r="C23327" s="442"/>
      <c r="P23327" s="235"/>
      <c r="AI23327" s="38"/>
    </row>
    <row r="23328" ht="15.75" customHeight="1">
      <c r="A23328" s="35"/>
      <c r="C23328" s="442"/>
      <c r="P23328" s="235"/>
      <c r="AI23328" s="38"/>
    </row>
    <row r="23329" ht="15.75" customHeight="1">
      <c r="A23329" s="35"/>
      <c r="C23329" s="442"/>
      <c r="P23329" s="235"/>
      <c r="AI23329" s="38"/>
    </row>
    <row r="23330" ht="15.75" customHeight="1">
      <c r="A23330" s="35"/>
      <c r="C23330" s="442"/>
      <c r="P23330" s="235"/>
      <c r="AI23330" s="38"/>
    </row>
    <row r="23331" ht="15.75" customHeight="1">
      <c r="A23331" s="35"/>
      <c r="C23331" s="442"/>
      <c r="P23331" s="235"/>
      <c r="AI23331" s="38"/>
    </row>
    <row r="23332" ht="15.75" customHeight="1">
      <c r="A23332" s="35"/>
      <c r="C23332" s="442"/>
      <c r="P23332" s="235"/>
      <c r="AI23332" s="38"/>
    </row>
    <row r="23333" ht="15.75" customHeight="1">
      <c r="A23333" s="35"/>
      <c r="C23333" s="442"/>
      <c r="P23333" s="235"/>
      <c r="AI23333" s="38"/>
    </row>
    <row r="23334" ht="15.75" customHeight="1">
      <c r="A23334" s="35"/>
      <c r="C23334" s="442"/>
      <c r="P23334" s="235"/>
      <c r="AI23334" s="38"/>
    </row>
    <row r="23335" ht="15.75" customHeight="1">
      <c r="A23335" s="35"/>
      <c r="C23335" s="442"/>
      <c r="P23335" s="235"/>
      <c r="AI23335" s="38"/>
    </row>
    <row r="23336" ht="15.75" customHeight="1">
      <c r="A23336" s="35"/>
      <c r="C23336" s="442"/>
      <c r="P23336" s="235"/>
      <c r="AI23336" s="38"/>
    </row>
    <row r="23337" ht="15.75" customHeight="1">
      <c r="A23337" s="35"/>
      <c r="C23337" s="442"/>
      <c r="P23337" s="235"/>
      <c r="AI23337" s="38"/>
    </row>
    <row r="23338" ht="15.75" customHeight="1">
      <c r="A23338" s="35"/>
      <c r="C23338" s="442"/>
      <c r="P23338" s="235"/>
      <c r="AI23338" s="38"/>
    </row>
    <row r="23339" ht="15.75" customHeight="1">
      <c r="A23339" s="35"/>
      <c r="C23339" s="442"/>
      <c r="P23339" s="235"/>
      <c r="AI23339" s="38"/>
    </row>
    <row r="23340" ht="15.75" customHeight="1">
      <c r="A23340" s="35"/>
      <c r="C23340" s="442"/>
      <c r="P23340" s="235"/>
      <c r="AI23340" s="38"/>
    </row>
    <row r="23341" ht="15.75" customHeight="1">
      <c r="A23341" s="35"/>
      <c r="C23341" s="442"/>
      <c r="P23341" s="235"/>
      <c r="AI23341" s="38"/>
    </row>
    <row r="23342" ht="15.75" customHeight="1">
      <c r="A23342" s="35"/>
      <c r="C23342" s="442"/>
      <c r="P23342" s="235"/>
      <c r="AI23342" s="38"/>
    </row>
    <row r="23343" ht="15.75" customHeight="1">
      <c r="A23343" s="35"/>
      <c r="C23343" s="442"/>
      <c r="P23343" s="235"/>
      <c r="AI23343" s="38"/>
    </row>
    <row r="23344" ht="15.75" customHeight="1">
      <c r="A23344" s="35"/>
      <c r="C23344" s="442"/>
      <c r="P23344" s="235"/>
      <c r="AI23344" s="38"/>
    </row>
    <row r="23345" ht="15.75" customHeight="1">
      <c r="A23345" s="35"/>
      <c r="C23345" s="442"/>
      <c r="P23345" s="235"/>
      <c r="AI23345" s="38"/>
    </row>
    <row r="23346" ht="15.75" customHeight="1">
      <c r="A23346" s="35"/>
      <c r="C23346" s="442"/>
      <c r="P23346" s="235"/>
      <c r="AI23346" s="38"/>
    </row>
    <row r="23347" ht="15.75" customHeight="1">
      <c r="A23347" s="35"/>
      <c r="C23347" s="442"/>
      <c r="P23347" s="235"/>
      <c r="AI23347" s="38"/>
    </row>
    <row r="23348" ht="15.75" customHeight="1">
      <c r="A23348" s="35"/>
      <c r="C23348" s="442"/>
      <c r="P23348" s="235"/>
      <c r="AI23348" s="38"/>
    </row>
    <row r="23349" ht="15.75" customHeight="1">
      <c r="A23349" s="35"/>
      <c r="C23349" s="442"/>
      <c r="P23349" s="235"/>
      <c r="AI23349" s="38"/>
    </row>
    <row r="23350" ht="15.75" customHeight="1">
      <c r="A23350" s="35"/>
      <c r="C23350" s="442"/>
      <c r="P23350" s="235"/>
      <c r="AI23350" s="38"/>
    </row>
    <row r="23351" ht="15.75" customHeight="1">
      <c r="A23351" s="35"/>
      <c r="C23351" s="442"/>
      <c r="P23351" s="235"/>
      <c r="AI23351" s="38"/>
    </row>
    <row r="23352" ht="15.75" customHeight="1">
      <c r="A23352" s="35"/>
      <c r="C23352" s="442"/>
      <c r="P23352" s="235"/>
      <c r="AI23352" s="38"/>
    </row>
    <row r="23353" ht="15.75" customHeight="1">
      <c r="A23353" s="35"/>
      <c r="C23353" s="442"/>
      <c r="P23353" s="235"/>
      <c r="AI23353" s="38"/>
    </row>
    <row r="23354" ht="15.75" customHeight="1">
      <c r="A23354" s="35"/>
      <c r="C23354" s="442"/>
      <c r="P23354" s="235"/>
      <c r="AI23354" s="38"/>
    </row>
    <row r="23355" ht="15.75" customHeight="1">
      <c r="A23355" s="35"/>
      <c r="C23355" s="442"/>
      <c r="P23355" s="235"/>
      <c r="AI23355" s="38"/>
    </row>
    <row r="23356" ht="15.75" customHeight="1">
      <c r="A23356" s="35"/>
      <c r="C23356" s="442"/>
      <c r="P23356" s="235"/>
      <c r="AI23356" s="38"/>
    </row>
    <row r="23357" ht="15.75" customHeight="1">
      <c r="A23357" s="35"/>
      <c r="C23357" s="442"/>
      <c r="P23357" s="235"/>
      <c r="AI23357" s="38"/>
    </row>
    <row r="23358" ht="15.75" customHeight="1">
      <c r="A23358" s="35"/>
      <c r="C23358" s="442"/>
      <c r="P23358" s="235"/>
      <c r="AI23358" s="38"/>
    </row>
    <row r="23359" ht="15.75" customHeight="1">
      <c r="A23359" s="35"/>
      <c r="C23359" s="442"/>
      <c r="P23359" s="235"/>
      <c r="AI23359" s="38"/>
    </row>
    <row r="23360" ht="15.75" customHeight="1">
      <c r="A23360" s="35"/>
      <c r="C23360" s="442"/>
      <c r="P23360" s="235"/>
      <c r="AI23360" s="38"/>
    </row>
    <row r="23361" ht="15.75" customHeight="1">
      <c r="A23361" s="35"/>
      <c r="C23361" s="442"/>
      <c r="P23361" s="235"/>
      <c r="AI23361" s="38"/>
    </row>
    <row r="23362" ht="15.75" customHeight="1">
      <c r="A23362" s="35"/>
      <c r="C23362" s="442"/>
      <c r="P23362" s="235"/>
      <c r="AI23362" s="38"/>
    </row>
    <row r="23363" ht="15.75" customHeight="1">
      <c r="A23363" s="35"/>
      <c r="C23363" s="442"/>
      <c r="P23363" s="235"/>
      <c r="AI23363" s="38"/>
    </row>
    <row r="23364" ht="15.75" customHeight="1">
      <c r="A23364" s="35"/>
      <c r="C23364" s="442"/>
      <c r="P23364" s="235"/>
      <c r="AI23364" s="38"/>
    </row>
    <row r="23365" ht="15.75" customHeight="1">
      <c r="A23365" s="35"/>
      <c r="C23365" s="442"/>
      <c r="P23365" s="235"/>
      <c r="AI23365" s="38"/>
    </row>
    <row r="23366" ht="15.75" customHeight="1">
      <c r="A23366" s="35"/>
      <c r="C23366" s="442"/>
      <c r="P23366" s="235"/>
      <c r="AI23366" s="38"/>
    </row>
    <row r="23367" ht="15.75" customHeight="1">
      <c r="A23367" s="35"/>
      <c r="C23367" s="442"/>
      <c r="P23367" s="235"/>
      <c r="AI23367" s="38"/>
    </row>
    <row r="23368" ht="15.75" customHeight="1">
      <c r="A23368" s="35"/>
      <c r="C23368" s="442"/>
      <c r="P23368" s="235"/>
      <c r="AI23368" s="38"/>
    </row>
    <row r="23369" ht="15.75" customHeight="1">
      <c r="A23369" s="35"/>
      <c r="C23369" s="442"/>
      <c r="P23369" s="235"/>
      <c r="AI23369" s="38"/>
    </row>
    <row r="23370" ht="15.75" customHeight="1">
      <c r="A23370" s="35"/>
      <c r="C23370" s="442"/>
      <c r="P23370" s="235"/>
      <c r="AI23370" s="38"/>
    </row>
    <row r="23371" ht="15.75" customHeight="1">
      <c r="A23371" s="35"/>
      <c r="C23371" s="442"/>
      <c r="P23371" s="235"/>
      <c r="AI23371" s="38"/>
    </row>
    <row r="23372" ht="15.75" customHeight="1">
      <c r="A23372" s="35"/>
      <c r="C23372" s="442"/>
      <c r="P23372" s="235"/>
      <c r="AI23372" s="38"/>
    </row>
    <row r="23373" ht="15.75" customHeight="1">
      <c r="A23373" s="35"/>
      <c r="C23373" s="442"/>
      <c r="P23373" s="235"/>
      <c r="AI23373" s="38"/>
    </row>
    <row r="23374" ht="15.75" customHeight="1">
      <c r="A23374" s="35"/>
      <c r="C23374" s="442"/>
      <c r="P23374" s="235"/>
      <c r="AI23374" s="38"/>
    </row>
    <row r="23375" ht="15.75" customHeight="1">
      <c r="A23375" s="35"/>
      <c r="C23375" s="442"/>
      <c r="P23375" s="235"/>
      <c r="AI23375" s="38"/>
    </row>
    <row r="23376" ht="15.75" customHeight="1">
      <c r="A23376" s="35"/>
      <c r="C23376" s="442"/>
      <c r="P23376" s="235"/>
      <c r="AI23376" s="38"/>
    </row>
    <row r="23377" ht="15.75" customHeight="1">
      <c r="A23377" s="35"/>
      <c r="C23377" s="442"/>
      <c r="P23377" s="235"/>
      <c r="AI23377" s="38"/>
    </row>
    <row r="23378" ht="15.75" customHeight="1">
      <c r="A23378" s="35"/>
      <c r="C23378" s="442"/>
      <c r="P23378" s="235"/>
      <c r="AI23378" s="38"/>
    </row>
    <row r="23379" ht="15.75" customHeight="1">
      <c r="A23379" s="35"/>
      <c r="C23379" s="442"/>
      <c r="P23379" s="235"/>
      <c r="AI23379" s="38"/>
    </row>
    <row r="23380" ht="15.75" customHeight="1">
      <c r="A23380" s="35"/>
      <c r="C23380" s="442"/>
      <c r="P23380" s="235"/>
      <c r="AI23380" s="38"/>
    </row>
    <row r="23381" ht="15.75" customHeight="1">
      <c r="A23381" s="35"/>
      <c r="C23381" s="442"/>
      <c r="P23381" s="235"/>
      <c r="AI23381" s="38"/>
    </row>
    <row r="23382" ht="15.75" customHeight="1">
      <c r="A23382" s="35"/>
      <c r="C23382" s="442"/>
      <c r="P23382" s="235"/>
      <c r="AI23382" s="38"/>
    </row>
    <row r="23383" ht="15.75" customHeight="1">
      <c r="A23383" s="35"/>
      <c r="C23383" s="442"/>
      <c r="P23383" s="235"/>
      <c r="AI23383" s="38"/>
    </row>
    <row r="23384" ht="15.75" customHeight="1">
      <c r="A23384" s="35"/>
      <c r="C23384" s="442"/>
      <c r="P23384" s="235"/>
      <c r="AI23384" s="38"/>
    </row>
    <row r="23385" ht="15.75" customHeight="1">
      <c r="A23385" s="35"/>
      <c r="C23385" s="442"/>
      <c r="P23385" s="235"/>
      <c r="AI23385" s="38"/>
    </row>
    <row r="23386" ht="15.75" customHeight="1">
      <c r="A23386" s="35"/>
      <c r="C23386" s="442"/>
      <c r="P23386" s="235"/>
      <c r="AI23386" s="38"/>
    </row>
    <row r="23387" ht="15.75" customHeight="1">
      <c r="A23387" s="35"/>
      <c r="C23387" s="442"/>
      <c r="P23387" s="235"/>
      <c r="AI23387" s="38"/>
    </row>
    <row r="23388" ht="15.75" customHeight="1">
      <c r="A23388" s="35"/>
      <c r="C23388" s="442"/>
      <c r="P23388" s="235"/>
      <c r="AI23388" s="38"/>
    </row>
    <row r="23389" ht="15.75" customHeight="1">
      <c r="A23389" s="35"/>
      <c r="C23389" s="442"/>
      <c r="P23389" s="235"/>
      <c r="AI23389" s="38"/>
    </row>
    <row r="23390" ht="15.75" customHeight="1">
      <c r="A23390" s="35"/>
      <c r="C23390" s="442"/>
      <c r="P23390" s="235"/>
      <c r="AI23390" s="38"/>
    </row>
    <row r="23391" ht="15.75" customHeight="1">
      <c r="A23391" s="35"/>
      <c r="C23391" s="442"/>
      <c r="P23391" s="235"/>
      <c r="AI23391" s="38"/>
    </row>
    <row r="23392" ht="15.75" customHeight="1">
      <c r="A23392" s="35"/>
      <c r="C23392" s="442"/>
      <c r="P23392" s="235"/>
      <c r="AI23392" s="38"/>
    </row>
    <row r="23393" ht="15.75" customHeight="1">
      <c r="A23393" s="35"/>
      <c r="C23393" s="442"/>
      <c r="P23393" s="235"/>
      <c r="AI23393" s="38"/>
    </row>
    <row r="23394" ht="15.75" customHeight="1">
      <c r="A23394" s="35"/>
      <c r="C23394" s="442"/>
      <c r="P23394" s="235"/>
      <c r="AI23394" s="38"/>
    </row>
    <row r="23395" ht="15.75" customHeight="1">
      <c r="A23395" s="35"/>
      <c r="C23395" s="442"/>
      <c r="P23395" s="235"/>
      <c r="AI23395" s="38"/>
    </row>
    <row r="23396" ht="15.75" customHeight="1">
      <c r="A23396" s="35"/>
      <c r="C23396" s="442"/>
      <c r="P23396" s="235"/>
      <c r="AI23396" s="38"/>
    </row>
    <row r="23397" ht="15.75" customHeight="1">
      <c r="A23397" s="35"/>
      <c r="C23397" s="442"/>
      <c r="P23397" s="235"/>
      <c r="AI23397" s="38"/>
    </row>
    <row r="23398" ht="15.75" customHeight="1">
      <c r="A23398" s="35"/>
      <c r="C23398" s="442"/>
      <c r="P23398" s="235"/>
      <c r="AI23398" s="38"/>
    </row>
    <row r="23399" ht="15.75" customHeight="1">
      <c r="A23399" s="35"/>
      <c r="C23399" s="442"/>
      <c r="P23399" s="235"/>
      <c r="AI23399" s="38"/>
    </row>
    <row r="23400" ht="15.75" customHeight="1">
      <c r="A23400" s="35"/>
      <c r="C23400" s="442"/>
      <c r="P23400" s="235"/>
      <c r="AI23400" s="38"/>
    </row>
    <row r="23401" ht="15.75" customHeight="1">
      <c r="A23401" s="35"/>
      <c r="C23401" s="442"/>
      <c r="P23401" s="235"/>
      <c r="AI23401" s="38"/>
    </row>
    <row r="23402" ht="15.75" customHeight="1">
      <c r="A23402" s="35"/>
      <c r="C23402" s="442"/>
      <c r="P23402" s="235"/>
      <c r="AI23402" s="38"/>
    </row>
    <row r="23403" ht="15.75" customHeight="1">
      <c r="A23403" s="35"/>
      <c r="C23403" s="442"/>
      <c r="P23403" s="235"/>
      <c r="AI23403" s="38"/>
    </row>
    <row r="23404" ht="15.75" customHeight="1">
      <c r="A23404" s="35"/>
      <c r="C23404" s="442"/>
      <c r="P23404" s="235"/>
      <c r="AI23404" s="38"/>
    </row>
    <row r="23405" ht="15.75" customHeight="1">
      <c r="A23405" s="35"/>
      <c r="C23405" s="442"/>
      <c r="P23405" s="235"/>
      <c r="AI23405" s="38"/>
    </row>
    <row r="23406" ht="15.75" customHeight="1">
      <c r="A23406" s="35"/>
      <c r="C23406" s="442"/>
      <c r="P23406" s="235"/>
      <c r="AI23406" s="38"/>
    </row>
    <row r="23407" ht="15.75" customHeight="1">
      <c r="A23407" s="35"/>
      <c r="C23407" s="442"/>
      <c r="P23407" s="235"/>
      <c r="AI23407" s="38"/>
    </row>
    <row r="23408" ht="15.75" customHeight="1">
      <c r="A23408" s="35"/>
      <c r="C23408" s="442"/>
      <c r="P23408" s="235"/>
      <c r="AI23408" s="38"/>
    </row>
    <row r="23409" ht="15.75" customHeight="1">
      <c r="A23409" s="35"/>
      <c r="C23409" s="442"/>
      <c r="P23409" s="235"/>
      <c r="AI23409" s="38"/>
    </row>
    <row r="23410" ht="15.75" customHeight="1">
      <c r="A23410" s="35"/>
      <c r="C23410" s="442"/>
      <c r="P23410" s="235"/>
      <c r="AI23410" s="38"/>
    </row>
    <row r="23411" ht="15.75" customHeight="1">
      <c r="A23411" s="35"/>
      <c r="C23411" s="442"/>
      <c r="P23411" s="235"/>
      <c r="AI23411" s="38"/>
    </row>
    <row r="23412" ht="15.75" customHeight="1">
      <c r="A23412" s="35"/>
      <c r="C23412" s="442"/>
      <c r="P23412" s="235"/>
      <c r="AI23412" s="38"/>
    </row>
    <row r="23413" ht="15.75" customHeight="1">
      <c r="A23413" s="35"/>
      <c r="C23413" s="442"/>
      <c r="P23413" s="235"/>
      <c r="AI23413" s="38"/>
    </row>
    <row r="23414" ht="15.75" customHeight="1">
      <c r="A23414" s="35"/>
      <c r="C23414" s="442"/>
      <c r="P23414" s="235"/>
      <c r="AI23414" s="38"/>
    </row>
    <row r="23415" ht="15.75" customHeight="1">
      <c r="A23415" s="35"/>
      <c r="C23415" s="442"/>
      <c r="P23415" s="235"/>
      <c r="AI23415" s="38"/>
    </row>
    <row r="23416" ht="15.75" customHeight="1">
      <c r="A23416" s="35"/>
      <c r="C23416" s="442"/>
      <c r="P23416" s="235"/>
      <c r="AI23416" s="38"/>
    </row>
    <row r="23417" ht="15.75" customHeight="1">
      <c r="A23417" s="35"/>
      <c r="C23417" s="442"/>
      <c r="P23417" s="235"/>
      <c r="AI23417" s="38"/>
    </row>
    <row r="23418" ht="15.75" customHeight="1">
      <c r="A23418" s="35"/>
      <c r="C23418" s="442"/>
      <c r="P23418" s="235"/>
      <c r="AI23418" s="38"/>
    </row>
    <row r="23419" ht="15.75" customHeight="1">
      <c r="A23419" s="35"/>
      <c r="C23419" s="442"/>
      <c r="P23419" s="235"/>
      <c r="AI23419" s="38"/>
    </row>
    <row r="23420" ht="15.75" customHeight="1">
      <c r="A23420" s="35"/>
      <c r="C23420" s="442"/>
      <c r="P23420" s="235"/>
      <c r="AI23420" s="38"/>
    </row>
    <row r="23421" ht="15.75" customHeight="1">
      <c r="A23421" s="35"/>
      <c r="C23421" s="442"/>
      <c r="P23421" s="235"/>
      <c r="AI23421" s="38"/>
    </row>
    <row r="23422" ht="15.75" customHeight="1">
      <c r="A23422" s="35"/>
      <c r="C23422" s="442"/>
      <c r="P23422" s="235"/>
      <c r="AI23422" s="38"/>
    </row>
    <row r="23423" ht="15.75" customHeight="1">
      <c r="A23423" s="35"/>
      <c r="C23423" s="442"/>
      <c r="P23423" s="235"/>
      <c r="AI23423" s="38"/>
    </row>
    <row r="23424" ht="15.75" customHeight="1">
      <c r="A23424" s="35"/>
      <c r="C23424" s="442"/>
      <c r="P23424" s="235"/>
      <c r="AI23424" s="38"/>
    </row>
    <row r="23425" ht="15.75" customHeight="1">
      <c r="A23425" s="35"/>
      <c r="C23425" s="442"/>
      <c r="P23425" s="235"/>
      <c r="AI23425" s="38"/>
    </row>
    <row r="23426" ht="15.75" customHeight="1">
      <c r="A23426" s="35"/>
      <c r="C23426" s="442"/>
      <c r="P23426" s="235"/>
      <c r="AI23426" s="38"/>
    </row>
    <row r="23427" ht="15.75" customHeight="1">
      <c r="A23427" s="35"/>
      <c r="C23427" s="442"/>
      <c r="P23427" s="235"/>
      <c r="AI23427" s="38"/>
    </row>
    <row r="23428" ht="15.75" customHeight="1">
      <c r="A23428" s="35"/>
      <c r="C23428" s="442"/>
      <c r="P23428" s="235"/>
      <c r="AI23428" s="38"/>
    </row>
    <row r="23429" ht="15.75" customHeight="1">
      <c r="A23429" s="35"/>
      <c r="C23429" s="442"/>
      <c r="P23429" s="235"/>
      <c r="AI23429" s="38"/>
    </row>
    <row r="23430" ht="15.75" customHeight="1">
      <c r="A23430" s="35"/>
      <c r="C23430" s="442"/>
      <c r="P23430" s="235"/>
      <c r="AI23430" s="38"/>
    </row>
    <row r="23431" ht="15.75" customHeight="1">
      <c r="A23431" s="35"/>
      <c r="C23431" s="442"/>
      <c r="P23431" s="235"/>
      <c r="AI23431" s="38"/>
    </row>
    <row r="23432" ht="15.75" customHeight="1">
      <c r="A23432" s="35"/>
      <c r="C23432" s="442"/>
      <c r="P23432" s="235"/>
      <c r="AI23432" s="38"/>
    </row>
    <row r="23433" ht="15.75" customHeight="1">
      <c r="A23433" s="35"/>
      <c r="C23433" s="442"/>
      <c r="P23433" s="235"/>
      <c r="AI23433" s="38"/>
    </row>
    <row r="23434" ht="15.75" customHeight="1">
      <c r="A23434" s="35"/>
      <c r="C23434" s="442"/>
      <c r="P23434" s="235"/>
      <c r="AI23434" s="38"/>
    </row>
    <row r="23435" ht="15.75" customHeight="1">
      <c r="A23435" s="35"/>
      <c r="C23435" s="442"/>
      <c r="P23435" s="235"/>
      <c r="AI23435" s="38"/>
    </row>
    <row r="23436" ht="15.75" customHeight="1">
      <c r="A23436" s="35"/>
      <c r="C23436" s="442"/>
      <c r="P23436" s="235"/>
      <c r="AI23436" s="38"/>
    </row>
    <row r="23437" ht="15.75" customHeight="1">
      <c r="A23437" s="35"/>
      <c r="C23437" s="442"/>
      <c r="P23437" s="235"/>
      <c r="AI23437" s="38"/>
    </row>
    <row r="23438" ht="15.75" customHeight="1">
      <c r="A23438" s="35"/>
      <c r="C23438" s="442"/>
      <c r="P23438" s="235"/>
      <c r="AI23438" s="38"/>
    </row>
    <row r="23439" ht="15.75" customHeight="1">
      <c r="A23439" s="35"/>
      <c r="C23439" s="442"/>
      <c r="P23439" s="235"/>
      <c r="AI23439" s="38"/>
    </row>
    <row r="23440" ht="15.75" customHeight="1">
      <c r="A23440" s="35"/>
      <c r="C23440" s="442"/>
      <c r="P23440" s="235"/>
      <c r="AI23440" s="38"/>
    </row>
    <row r="23441" ht="15.75" customHeight="1">
      <c r="A23441" s="35"/>
      <c r="C23441" s="442"/>
      <c r="P23441" s="235"/>
      <c r="AI23441" s="38"/>
    </row>
    <row r="23442" ht="15.75" customHeight="1">
      <c r="A23442" s="35"/>
      <c r="C23442" s="442"/>
      <c r="P23442" s="235"/>
      <c r="AI23442" s="38"/>
    </row>
    <row r="23443" ht="15.75" customHeight="1">
      <c r="A23443" s="35"/>
      <c r="C23443" s="442"/>
      <c r="P23443" s="235"/>
      <c r="AI23443" s="38"/>
    </row>
    <row r="23444" ht="15.75" customHeight="1">
      <c r="A23444" s="35"/>
      <c r="C23444" s="442"/>
      <c r="P23444" s="235"/>
      <c r="AI23444" s="38"/>
    </row>
    <row r="23445" ht="15.75" customHeight="1">
      <c r="A23445" s="35"/>
      <c r="C23445" s="442"/>
      <c r="P23445" s="235"/>
      <c r="AI23445" s="38"/>
    </row>
    <row r="23446" ht="15.75" customHeight="1">
      <c r="A23446" s="35"/>
      <c r="C23446" s="442"/>
      <c r="P23446" s="235"/>
      <c r="AI23446" s="38"/>
    </row>
    <row r="23447" ht="15.75" customHeight="1">
      <c r="A23447" s="35"/>
      <c r="C23447" s="442"/>
      <c r="P23447" s="235"/>
      <c r="AI23447" s="38"/>
    </row>
    <row r="23448" ht="15.75" customHeight="1">
      <c r="A23448" s="35"/>
      <c r="C23448" s="442"/>
      <c r="P23448" s="235"/>
      <c r="AI23448" s="38"/>
    </row>
    <row r="23449" ht="15.75" customHeight="1">
      <c r="A23449" s="35"/>
      <c r="C23449" s="442"/>
      <c r="P23449" s="235"/>
      <c r="AI23449" s="38"/>
    </row>
    <row r="23450" ht="15.75" customHeight="1">
      <c r="A23450" s="35"/>
      <c r="C23450" s="442"/>
      <c r="P23450" s="235"/>
      <c r="AI23450" s="38"/>
    </row>
    <row r="23451" ht="15.75" customHeight="1">
      <c r="A23451" s="35"/>
      <c r="C23451" s="442"/>
      <c r="P23451" s="235"/>
      <c r="AI23451" s="38"/>
    </row>
    <row r="23452" ht="15.75" customHeight="1">
      <c r="A23452" s="35"/>
      <c r="C23452" s="442"/>
      <c r="P23452" s="235"/>
      <c r="AI23452" s="38"/>
    </row>
    <row r="23453" ht="15.75" customHeight="1">
      <c r="A23453" s="35"/>
      <c r="C23453" s="442"/>
      <c r="P23453" s="235"/>
      <c r="AI23453" s="38"/>
    </row>
    <row r="23454" ht="15.75" customHeight="1">
      <c r="A23454" s="35"/>
      <c r="C23454" s="442"/>
      <c r="P23454" s="235"/>
      <c r="AI23454" s="38"/>
    </row>
    <row r="23455" ht="15.75" customHeight="1">
      <c r="A23455" s="35"/>
      <c r="C23455" s="442"/>
      <c r="P23455" s="235"/>
      <c r="AI23455" s="38"/>
    </row>
    <row r="23456" ht="15.75" customHeight="1">
      <c r="A23456" s="35"/>
      <c r="C23456" s="442"/>
      <c r="P23456" s="235"/>
      <c r="AI23456" s="38"/>
    </row>
    <row r="23457" ht="15.75" customHeight="1">
      <c r="A23457" s="35"/>
      <c r="C23457" s="442"/>
      <c r="P23457" s="235"/>
      <c r="AI23457" s="38"/>
    </row>
    <row r="23458" ht="15.75" customHeight="1">
      <c r="A23458" s="35"/>
      <c r="C23458" s="442"/>
      <c r="P23458" s="235"/>
      <c r="AI23458" s="38"/>
    </row>
    <row r="23459" ht="15.75" customHeight="1">
      <c r="A23459" s="35"/>
      <c r="C23459" s="442"/>
      <c r="P23459" s="235"/>
      <c r="AI23459" s="38"/>
    </row>
    <row r="23460" ht="15.75" customHeight="1">
      <c r="A23460" s="35"/>
      <c r="C23460" s="442"/>
      <c r="P23460" s="235"/>
      <c r="AI23460" s="38"/>
    </row>
    <row r="23461" ht="15.75" customHeight="1">
      <c r="A23461" s="35"/>
      <c r="C23461" s="442"/>
      <c r="P23461" s="235"/>
      <c r="AI23461" s="38"/>
    </row>
    <row r="23462" ht="15.75" customHeight="1">
      <c r="A23462" s="35"/>
      <c r="C23462" s="442"/>
      <c r="P23462" s="235"/>
      <c r="AI23462" s="38"/>
    </row>
    <row r="23463" ht="15.75" customHeight="1">
      <c r="A23463" s="35"/>
      <c r="C23463" s="442"/>
      <c r="P23463" s="235"/>
      <c r="AI23463" s="38"/>
    </row>
    <row r="23464" ht="15.75" customHeight="1">
      <c r="A23464" s="35"/>
      <c r="C23464" s="442"/>
      <c r="P23464" s="235"/>
      <c r="AI23464" s="38"/>
    </row>
    <row r="23465" ht="15.75" customHeight="1">
      <c r="A23465" s="35"/>
      <c r="C23465" s="442"/>
      <c r="P23465" s="235"/>
      <c r="AI23465" s="38"/>
    </row>
    <row r="23466" ht="15.75" customHeight="1">
      <c r="A23466" s="35"/>
      <c r="C23466" s="442"/>
      <c r="P23466" s="235"/>
      <c r="AI23466" s="38"/>
    </row>
    <row r="23467" ht="15.75" customHeight="1">
      <c r="A23467" s="35"/>
      <c r="C23467" s="442"/>
      <c r="P23467" s="235"/>
      <c r="AI23467" s="38"/>
    </row>
    <row r="23468" ht="15.75" customHeight="1">
      <c r="A23468" s="35"/>
      <c r="C23468" s="442"/>
      <c r="P23468" s="235"/>
      <c r="AI23468" s="38"/>
    </row>
    <row r="23469" ht="15.75" customHeight="1">
      <c r="A23469" s="35"/>
      <c r="C23469" s="442"/>
      <c r="P23469" s="235"/>
      <c r="AI23469" s="38"/>
    </row>
    <row r="23470" ht="15.75" customHeight="1">
      <c r="A23470" s="35"/>
      <c r="C23470" s="442"/>
      <c r="P23470" s="235"/>
      <c r="AI23470" s="38"/>
    </row>
    <row r="23471" ht="15.75" customHeight="1">
      <c r="A23471" s="35"/>
      <c r="C23471" s="442"/>
      <c r="P23471" s="235"/>
      <c r="AI23471" s="38"/>
    </row>
    <row r="23472" ht="15.75" customHeight="1">
      <c r="A23472" s="35"/>
      <c r="C23472" s="442"/>
      <c r="P23472" s="235"/>
      <c r="AI23472" s="38"/>
    </row>
    <row r="23473" ht="15.75" customHeight="1">
      <c r="A23473" s="35"/>
      <c r="C23473" s="442"/>
      <c r="P23473" s="235"/>
      <c r="AI23473" s="38"/>
    </row>
    <row r="23474" ht="15.75" customHeight="1">
      <c r="A23474" s="35"/>
      <c r="C23474" s="442"/>
      <c r="P23474" s="235"/>
      <c r="AI23474" s="38"/>
    </row>
    <row r="23475" ht="15.75" customHeight="1">
      <c r="A23475" s="35"/>
      <c r="C23475" s="442"/>
      <c r="P23475" s="235"/>
      <c r="AI23475" s="38"/>
    </row>
    <row r="23476" ht="15.75" customHeight="1">
      <c r="A23476" s="35"/>
      <c r="C23476" s="442"/>
      <c r="P23476" s="235"/>
      <c r="AI23476" s="38"/>
    </row>
    <row r="23477" ht="15.75" customHeight="1">
      <c r="A23477" s="35"/>
      <c r="C23477" s="442"/>
      <c r="P23477" s="235"/>
      <c r="AI23477" s="38"/>
    </row>
    <row r="23478" ht="15.75" customHeight="1">
      <c r="A23478" s="35"/>
      <c r="C23478" s="442"/>
      <c r="P23478" s="235"/>
      <c r="AI23478" s="38"/>
    </row>
    <row r="23479" ht="15.75" customHeight="1">
      <c r="A23479" s="35"/>
      <c r="C23479" s="442"/>
      <c r="P23479" s="235"/>
      <c r="AI23479" s="38"/>
    </row>
    <row r="23480" ht="15.75" customHeight="1">
      <c r="A23480" s="35"/>
      <c r="C23480" s="442"/>
      <c r="P23480" s="235"/>
      <c r="AI23480" s="38"/>
    </row>
    <row r="23481" ht="15.75" customHeight="1">
      <c r="A23481" s="35"/>
      <c r="C23481" s="442"/>
      <c r="P23481" s="235"/>
      <c r="AI23481" s="38"/>
    </row>
    <row r="23482" ht="15.75" customHeight="1">
      <c r="A23482" s="35"/>
      <c r="C23482" s="442"/>
      <c r="P23482" s="235"/>
      <c r="AI23482" s="38"/>
    </row>
    <row r="23483" ht="15.75" customHeight="1">
      <c r="A23483" s="35"/>
      <c r="C23483" s="442"/>
      <c r="P23483" s="235"/>
      <c r="AI23483" s="38"/>
    </row>
    <row r="23484" ht="15.75" customHeight="1">
      <c r="A23484" s="35"/>
      <c r="C23484" s="442"/>
      <c r="P23484" s="235"/>
      <c r="AI23484" s="38"/>
    </row>
    <row r="23485" ht="15.75" customHeight="1">
      <c r="A23485" s="35"/>
      <c r="C23485" s="442"/>
      <c r="P23485" s="235"/>
      <c r="AI23485" s="38"/>
    </row>
    <row r="23486" ht="15.75" customHeight="1">
      <c r="A23486" s="35"/>
      <c r="C23486" s="442"/>
      <c r="P23486" s="235"/>
      <c r="AI23486" s="38"/>
    </row>
    <row r="23487" ht="15.75" customHeight="1">
      <c r="A23487" s="35"/>
      <c r="C23487" s="442"/>
      <c r="P23487" s="235"/>
      <c r="AI23487" s="38"/>
    </row>
    <row r="23488" ht="15.75" customHeight="1">
      <c r="A23488" s="35"/>
      <c r="C23488" s="442"/>
      <c r="P23488" s="235"/>
      <c r="AI23488" s="38"/>
    </row>
    <row r="23489" ht="15.75" customHeight="1">
      <c r="A23489" s="35"/>
      <c r="C23489" s="442"/>
      <c r="P23489" s="235"/>
      <c r="AI23489" s="38"/>
    </row>
    <row r="23490" ht="15.75" customHeight="1">
      <c r="A23490" s="35"/>
      <c r="C23490" s="442"/>
      <c r="P23490" s="235"/>
      <c r="AI23490" s="38"/>
    </row>
    <row r="23491" ht="15.75" customHeight="1">
      <c r="A23491" s="35"/>
      <c r="C23491" s="442"/>
      <c r="P23491" s="235"/>
      <c r="AI23491" s="38"/>
    </row>
    <row r="23492" ht="15.75" customHeight="1">
      <c r="A23492" s="35"/>
      <c r="C23492" s="442"/>
      <c r="P23492" s="235"/>
      <c r="AI23492" s="38"/>
    </row>
    <row r="23493" ht="15.75" customHeight="1">
      <c r="A23493" s="35"/>
      <c r="C23493" s="442"/>
      <c r="P23493" s="235"/>
      <c r="AI23493" s="38"/>
    </row>
    <row r="23494" ht="15.75" customHeight="1">
      <c r="A23494" s="35"/>
      <c r="C23494" s="442"/>
      <c r="P23494" s="235"/>
      <c r="AI23494" s="38"/>
    </row>
    <row r="23495" ht="15.75" customHeight="1">
      <c r="A23495" s="35"/>
      <c r="C23495" s="442"/>
      <c r="P23495" s="235"/>
      <c r="AI23495" s="38"/>
    </row>
    <row r="23496" ht="15.75" customHeight="1">
      <c r="A23496" s="35"/>
      <c r="C23496" s="442"/>
      <c r="P23496" s="235"/>
      <c r="AI23496" s="38"/>
    </row>
    <row r="23497" ht="15.75" customHeight="1">
      <c r="A23497" s="35"/>
      <c r="C23497" s="442"/>
      <c r="P23497" s="235"/>
      <c r="AI23497" s="38"/>
    </row>
    <row r="23498" ht="15.75" customHeight="1">
      <c r="A23498" s="35"/>
      <c r="C23498" s="442"/>
      <c r="P23498" s="235"/>
      <c r="AI23498" s="38"/>
    </row>
    <row r="23499" ht="15.75" customHeight="1">
      <c r="A23499" s="35"/>
      <c r="C23499" s="442"/>
      <c r="P23499" s="235"/>
      <c r="AI23499" s="38"/>
    </row>
    <row r="23500" ht="15.75" customHeight="1">
      <c r="A23500" s="35"/>
      <c r="C23500" s="442"/>
      <c r="P23500" s="235"/>
      <c r="AI23500" s="38"/>
    </row>
    <row r="23501" ht="15.75" customHeight="1">
      <c r="A23501" s="35"/>
      <c r="C23501" s="442"/>
      <c r="P23501" s="235"/>
      <c r="AI23501" s="38"/>
    </row>
    <row r="23502" ht="15.75" customHeight="1">
      <c r="A23502" s="35"/>
      <c r="C23502" s="442"/>
      <c r="P23502" s="235"/>
      <c r="AI23502" s="38"/>
    </row>
    <row r="23503" ht="15.75" customHeight="1">
      <c r="A23503" s="35"/>
      <c r="C23503" s="442"/>
      <c r="P23503" s="235"/>
      <c r="AI23503" s="38"/>
    </row>
    <row r="23504" ht="15.75" customHeight="1">
      <c r="A23504" s="35"/>
      <c r="C23504" s="442"/>
      <c r="P23504" s="235"/>
      <c r="AI23504" s="38"/>
    </row>
    <row r="23505" ht="15.75" customHeight="1">
      <c r="A23505" s="35"/>
      <c r="C23505" s="442"/>
      <c r="P23505" s="235"/>
      <c r="AI23505" s="38"/>
    </row>
    <row r="23506" ht="15.75" customHeight="1">
      <c r="A23506" s="35"/>
      <c r="C23506" s="442"/>
      <c r="P23506" s="235"/>
      <c r="AI23506" s="38"/>
    </row>
    <row r="23507" ht="15.75" customHeight="1">
      <c r="A23507" s="35"/>
      <c r="C23507" s="442"/>
      <c r="P23507" s="235"/>
      <c r="AI23507" s="38"/>
    </row>
    <row r="23508" ht="15.75" customHeight="1">
      <c r="A23508" s="35"/>
      <c r="C23508" s="442"/>
      <c r="P23508" s="235"/>
      <c r="AI23508" s="38"/>
    </row>
    <row r="23509" ht="15.75" customHeight="1">
      <c r="A23509" s="35"/>
      <c r="C23509" s="442"/>
      <c r="P23509" s="235"/>
      <c r="AI23509" s="38"/>
    </row>
    <row r="23510" ht="15.75" customHeight="1">
      <c r="A23510" s="35"/>
      <c r="C23510" s="442"/>
      <c r="P23510" s="235"/>
      <c r="AI23510" s="38"/>
    </row>
    <row r="23511" ht="15.75" customHeight="1">
      <c r="A23511" s="35"/>
      <c r="C23511" s="442"/>
      <c r="P23511" s="235"/>
      <c r="AI23511" s="38"/>
    </row>
    <row r="23512" ht="15.75" customHeight="1">
      <c r="A23512" s="35"/>
      <c r="C23512" s="442"/>
      <c r="P23512" s="235"/>
      <c r="AI23512" s="38"/>
    </row>
    <row r="23513" ht="15.75" customHeight="1">
      <c r="A23513" s="35"/>
      <c r="C23513" s="442"/>
      <c r="P23513" s="235"/>
      <c r="AI23513" s="38"/>
    </row>
    <row r="23514" ht="15.75" customHeight="1">
      <c r="A23514" s="35"/>
      <c r="C23514" s="442"/>
      <c r="P23514" s="235"/>
      <c r="AI23514" s="38"/>
    </row>
    <row r="23515" ht="15.75" customHeight="1">
      <c r="A23515" s="35"/>
      <c r="C23515" s="442"/>
      <c r="P23515" s="235"/>
      <c r="AI23515" s="38"/>
    </row>
    <row r="23516" ht="15.75" customHeight="1">
      <c r="A23516" s="35"/>
      <c r="C23516" s="442"/>
      <c r="P23516" s="235"/>
      <c r="AI23516" s="38"/>
    </row>
    <row r="23517" ht="15.75" customHeight="1">
      <c r="A23517" s="35"/>
      <c r="C23517" s="442"/>
      <c r="P23517" s="235"/>
      <c r="AI23517" s="38"/>
    </row>
    <row r="23518" ht="15.75" customHeight="1">
      <c r="A23518" s="35"/>
      <c r="C23518" s="442"/>
      <c r="P23518" s="235"/>
      <c r="AI23518" s="38"/>
    </row>
    <row r="23519" ht="15.75" customHeight="1">
      <c r="A23519" s="35"/>
      <c r="C23519" s="442"/>
      <c r="P23519" s="235"/>
      <c r="AI23519" s="38"/>
    </row>
    <row r="23520" ht="15.75" customHeight="1">
      <c r="A23520" s="35"/>
      <c r="C23520" s="442"/>
      <c r="P23520" s="235"/>
      <c r="AI23520" s="38"/>
    </row>
    <row r="23521" ht="15.75" customHeight="1">
      <c r="A23521" s="35"/>
      <c r="C23521" s="442"/>
      <c r="P23521" s="235"/>
      <c r="AI23521" s="38"/>
    </row>
    <row r="23522" ht="15.75" customHeight="1">
      <c r="A23522" s="35"/>
      <c r="C23522" s="442"/>
      <c r="P23522" s="235"/>
      <c r="AI23522" s="38"/>
    </row>
    <row r="23523" ht="15.75" customHeight="1">
      <c r="A23523" s="35"/>
      <c r="C23523" s="442"/>
      <c r="P23523" s="235"/>
      <c r="AI23523" s="38"/>
    </row>
    <row r="23524" ht="15.75" customHeight="1">
      <c r="A23524" s="35"/>
      <c r="C23524" s="442"/>
      <c r="P23524" s="235"/>
      <c r="AI23524" s="38"/>
    </row>
    <row r="23525" ht="15.75" customHeight="1">
      <c r="A23525" s="35"/>
      <c r="C23525" s="442"/>
      <c r="P23525" s="235"/>
      <c r="AI23525" s="38"/>
    </row>
    <row r="23526" ht="15.75" customHeight="1">
      <c r="A23526" s="35"/>
      <c r="C23526" s="442"/>
      <c r="P23526" s="235"/>
      <c r="AI23526" s="38"/>
    </row>
    <row r="23527" ht="15.75" customHeight="1">
      <c r="A23527" s="35"/>
      <c r="C23527" s="442"/>
      <c r="P23527" s="235"/>
      <c r="AI23527" s="38"/>
    </row>
    <row r="23528" ht="15.75" customHeight="1">
      <c r="A23528" s="35"/>
      <c r="C23528" s="442"/>
      <c r="P23528" s="235"/>
      <c r="AI23528" s="38"/>
    </row>
    <row r="23529" ht="15.75" customHeight="1">
      <c r="A23529" s="35"/>
      <c r="C23529" s="442"/>
      <c r="P23529" s="235"/>
      <c r="AI23529" s="38"/>
    </row>
    <row r="23530" ht="15.75" customHeight="1">
      <c r="A23530" s="35"/>
      <c r="C23530" s="442"/>
      <c r="P23530" s="235"/>
      <c r="AI23530" s="38"/>
    </row>
    <row r="23531" ht="15.75" customHeight="1">
      <c r="A23531" s="35"/>
      <c r="C23531" s="442"/>
      <c r="P23531" s="235"/>
      <c r="AI23531" s="38"/>
    </row>
    <row r="23532" ht="15.75" customHeight="1">
      <c r="A23532" s="35"/>
      <c r="C23532" s="442"/>
      <c r="P23532" s="235"/>
      <c r="AI23532" s="38"/>
    </row>
    <row r="23533" ht="15.75" customHeight="1">
      <c r="A23533" s="35"/>
      <c r="C23533" s="442"/>
      <c r="P23533" s="235"/>
      <c r="AI23533" s="38"/>
    </row>
    <row r="23534" ht="15.75" customHeight="1">
      <c r="A23534" s="35"/>
      <c r="C23534" s="442"/>
      <c r="P23534" s="235"/>
      <c r="AI23534" s="38"/>
    </row>
    <row r="23535" ht="15.75" customHeight="1">
      <c r="A23535" s="35"/>
      <c r="C23535" s="442"/>
      <c r="P23535" s="235"/>
      <c r="AI23535" s="38"/>
    </row>
    <row r="23536" ht="15.75" customHeight="1">
      <c r="A23536" s="35"/>
      <c r="C23536" s="442"/>
      <c r="P23536" s="235"/>
      <c r="AI23536" s="38"/>
    </row>
    <row r="23537" ht="15.75" customHeight="1">
      <c r="A23537" s="35"/>
      <c r="C23537" s="442"/>
      <c r="P23537" s="235"/>
      <c r="AI23537" s="38"/>
    </row>
    <row r="23538" ht="15.75" customHeight="1">
      <c r="A23538" s="35"/>
      <c r="C23538" s="442"/>
      <c r="P23538" s="235"/>
      <c r="AI23538" s="38"/>
    </row>
    <row r="23539" ht="15.75" customHeight="1">
      <c r="A23539" s="35"/>
      <c r="C23539" s="442"/>
      <c r="P23539" s="235"/>
      <c r="AI23539" s="38"/>
    </row>
    <row r="23540" ht="15.75" customHeight="1">
      <c r="A23540" s="35"/>
      <c r="C23540" s="442"/>
      <c r="P23540" s="235"/>
      <c r="AI23540" s="38"/>
    </row>
    <row r="23541" ht="15.75" customHeight="1">
      <c r="A23541" s="35"/>
      <c r="C23541" s="442"/>
      <c r="P23541" s="235"/>
      <c r="AI23541" s="38"/>
    </row>
    <row r="23542" ht="15.75" customHeight="1">
      <c r="A23542" s="35"/>
      <c r="C23542" s="442"/>
      <c r="P23542" s="235"/>
      <c r="AI23542" s="38"/>
    </row>
    <row r="23543" ht="15.75" customHeight="1">
      <c r="A23543" s="35"/>
      <c r="C23543" s="442"/>
      <c r="P23543" s="235"/>
      <c r="AI23543" s="38"/>
    </row>
    <row r="23544" ht="15.75" customHeight="1">
      <c r="A23544" s="35"/>
      <c r="C23544" s="442"/>
      <c r="P23544" s="235"/>
      <c r="AI23544" s="38"/>
    </row>
    <row r="23545" ht="15.75" customHeight="1">
      <c r="A23545" s="35"/>
      <c r="C23545" s="442"/>
      <c r="P23545" s="235"/>
      <c r="AI23545" s="38"/>
    </row>
    <row r="23546" ht="15.75" customHeight="1">
      <c r="A23546" s="35"/>
      <c r="C23546" s="442"/>
      <c r="P23546" s="235"/>
      <c r="AI23546" s="38"/>
    </row>
    <row r="23547" ht="15.75" customHeight="1">
      <c r="A23547" s="35"/>
      <c r="C23547" s="442"/>
      <c r="P23547" s="235"/>
      <c r="AI23547" s="38"/>
    </row>
    <row r="23548" ht="15.75" customHeight="1">
      <c r="A23548" s="35"/>
      <c r="C23548" s="442"/>
      <c r="P23548" s="235"/>
      <c r="AI23548" s="38"/>
    </row>
    <row r="23549" ht="15.75" customHeight="1">
      <c r="A23549" s="35"/>
      <c r="C23549" s="442"/>
      <c r="P23549" s="235"/>
      <c r="AI23549" s="38"/>
    </row>
    <row r="23550" ht="15.75" customHeight="1">
      <c r="A23550" s="35"/>
      <c r="C23550" s="442"/>
      <c r="P23550" s="235"/>
      <c r="AI23550" s="38"/>
    </row>
    <row r="23551" ht="15.75" customHeight="1">
      <c r="A23551" s="35"/>
      <c r="C23551" s="442"/>
      <c r="P23551" s="235"/>
      <c r="AI23551" s="38"/>
    </row>
    <row r="23552" ht="15.75" customHeight="1">
      <c r="A23552" s="35"/>
      <c r="C23552" s="442"/>
      <c r="P23552" s="235"/>
      <c r="AI23552" s="38"/>
    </row>
    <row r="23553" ht="15.75" customHeight="1">
      <c r="A23553" s="35"/>
      <c r="C23553" s="442"/>
      <c r="P23553" s="235"/>
      <c r="AI23553" s="38"/>
    </row>
    <row r="23554" ht="15.75" customHeight="1">
      <c r="A23554" s="35"/>
      <c r="C23554" s="442"/>
      <c r="P23554" s="235"/>
      <c r="AI23554" s="38"/>
    </row>
    <row r="23555" ht="15.75" customHeight="1">
      <c r="A23555" s="35"/>
      <c r="C23555" s="442"/>
      <c r="P23555" s="235"/>
      <c r="AI23555" s="38"/>
    </row>
    <row r="23556" ht="15.75" customHeight="1">
      <c r="A23556" s="35"/>
      <c r="C23556" s="442"/>
      <c r="P23556" s="235"/>
      <c r="AI23556" s="38"/>
    </row>
    <row r="23557" ht="15.75" customHeight="1">
      <c r="A23557" s="35"/>
      <c r="C23557" s="442"/>
      <c r="P23557" s="235"/>
      <c r="AI23557" s="38"/>
    </row>
    <row r="23558" ht="15.75" customHeight="1">
      <c r="A23558" s="35"/>
      <c r="C23558" s="442"/>
      <c r="P23558" s="235"/>
      <c r="AI23558" s="38"/>
    </row>
    <row r="23559" ht="15.75" customHeight="1">
      <c r="A23559" s="35"/>
      <c r="C23559" s="442"/>
      <c r="P23559" s="235"/>
      <c r="AI23559" s="38"/>
    </row>
    <row r="23560" ht="15.75" customHeight="1">
      <c r="A23560" s="35"/>
      <c r="C23560" s="442"/>
      <c r="P23560" s="235"/>
      <c r="AI23560" s="38"/>
    </row>
    <row r="23561" ht="15.75" customHeight="1">
      <c r="A23561" s="35"/>
      <c r="C23561" s="442"/>
      <c r="P23561" s="235"/>
      <c r="AI23561" s="38"/>
    </row>
    <row r="23562" ht="15.75" customHeight="1">
      <c r="A23562" s="35"/>
      <c r="C23562" s="442"/>
      <c r="P23562" s="235"/>
      <c r="AI23562" s="38"/>
    </row>
    <row r="23563" ht="15.75" customHeight="1">
      <c r="A23563" s="35"/>
      <c r="C23563" s="442"/>
      <c r="P23563" s="235"/>
      <c r="AI23563" s="38"/>
    </row>
    <row r="23564" ht="15.75" customHeight="1">
      <c r="A23564" s="35"/>
      <c r="C23564" s="442"/>
      <c r="P23564" s="235"/>
      <c r="AI23564" s="38"/>
    </row>
    <row r="23565" ht="15.75" customHeight="1">
      <c r="A23565" s="35"/>
      <c r="C23565" s="442"/>
      <c r="P23565" s="235"/>
      <c r="AI23565" s="38"/>
    </row>
    <row r="23566" ht="15.75" customHeight="1">
      <c r="A23566" s="35"/>
      <c r="C23566" s="442"/>
      <c r="P23566" s="235"/>
      <c r="AI23566" s="38"/>
    </row>
    <row r="23567" ht="15.75" customHeight="1">
      <c r="A23567" s="35"/>
      <c r="C23567" s="442"/>
      <c r="P23567" s="235"/>
      <c r="AI23567" s="38"/>
    </row>
    <row r="23568" ht="15.75" customHeight="1">
      <c r="A23568" s="35"/>
      <c r="C23568" s="442"/>
      <c r="P23568" s="235"/>
      <c r="AI23568" s="38"/>
    </row>
    <row r="23569" ht="15.75" customHeight="1">
      <c r="A23569" s="35"/>
      <c r="C23569" s="442"/>
      <c r="P23569" s="235"/>
      <c r="AI23569" s="38"/>
    </row>
    <row r="23570" ht="15.75" customHeight="1">
      <c r="A23570" s="35"/>
      <c r="C23570" s="442"/>
      <c r="P23570" s="235"/>
      <c r="AI23570" s="38"/>
    </row>
    <row r="23571" ht="15.75" customHeight="1">
      <c r="A23571" s="35"/>
      <c r="C23571" s="442"/>
      <c r="P23571" s="235"/>
      <c r="AI23571" s="38"/>
    </row>
    <row r="23572" ht="15.75" customHeight="1">
      <c r="A23572" s="35"/>
      <c r="C23572" s="442"/>
      <c r="P23572" s="235"/>
      <c r="AI23572" s="38"/>
    </row>
    <row r="23573" ht="15.75" customHeight="1">
      <c r="A23573" s="35"/>
      <c r="C23573" s="442"/>
      <c r="P23573" s="235"/>
      <c r="AI23573" s="38"/>
    </row>
    <row r="23574" ht="15.75" customHeight="1">
      <c r="A23574" s="35"/>
      <c r="C23574" s="442"/>
      <c r="P23574" s="235"/>
      <c r="AI23574" s="38"/>
    </row>
    <row r="23575" ht="15.75" customHeight="1">
      <c r="A23575" s="35"/>
      <c r="C23575" s="442"/>
      <c r="P23575" s="235"/>
      <c r="AI23575" s="38"/>
    </row>
    <row r="23576" ht="15.75" customHeight="1">
      <c r="A23576" s="35"/>
      <c r="C23576" s="442"/>
      <c r="P23576" s="235"/>
      <c r="AI23576" s="38"/>
    </row>
    <row r="23577" ht="15.75" customHeight="1">
      <c r="A23577" s="35"/>
      <c r="C23577" s="442"/>
      <c r="P23577" s="235"/>
      <c r="AI23577" s="38"/>
    </row>
    <row r="23578" ht="15.75" customHeight="1">
      <c r="A23578" s="35"/>
      <c r="C23578" s="442"/>
      <c r="P23578" s="235"/>
      <c r="AI23578" s="38"/>
    </row>
    <row r="23579" ht="15.75" customHeight="1">
      <c r="A23579" s="35"/>
      <c r="C23579" s="442"/>
      <c r="P23579" s="235"/>
      <c r="AI23579" s="38"/>
    </row>
    <row r="23580" ht="15.75" customHeight="1">
      <c r="A23580" s="35"/>
      <c r="C23580" s="442"/>
      <c r="P23580" s="235"/>
      <c r="AI23580" s="38"/>
    </row>
    <row r="23581" ht="15.75" customHeight="1">
      <c r="A23581" s="35"/>
      <c r="C23581" s="442"/>
      <c r="P23581" s="235"/>
      <c r="AI23581" s="38"/>
    </row>
    <row r="23582" ht="15.75" customHeight="1">
      <c r="A23582" s="35"/>
      <c r="C23582" s="442"/>
      <c r="P23582" s="235"/>
      <c r="AI23582" s="38"/>
    </row>
    <row r="23583" ht="15.75" customHeight="1">
      <c r="A23583" s="35"/>
      <c r="C23583" s="442"/>
      <c r="P23583" s="235"/>
      <c r="AI23583" s="38"/>
    </row>
    <row r="23584" ht="15.75" customHeight="1">
      <c r="A23584" s="35"/>
      <c r="C23584" s="442"/>
      <c r="P23584" s="235"/>
      <c r="AI23584" s="38"/>
    </row>
    <row r="23585" ht="15.75" customHeight="1">
      <c r="A23585" s="35"/>
      <c r="C23585" s="442"/>
      <c r="P23585" s="235"/>
      <c r="AI23585" s="38"/>
    </row>
    <row r="23586" ht="15.75" customHeight="1">
      <c r="A23586" s="35"/>
      <c r="C23586" s="442"/>
      <c r="P23586" s="235"/>
      <c r="AI23586" s="38"/>
    </row>
    <row r="23587" ht="15.75" customHeight="1">
      <c r="A23587" s="35"/>
      <c r="C23587" s="442"/>
      <c r="P23587" s="235"/>
      <c r="AI23587" s="38"/>
    </row>
    <row r="23588" ht="15.75" customHeight="1">
      <c r="A23588" s="35"/>
      <c r="C23588" s="442"/>
      <c r="P23588" s="235"/>
      <c r="AI23588" s="38"/>
    </row>
    <row r="23589" ht="15.75" customHeight="1">
      <c r="A23589" s="35"/>
      <c r="C23589" s="442"/>
      <c r="P23589" s="235"/>
      <c r="AI23589" s="38"/>
    </row>
    <row r="23590" ht="15.75" customHeight="1">
      <c r="A23590" s="35"/>
      <c r="C23590" s="442"/>
      <c r="P23590" s="235"/>
      <c r="AI23590" s="38"/>
    </row>
    <row r="23591" ht="15.75" customHeight="1">
      <c r="A23591" s="35"/>
      <c r="C23591" s="442"/>
      <c r="P23591" s="235"/>
      <c r="AI23591" s="38"/>
    </row>
    <row r="23592" ht="15.75" customHeight="1">
      <c r="A23592" s="35"/>
      <c r="C23592" s="442"/>
      <c r="P23592" s="235"/>
      <c r="AI23592" s="38"/>
    </row>
    <row r="23593" ht="15.75" customHeight="1">
      <c r="A23593" s="35"/>
      <c r="C23593" s="442"/>
      <c r="P23593" s="235"/>
      <c r="AI23593" s="38"/>
    </row>
    <row r="23594" ht="15.75" customHeight="1">
      <c r="A23594" s="35"/>
      <c r="C23594" s="442"/>
      <c r="P23594" s="235"/>
      <c r="AI23594" s="38"/>
    </row>
    <row r="23595" ht="15.75" customHeight="1">
      <c r="A23595" s="35"/>
      <c r="C23595" s="442"/>
      <c r="P23595" s="235"/>
      <c r="AI23595" s="38"/>
    </row>
    <row r="23596" ht="15.75" customHeight="1">
      <c r="A23596" s="35"/>
      <c r="C23596" s="442"/>
      <c r="P23596" s="235"/>
      <c r="AI23596" s="38"/>
    </row>
    <row r="23597" ht="15.75" customHeight="1">
      <c r="A23597" s="35"/>
      <c r="C23597" s="442"/>
      <c r="P23597" s="235"/>
      <c r="AI23597" s="38"/>
    </row>
    <row r="23598" ht="15.75" customHeight="1">
      <c r="A23598" s="35"/>
      <c r="C23598" s="442"/>
      <c r="P23598" s="235"/>
      <c r="AI23598" s="38"/>
    </row>
    <row r="23599" ht="15.75" customHeight="1">
      <c r="A23599" s="35"/>
      <c r="C23599" s="442"/>
      <c r="P23599" s="235"/>
      <c r="AI23599" s="38"/>
    </row>
    <row r="23600" ht="15.75" customHeight="1">
      <c r="A23600" s="35"/>
      <c r="C23600" s="442"/>
      <c r="P23600" s="235"/>
      <c r="AI23600" s="38"/>
    </row>
    <row r="23601" ht="15.75" customHeight="1">
      <c r="A23601" s="35"/>
      <c r="C23601" s="442"/>
      <c r="P23601" s="235"/>
      <c r="AI23601" s="38"/>
    </row>
    <row r="23602" ht="15.75" customHeight="1">
      <c r="A23602" s="35"/>
      <c r="C23602" s="442"/>
      <c r="P23602" s="235"/>
      <c r="AI23602" s="38"/>
    </row>
    <row r="23603" ht="15.75" customHeight="1">
      <c r="A23603" s="35"/>
      <c r="C23603" s="442"/>
      <c r="P23603" s="235"/>
      <c r="AI23603" s="38"/>
    </row>
    <row r="23604" ht="15.75" customHeight="1">
      <c r="A23604" s="35"/>
      <c r="C23604" s="442"/>
      <c r="P23604" s="235"/>
      <c r="AI23604" s="38"/>
    </row>
    <row r="23605" ht="15.75" customHeight="1">
      <c r="A23605" s="35"/>
      <c r="C23605" s="442"/>
      <c r="P23605" s="235"/>
      <c r="AI23605" s="38"/>
    </row>
    <row r="23606" ht="15.75" customHeight="1">
      <c r="A23606" s="35"/>
      <c r="C23606" s="442"/>
      <c r="P23606" s="235"/>
      <c r="AI23606" s="38"/>
    </row>
    <row r="23607" ht="15.75" customHeight="1">
      <c r="A23607" s="35"/>
      <c r="C23607" s="442"/>
      <c r="P23607" s="235"/>
      <c r="AI23607" s="38"/>
    </row>
    <row r="23608" ht="15.75" customHeight="1">
      <c r="A23608" s="35"/>
      <c r="C23608" s="442"/>
      <c r="P23608" s="235"/>
      <c r="AI23608" s="38"/>
    </row>
    <row r="23609" ht="15.75" customHeight="1">
      <c r="A23609" s="35"/>
      <c r="C23609" s="442"/>
      <c r="P23609" s="235"/>
      <c r="AI23609" s="38"/>
    </row>
    <row r="23610" ht="15.75" customHeight="1">
      <c r="A23610" s="35"/>
      <c r="C23610" s="442"/>
      <c r="P23610" s="235"/>
      <c r="AI23610" s="38"/>
    </row>
    <row r="23611" ht="15.75" customHeight="1">
      <c r="A23611" s="35"/>
      <c r="C23611" s="442"/>
      <c r="P23611" s="235"/>
      <c r="AI23611" s="38"/>
    </row>
    <row r="23612" ht="15.75" customHeight="1">
      <c r="A23612" s="35"/>
      <c r="C23612" s="442"/>
      <c r="P23612" s="235"/>
      <c r="AI23612" s="38"/>
    </row>
    <row r="23613" ht="15.75" customHeight="1">
      <c r="A23613" s="35"/>
      <c r="C23613" s="442"/>
      <c r="P23613" s="235"/>
      <c r="AI23613" s="38"/>
    </row>
    <row r="23614" ht="15.75" customHeight="1">
      <c r="A23614" s="35"/>
      <c r="C23614" s="442"/>
      <c r="P23614" s="235"/>
      <c r="AI23614" s="38"/>
    </row>
    <row r="23615" ht="15.75" customHeight="1">
      <c r="A23615" s="35"/>
      <c r="C23615" s="442"/>
      <c r="P23615" s="235"/>
      <c r="AI23615" s="38"/>
    </row>
    <row r="23616" ht="15.75" customHeight="1">
      <c r="A23616" s="35"/>
      <c r="C23616" s="442"/>
      <c r="P23616" s="235"/>
      <c r="AI23616" s="38"/>
    </row>
    <row r="23617" ht="15.75" customHeight="1">
      <c r="A23617" s="35"/>
      <c r="C23617" s="442"/>
      <c r="P23617" s="235"/>
      <c r="AI23617" s="38"/>
    </row>
    <row r="23618" ht="15.75" customHeight="1">
      <c r="A23618" s="35"/>
      <c r="C23618" s="442"/>
      <c r="P23618" s="235"/>
      <c r="AI23618" s="38"/>
    </row>
    <row r="23619" ht="15.75" customHeight="1">
      <c r="A23619" s="35"/>
      <c r="C23619" s="442"/>
      <c r="P23619" s="235"/>
      <c r="AI23619" s="38"/>
    </row>
    <row r="23620" ht="15.75" customHeight="1">
      <c r="A23620" s="35"/>
      <c r="C23620" s="442"/>
      <c r="P23620" s="235"/>
      <c r="AI23620" s="38"/>
    </row>
    <row r="23621" ht="15.75" customHeight="1">
      <c r="A23621" s="35"/>
      <c r="C23621" s="442"/>
      <c r="P23621" s="235"/>
      <c r="AI23621" s="38"/>
    </row>
    <row r="23622" ht="15.75" customHeight="1">
      <c r="A23622" s="35"/>
      <c r="C23622" s="442"/>
      <c r="P23622" s="235"/>
      <c r="AI23622" s="38"/>
    </row>
    <row r="23623" ht="15.75" customHeight="1">
      <c r="A23623" s="35"/>
      <c r="C23623" s="442"/>
      <c r="P23623" s="235"/>
      <c r="AI23623" s="38"/>
    </row>
    <row r="23624" ht="15.75" customHeight="1">
      <c r="A23624" s="35"/>
      <c r="C23624" s="442"/>
      <c r="P23624" s="235"/>
      <c r="AI23624" s="38"/>
    </row>
    <row r="23625" ht="15.75" customHeight="1">
      <c r="A23625" s="35"/>
      <c r="C23625" s="442"/>
      <c r="P23625" s="235"/>
      <c r="AI23625" s="38"/>
    </row>
    <row r="23626" ht="15.75" customHeight="1">
      <c r="A23626" s="35"/>
      <c r="C23626" s="442"/>
      <c r="P23626" s="235"/>
      <c r="AI23626" s="38"/>
    </row>
    <row r="23627" ht="15.75" customHeight="1">
      <c r="A23627" s="35"/>
      <c r="C23627" s="442"/>
      <c r="P23627" s="235"/>
      <c r="AI23627" s="38"/>
    </row>
    <row r="23628" ht="15.75" customHeight="1">
      <c r="A23628" s="35"/>
      <c r="C23628" s="442"/>
      <c r="P23628" s="235"/>
      <c r="AI23628" s="38"/>
    </row>
    <row r="23629" ht="15.75" customHeight="1">
      <c r="A23629" s="35"/>
      <c r="C23629" s="442"/>
      <c r="P23629" s="235"/>
      <c r="AI23629" s="38"/>
    </row>
    <row r="23630" ht="15.75" customHeight="1">
      <c r="A23630" s="35"/>
      <c r="C23630" s="442"/>
      <c r="P23630" s="235"/>
      <c r="AI23630" s="38"/>
    </row>
    <row r="23631" ht="15.75" customHeight="1">
      <c r="A23631" s="35"/>
      <c r="C23631" s="442"/>
      <c r="P23631" s="235"/>
      <c r="AI23631" s="38"/>
    </row>
    <row r="23632" ht="15.75" customHeight="1">
      <c r="A23632" s="35"/>
      <c r="C23632" s="442"/>
      <c r="P23632" s="235"/>
      <c r="AI23632" s="38"/>
    </row>
    <row r="23633" ht="15.75" customHeight="1">
      <c r="A23633" s="35"/>
      <c r="C23633" s="442"/>
      <c r="P23633" s="235"/>
      <c r="AI23633" s="38"/>
    </row>
    <row r="23634" ht="15.75" customHeight="1">
      <c r="A23634" s="35"/>
      <c r="C23634" s="442"/>
      <c r="P23634" s="235"/>
      <c r="AI23634" s="38"/>
    </row>
    <row r="23635" ht="15.75" customHeight="1">
      <c r="A23635" s="35"/>
      <c r="C23635" s="442"/>
      <c r="P23635" s="235"/>
      <c r="AI23635" s="38"/>
    </row>
    <row r="23636" ht="15.75" customHeight="1">
      <c r="A23636" s="35"/>
      <c r="C23636" s="442"/>
      <c r="P23636" s="235"/>
      <c r="AI23636" s="38"/>
    </row>
    <row r="23637" ht="15.75" customHeight="1">
      <c r="A23637" s="35"/>
      <c r="C23637" s="442"/>
      <c r="P23637" s="235"/>
      <c r="AI23637" s="38"/>
    </row>
    <row r="23638" ht="15.75" customHeight="1">
      <c r="A23638" s="35"/>
      <c r="C23638" s="442"/>
      <c r="P23638" s="235"/>
      <c r="AI23638" s="38"/>
    </row>
    <row r="23639" ht="15.75" customHeight="1">
      <c r="A23639" s="35"/>
      <c r="C23639" s="442"/>
      <c r="P23639" s="235"/>
      <c r="AI23639" s="38"/>
    </row>
    <row r="23640" ht="15.75" customHeight="1">
      <c r="A23640" s="35"/>
      <c r="C23640" s="442"/>
      <c r="P23640" s="235"/>
      <c r="AI23640" s="38"/>
    </row>
    <row r="23641" ht="15.75" customHeight="1">
      <c r="A23641" s="35"/>
      <c r="C23641" s="442"/>
      <c r="P23641" s="235"/>
      <c r="AI23641" s="38"/>
    </row>
    <row r="23642" ht="15.75" customHeight="1">
      <c r="A23642" s="35"/>
      <c r="C23642" s="442"/>
      <c r="P23642" s="235"/>
      <c r="AI23642" s="38"/>
    </row>
    <row r="23643" ht="15.75" customHeight="1">
      <c r="A23643" s="35"/>
      <c r="C23643" s="442"/>
      <c r="P23643" s="235"/>
      <c r="AI23643" s="38"/>
    </row>
    <row r="23644" ht="15.75" customHeight="1">
      <c r="A23644" s="35"/>
      <c r="C23644" s="442"/>
      <c r="P23644" s="235"/>
      <c r="AI23644" s="38"/>
    </row>
    <row r="23645" ht="15.75" customHeight="1">
      <c r="A23645" s="35"/>
      <c r="C23645" s="442"/>
      <c r="P23645" s="235"/>
      <c r="AI23645" s="38"/>
    </row>
    <row r="23646" ht="15.75" customHeight="1">
      <c r="A23646" s="35"/>
      <c r="C23646" s="442"/>
      <c r="P23646" s="235"/>
      <c r="AI23646" s="38"/>
    </row>
    <row r="23647" ht="15.75" customHeight="1">
      <c r="A23647" s="35"/>
      <c r="C23647" s="442"/>
      <c r="P23647" s="235"/>
      <c r="AI23647" s="38"/>
    </row>
    <row r="23648" ht="15.75" customHeight="1">
      <c r="A23648" s="35"/>
      <c r="C23648" s="442"/>
      <c r="P23648" s="235"/>
      <c r="AI23648" s="38"/>
    </row>
    <row r="23649" ht="15.75" customHeight="1">
      <c r="A23649" s="35"/>
      <c r="C23649" s="442"/>
      <c r="P23649" s="235"/>
      <c r="AI23649" s="38"/>
    </row>
    <row r="23650" ht="15.75" customHeight="1">
      <c r="A23650" s="35"/>
      <c r="C23650" s="442"/>
      <c r="P23650" s="235"/>
      <c r="AI23650" s="38"/>
    </row>
    <row r="23651" ht="15.75" customHeight="1">
      <c r="A23651" s="35"/>
      <c r="C23651" s="442"/>
      <c r="P23651" s="235"/>
      <c r="AI23651" s="38"/>
    </row>
    <row r="23652" ht="15.75" customHeight="1">
      <c r="A23652" s="35"/>
      <c r="C23652" s="442"/>
      <c r="P23652" s="235"/>
      <c r="AI23652" s="38"/>
    </row>
    <row r="23653" ht="15.75" customHeight="1">
      <c r="A23653" s="35"/>
      <c r="C23653" s="442"/>
      <c r="P23653" s="235"/>
      <c r="AI23653" s="38"/>
    </row>
    <row r="23654" ht="15.75" customHeight="1">
      <c r="A23654" s="35"/>
      <c r="C23654" s="442"/>
      <c r="P23654" s="235"/>
      <c r="AI23654" s="38"/>
    </row>
    <row r="23655" ht="15.75" customHeight="1">
      <c r="A23655" s="35"/>
      <c r="C23655" s="442"/>
      <c r="P23655" s="235"/>
      <c r="AI23655" s="38"/>
    </row>
    <row r="23656" ht="15.75" customHeight="1">
      <c r="A23656" s="35"/>
      <c r="C23656" s="442"/>
      <c r="P23656" s="235"/>
      <c r="AI23656" s="38"/>
    </row>
    <row r="23657" ht="15.75" customHeight="1">
      <c r="A23657" s="35"/>
      <c r="C23657" s="442"/>
      <c r="P23657" s="235"/>
      <c r="AI23657" s="38"/>
    </row>
    <row r="23658" ht="15.75" customHeight="1">
      <c r="A23658" s="35"/>
      <c r="C23658" s="442"/>
      <c r="P23658" s="235"/>
      <c r="AI23658" s="38"/>
    </row>
    <row r="23659" ht="15.75" customHeight="1">
      <c r="A23659" s="35"/>
      <c r="C23659" s="442"/>
      <c r="P23659" s="235"/>
      <c r="AI23659" s="38"/>
    </row>
    <row r="23660" ht="15.75" customHeight="1">
      <c r="A23660" s="35"/>
      <c r="C23660" s="442"/>
      <c r="P23660" s="235"/>
      <c r="AI23660" s="38"/>
    </row>
    <row r="23661" ht="15.75" customHeight="1">
      <c r="A23661" s="35"/>
      <c r="C23661" s="442"/>
      <c r="P23661" s="235"/>
      <c r="AI23661" s="38"/>
    </row>
    <row r="23662" ht="15.75" customHeight="1">
      <c r="A23662" s="35"/>
      <c r="C23662" s="442"/>
      <c r="P23662" s="235"/>
      <c r="AI23662" s="38"/>
    </row>
    <row r="23663" ht="15.75" customHeight="1">
      <c r="A23663" s="35"/>
      <c r="C23663" s="442"/>
      <c r="P23663" s="235"/>
      <c r="AI23663" s="38"/>
    </row>
    <row r="23664" ht="15.75" customHeight="1">
      <c r="A23664" s="35"/>
      <c r="C23664" s="442"/>
      <c r="P23664" s="235"/>
      <c r="AI23664" s="38"/>
    </row>
    <row r="23665" ht="15.75" customHeight="1">
      <c r="A23665" s="35"/>
      <c r="C23665" s="442"/>
      <c r="P23665" s="235"/>
      <c r="AI23665" s="38"/>
    </row>
    <row r="23666" ht="15.75" customHeight="1">
      <c r="A23666" s="35"/>
      <c r="C23666" s="442"/>
      <c r="P23666" s="235"/>
      <c r="AI23666" s="38"/>
    </row>
    <row r="23667" ht="15.75" customHeight="1">
      <c r="A23667" s="35"/>
      <c r="C23667" s="442"/>
      <c r="P23667" s="235"/>
      <c r="AI23667" s="38"/>
    </row>
    <row r="23668" ht="15.75" customHeight="1">
      <c r="A23668" s="35"/>
      <c r="C23668" s="442"/>
      <c r="P23668" s="235"/>
      <c r="AI23668" s="38"/>
    </row>
    <row r="23669" ht="15.75" customHeight="1">
      <c r="A23669" s="35"/>
      <c r="C23669" s="442"/>
      <c r="P23669" s="235"/>
      <c r="AI23669" s="38"/>
    </row>
    <row r="23670" ht="15.75" customHeight="1">
      <c r="A23670" s="35"/>
      <c r="C23670" s="442"/>
      <c r="P23670" s="235"/>
      <c r="AI23670" s="38"/>
    </row>
    <row r="23671" ht="15.75" customHeight="1">
      <c r="A23671" s="35"/>
      <c r="C23671" s="442"/>
      <c r="P23671" s="235"/>
      <c r="AI23671" s="38"/>
    </row>
    <row r="23672" ht="15.75" customHeight="1">
      <c r="A23672" s="35"/>
      <c r="C23672" s="442"/>
      <c r="P23672" s="235"/>
      <c r="AI23672" s="38"/>
    </row>
    <row r="23673" ht="15.75" customHeight="1">
      <c r="A23673" s="35"/>
      <c r="C23673" s="442"/>
      <c r="P23673" s="235"/>
      <c r="AI23673" s="38"/>
    </row>
    <row r="23674" ht="15.75" customHeight="1">
      <c r="A23674" s="35"/>
      <c r="C23674" s="442"/>
      <c r="P23674" s="235"/>
      <c r="AI23674" s="38"/>
    </row>
    <row r="23675" ht="15.75" customHeight="1">
      <c r="A23675" s="35"/>
      <c r="C23675" s="442"/>
      <c r="P23675" s="235"/>
      <c r="AI23675" s="38"/>
    </row>
    <row r="23676" ht="15.75" customHeight="1">
      <c r="A23676" s="35"/>
      <c r="C23676" s="442"/>
      <c r="P23676" s="235"/>
      <c r="AI23676" s="38"/>
    </row>
    <row r="23677" ht="15.75" customHeight="1">
      <c r="A23677" s="35"/>
      <c r="C23677" s="442"/>
      <c r="P23677" s="235"/>
      <c r="AI23677" s="38"/>
    </row>
    <row r="23678" ht="15.75" customHeight="1">
      <c r="A23678" s="35"/>
      <c r="C23678" s="442"/>
      <c r="P23678" s="235"/>
      <c r="AI23678" s="38"/>
    </row>
    <row r="23679" ht="15.75" customHeight="1">
      <c r="A23679" s="35"/>
      <c r="C23679" s="442"/>
      <c r="P23679" s="235"/>
      <c r="AI23679" s="38"/>
    </row>
    <row r="23680" ht="15.75" customHeight="1">
      <c r="A23680" s="35"/>
      <c r="C23680" s="442"/>
      <c r="P23680" s="235"/>
      <c r="AI23680" s="38"/>
    </row>
    <row r="23681" ht="15.75" customHeight="1">
      <c r="A23681" s="35"/>
      <c r="C23681" s="442"/>
      <c r="P23681" s="235"/>
      <c r="AI23681" s="38"/>
    </row>
    <row r="23682" ht="15.75" customHeight="1">
      <c r="A23682" s="35"/>
      <c r="C23682" s="442"/>
      <c r="P23682" s="235"/>
      <c r="AI23682" s="38"/>
    </row>
    <row r="23683" ht="15.75" customHeight="1">
      <c r="A23683" s="35"/>
      <c r="C23683" s="442"/>
      <c r="P23683" s="235"/>
      <c r="AI23683" s="38"/>
    </row>
    <row r="23684" ht="15.75" customHeight="1">
      <c r="A23684" s="35"/>
      <c r="C23684" s="442"/>
      <c r="P23684" s="235"/>
      <c r="AI23684" s="38"/>
    </row>
    <row r="23685" ht="15.75" customHeight="1">
      <c r="A23685" s="35"/>
      <c r="C23685" s="442"/>
      <c r="P23685" s="235"/>
      <c r="AI23685" s="38"/>
    </row>
    <row r="23686" ht="15.75" customHeight="1">
      <c r="A23686" s="35"/>
      <c r="C23686" s="442"/>
      <c r="P23686" s="235"/>
      <c r="AI23686" s="38"/>
    </row>
    <row r="23687" ht="15.75" customHeight="1">
      <c r="A23687" s="35"/>
      <c r="C23687" s="442"/>
      <c r="P23687" s="235"/>
      <c r="AI23687" s="38"/>
    </row>
    <row r="23688" ht="15.75" customHeight="1">
      <c r="A23688" s="35"/>
      <c r="C23688" s="442"/>
      <c r="P23688" s="235"/>
      <c r="AI23688" s="38"/>
    </row>
    <row r="23689" ht="15.75" customHeight="1">
      <c r="A23689" s="35"/>
      <c r="C23689" s="442"/>
      <c r="P23689" s="235"/>
      <c r="AI23689" s="38"/>
    </row>
    <row r="23690" ht="15.75" customHeight="1">
      <c r="A23690" s="35"/>
      <c r="C23690" s="442"/>
      <c r="P23690" s="235"/>
      <c r="AI23690" s="38"/>
    </row>
    <row r="23691" ht="15.75" customHeight="1">
      <c r="A23691" s="35"/>
      <c r="C23691" s="442"/>
      <c r="P23691" s="235"/>
      <c r="AI23691" s="38"/>
    </row>
    <row r="23692" ht="15.75" customHeight="1">
      <c r="A23692" s="35"/>
      <c r="C23692" s="442"/>
      <c r="P23692" s="235"/>
      <c r="AI23692" s="38"/>
    </row>
    <row r="23693" ht="15.75" customHeight="1">
      <c r="A23693" s="35"/>
      <c r="C23693" s="442"/>
      <c r="P23693" s="235"/>
      <c r="AI23693" s="38"/>
    </row>
    <row r="23694" ht="15.75" customHeight="1">
      <c r="A23694" s="35"/>
      <c r="C23694" s="442"/>
      <c r="P23694" s="235"/>
      <c r="AI23694" s="38"/>
    </row>
    <row r="23695" ht="15.75" customHeight="1">
      <c r="A23695" s="35"/>
      <c r="C23695" s="442"/>
      <c r="P23695" s="235"/>
      <c r="AI23695" s="38"/>
    </row>
    <row r="23696" ht="15.75" customHeight="1">
      <c r="A23696" s="35"/>
      <c r="C23696" s="442"/>
      <c r="P23696" s="235"/>
      <c r="AI23696" s="38"/>
    </row>
    <row r="23697" ht="15.75" customHeight="1">
      <c r="A23697" s="35"/>
      <c r="C23697" s="442"/>
      <c r="P23697" s="235"/>
      <c r="AI23697" s="38"/>
    </row>
    <row r="23698" ht="15.75" customHeight="1">
      <c r="A23698" s="35"/>
      <c r="C23698" s="442"/>
      <c r="P23698" s="235"/>
      <c r="AI23698" s="38"/>
    </row>
    <row r="23699" ht="15.75" customHeight="1">
      <c r="A23699" s="35"/>
      <c r="C23699" s="442"/>
      <c r="P23699" s="235"/>
      <c r="AI23699" s="38"/>
    </row>
    <row r="23700" ht="15.75" customHeight="1">
      <c r="A23700" s="35"/>
      <c r="C23700" s="442"/>
      <c r="P23700" s="235"/>
      <c r="AI23700" s="38"/>
    </row>
    <row r="23701" ht="15.75" customHeight="1">
      <c r="A23701" s="35"/>
      <c r="C23701" s="442"/>
      <c r="P23701" s="235"/>
      <c r="AI23701" s="38"/>
    </row>
    <row r="23702" ht="15.75" customHeight="1">
      <c r="A23702" s="35"/>
      <c r="C23702" s="442"/>
      <c r="P23702" s="235"/>
      <c r="AI23702" s="38"/>
    </row>
    <row r="23703" ht="15.75" customHeight="1">
      <c r="A23703" s="35"/>
      <c r="C23703" s="442"/>
      <c r="P23703" s="235"/>
      <c r="AI23703" s="38"/>
    </row>
    <row r="23704" ht="15.75" customHeight="1">
      <c r="A23704" s="35"/>
      <c r="C23704" s="442"/>
      <c r="P23704" s="235"/>
      <c r="AI23704" s="38"/>
    </row>
    <row r="23705" ht="15.75" customHeight="1">
      <c r="A23705" s="35"/>
      <c r="C23705" s="442"/>
      <c r="P23705" s="235"/>
      <c r="AI23705" s="38"/>
    </row>
    <row r="23706" ht="15.75" customHeight="1">
      <c r="A23706" s="35"/>
      <c r="C23706" s="442"/>
      <c r="P23706" s="235"/>
      <c r="AI23706" s="38"/>
    </row>
    <row r="23707" ht="15.75" customHeight="1">
      <c r="A23707" s="35"/>
      <c r="C23707" s="442"/>
      <c r="P23707" s="235"/>
      <c r="AI23707" s="38"/>
    </row>
    <row r="23708" ht="15.75" customHeight="1">
      <c r="A23708" s="35"/>
      <c r="C23708" s="442"/>
      <c r="P23708" s="235"/>
      <c r="AI23708" s="38"/>
    </row>
    <row r="23709" ht="15.75" customHeight="1">
      <c r="A23709" s="35"/>
      <c r="C23709" s="442"/>
      <c r="P23709" s="235"/>
      <c r="AI23709" s="38"/>
    </row>
    <row r="23710" ht="15.75" customHeight="1">
      <c r="A23710" s="35"/>
      <c r="C23710" s="442"/>
      <c r="P23710" s="235"/>
      <c r="AI23710" s="38"/>
    </row>
    <row r="23711" ht="15.75" customHeight="1">
      <c r="A23711" s="35"/>
      <c r="C23711" s="442"/>
      <c r="P23711" s="235"/>
      <c r="AI23711" s="38"/>
    </row>
    <row r="23712" ht="15.75" customHeight="1">
      <c r="A23712" s="35"/>
      <c r="C23712" s="442"/>
      <c r="P23712" s="235"/>
      <c r="AI23712" s="38"/>
    </row>
    <row r="23713" ht="15.75" customHeight="1">
      <c r="A23713" s="35"/>
      <c r="C23713" s="442"/>
      <c r="P23713" s="235"/>
      <c r="AI23713" s="38"/>
    </row>
    <row r="23714" ht="15.75" customHeight="1">
      <c r="A23714" s="35"/>
      <c r="C23714" s="442"/>
      <c r="P23714" s="235"/>
      <c r="AI23714" s="38"/>
    </row>
    <row r="23715" ht="15.75" customHeight="1">
      <c r="A23715" s="35"/>
      <c r="C23715" s="442"/>
      <c r="P23715" s="235"/>
      <c r="AI23715" s="38"/>
    </row>
    <row r="23716" ht="15.75" customHeight="1">
      <c r="A23716" s="35"/>
      <c r="C23716" s="442"/>
      <c r="P23716" s="235"/>
      <c r="AI23716" s="38"/>
    </row>
    <row r="23717" ht="15.75" customHeight="1">
      <c r="A23717" s="35"/>
      <c r="C23717" s="442"/>
      <c r="P23717" s="235"/>
      <c r="AI23717" s="38"/>
    </row>
    <row r="23718" ht="15.75" customHeight="1">
      <c r="A23718" s="35"/>
      <c r="C23718" s="442"/>
      <c r="P23718" s="235"/>
      <c r="AI23718" s="38"/>
    </row>
    <row r="23719" ht="15.75" customHeight="1">
      <c r="A23719" s="35"/>
      <c r="C23719" s="442"/>
      <c r="P23719" s="235"/>
      <c r="AI23719" s="38"/>
    </row>
    <row r="23720" ht="15.75" customHeight="1">
      <c r="A23720" s="35"/>
      <c r="C23720" s="442"/>
      <c r="P23720" s="235"/>
      <c r="AI23720" s="38"/>
    </row>
    <row r="23721" ht="15.75" customHeight="1">
      <c r="A23721" s="35"/>
      <c r="C23721" s="442"/>
      <c r="P23721" s="235"/>
      <c r="AI23721" s="38"/>
    </row>
    <row r="23722" ht="15.75" customHeight="1">
      <c r="A23722" s="35"/>
      <c r="C23722" s="442"/>
      <c r="P23722" s="235"/>
      <c r="AI23722" s="38"/>
    </row>
    <row r="23723" ht="15.75" customHeight="1">
      <c r="A23723" s="35"/>
      <c r="C23723" s="442"/>
      <c r="P23723" s="235"/>
      <c r="AI23723" s="38"/>
    </row>
    <row r="23724" ht="15.75" customHeight="1">
      <c r="A23724" s="35"/>
      <c r="C23724" s="442"/>
      <c r="P23724" s="235"/>
      <c r="AI23724" s="38"/>
    </row>
    <row r="23725" ht="15.75" customHeight="1">
      <c r="A23725" s="35"/>
      <c r="C23725" s="442"/>
      <c r="P23725" s="235"/>
      <c r="AI23725" s="38"/>
    </row>
    <row r="23726" ht="15.75" customHeight="1">
      <c r="A23726" s="35"/>
      <c r="C23726" s="442"/>
      <c r="P23726" s="235"/>
      <c r="AI23726" s="38"/>
    </row>
    <row r="23727" ht="15.75" customHeight="1">
      <c r="A23727" s="35"/>
      <c r="C23727" s="442"/>
      <c r="P23727" s="235"/>
      <c r="AI23727" s="38"/>
    </row>
    <row r="23728" ht="15.75" customHeight="1">
      <c r="A23728" s="35"/>
      <c r="C23728" s="442"/>
      <c r="P23728" s="235"/>
      <c r="AI23728" s="38"/>
    </row>
    <row r="23729" ht="15.75" customHeight="1">
      <c r="A23729" s="35"/>
      <c r="C23729" s="442"/>
      <c r="P23729" s="235"/>
      <c r="AI23729" s="38"/>
    </row>
    <row r="23730" ht="15.75" customHeight="1">
      <c r="A23730" s="35"/>
      <c r="C23730" s="442"/>
      <c r="P23730" s="235"/>
      <c r="AI23730" s="38"/>
    </row>
    <row r="23731" ht="15.75" customHeight="1">
      <c r="A23731" s="35"/>
      <c r="C23731" s="442"/>
      <c r="P23731" s="235"/>
      <c r="AI23731" s="38"/>
    </row>
    <row r="23732" ht="15.75" customHeight="1">
      <c r="A23732" s="35"/>
      <c r="C23732" s="442"/>
      <c r="P23732" s="235"/>
      <c r="AI23732" s="38"/>
    </row>
    <row r="23733" ht="15.75" customHeight="1">
      <c r="A23733" s="35"/>
      <c r="C23733" s="442"/>
      <c r="P23733" s="235"/>
      <c r="AI23733" s="38"/>
    </row>
    <row r="23734" ht="15.75" customHeight="1">
      <c r="A23734" s="35"/>
      <c r="C23734" s="442"/>
      <c r="P23734" s="235"/>
      <c r="AI23734" s="38"/>
    </row>
    <row r="23735" ht="15.75" customHeight="1">
      <c r="A23735" s="35"/>
      <c r="C23735" s="442"/>
      <c r="P23735" s="235"/>
      <c r="AI23735" s="38"/>
    </row>
    <row r="23736" ht="15.75" customHeight="1">
      <c r="A23736" s="35"/>
      <c r="C23736" s="442"/>
      <c r="P23736" s="235"/>
      <c r="AI23736" s="38"/>
    </row>
    <row r="23737" ht="15.75" customHeight="1">
      <c r="A23737" s="35"/>
      <c r="C23737" s="442"/>
      <c r="P23737" s="235"/>
      <c r="AI23737" s="38"/>
    </row>
    <row r="23738" ht="15.75" customHeight="1">
      <c r="A23738" s="35"/>
      <c r="C23738" s="442"/>
      <c r="P23738" s="235"/>
      <c r="AI23738" s="38"/>
    </row>
    <row r="23739" ht="15.75" customHeight="1">
      <c r="A23739" s="35"/>
      <c r="C23739" s="442"/>
      <c r="P23739" s="235"/>
      <c r="AI23739" s="38"/>
    </row>
    <row r="23740" ht="15.75" customHeight="1">
      <c r="A23740" s="35"/>
      <c r="C23740" s="442"/>
      <c r="P23740" s="235"/>
      <c r="AI23740" s="38"/>
    </row>
    <row r="23741" ht="15.75" customHeight="1">
      <c r="A23741" s="35"/>
      <c r="C23741" s="442"/>
      <c r="P23741" s="235"/>
      <c r="AI23741" s="38"/>
    </row>
    <row r="23742" ht="15.75" customHeight="1">
      <c r="A23742" s="35"/>
      <c r="C23742" s="442"/>
      <c r="P23742" s="235"/>
      <c r="AI23742" s="38"/>
    </row>
    <row r="23743" ht="15.75" customHeight="1">
      <c r="A23743" s="35"/>
      <c r="C23743" s="442"/>
      <c r="P23743" s="235"/>
      <c r="AI23743" s="38"/>
    </row>
    <row r="23744" ht="15.75" customHeight="1">
      <c r="A23744" s="35"/>
      <c r="C23744" s="442"/>
      <c r="P23744" s="235"/>
      <c r="AI23744" s="38"/>
    </row>
    <row r="23745" ht="15.75" customHeight="1">
      <c r="A23745" s="35"/>
      <c r="C23745" s="442"/>
      <c r="P23745" s="235"/>
      <c r="AI23745" s="38"/>
    </row>
    <row r="23746" ht="15.75" customHeight="1">
      <c r="A23746" s="35"/>
      <c r="C23746" s="442"/>
      <c r="P23746" s="235"/>
      <c r="AI23746" s="38"/>
    </row>
    <row r="23747" ht="15.75" customHeight="1">
      <c r="A23747" s="35"/>
      <c r="C23747" s="442"/>
      <c r="P23747" s="235"/>
      <c r="AI23747" s="38"/>
    </row>
    <row r="23748" ht="15.75" customHeight="1">
      <c r="A23748" s="35"/>
      <c r="C23748" s="442"/>
      <c r="P23748" s="235"/>
      <c r="AI23748" s="38"/>
    </row>
    <row r="23749" ht="15.75" customHeight="1">
      <c r="A23749" s="35"/>
      <c r="C23749" s="442"/>
      <c r="P23749" s="235"/>
      <c r="AI23749" s="38"/>
    </row>
    <row r="23750" ht="15.75" customHeight="1">
      <c r="A23750" s="35"/>
      <c r="C23750" s="442"/>
      <c r="P23750" s="235"/>
      <c r="AI23750" s="38"/>
    </row>
    <row r="23751" ht="15.75" customHeight="1">
      <c r="A23751" s="35"/>
      <c r="C23751" s="442"/>
      <c r="P23751" s="235"/>
      <c r="AI23751" s="38"/>
    </row>
    <row r="23752" ht="15.75" customHeight="1">
      <c r="A23752" s="35"/>
      <c r="C23752" s="442"/>
      <c r="P23752" s="235"/>
      <c r="AI23752" s="38"/>
    </row>
    <row r="23753" ht="15.75" customHeight="1">
      <c r="A23753" s="35"/>
      <c r="C23753" s="442"/>
      <c r="P23753" s="235"/>
      <c r="AI23753" s="38"/>
    </row>
    <row r="23754" ht="15.75" customHeight="1">
      <c r="A23754" s="35"/>
      <c r="C23754" s="442"/>
      <c r="P23754" s="235"/>
      <c r="AI23754" s="38"/>
    </row>
    <row r="23755" ht="15.75" customHeight="1">
      <c r="A23755" s="35"/>
      <c r="C23755" s="442"/>
      <c r="P23755" s="235"/>
      <c r="AI23755" s="38"/>
    </row>
    <row r="23756" ht="15.75" customHeight="1">
      <c r="A23756" s="35"/>
      <c r="C23756" s="442"/>
      <c r="P23756" s="235"/>
      <c r="AI23756" s="38"/>
    </row>
    <row r="23757" ht="15.75" customHeight="1">
      <c r="A23757" s="35"/>
      <c r="C23757" s="442"/>
      <c r="P23757" s="235"/>
      <c r="AI23757" s="38"/>
    </row>
    <row r="23758" ht="15.75" customHeight="1">
      <c r="A23758" s="35"/>
      <c r="C23758" s="442"/>
      <c r="P23758" s="235"/>
      <c r="AI23758" s="38"/>
    </row>
    <row r="23759" ht="15.75" customHeight="1">
      <c r="A23759" s="35"/>
      <c r="C23759" s="442"/>
      <c r="P23759" s="235"/>
      <c r="AI23759" s="38"/>
    </row>
    <row r="23760" ht="15.75" customHeight="1">
      <c r="A23760" s="35"/>
      <c r="C23760" s="442"/>
      <c r="P23760" s="235"/>
      <c r="AI23760" s="38"/>
    </row>
    <row r="23761" ht="15.75" customHeight="1">
      <c r="A23761" s="35"/>
      <c r="C23761" s="442"/>
      <c r="P23761" s="235"/>
      <c r="AI23761" s="38"/>
    </row>
    <row r="23762" ht="15.75" customHeight="1">
      <c r="A23762" s="35"/>
      <c r="C23762" s="442"/>
      <c r="P23762" s="235"/>
      <c r="AI23762" s="38"/>
    </row>
    <row r="23763" ht="15.75" customHeight="1">
      <c r="A23763" s="35"/>
      <c r="C23763" s="442"/>
      <c r="P23763" s="235"/>
      <c r="AI23763" s="38"/>
    </row>
    <row r="23764" ht="15.75" customHeight="1">
      <c r="A23764" s="35"/>
      <c r="C23764" s="442"/>
      <c r="P23764" s="235"/>
      <c r="AI23764" s="38"/>
    </row>
    <row r="23765" ht="15.75" customHeight="1">
      <c r="A23765" s="35"/>
      <c r="C23765" s="442"/>
      <c r="P23765" s="235"/>
      <c r="AI23765" s="38"/>
    </row>
    <row r="23766" ht="15.75" customHeight="1">
      <c r="A23766" s="35"/>
      <c r="C23766" s="442"/>
      <c r="P23766" s="235"/>
      <c r="AI23766" s="38"/>
    </row>
    <row r="23767" ht="15.75" customHeight="1">
      <c r="A23767" s="35"/>
      <c r="C23767" s="442"/>
      <c r="P23767" s="235"/>
      <c r="AI23767" s="38"/>
    </row>
    <row r="23768" ht="15.75" customHeight="1">
      <c r="A23768" s="35"/>
      <c r="C23768" s="442"/>
      <c r="P23768" s="235"/>
      <c r="AI23768" s="38"/>
    </row>
    <row r="23769" ht="15.75" customHeight="1">
      <c r="A23769" s="35"/>
      <c r="C23769" s="442"/>
      <c r="P23769" s="235"/>
      <c r="AI23769" s="38"/>
    </row>
    <row r="23770" ht="15.75" customHeight="1">
      <c r="A23770" s="35"/>
      <c r="C23770" s="442"/>
      <c r="P23770" s="235"/>
      <c r="AI23770" s="38"/>
    </row>
    <row r="23771" ht="15.75" customHeight="1">
      <c r="A23771" s="35"/>
      <c r="C23771" s="442"/>
      <c r="P23771" s="235"/>
      <c r="AI23771" s="38"/>
    </row>
    <row r="23772" ht="15.75" customHeight="1">
      <c r="A23772" s="35"/>
      <c r="C23772" s="442"/>
      <c r="P23772" s="235"/>
      <c r="AI23772" s="38"/>
    </row>
    <row r="23773" ht="15.75" customHeight="1">
      <c r="A23773" s="35"/>
      <c r="C23773" s="442"/>
      <c r="P23773" s="235"/>
      <c r="AI23773" s="38"/>
    </row>
    <row r="23774" ht="15.75" customHeight="1">
      <c r="A23774" s="35"/>
      <c r="C23774" s="442"/>
      <c r="P23774" s="235"/>
      <c r="AI23774" s="38"/>
    </row>
    <row r="23775" ht="15.75" customHeight="1">
      <c r="A23775" s="35"/>
      <c r="C23775" s="442"/>
      <c r="P23775" s="235"/>
      <c r="AI23775" s="38"/>
    </row>
    <row r="23776" ht="15.75" customHeight="1">
      <c r="A23776" s="35"/>
      <c r="C23776" s="442"/>
      <c r="P23776" s="235"/>
      <c r="AI23776" s="38"/>
    </row>
    <row r="23777" ht="15.75" customHeight="1">
      <c r="A23777" s="35"/>
      <c r="C23777" s="442"/>
      <c r="P23777" s="235"/>
      <c r="AI23777" s="38"/>
    </row>
    <row r="23778" ht="15.75" customHeight="1">
      <c r="A23778" s="35"/>
      <c r="C23778" s="442"/>
      <c r="P23778" s="235"/>
      <c r="AI23778" s="38"/>
    </row>
    <row r="23779" ht="15.75" customHeight="1">
      <c r="A23779" s="35"/>
      <c r="C23779" s="442"/>
      <c r="P23779" s="235"/>
      <c r="AI23779" s="38"/>
    </row>
    <row r="23780" ht="15.75" customHeight="1">
      <c r="A23780" s="35"/>
      <c r="C23780" s="442"/>
      <c r="P23780" s="235"/>
      <c r="AI23780" s="38"/>
    </row>
    <row r="23781" ht="15.75" customHeight="1">
      <c r="A23781" s="35"/>
      <c r="C23781" s="442"/>
      <c r="P23781" s="235"/>
      <c r="AI23781" s="38"/>
    </row>
    <row r="23782" ht="15.75" customHeight="1">
      <c r="A23782" s="35"/>
      <c r="C23782" s="442"/>
      <c r="P23782" s="235"/>
      <c r="AI23782" s="38"/>
    </row>
    <row r="23783" ht="15.75" customHeight="1">
      <c r="A23783" s="35"/>
      <c r="C23783" s="442"/>
      <c r="P23783" s="235"/>
      <c r="AI23783" s="38"/>
    </row>
    <row r="23784" ht="15.75" customHeight="1">
      <c r="A23784" s="35"/>
      <c r="C23784" s="442"/>
      <c r="P23784" s="235"/>
      <c r="AI23784" s="38"/>
    </row>
    <row r="23785" ht="15.75" customHeight="1">
      <c r="A23785" s="35"/>
      <c r="C23785" s="442"/>
      <c r="P23785" s="235"/>
      <c r="AI23785" s="38"/>
    </row>
    <row r="23786" ht="15.75" customHeight="1">
      <c r="A23786" s="35"/>
      <c r="C23786" s="442"/>
      <c r="P23786" s="235"/>
      <c r="AI23786" s="38"/>
    </row>
    <row r="23787" ht="15.75" customHeight="1">
      <c r="A23787" s="35"/>
      <c r="C23787" s="442"/>
      <c r="P23787" s="235"/>
      <c r="AI23787" s="38"/>
    </row>
    <row r="23788" ht="15.75" customHeight="1">
      <c r="A23788" s="35"/>
      <c r="C23788" s="442"/>
      <c r="P23788" s="235"/>
      <c r="AI23788" s="38"/>
    </row>
    <row r="23789" ht="15.75" customHeight="1">
      <c r="A23789" s="35"/>
      <c r="C23789" s="442"/>
      <c r="P23789" s="235"/>
      <c r="AI23789" s="38"/>
    </row>
    <row r="23790" ht="15.75" customHeight="1">
      <c r="A23790" s="35"/>
      <c r="C23790" s="442"/>
      <c r="P23790" s="235"/>
      <c r="AI23790" s="38"/>
    </row>
    <row r="23791" ht="15.75" customHeight="1">
      <c r="A23791" s="35"/>
      <c r="C23791" s="442"/>
      <c r="P23791" s="235"/>
      <c r="AI23791" s="38"/>
    </row>
    <row r="23792" ht="15.75" customHeight="1">
      <c r="A23792" s="35"/>
      <c r="C23792" s="442"/>
      <c r="P23792" s="235"/>
      <c r="AI23792" s="38"/>
    </row>
    <row r="23793" ht="15.75" customHeight="1">
      <c r="A23793" s="35"/>
      <c r="C23793" s="442"/>
      <c r="P23793" s="235"/>
      <c r="AI23793" s="38"/>
    </row>
    <row r="23794" ht="15.75" customHeight="1">
      <c r="A23794" s="35"/>
      <c r="C23794" s="442"/>
      <c r="P23794" s="235"/>
      <c r="AI23794" s="38"/>
    </row>
    <row r="23795" ht="15.75" customHeight="1">
      <c r="A23795" s="35"/>
      <c r="C23795" s="442"/>
      <c r="P23795" s="235"/>
      <c r="AI23795" s="38"/>
    </row>
    <row r="23796" ht="15.75" customHeight="1">
      <c r="A23796" s="35"/>
      <c r="C23796" s="442"/>
      <c r="P23796" s="235"/>
      <c r="AI23796" s="38"/>
    </row>
    <row r="23797" ht="15.75" customHeight="1">
      <c r="A23797" s="35"/>
      <c r="C23797" s="442"/>
      <c r="P23797" s="235"/>
      <c r="AI23797" s="38"/>
    </row>
    <row r="23798" ht="15.75" customHeight="1">
      <c r="A23798" s="35"/>
      <c r="C23798" s="442"/>
      <c r="P23798" s="235"/>
      <c r="AI23798" s="38"/>
    </row>
    <row r="23799" ht="15.75" customHeight="1">
      <c r="A23799" s="35"/>
      <c r="C23799" s="442"/>
      <c r="P23799" s="235"/>
      <c r="AI23799" s="38"/>
    </row>
    <row r="23800" ht="15.75" customHeight="1">
      <c r="A23800" s="35"/>
      <c r="C23800" s="442"/>
      <c r="P23800" s="235"/>
      <c r="AI23800" s="38"/>
    </row>
    <row r="23801" ht="15.75" customHeight="1">
      <c r="A23801" s="35"/>
      <c r="C23801" s="442"/>
      <c r="P23801" s="235"/>
      <c r="AI23801" s="38"/>
    </row>
    <row r="23802" ht="15.75" customHeight="1">
      <c r="A23802" s="35"/>
      <c r="C23802" s="442"/>
      <c r="P23802" s="235"/>
      <c r="AI23802" s="38"/>
    </row>
    <row r="23803" ht="15.75" customHeight="1">
      <c r="A23803" s="35"/>
      <c r="C23803" s="442"/>
      <c r="P23803" s="235"/>
      <c r="AI23803" s="38"/>
    </row>
    <row r="23804" ht="15.75" customHeight="1">
      <c r="A23804" s="35"/>
      <c r="C23804" s="442"/>
      <c r="P23804" s="235"/>
      <c r="AI23804" s="38"/>
    </row>
    <row r="23805" ht="15.75" customHeight="1">
      <c r="A23805" s="35"/>
      <c r="C23805" s="442"/>
      <c r="P23805" s="235"/>
      <c r="AI23805" s="38"/>
    </row>
    <row r="23806" ht="15.75" customHeight="1">
      <c r="A23806" s="35"/>
      <c r="C23806" s="442"/>
      <c r="P23806" s="235"/>
      <c r="AI23806" s="38"/>
    </row>
    <row r="23807" ht="15.75" customHeight="1">
      <c r="A23807" s="35"/>
      <c r="C23807" s="442"/>
      <c r="P23807" s="235"/>
      <c r="AI23807" s="38"/>
    </row>
    <row r="23808" ht="15.75" customHeight="1">
      <c r="A23808" s="35"/>
      <c r="C23808" s="442"/>
      <c r="P23808" s="235"/>
      <c r="AI23808" s="38"/>
    </row>
    <row r="23809" ht="15.75" customHeight="1">
      <c r="A23809" s="35"/>
      <c r="C23809" s="442"/>
      <c r="P23809" s="235"/>
      <c r="AI23809" s="38"/>
    </row>
    <row r="23810" ht="15.75" customHeight="1">
      <c r="A23810" s="35"/>
      <c r="C23810" s="442"/>
      <c r="P23810" s="235"/>
      <c r="AI23810" s="38"/>
    </row>
    <row r="23811" ht="15.75" customHeight="1">
      <c r="A23811" s="35"/>
      <c r="C23811" s="442"/>
      <c r="P23811" s="235"/>
      <c r="AI23811" s="38"/>
    </row>
    <row r="23812" ht="15.75" customHeight="1">
      <c r="A23812" s="35"/>
      <c r="C23812" s="442"/>
      <c r="P23812" s="235"/>
      <c r="AI23812" s="38"/>
    </row>
    <row r="23813" ht="15.75" customHeight="1">
      <c r="A23813" s="35"/>
      <c r="C23813" s="442"/>
      <c r="P23813" s="235"/>
      <c r="AI23813" s="38"/>
    </row>
    <row r="23814" ht="15.75" customHeight="1">
      <c r="A23814" s="35"/>
      <c r="C23814" s="442"/>
      <c r="P23814" s="235"/>
      <c r="AI23814" s="38"/>
    </row>
    <row r="23815" ht="15.75" customHeight="1">
      <c r="A23815" s="35"/>
      <c r="C23815" s="442"/>
      <c r="P23815" s="235"/>
      <c r="AI23815" s="38"/>
    </row>
    <row r="23816" ht="15.75" customHeight="1">
      <c r="A23816" s="35"/>
      <c r="C23816" s="442"/>
      <c r="P23816" s="235"/>
      <c r="AI23816" s="38"/>
    </row>
    <row r="23817" ht="15.75" customHeight="1">
      <c r="A23817" s="35"/>
      <c r="C23817" s="442"/>
      <c r="P23817" s="235"/>
      <c r="AI23817" s="38"/>
    </row>
    <row r="23818" ht="15.75" customHeight="1">
      <c r="A23818" s="35"/>
      <c r="C23818" s="442"/>
      <c r="P23818" s="235"/>
      <c r="AI23818" s="38"/>
    </row>
    <row r="23819" ht="15.75" customHeight="1">
      <c r="A23819" s="35"/>
      <c r="C23819" s="442"/>
      <c r="P23819" s="235"/>
      <c r="AI23819" s="38"/>
    </row>
    <row r="23820" ht="15.75" customHeight="1">
      <c r="A23820" s="35"/>
      <c r="C23820" s="442"/>
      <c r="P23820" s="235"/>
      <c r="AI23820" s="38"/>
    </row>
    <row r="23821" ht="15.75" customHeight="1">
      <c r="A23821" s="35"/>
      <c r="C23821" s="442"/>
      <c r="P23821" s="235"/>
      <c r="AI23821" s="38"/>
    </row>
    <row r="23822" ht="15.75" customHeight="1">
      <c r="A23822" s="35"/>
      <c r="C23822" s="442"/>
      <c r="P23822" s="235"/>
      <c r="AI23822" s="38"/>
    </row>
    <row r="23823" ht="15.75" customHeight="1">
      <c r="A23823" s="35"/>
      <c r="C23823" s="442"/>
      <c r="P23823" s="235"/>
      <c r="AI23823" s="38"/>
    </row>
    <row r="23824" ht="15.75" customHeight="1">
      <c r="A23824" s="35"/>
      <c r="C23824" s="442"/>
      <c r="P23824" s="235"/>
      <c r="AI23824" s="38"/>
    </row>
    <row r="23825" ht="15.75" customHeight="1">
      <c r="A23825" s="35"/>
      <c r="C23825" s="442"/>
      <c r="P23825" s="235"/>
      <c r="AI23825" s="38"/>
    </row>
    <row r="23826" ht="15.75" customHeight="1">
      <c r="A23826" s="35"/>
      <c r="C23826" s="442"/>
      <c r="P23826" s="235"/>
      <c r="AI23826" s="38"/>
    </row>
    <row r="23827" ht="15.75" customHeight="1">
      <c r="A23827" s="35"/>
      <c r="C23827" s="442"/>
      <c r="P23827" s="235"/>
      <c r="AI23827" s="38"/>
    </row>
    <row r="23828" ht="15.75" customHeight="1">
      <c r="A23828" s="35"/>
      <c r="C23828" s="442"/>
      <c r="P23828" s="235"/>
      <c r="AI23828" s="38"/>
    </row>
    <row r="23829" ht="15.75" customHeight="1">
      <c r="A23829" s="35"/>
      <c r="C23829" s="442"/>
      <c r="P23829" s="235"/>
      <c r="AI23829" s="38"/>
    </row>
    <row r="23830" ht="15.75" customHeight="1">
      <c r="A23830" s="35"/>
      <c r="C23830" s="442"/>
      <c r="P23830" s="235"/>
      <c r="AI23830" s="38"/>
    </row>
    <row r="23831" ht="15.75" customHeight="1">
      <c r="A23831" s="35"/>
      <c r="C23831" s="442"/>
      <c r="P23831" s="235"/>
      <c r="AI23831" s="38"/>
    </row>
    <row r="23832" ht="15.75" customHeight="1">
      <c r="A23832" s="35"/>
      <c r="C23832" s="442"/>
      <c r="P23832" s="235"/>
      <c r="AI23832" s="38"/>
    </row>
    <row r="23833" ht="15.75" customHeight="1">
      <c r="A23833" s="35"/>
      <c r="C23833" s="442"/>
      <c r="P23833" s="235"/>
      <c r="AI23833" s="38"/>
    </row>
    <row r="23834" ht="15.75" customHeight="1">
      <c r="A23834" s="35"/>
      <c r="C23834" s="442"/>
      <c r="P23834" s="235"/>
      <c r="AI23834" s="38"/>
    </row>
    <row r="23835" ht="15.75" customHeight="1">
      <c r="A23835" s="35"/>
      <c r="C23835" s="442"/>
      <c r="P23835" s="235"/>
      <c r="AI23835" s="38"/>
    </row>
    <row r="23836" ht="15.75" customHeight="1">
      <c r="A23836" s="35"/>
      <c r="C23836" s="442"/>
      <c r="P23836" s="235"/>
      <c r="AI23836" s="38"/>
    </row>
    <row r="23837" ht="15.75" customHeight="1">
      <c r="A23837" s="35"/>
      <c r="C23837" s="442"/>
      <c r="P23837" s="235"/>
      <c r="AI23837" s="38"/>
    </row>
    <row r="23838" ht="15.75" customHeight="1">
      <c r="A23838" s="35"/>
      <c r="C23838" s="442"/>
      <c r="P23838" s="235"/>
      <c r="AI23838" s="38"/>
    </row>
    <row r="23839" ht="15.75" customHeight="1">
      <c r="A23839" s="35"/>
      <c r="C23839" s="442"/>
      <c r="P23839" s="235"/>
      <c r="AI23839" s="38"/>
    </row>
    <row r="23840" ht="15.75" customHeight="1">
      <c r="A23840" s="35"/>
      <c r="C23840" s="442"/>
      <c r="P23840" s="235"/>
      <c r="AI23840" s="38"/>
    </row>
    <row r="23841" ht="15.75" customHeight="1">
      <c r="A23841" s="35"/>
      <c r="C23841" s="442"/>
      <c r="P23841" s="235"/>
      <c r="AI23841" s="38"/>
    </row>
    <row r="23842" ht="15.75" customHeight="1">
      <c r="A23842" s="35"/>
      <c r="C23842" s="442"/>
      <c r="P23842" s="235"/>
      <c r="AI23842" s="38"/>
    </row>
    <row r="23843" ht="15.75" customHeight="1">
      <c r="A23843" s="35"/>
      <c r="C23843" s="442"/>
      <c r="P23843" s="235"/>
      <c r="AI23843" s="38"/>
    </row>
    <row r="23844" ht="15.75" customHeight="1">
      <c r="A23844" s="35"/>
      <c r="C23844" s="442"/>
      <c r="P23844" s="235"/>
      <c r="AI23844" s="38"/>
    </row>
    <row r="23845" ht="15.75" customHeight="1">
      <c r="A23845" s="35"/>
      <c r="C23845" s="442"/>
      <c r="P23845" s="235"/>
      <c r="AI23845" s="38"/>
    </row>
    <row r="23846" ht="15.75" customHeight="1">
      <c r="A23846" s="35"/>
      <c r="C23846" s="442"/>
      <c r="P23846" s="235"/>
      <c r="AI23846" s="38"/>
    </row>
    <row r="23847" ht="15.75" customHeight="1">
      <c r="A23847" s="35"/>
      <c r="C23847" s="442"/>
      <c r="P23847" s="235"/>
      <c r="AI23847" s="38"/>
    </row>
    <row r="23848" ht="15.75" customHeight="1">
      <c r="A23848" s="35"/>
      <c r="C23848" s="442"/>
      <c r="P23848" s="235"/>
      <c r="AI23848" s="38"/>
    </row>
    <row r="23849" ht="15.75" customHeight="1">
      <c r="A23849" s="35"/>
      <c r="C23849" s="442"/>
      <c r="P23849" s="235"/>
      <c r="AI23849" s="38"/>
    </row>
    <row r="23850" ht="15.75" customHeight="1">
      <c r="A23850" s="35"/>
      <c r="C23850" s="442"/>
      <c r="P23850" s="235"/>
      <c r="AI23850" s="38"/>
    </row>
    <row r="23851" ht="15.75" customHeight="1">
      <c r="A23851" s="35"/>
      <c r="C23851" s="442"/>
      <c r="P23851" s="235"/>
      <c r="AI23851" s="38"/>
    </row>
    <row r="23852" ht="15.75" customHeight="1">
      <c r="A23852" s="35"/>
      <c r="C23852" s="442"/>
      <c r="P23852" s="235"/>
      <c r="AI23852" s="38"/>
    </row>
    <row r="23853" ht="15.75" customHeight="1">
      <c r="A23853" s="35"/>
      <c r="C23853" s="442"/>
      <c r="P23853" s="235"/>
      <c r="AI23853" s="38"/>
    </row>
    <row r="23854" ht="15.75" customHeight="1">
      <c r="A23854" s="35"/>
      <c r="C23854" s="442"/>
      <c r="P23854" s="235"/>
      <c r="AI23854" s="38"/>
    </row>
    <row r="23855" ht="15.75" customHeight="1">
      <c r="A23855" s="35"/>
      <c r="C23855" s="442"/>
      <c r="P23855" s="235"/>
      <c r="AI23855" s="38"/>
    </row>
    <row r="23856" ht="15.75" customHeight="1">
      <c r="A23856" s="35"/>
      <c r="C23856" s="442"/>
      <c r="P23856" s="235"/>
      <c r="AI23856" s="38"/>
    </row>
    <row r="23857" ht="15.75" customHeight="1">
      <c r="A23857" s="35"/>
      <c r="C23857" s="442"/>
      <c r="P23857" s="235"/>
      <c r="AI23857" s="38"/>
    </row>
    <row r="23858" ht="15.75" customHeight="1">
      <c r="A23858" s="35"/>
      <c r="C23858" s="442"/>
      <c r="P23858" s="235"/>
      <c r="AI23858" s="38"/>
    </row>
    <row r="23859" ht="15.75" customHeight="1">
      <c r="A23859" s="35"/>
      <c r="C23859" s="442"/>
      <c r="P23859" s="235"/>
      <c r="AI23859" s="38"/>
    </row>
    <row r="23860" ht="15.75" customHeight="1">
      <c r="A23860" s="35"/>
      <c r="C23860" s="442"/>
      <c r="P23860" s="235"/>
      <c r="AI23860" s="38"/>
    </row>
    <row r="23861" ht="15.75" customHeight="1">
      <c r="A23861" s="35"/>
      <c r="C23861" s="442"/>
      <c r="P23861" s="235"/>
      <c r="AI23861" s="38"/>
    </row>
    <row r="23862" ht="15.75" customHeight="1">
      <c r="A23862" s="35"/>
      <c r="C23862" s="442"/>
      <c r="P23862" s="235"/>
      <c r="AI23862" s="38"/>
    </row>
    <row r="23863" ht="15.75" customHeight="1">
      <c r="A23863" s="35"/>
      <c r="C23863" s="442"/>
      <c r="P23863" s="235"/>
      <c r="AI23863" s="38"/>
    </row>
    <row r="23864" ht="15.75" customHeight="1">
      <c r="A23864" s="35"/>
      <c r="C23864" s="442"/>
      <c r="P23864" s="235"/>
      <c r="AI23864" s="38"/>
    </row>
    <row r="23865" ht="15.75" customHeight="1">
      <c r="A23865" s="35"/>
      <c r="C23865" s="442"/>
      <c r="P23865" s="235"/>
      <c r="AI23865" s="38"/>
    </row>
    <row r="23866" ht="15.75" customHeight="1">
      <c r="A23866" s="35"/>
      <c r="C23866" s="442"/>
      <c r="P23866" s="235"/>
      <c r="AI23866" s="38"/>
    </row>
    <row r="23867" ht="15.75" customHeight="1">
      <c r="A23867" s="35"/>
      <c r="C23867" s="442"/>
      <c r="P23867" s="235"/>
      <c r="AI23867" s="38"/>
    </row>
    <row r="23868" ht="15.75" customHeight="1">
      <c r="A23868" s="35"/>
      <c r="C23868" s="442"/>
      <c r="P23868" s="235"/>
      <c r="AI23868" s="38"/>
    </row>
    <row r="23869" ht="15.75" customHeight="1">
      <c r="A23869" s="35"/>
      <c r="C23869" s="442"/>
      <c r="P23869" s="235"/>
      <c r="AI23869" s="38"/>
    </row>
    <row r="23870" ht="15.75" customHeight="1">
      <c r="A23870" s="35"/>
      <c r="C23870" s="442"/>
      <c r="P23870" s="235"/>
      <c r="AI23870" s="38"/>
    </row>
    <row r="23871" ht="15.75" customHeight="1">
      <c r="A23871" s="35"/>
      <c r="C23871" s="442"/>
      <c r="P23871" s="235"/>
      <c r="AI23871" s="38"/>
    </row>
    <row r="23872" ht="15.75" customHeight="1">
      <c r="A23872" s="35"/>
      <c r="C23872" s="442"/>
      <c r="P23872" s="235"/>
      <c r="AI23872" s="38"/>
    </row>
    <row r="23873" ht="15.75" customHeight="1">
      <c r="A23873" s="35"/>
      <c r="C23873" s="442"/>
      <c r="P23873" s="235"/>
      <c r="AI23873" s="38"/>
    </row>
    <row r="23874" ht="15.75" customHeight="1">
      <c r="A23874" s="35"/>
      <c r="C23874" s="442"/>
      <c r="P23874" s="235"/>
      <c r="AI23874" s="38"/>
    </row>
    <row r="23875" ht="15.75" customHeight="1">
      <c r="A23875" s="35"/>
      <c r="C23875" s="442"/>
      <c r="P23875" s="235"/>
      <c r="AI23875" s="38"/>
    </row>
    <row r="23876" ht="15.75" customHeight="1">
      <c r="A23876" s="35"/>
      <c r="C23876" s="442"/>
      <c r="P23876" s="235"/>
      <c r="AI23876" s="38"/>
    </row>
    <row r="23877" ht="15.75" customHeight="1">
      <c r="A23877" s="35"/>
      <c r="C23877" s="442"/>
      <c r="P23877" s="235"/>
      <c r="AI23877" s="38"/>
    </row>
    <row r="23878" ht="15.75" customHeight="1">
      <c r="A23878" s="35"/>
      <c r="C23878" s="442"/>
      <c r="P23878" s="235"/>
      <c r="AI23878" s="38"/>
    </row>
    <row r="23879" ht="15.75" customHeight="1">
      <c r="A23879" s="35"/>
      <c r="C23879" s="442"/>
      <c r="P23879" s="235"/>
      <c r="AI23879" s="38"/>
    </row>
    <row r="23880" ht="15.75" customHeight="1">
      <c r="A23880" s="35"/>
      <c r="C23880" s="442"/>
      <c r="P23880" s="235"/>
      <c r="AI23880" s="38"/>
    </row>
    <row r="23881" ht="15.75" customHeight="1">
      <c r="A23881" s="35"/>
      <c r="C23881" s="442"/>
      <c r="P23881" s="235"/>
      <c r="AI23881" s="38"/>
    </row>
    <row r="23882" ht="15.75" customHeight="1">
      <c r="A23882" s="35"/>
      <c r="C23882" s="442"/>
      <c r="P23882" s="235"/>
      <c r="AI23882" s="38"/>
    </row>
    <row r="23883" ht="15.75" customHeight="1">
      <c r="A23883" s="35"/>
      <c r="C23883" s="442"/>
      <c r="P23883" s="235"/>
      <c r="AI23883" s="38"/>
    </row>
    <row r="23884" ht="15.75" customHeight="1">
      <c r="A23884" s="35"/>
      <c r="C23884" s="442"/>
      <c r="P23884" s="235"/>
      <c r="AI23884" s="38"/>
    </row>
    <row r="23885" ht="15.75" customHeight="1">
      <c r="A23885" s="35"/>
      <c r="C23885" s="442"/>
      <c r="P23885" s="235"/>
      <c r="AI23885" s="38"/>
    </row>
    <row r="23886" ht="15.75" customHeight="1">
      <c r="A23886" s="35"/>
      <c r="C23886" s="442"/>
      <c r="P23886" s="235"/>
      <c r="AI23886" s="38"/>
    </row>
    <row r="23887" ht="15.75" customHeight="1">
      <c r="A23887" s="35"/>
      <c r="C23887" s="442"/>
      <c r="P23887" s="235"/>
      <c r="AI23887" s="38"/>
    </row>
    <row r="23888" ht="15.75" customHeight="1">
      <c r="A23888" s="35"/>
      <c r="C23888" s="442"/>
      <c r="P23888" s="235"/>
      <c r="AI23888" s="38"/>
    </row>
    <row r="23889" ht="15.75" customHeight="1">
      <c r="A23889" s="35"/>
      <c r="C23889" s="442"/>
      <c r="P23889" s="235"/>
      <c r="AI23889" s="38"/>
    </row>
    <row r="23890" ht="15.75" customHeight="1">
      <c r="A23890" s="35"/>
      <c r="C23890" s="442"/>
      <c r="P23890" s="235"/>
      <c r="AI23890" s="38"/>
    </row>
    <row r="23891" ht="15.75" customHeight="1">
      <c r="A23891" s="35"/>
      <c r="C23891" s="442"/>
      <c r="P23891" s="235"/>
      <c r="AI23891" s="38"/>
    </row>
    <row r="23892" ht="15.75" customHeight="1">
      <c r="A23892" s="35"/>
      <c r="C23892" s="442"/>
      <c r="P23892" s="235"/>
      <c r="AI23892" s="38"/>
    </row>
    <row r="23893" ht="15.75" customHeight="1">
      <c r="A23893" s="35"/>
      <c r="C23893" s="442"/>
      <c r="P23893" s="235"/>
      <c r="AI23893" s="38"/>
    </row>
    <row r="23894" ht="15.75" customHeight="1">
      <c r="A23894" s="35"/>
      <c r="C23894" s="442"/>
      <c r="P23894" s="235"/>
      <c r="AI23894" s="38"/>
    </row>
    <row r="23895" ht="15.75" customHeight="1">
      <c r="A23895" s="35"/>
      <c r="C23895" s="442"/>
      <c r="P23895" s="235"/>
      <c r="AI23895" s="38"/>
    </row>
    <row r="23896" ht="15.75" customHeight="1">
      <c r="A23896" s="35"/>
      <c r="C23896" s="442"/>
      <c r="P23896" s="235"/>
      <c r="AI23896" s="38"/>
    </row>
    <row r="23897" ht="15.75" customHeight="1">
      <c r="A23897" s="35"/>
      <c r="C23897" s="442"/>
      <c r="P23897" s="235"/>
      <c r="AI23897" s="38"/>
    </row>
    <row r="23898" ht="15.75" customHeight="1">
      <c r="A23898" s="35"/>
      <c r="C23898" s="442"/>
      <c r="P23898" s="235"/>
      <c r="AI23898" s="38"/>
    </row>
    <row r="23899" ht="15.75" customHeight="1">
      <c r="A23899" s="35"/>
      <c r="C23899" s="442"/>
      <c r="P23899" s="235"/>
      <c r="AI23899" s="38"/>
    </row>
    <row r="23900" ht="15.75" customHeight="1">
      <c r="A23900" s="35"/>
      <c r="C23900" s="442"/>
      <c r="P23900" s="235"/>
      <c r="AI23900" s="38"/>
    </row>
    <row r="23901" ht="15.75" customHeight="1">
      <c r="A23901" s="35"/>
      <c r="C23901" s="442"/>
      <c r="P23901" s="235"/>
      <c r="AI23901" s="38"/>
    </row>
    <row r="23902" ht="15.75" customHeight="1">
      <c r="A23902" s="35"/>
      <c r="C23902" s="442"/>
      <c r="P23902" s="235"/>
      <c r="AI23902" s="38"/>
    </row>
    <row r="23903" ht="15.75" customHeight="1">
      <c r="A23903" s="35"/>
      <c r="C23903" s="442"/>
      <c r="P23903" s="235"/>
      <c r="AI23903" s="38"/>
    </row>
    <row r="23904" ht="15.75" customHeight="1">
      <c r="A23904" s="35"/>
      <c r="C23904" s="442"/>
      <c r="P23904" s="235"/>
      <c r="AI23904" s="38"/>
    </row>
    <row r="23905" ht="15.75" customHeight="1">
      <c r="A23905" s="35"/>
      <c r="C23905" s="442"/>
      <c r="P23905" s="235"/>
      <c r="AI23905" s="38"/>
    </row>
    <row r="23906" ht="15.75" customHeight="1">
      <c r="A23906" s="35"/>
      <c r="C23906" s="442"/>
      <c r="P23906" s="235"/>
      <c r="AI23906" s="38"/>
    </row>
    <row r="23907" ht="15.75" customHeight="1">
      <c r="A23907" s="35"/>
      <c r="C23907" s="442"/>
      <c r="P23907" s="235"/>
      <c r="AI23907" s="38"/>
    </row>
    <row r="23908" ht="15.75" customHeight="1">
      <c r="A23908" s="35"/>
      <c r="C23908" s="442"/>
      <c r="P23908" s="235"/>
      <c r="AI23908" s="38"/>
    </row>
    <row r="23909" ht="15.75" customHeight="1">
      <c r="A23909" s="35"/>
      <c r="C23909" s="442"/>
      <c r="P23909" s="235"/>
      <c r="AI23909" s="38"/>
    </row>
    <row r="23910" ht="15.75" customHeight="1">
      <c r="A23910" s="35"/>
      <c r="C23910" s="442"/>
      <c r="P23910" s="235"/>
      <c r="AI23910" s="38"/>
    </row>
    <row r="23911" ht="15.75" customHeight="1">
      <c r="A23911" s="35"/>
      <c r="C23911" s="442"/>
      <c r="P23911" s="235"/>
      <c r="AI23911" s="38"/>
    </row>
    <row r="23912" ht="15.75" customHeight="1">
      <c r="A23912" s="35"/>
      <c r="C23912" s="442"/>
      <c r="P23912" s="235"/>
      <c r="AI23912" s="38"/>
    </row>
    <row r="23913" ht="15.75" customHeight="1">
      <c r="A23913" s="35"/>
      <c r="C23913" s="442"/>
      <c r="P23913" s="235"/>
      <c r="AI23913" s="38"/>
    </row>
    <row r="23914" ht="15.75" customHeight="1">
      <c r="A23914" s="35"/>
      <c r="C23914" s="442"/>
      <c r="P23914" s="235"/>
      <c r="AI23914" s="38"/>
    </row>
    <row r="23915" ht="15.75" customHeight="1">
      <c r="A23915" s="35"/>
      <c r="C23915" s="442"/>
      <c r="P23915" s="235"/>
      <c r="AI23915" s="38"/>
    </row>
    <row r="23916" ht="15.75" customHeight="1">
      <c r="A23916" s="35"/>
      <c r="C23916" s="442"/>
      <c r="P23916" s="235"/>
      <c r="AI23916" s="38"/>
    </row>
    <row r="23917" ht="15.75" customHeight="1">
      <c r="A23917" s="35"/>
      <c r="C23917" s="442"/>
      <c r="P23917" s="235"/>
      <c r="AI23917" s="38"/>
    </row>
    <row r="23918" ht="15.75" customHeight="1">
      <c r="A23918" s="35"/>
      <c r="C23918" s="442"/>
      <c r="P23918" s="235"/>
      <c r="AI23918" s="38"/>
    </row>
    <row r="23919" ht="15.75" customHeight="1">
      <c r="A23919" s="35"/>
      <c r="C23919" s="442"/>
      <c r="P23919" s="235"/>
      <c r="AI23919" s="38"/>
    </row>
    <row r="23920" ht="15.75" customHeight="1">
      <c r="A23920" s="35"/>
      <c r="C23920" s="442"/>
      <c r="P23920" s="235"/>
      <c r="AI23920" s="38"/>
    </row>
    <row r="23921" ht="15.75" customHeight="1">
      <c r="A23921" s="35"/>
      <c r="C23921" s="442"/>
      <c r="P23921" s="235"/>
      <c r="AI23921" s="38"/>
    </row>
    <row r="23922" ht="15.75" customHeight="1">
      <c r="A23922" s="35"/>
      <c r="C23922" s="442"/>
      <c r="P23922" s="235"/>
      <c r="AI23922" s="38"/>
    </row>
    <row r="23923" ht="15.75" customHeight="1">
      <c r="A23923" s="35"/>
      <c r="C23923" s="442"/>
      <c r="P23923" s="235"/>
      <c r="AI23923" s="38"/>
    </row>
    <row r="23924" ht="15.75" customHeight="1">
      <c r="A23924" s="35"/>
      <c r="C23924" s="442"/>
      <c r="P23924" s="235"/>
      <c r="AI23924" s="38"/>
    </row>
    <row r="23925" ht="15.75" customHeight="1">
      <c r="A23925" s="35"/>
      <c r="C23925" s="442"/>
      <c r="P23925" s="235"/>
      <c r="AI23925" s="38"/>
    </row>
    <row r="23926" ht="15.75" customHeight="1">
      <c r="A23926" s="35"/>
      <c r="C23926" s="442"/>
      <c r="P23926" s="235"/>
      <c r="AI23926" s="38"/>
    </row>
    <row r="23927" ht="15.75" customHeight="1">
      <c r="A23927" s="35"/>
      <c r="C23927" s="442"/>
      <c r="P23927" s="235"/>
      <c r="AI23927" s="38"/>
    </row>
    <row r="23928" ht="15.75" customHeight="1">
      <c r="A23928" s="35"/>
      <c r="C23928" s="442"/>
      <c r="P23928" s="235"/>
      <c r="AI23928" s="38"/>
    </row>
    <row r="23929" ht="15.75" customHeight="1">
      <c r="A23929" s="35"/>
      <c r="C23929" s="442"/>
      <c r="P23929" s="235"/>
      <c r="AI23929" s="38"/>
    </row>
    <row r="23930" ht="15.75" customHeight="1">
      <c r="A23930" s="35"/>
      <c r="C23930" s="442"/>
      <c r="P23930" s="235"/>
      <c r="AI23930" s="38"/>
    </row>
    <row r="23931" ht="15.75" customHeight="1">
      <c r="A23931" s="35"/>
      <c r="C23931" s="442"/>
      <c r="P23931" s="235"/>
      <c r="AI23931" s="38"/>
    </row>
    <row r="23932" ht="15.75" customHeight="1">
      <c r="A23932" s="35"/>
      <c r="C23932" s="442"/>
      <c r="P23932" s="235"/>
      <c r="AI23932" s="38"/>
    </row>
    <row r="23933" ht="15.75" customHeight="1">
      <c r="A23933" s="35"/>
      <c r="C23933" s="442"/>
      <c r="P23933" s="235"/>
      <c r="AI23933" s="38"/>
    </row>
    <row r="23934" ht="15.75" customHeight="1">
      <c r="A23934" s="35"/>
      <c r="C23934" s="442"/>
      <c r="P23934" s="235"/>
      <c r="AI23934" s="38"/>
    </row>
    <row r="23935" ht="15.75" customHeight="1">
      <c r="A23935" s="35"/>
      <c r="C23935" s="442"/>
      <c r="P23935" s="235"/>
      <c r="AI23935" s="38"/>
    </row>
    <row r="23936" ht="15.75" customHeight="1">
      <c r="A23936" s="35"/>
      <c r="C23936" s="442"/>
      <c r="P23936" s="235"/>
      <c r="AI23936" s="38"/>
    </row>
    <row r="23937" ht="15.75" customHeight="1">
      <c r="A23937" s="35"/>
      <c r="C23937" s="442"/>
      <c r="P23937" s="235"/>
      <c r="AI23937" s="38"/>
    </row>
    <row r="23938" ht="15.75" customHeight="1">
      <c r="A23938" s="35"/>
      <c r="C23938" s="442"/>
      <c r="P23938" s="235"/>
      <c r="AI23938" s="38"/>
    </row>
    <row r="23939" ht="15.75" customHeight="1">
      <c r="A23939" s="35"/>
      <c r="C23939" s="442"/>
      <c r="P23939" s="235"/>
      <c r="AI23939" s="38"/>
    </row>
    <row r="23940" ht="15.75" customHeight="1">
      <c r="A23940" s="35"/>
      <c r="C23940" s="442"/>
      <c r="P23940" s="235"/>
      <c r="AI23940" s="38"/>
    </row>
    <row r="23941" ht="15.75" customHeight="1">
      <c r="A23941" s="35"/>
      <c r="C23941" s="442"/>
      <c r="P23941" s="235"/>
      <c r="AI23941" s="38"/>
    </row>
    <row r="23942" ht="15.75" customHeight="1">
      <c r="A23942" s="35"/>
      <c r="C23942" s="442"/>
      <c r="P23942" s="235"/>
      <c r="AI23942" s="38"/>
    </row>
    <row r="23943" ht="15.75" customHeight="1">
      <c r="A23943" s="35"/>
      <c r="C23943" s="442"/>
      <c r="P23943" s="235"/>
      <c r="AI23943" s="38"/>
    </row>
    <row r="23944" ht="15.75" customHeight="1">
      <c r="A23944" s="35"/>
      <c r="C23944" s="442"/>
      <c r="P23944" s="235"/>
      <c r="AI23944" s="38"/>
    </row>
    <row r="23945" ht="15.75" customHeight="1">
      <c r="A23945" s="35"/>
      <c r="C23945" s="442"/>
      <c r="P23945" s="235"/>
      <c r="AI23945" s="38"/>
    </row>
    <row r="23946" ht="15.75" customHeight="1">
      <c r="A23946" s="35"/>
      <c r="C23946" s="442"/>
      <c r="P23946" s="235"/>
      <c r="AI23946" s="38"/>
    </row>
    <row r="23947" ht="15.75" customHeight="1">
      <c r="A23947" s="35"/>
      <c r="C23947" s="442"/>
      <c r="P23947" s="235"/>
      <c r="AI23947" s="38"/>
    </row>
    <row r="23948" ht="15.75" customHeight="1">
      <c r="A23948" s="35"/>
      <c r="C23948" s="442"/>
      <c r="P23948" s="235"/>
      <c r="AI23948" s="38"/>
    </row>
    <row r="23949" ht="15.75" customHeight="1">
      <c r="A23949" s="35"/>
      <c r="C23949" s="442"/>
      <c r="P23949" s="235"/>
      <c r="AI23949" s="38"/>
    </row>
    <row r="23950" ht="15.75" customHeight="1">
      <c r="A23950" s="35"/>
      <c r="C23950" s="442"/>
      <c r="P23950" s="235"/>
      <c r="AI23950" s="38"/>
    </row>
    <row r="23951" ht="15.75" customHeight="1">
      <c r="A23951" s="35"/>
      <c r="C23951" s="442"/>
      <c r="P23951" s="235"/>
      <c r="AI23951" s="38"/>
    </row>
    <row r="23952" ht="15.75" customHeight="1">
      <c r="A23952" s="35"/>
      <c r="C23952" s="442"/>
      <c r="P23952" s="235"/>
      <c r="AI23952" s="38"/>
    </row>
    <row r="23953" ht="15.75" customHeight="1">
      <c r="A23953" s="35"/>
      <c r="C23953" s="442"/>
      <c r="P23953" s="235"/>
      <c r="AI23953" s="38"/>
    </row>
    <row r="23954" ht="15.75" customHeight="1">
      <c r="A23954" s="35"/>
      <c r="C23954" s="442"/>
      <c r="P23954" s="235"/>
      <c r="AI23954" s="38"/>
    </row>
    <row r="23955" ht="15.75" customHeight="1">
      <c r="A23955" s="35"/>
      <c r="C23955" s="442"/>
      <c r="P23955" s="235"/>
      <c r="AI23955" s="38"/>
    </row>
    <row r="23956" ht="15.75" customHeight="1">
      <c r="A23956" s="35"/>
      <c r="C23956" s="442"/>
      <c r="P23956" s="235"/>
      <c r="AI23956" s="38"/>
    </row>
    <row r="23957" ht="15.75" customHeight="1">
      <c r="A23957" s="35"/>
      <c r="C23957" s="442"/>
      <c r="P23957" s="235"/>
      <c r="AI23957" s="38"/>
    </row>
    <row r="23958" ht="15.75" customHeight="1">
      <c r="A23958" s="35"/>
      <c r="C23958" s="442"/>
      <c r="P23958" s="235"/>
      <c r="AI23958" s="38"/>
    </row>
    <row r="23959" ht="15.75" customHeight="1">
      <c r="A23959" s="35"/>
      <c r="C23959" s="442"/>
      <c r="P23959" s="235"/>
      <c r="AI23959" s="38"/>
    </row>
    <row r="23960" ht="15.75" customHeight="1">
      <c r="A23960" s="35"/>
      <c r="C23960" s="442"/>
      <c r="P23960" s="235"/>
      <c r="AI23960" s="38"/>
    </row>
    <row r="23961" ht="15.75" customHeight="1">
      <c r="A23961" s="35"/>
      <c r="C23961" s="442"/>
      <c r="P23961" s="235"/>
      <c r="AI23961" s="38"/>
    </row>
    <row r="23962" ht="15.75" customHeight="1">
      <c r="A23962" s="35"/>
      <c r="C23962" s="442"/>
      <c r="P23962" s="235"/>
      <c r="AI23962" s="38"/>
    </row>
    <row r="23963" ht="15.75" customHeight="1">
      <c r="A23963" s="35"/>
      <c r="C23963" s="442"/>
      <c r="P23963" s="235"/>
      <c r="AI23963" s="38"/>
    </row>
    <row r="23964" ht="15.75" customHeight="1">
      <c r="A23964" s="35"/>
      <c r="C23964" s="442"/>
      <c r="P23964" s="235"/>
      <c r="AI23964" s="38"/>
    </row>
    <row r="23965" ht="15.75" customHeight="1">
      <c r="A23965" s="35"/>
      <c r="C23965" s="442"/>
      <c r="P23965" s="235"/>
      <c r="AI23965" s="38"/>
    </row>
    <row r="23966" ht="15.75" customHeight="1">
      <c r="A23966" s="35"/>
      <c r="C23966" s="442"/>
      <c r="P23966" s="235"/>
      <c r="AI23966" s="38"/>
    </row>
    <row r="23967" ht="15.75" customHeight="1">
      <c r="A23967" s="35"/>
      <c r="C23967" s="442"/>
      <c r="P23967" s="235"/>
      <c r="AI23967" s="38"/>
    </row>
    <row r="23968" ht="15.75" customHeight="1">
      <c r="A23968" s="35"/>
      <c r="C23968" s="442"/>
      <c r="P23968" s="235"/>
      <c r="AI23968" s="38"/>
    </row>
    <row r="23969" ht="15.75" customHeight="1">
      <c r="A23969" s="35"/>
      <c r="C23969" s="442"/>
      <c r="P23969" s="235"/>
      <c r="AI23969" s="38"/>
    </row>
    <row r="23970" ht="15.75" customHeight="1">
      <c r="A23970" s="35"/>
      <c r="C23970" s="442"/>
      <c r="P23970" s="235"/>
      <c r="AI23970" s="38"/>
    </row>
    <row r="23971" ht="15.75" customHeight="1">
      <c r="A23971" s="35"/>
      <c r="C23971" s="442"/>
      <c r="P23971" s="235"/>
      <c r="AI23971" s="38"/>
    </row>
    <row r="23972" ht="15.75" customHeight="1">
      <c r="A23972" s="35"/>
      <c r="C23972" s="442"/>
      <c r="P23972" s="235"/>
      <c r="AI23972" s="38"/>
    </row>
    <row r="23973" ht="15.75" customHeight="1">
      <c r="A23973" s="35"/>
      <c r="C23973" s="442"/>
      <c r="P23973" s="235"/>
      <c r="AI23973" s="38"/>
    </row>
    <row r="23974" ht="15.75" customHeight="1">
      <c r="A23974" s="35"/>
      <c r="C23974" s="442"/>
      <c r="P23974" s="235"/>
      <c r="AI23974" s="38"/>
    </row>
    <row r="23975" ht="15.75" customHeight="1">
      <c r="A23975" s="35"/>
      <c r="C23975" s="442"/>
      <c r="P23975" s="235"/>
      <c r="AI23975" s="38"/>
    </row>
    <row r="23976" ht="15.75" customHeight="1">
      <c r="A23976" s="35"/>
      <c r="C23976" s="442"/>
      <c r="P23976" s="235"/>
      <c r="AI23976" s="38"/>
    </row>
    <row r="23977" ht="15.75" customHeight="1">
      <c r="A23977" s="35"/>
      <c r="C23977" s="442"/>
      <c r="P23977" s="235"/>
      <c r="AI23977" s="38"/>
    </row>
    <row r="23978" ht="15.75" customHeight="1">
      <c r="A23978" s="35"/>
      <c r="C23978" s="442"/>
      <c r="P23978" s="235"/>
      <c r="AI23978" s="38"/>
    </row>
    <row r="23979" ht="15.75" customHeight="1">
      <c r="A23979" s="35"/>
      <c r="C23979" s="442"/>
      <c r="P23979" s="235"/>
      <c r="AI23979" s="38"/>
    </row>
    <row r="23980" ht="15.75" customHeight="1">
      <c r="A23980" s="35"/>
      <c r="C23980" s="442"/>
      <c r="P23980" s="235"/>
      <c r="AI23980" s="38"/>
    </row>
    <row r="23981" ht="15.75" customHeight="1">
      <c r="A23981" s="35"/>
      <c r="C23981" s="442"/>
      <c r="P23981" s="235"/>
      <c r="AI23981" s="38"/>
    </row>
    <row r="23982" ht="15.75" customHeight="1">
      <c r="A23982" s="35"/>
      <c r="C23982" s="442"/>
      <c r="P23982" s="235"/>
      <c r="AI23982" s="38"/>
    </row>
    <row r="23983" ht="15.75" customHeight="1">
      <c r="A23983" s="35"/>
      <c r="C23983" s="442"/>
      <c r="P23983" s="235"/>
      <c r="AI23983" s="38"/>
    </row>
    <row r="23984" ht="15.75" customHeight="1">
      <c r="A23984" s="35"/>
      <c r="C23984" s="442"/>
      <c r="P23984" s="235"/>
      <c r="AI23984" s="38"/>
    </row>
    <row r="23985" ht="15.75" customHeight="1">
      <c r="A23985" s="35"/>
      <c r="C23985" s="442"/>
      <c r="P23985" s="235"/>
      <c r="AI23985" s="38"/>
    </row>
    <row r="23986" ht="15.75" customHeight="1">
      <c r="A23986" s="35"/>
      <c r="C23986" s="442"/>
      <c r="P23986" s="235"/>
      <c r="AI23986" s="38"/>
    </row>
    <row r="23987" ht="15.75" customHeight="1">
      <c r="A23987" s="35"/>
      <c r="C23987" s="442"/>
      <c r="P23987" s="235"/>
      <c r="AI23987" s="38"/>
    </row>
    <row r="23988" ht="15.75" customHeight="1">
      <c r="A23988" s="35"/>
      <c r="C23988" s="442"/>
      <c r="P23988" s="235"/>
      <c r="AI23988" s="38"/>
    </row>
    <row r="23989" ht="15.75" customHeight="1">
      <c r="A23989" s="35"/>
      <c r="C23989" s="442"/>
      <c r="P23989" s="235"/>
      <c r="AI23989" s="38"/>
    </row>
    <row r="23990" ht="15.75" customHeight="1">
      <c r="A23990" s="35"/>
      <c r="C23990" s="442"/>
      <c r="P23990" s="235"/>
      <c r="AI23990" s="38"/>
    </row>
    <row r="23991" ht="15.75" customHeight="1">
      <c r="A23991" s="35"/>
      <c r="C23991" s="442"/>
      <c r="P23991" s="235"/>
      <c r="AI23991" s="38"/>
    </row>
    <row r="23992" ht="15.75" customHeight="1">
      <c r="A23992" s="35"/>
      <c r="C23992" s="442"/>
      <c r="P23992" s="235"/>
      <c r="AI23992" s="38"/>
    </row>
    <row r="23993" ht="15.75" customHeight="1">
      <c r="A23993" s="35"/>
      <c r="C23993" s="442"/>
      <c r="P23993" s="235"/>
      <c r="AI23993" s="38"/>
    </row>
    <row r="23994" ht="15.75" customHeight="1">
      <c r="A23994" s="35"/>
      <c r="C23994" s="442"/>
      <c r="P23994" s="235"/>
      <c r="AI23994" s="38"/>
    </row>
    <row r="23995" ht="15.75" customHeight="1">
      <c r="A23995" s="35"/>
      <c r="C23995" s="442"/>
      <c r="P23995" s="235"/>
      <c r="AI23995" s="38"/>
    </row>
    <row r="23996" ht="15.75" customHeight="1">
      <c r="A23996" s="35"/>
      <c r="C23996" s="442"/>
      <c r="P23996" s="235"/>
      <c r="AI23996" s="38"/>
    </row>
    <row r="23997" ht="15.75" customHeight="1">
      <c r="A23997" s="35"/>
      <c r="C23997" s="442"/>
      <c r="P23997" s="235"/>
      <c r="AI23997" s="38"/>
    </row>
    <row r="23998" ht="15.75" customHeight="1">
      <c r="A23998" s="35"/>
      <c r="C23998" s="442"/>
      <c r="P23998" s="235"/>
      <c r="AI23998" s="38"/>
    </row>
    <row r="23999" ht="15.75" customHeight="1">
      <c r="A23999" s="35"/>
      <c r="C23999" s="442"/>
      <c r="P23999" s="235"/>
      <c r="AI23999" s="38"/>
    </row>
    <row r="24000" ht="15.75" customHeight="1">
      <c r="A24000" s="35"/>
      <c r="C24000" s="442"/>
      <c r="P24000" s="235"/>
      <c r="AI24000" s="38"/>
    </row>
    <row r="24001" ht="15.75" customHeight="1">
      <c r="A24001" s="35"/>
      <c r="C24001" s="442"/>
      <c r="P24001" s="235"/>
      <c r="AI24001" s="38"/>
    </row>
    <row r="24002" ht="15.75" customHeight="1">
      <c r="A24002" s="35"/>
      <c r="C24002" s="442"/>
      <c r="P24002" s="235"/>
      <c r="AI24002" s="38"/>
    </row>
    <row r="24003" ht="15.75" customHeight="1">
      <c r="A24003" s="35"/>
      <c r="C24003" s="442"/>
      <c r="P24003" s="235"/>
      <c r="AI24003" s="38"/>
    </row>
    <row r="24004" ht="15.75" customHeight="1">
      <c r="A24004" s="35"/>
      <c r="C24004" s="442"/>
      <c r="P24004" s="235"/>
      <c r="AI24004" s="38"/>
    </row>
    <row r="24005" ht="15.75" customHeight="1">
      <c r="A24005" s="35"/>
      <c r="C24005" s="442"/>
      <c r="P24005" s="235"/>
      <c r="AI24005" s="38"/>
    </row>
    <row r="24006" ht="15.75" customHeight="1">
      <c r="A24006" s="35"/>
      <c r="C24006" s="442"/>
      <c r="P24006" s="235"/>
      <c r="AI24006" s="38"/>
    </row>
    <row r="24007" ht="15.75" customHeight="1">
      <c r="A24007" s="35"/>
      <c r="C24007" s="442"/>
      <c r="P24007" s="235"/>
      <c r="AI24007" s="38"/>
    </row>
    <row r="24008" ht="15.75" customHeight="1">
      <c r="A24008" s="35"/>
      <c r="C24008" s="442"/>
      <c r="P24008" s="235"/>
      <c r="AI24008" s="38"/>
    </row>
    <row r="24009" ht="15.75" customHeight="1">
      <c r="A24009" s="35"/>
      <c r="C24009" s="442"/>
      <c r="P24009" s="235"/>
      <c r="AI24009" s="38"/>
    </row>
    <row r="24010" ht="15.75" customHeight="1">
      <c r="A24010" s="35"/>
      <c r="C24010" s="442"/>
      <c r="P24010" s="235"/>
      <c r="AI24010" s="38"/>
    </row>
    <row r="24011" ht="15.75" customHeight="1">
      <c r="A24011" s="35"/>
      <c r="C24011" s="442"/>
      <c r="P24011" s="235"/>
      <c r="AI24011" s="38"/>
    </row>
    <row r="24012" ht="15.75" customHeight="1">
      <c r="A24012" s="35"/>
      <c r="C24012" s="442"/>
      <c r="P24012" s="235"/>
      <c r="AI24012" s="38"/>
    </row>
    <row r="24013" ht="15.75" customHeight="1">
      <c r="A24013" s="35"/>
      <c r="C24013" s="442"/>
      <c r="P24013" s="235"/>
      <c r="AI24013" s="38"/>
    </row>
    <row r="24014" ht="15.75" customHeight="1">
      <c r="A24014" s="35"/>
      <c r="C24014" s="442"/>
      <c r="P24014" s="235"/>
      <c r="AI24014" s="38"/>
    </row>
    <row r="24015" ht="15.75" customHeight="1">
      <c r="A24015" s="35"/>
      <c r="C24015" s="442"/>
      <c r="P24015" s="235"/>
      <c r="AI24015" s="38"/>
    </row>
    <row r="24016" ht="15.75" customHeight="1">
      <c r="A24016" s="35"/>
      <c r="C24016" s="442"/>
      <c r="P24016" s="235"/>
      <c r="AI24016" s="38"/>
    </row>
    <row r="24017" ht="15.75" customHeight="1">
      <c r="A24017" s="35"/>
      <c r="C24017" s="442"/>
      <c r="P24017" s="235"/>
      <c r="AI24017" s="38"/>
    </row>
    <row r="24018" ht="15.75" customHeight="1">
      <c r="A24018" s="35"/>
      <c r="C24018" s="442"/>
      <c r="P24018" s="235"/>
      <c r="AI24018" s="38"/>
    </row>
    <row r="24019" ht="15.75" customHeight="1">
      <c r="A24019" s="35"/>
      <c r="C24019" s="442"/>
      <c r="P24019" s="235"/>
      <c r="AI24019" s="38"/>
    </row>
    <row r="24020" ht="15.75" customHeight="1">
      <c r="A24020" s="35"/>
      <c r="C24020" s="442"/>
      <c r="P24020" s="235"/>
      <c r="AI24020" s="38"/>
    </row>
    <row r="24021" ht="15.75" customHeight="1">
      <c r="A24021" s="35"/>
      <c r="C24021" s="442"/>
      <c r="P24021" s="235"/>
      <c r="AI24021" s="38"/>
    </row>
    <row r="24022" ht="15.75" customHeight="1">
      <c r="A24022" s="35"/>
      <c r="C24022" s="442"/>
      <c r="P24022" s="235"/>
      <c r="AI24022" s="38"/>
    </row>
    <row r="24023" ht="15.75" customHeight="1">
      <c r="A24023" s="35"/>
      <c r="C24023" s="442"/>
      <c r="P24023" s="235"/>
      <c r="AI24023" s="38"/>
    </row>
    <row r="24024" ht="15.75" customHeight="1">
      <c r="A24024" s="35"/>
      <c r="C24024" s="442"/>
      <c r="P24024" s="235"/>
      <c r="AI24024" s="38"/>
    </row>
    <row r="24025" ht="15.75" customHeight="1">
      <c r="A24025" s="35"/>
      <c r="C24025" s="442"/>
      <c r="P24025" s="235"/>
      <c r="AI24025" s="38"/>
    </row>
    <row r="24026" ht="15.75" customHeight="1">
      <c r="A24026" s="35"/>
      <c r="C24026" s="442"/>
      <c r="P24026" s="235"/>
      <c r="AI24026" s="38"/>
    </row>
    <row r="24027" ht="15.75" customHeight="1">
      <c r="A24027" s="35"/>
      <c r="C24027" s="442"/>
      <c r="P24027" s="235"/>
      <c r="AI24027" s="38"/>
    </row>
    <row r="24028" ht="15.75" customHeight="1">
      <c r="A24028" s="35"/>
      <c r="C24028" s="442"/>
      <c r="P24028" s="235"/>
      <c r="AI24028" s="38"/>
    </row>
    <row r="24029" ht="15.75" customHeight="1">
      <c r="A24029" s="35"/>
      <c r="C24029" s="442"/>
      <c r="P24029" s="235"/>
      <c r="AI24029" s="38"/>
    </row>
    <row r="24030" ht="15.75" customHeight="1">
      <c r="A24030" s="35"/>
      <c r="C24030" s="442"/>
      <c r="P24030" s="235"/>
      <c r="AI24030" s="38"/>
    </row>
    <row r="24031" ht="15.75" customHeight="1">
      <c r="A24031" s="35"/>
      <c r="C24031" s="442"/>
      <c r="P24031" s="235"/>
      <c r="AI24031" s="38"/>
    </row>
    <row r="24032" ht="15.75" customHeight="1">
      <c r="A24032" s="35"/>
      <c r="C24032" s="442"/>
      <c r="P24032" s="235"/>
      <c r="AI24032" s="38"/>
    </row>
    <row r="24033" ht="15.75" customHeight="1">
      <c r="A24033" s="35"/>
      <c r="C24033" s="442"/>
      <c r="P24033" s="235"/>
      <c r="AI24033" s="38"/>
    </row>
    <row r="24034" ht="15.75" customHeight="1">
      <c r="A24034" s="35"/>
      <c r="C24034" s="442"/>
      <c r="P24034" s="235"/>
      <c r="AI24034" s="38"/>
    </row>
    <row r="24035" ht="15.75" customHeight="1">
      <c r="A24035" s="35"/>
      <c r="C24035" s="442"/>
      <c r="P24035" s="235"/>
      <c r="AI24035" s="38"/>
    </row>
    <row r="24036" ht="15.75" customHeight="1">
      <c r="A24036" s="35"/>
      <c r="C24036" s="442"/>
      <c r="P24036" s="235"/>
      <c r="AI24036" s="38"/>
    </row>
    <row r="24037" ht="15.75" customHeight="1">
      <c r="A24037" s="35"/>
      <c r="C24037" s="442"/>
      <c r="P24037" s="235"/>
      <c r="AI24037" s="38"/>
    </row>
    <row r="24038" ht="15.75" customHeight="1">
      <c r="A24038" s="35"/>
      <c r="C24038" s="442"/>
      <c r="P24038" s="235"/>
      <c r="AI24038" s="38"/>
    </row>
    <row r="24039" ht="15.75" customHeight="1">
      <c r="A24039" s="35"/>
      <c r="C24039" s="442"/>
      <c r="P24039" s="235"/>
      <c r="AI24039" s="38"/>
    </row>
    <row r="24040" ht="15.75" customHeight="1">
      <c r="A24040" s="35"/>
      <c r="C24040" s="442"/>
      <c r="P24040" s="235"/>
      <c r="AI24040" s="38"/>
    </row>
    <row r="24041" ht="15.75" customHeight="1">
      <c r="A24041" s="35"/>
      <c r="C24041" s="442"/>
      <c r="P24041" s="235"/>
      <c r="AI24041" s="38"/>
    </row>
    <row r="24042" ht="15.75" customHeight="1">
      <c r="A24042" s="35"/>
      <c r="C24042" s="442"/>
      <c r="P24042" s="235"/>
      <c r="AI24042" s="38"/>
    </row>
    <row r="24043" ht="15.75" customHeight="1">
      <c r="A24043" s="35"/>
      <c r="C24043" s="442"/>
      <c r="P24043" s="235"/>
      <c r="AI24043" s="38"/>
    </row>
    <row r="24044" ht="15.75" customHeight="1">
      <c r="A24044" s="35"/>
      <c r="C24044" s="442"/>
      <c r="P24044" s="235"/>
      <c r="AI24044" s="38"/>
    </row>
    <row r="24045" ht="15.75" customHeight="1">
      <c r="A24045" s="35"/>
      <c r="C24045" s="442"/>
      <c r="P24045" s="235"/>
      <c r="AI24045" s="38"/>
    </row>
    <row r="24046" ht="15.75" customHeight="1">
      <c r="A24046" s="35"/>
      <c r="C24046" s="442"/>
      <c r="P24046" s="235"/>
      <c r="AI24046" s="38"/>
    </row>
    <row r="24047" ht="15.75" customHeight="1">
      <c r="A24047" s="35"/>
      <c r="C24047" s="442"/>
      <c r="P24047" s="235"/>
      <c r="AI24047" s="38"/>
    </row>
    <row r="24048" ht="15.75" customHeight="1">
      <c r="A24048" s="35"/>
      <c r="C24048" s="442"/>
      <c r="P24048" s="235"/>
      <c r="AI24048" s="38"/>
    </row>
    <row r="24049" ht="15.75" customHeight="1">
      <c r="A24049" s="35"/>
      <c r="C24049" s="442"/>
      <c r="P24049" s="235"/>
      <c r="AI24049" s="38"/>
    </row>
    <row r="24050" ht="15.75" customHeight="1">
      <c r="A24050" s="35"/>
      <c r="C24050" s="442"/>
      <c r="P24050" s="235"/>
      <c r="AI24050" s="38"/>
    </row>
    <row r="24051" ht="15.75" customHeight="1">
      <c r="A24051" s="35"/>
      <c r="C24051" s="442"/>
      <c r="P24051" s="235"/>
      <c r="AI24051" s="38"/>
    </row>
    <row r="24052" ht="15.75" customHeight="1">
      <c r="A24052" s="35"/>
      <c r="C24052" s="442"/>
      <c r="P24052" s="235"/>
      <c r="AI24052" s="38"/>
    </row>
    <row r="24053" ht="15.75" customHeight="1">
      <c r="A24053" s="35"/>
      <c r="C24053" s="442"/>
      <c r="P24053" s="235"/>
      <c r="AI24053" s="38"/>
    </row>
    <row r="24054" ht="15.75" customHeight="1">
      <c r="A24054" s="35"/>
      <c r="C24054" s="442"/>
      <c r="P24054" s="235"/>
      <c r="AI24054" s="38"/>
    </row>
    <row r="24055" ht="15.75" customHeight="1">
      <c r="A24055" s="35"/>
      <c r="C24055" s="442"/>
      <c r="P24055" s="235"/>
      <c r="AI24055" s="38"/>
    </row>
    <row r="24056" ht="15.75" customHeight="1">
      <c r="A24056" s="35"/>
      <c r="C24056" s="442"/>
      <c r="P24056" s="235"/>
      <c r="AI24056" s="38"/>
    </row>
    <row r="24057" ht="15.75" customHeight="1">
      <c r="A24057" s="35"/>
      <c r="C24057" s="442"/>
      <c r="P24057" s="235"/>
      <c r="AI24057" s="38"/>
    </row>
    <row r="24058" ht="15.75" customHeight="1">
      <c r="A24058" s="35"/>
      <c r="C24058" s="442"/>
      <c r="P24058" s="235"/>
      <c r="AI24058" s="38"/>
    </row>
    <row r="24059" ht="15.75" customHeight="1">
      <c r="A24059" s="35"/>
      <c r="C24059" s="442"/>
      <c r="P24059" s="235"/>
      <c r="AI24059" s="38"/>
    </row>
    <row r="24060" ht="15.75" customHeight="1">
      <c r="A24060" s="35"/>
      <c r="C24060" s="442"/>
      <c r="P24060" s="235"/>
      <c r="AI24060" s="38"/>
    </row>
    <row r="24061" ht="15.75" customHeight="1">
      <c r="A24061" s="35"/>
      <c r="C24061" s="442"/>
      <c r="P24061" s="235"/>
      <c r="AI24061" s="38"/>
    </row>
    <row r="24062" ht="15.75" customHeight="1">
      <c r="A24062" s="35"/>
      <c r="C24062" s="442"/>
      <c r="P24062" s="235"/>
      <c r="AI24062" s="38"/>
    </row>
    <row r="24063" ht="15.75" customHeight="1">
      <c r="A24063" s="35"/>
      <c r="C24063" s="442"/>
      <c r="P24063" s="235"/>
      <c r="AI24063" s="38"/>
    </row>
    <row r="24064" ht="15.75" customHeight="1">
      <c r="A24064" s="35"/>
      <c r="C24064" s="442"/>
      <c r="P24064" s="235"/>
      <c r="AI24064" s="38"/>
    </row>
    <row r="24065" ht="15.75" customHeight="1">
      <c r="A24065" s="35"/>
      <c r="C24065" s="442"/>
      <c r="P24065" s="235"/>
      <c r="AI24065" s="38"/>
    </row>
    <row r="24066" ht="15.75" customHeight="1">
      <c r="A24066" s="35"/>
      <c r="C24066" s="442"/>
      <c r="P24066" s="235"/>
      <c r="AI24066" s="38"/>
    </row>
    <row r="24067" ht="15.75" customHeight="1">
      <c r="A24067" s="35"/>
      <c r="C24067" s="442"/>
      <c r="P24067" s="235"/>
      <c r="AI24067" s="38"/>
    </row>
    <row r="24068" ht="15.75" customHeight="1">
      <c r="A24068" s="35"/>
      <c r="C24068" s="442"/>
      <c r="P24068" s="235"/>
      <c r="AI24068" s="38"/>
    </row>
    <row r="24069" ht="15.75" customHeight="1">
      <c r="A24069" s="35"/>
      <c r="C24069" s="442"/>
      <c r="P24069" s="235"/>
      <c r="AI24069" s="38"/>
    </row>
    <row r="24070" ht="15.75" customHeight="1">
      <c r="A24070" s="35"/>
      <c r="C24070" s="442"/>
      <c r="P24070" s="235"/>
      <c r="AI24070" s="38"/>
    </row>
    <row r="24071" ht="15.75" customHeight="1">
      <c r="A24071" s="35"/>
      <c r="C24071" s="442"/>
      <c r="P24071" s="235"/>
      <c r="AI24071" s="38"/>
    </row>
    <row r="24072" ht="15.75" customHeight="1">
      <c r="A24072" s="35"/>
      <c r="C24072" s="442"/>
      <c r="P24072" s="235"/>
      <c r="AI24072" s="38"/>
    </row>
    <row r="24073" ht="15.75" customHeight="1">
      <c r="A24073" s="35"/>
      <c r="C24073" s="442"/>
      <c r="P24073" s="235"/>
      <c r="AI24073" s="38"/>
    </row>
    <row r="24074" ht="15.75" customHeight="1">
      <c r="A24074" s="35"/>
      <c r="C24074" s="442"/>
      <c r="P24074" s="235"/>
      <c r="AI24074" s="38"/>
    </row>
    <row r="24075" ht="15.75" customHeight="1">
      <c r="A24075" s="35"/>
      <c r="C24075" s="442"/>
      <c r="P24075" s="235"/>
      <c r="AI24075" s="38"/>
    </row>
    <row r="24076" ht="15.75" customHeight="1">
      <c r="A24076" s="35"/>
      <c r="C24076" s="442"/>
      <c r="P24076" s="235"/>
      <c r="AI24076" s="38"/>
    </row>
    <row r="24077" ht="15.75" customHeight="1">
      <c r="A24077" s="35"/>
      <c r="C24077" s="442"/>
      <c r="P24077" s="235"/>
      <c r="AI24077" s="38"/>
    </row>
    <row r="24078" ht="15.75" customHeight="1">
      <c r="A24078" s="35"/>
      <c r="C24078" s="442"/>
      <c r="P24078" s="235"/>
      <c r="AI24078" s="38"/>
    </row>
    <row r="24079" ht="15.75" customHeight="1">
      <c r="A24079" s="35"/>
      <c r="C24079" s="442"/>
      <c r="P24079" s="235"/>
      <c r="AI24079" s="38"/>
    </row>
    <row r="24080" ht="15.75" customHeight="1">
      <c r="A24080" s="35"/>
      <c r="C24080" s="442"/>
      <c r="P24080" s="235"/>
      <c r="AI24080" s="38"/>
    </row>
    <row r="24081" ht="15.75" customHeight="1">
      <c r="A24081" s="35"/>
      <c r="C24081" s="442"/>
      <c r="P24081" s="235"/>
      <c r="AI24081" s="38"/>
    </row>
    <row r="24082" ht="15.75" customHeight="1">
      <c r="A24082" s="35"/>
      <c r="C24082" s="442"/>
      <c r="P24082" s="235"/>
      <c r="AI24082" s="38"/>
    </row>
    <row r="24083" ht="15.75" customHeight="1">
      <c r="A24083" s="35"/>
      <c r="C24083" s="442"/>
      <c r="P24083" s="235"/>
      <c r="AI24083" s="38"/>
    </row>
    <row r="24084" ht="15.75" customHeight="1">
      <c r="A24084" s="35"/>
      <c r="C24084" s="442"/>
      <c r="P24084" s="235"/>
      <c r="AI24084" s="38"/>
    </row>
    <row r="24085" ht="15.75" customHeight="1">
      <c r="A24085" s="35"/>
      <c r="C24085" s="442"/>
      <c r="P24085" s="235"/>
      <c r="AI24085" s="38"/>
    </row>
    <row r="24086" ht="15.75" customHeight="1">
      <c r="A24086" s="35"/>
      <c r="C24086" s="442"/>
      <c r="P24086" s="235"/>
      <c r="AI24086" s="38"/>
    </row>
    <row r="24087" ht="15.75" customHeight="1">
      <c r="A24087" s="35"/>
      <c r="C24087" s="442"/>
      <c r="P24087" s="235"/>
      <c r="AI24087" s="38"/>
    </row>
    <row r="24088" ht="15.75" customHeight="1">
      <c r="A24088" s="35"/>
      <c r="C24088" s="442"/>
      <c r="P24088" s="235"/>
      <c r="AI24088" s="38"/>
    </row>
    <row r="24089" ht="15.75" customHeight="1">
      <c r="A24089" s="35"/>
      <c r="C24089" s="442"/>
      <c r="P24089" s="235"/>
      <c r="AI24089" s="38"/>
    </row>
    <row r="24090" ht="15.75" customHeight="1">
      <c r="A24090" s="35"/>
      <c r="C24090" s="442"/>
      <c r="P24090" s="235"/>
      <c r="AI24090" s="38"/>
    </row>
    <row r="24091" ht="15.75" customHeight="1">
      <c r="A24091" s="35"/>
      <c r="C24091" s="442"/>
      <c r="P24091" s="235"/>
      <c r="AI24091" s="38"/>
    </row>
    <row r="24092" ht="15.75" customHeight="1">
      <c r="A24092" s="35"/>
      <c r="C24092" s="442"/>
      <c r="P24092" s="235"/>
      <c r="AI24092" s="38"/>
    </row>
    <row r="24093" ht="15.75" customHeight="1">
      <c r="A24093" s="35"/>
      <c r="C24093" s="442"/>
      <c r="P24093" s="235"/>
      <c r="AI24093" s="38"/>
    </row>
    <row r="24094" ht="15.75" customHeight="1">
      <c r="A24094" s="35"/>
      <c r="C24094" s="442"/>
      <c r="P24094" s="235"/>
      <c r="AI24094" s="38"/>
    </row>
    <row r="24095" ht="15.75" customHeight="1">
      <c r="A24095" s="35"/>
      <c r="C24095" s="442"/>
      <c r="P24095" s="235"/>
      <c r="AI24095" s="38"/>
    </row>
    <row r="24096" ht="15.75" customHeight="1">
      <c r="A24096" s="35"/>
      <c r="C24096" s="442"/>
      <c r="P24096" s="235"/>
      <c r="AI24096" s="38"/>
    </row>
    <row r="24097" ht="15.75" customHeight="1">
      <c r="A24097" s="35"/>
      <c r="C24097" s="442"/>
      <c r="P24097" s="235"/>
      <c r="AI24097" s="38"/>
    </row>
    <row r="24098" ht="15.75" customHeight="1">
      <c r="A24098" s="35"/>
      <c r="C24098" s="442"/>
      <c r="P24098" s="235"/>
      <c r="AI24098" s="38"/>
    </row>
    <row r="24099" ht="15.75" customHeight="1">
      <c r="A24099" s="35"/>
      <c r="C24099" s="442"/>
      <c r="P24099" s="235"/>
      <c r="AI24099" s="38"/>
    </row>
    <row r="24100" ht="15.75" customHeight="1">
      <c r="A24100" s="35"/>
      <c r="C24100" s="442"/>
      <c r="P24100" s="235"/>
      <c r="AI24100" s="38"/>
    </row>
    <row r="24101" ht="15.75" customHeight="1">
      <c r="A24101" s="35"/>
      <c r="C24101" s="442"/>
      <c r="P24101" s="235"/>
      <c r="AI24101" s="38"/>
    </row>
    <row r="24102" ht="15.75" customHeight="1">
      <c r="A24102" s="35"/>
      <c r="C24102" s="442"/>
      <c r="P24102" s="235"/>
      <c r="AI24102" s="38"/>
    </row>
    <row r="24103" ht="15.75" customHeight="1">
      <c r="A24103" s="35"/>
      <c r="C24103" s="442"/>
      <c r="P24103" s="235"/>
      <c r="AI24103" s="38"/>
    </row>
    <row r="24104" ht="15.75" customHeight="1">
      <c r="A24104" s="35"/>
      <c r="C24104" s="442"/>
      <c r="P24104" s="235"/>
      <c r="AI24104" s="38"/>
    </row>
    <row r="24105" ht="15.75" customHeight="1">
      <c r="A24105" s="35"/>
      <c r="C24105" s="442"/>
      <c r="P24105" s="235"/>
      <c r="AI24105" s="38"/>
    </row>
    <row r="24106" ht="15.75" customHeight="1">
      <c r="A24106" s="35"/>
      <c r="C24106" s="442"/>
      <c r="P24106" s="235"/>
      <c r="AI24106" s="38"/>
    </row>
    <row r="24107" ht="15.75" customHeight="1">
      <c r="A24107" s="35"/>
      <c r="C24107" s="442"/>
      <c r="P24107" s="235"/>
      <c r="AI24107" s="38"/>
    </row>
    <row r="24108" ht="15.75" customHeight="1">
      <c r="A24108" s="35"/>
      <c r="C24108" s="442"/>
      <c r="P24108" s="235"/>
      <c r="AI24108" s="38"/>
    </row>
    <row r="24109" ht="15.75" customHeight="1">
      <c r="A24109" s="35"/>
      <c r="C24109" s="442"/>
      <c r="P24109" s="235"/>
      <c r="AI24109" s="38"/>
    </row>
    <row r="24110" ht="15.75" customHeight="1">
      <c r="A24110" s="35"/>
      <c r="C24110" s="442"/>
      <c r="P24110" s="235"/>
      <c r="AI24110" s="38"/>
    </row>
    <row r="24111" ht="15.75" customHeight="1">
      <c r="A24111" s="35"/>
      <c r="C24111" s="442"/>
      <c r="P24111" s="235"/>
      <c r="AI24111" s="38"/>
    </row>
    <row r="24112" ht="15.75" customHeight="1">
      <c r="A24112" s="35"/>
      <c r="C24112" s="442"/>
      <c r="P24112" s="235"/>
      <c r="AI24112" s="38"/>
    </row>
    <row r="24113" ht="15.75" customHeight="1">
      <c r="A24113" s="35"/>
      <c r="C24113" s="442"/>
      <c r="P24113" s="235"/>
      <c r="AI24113" s="38"/>
    </row>
    <row r="24114" ht="15.75" customHeight="1">
      <c r="A24114" s="35"/>
      <c r="C24114" s="442"/>
      <c r="P24114" s="235"/>
      <c r="AI24114" s="38"/>
    </row>
    <row r="24115" ht="15.75" customHeight="1">
      <c r="A24115" s="35"/>
      <c r="C24115" s="442"/>
      <c r="P24115" s="235"/>
      <c r="AI24115" s="38"/>
    </row>
    <row r="24116" ht="15.75" customHeight="1">
      <c r="A24116" s="35"/>
      <c r="C24116" s="442"/>
      <c r="P24116" s="235"/>
      <c r="AI24116" s="38"/>
    </row>
    <row r="24117" ht="15.75" customHeight="1">
      <c r="A24117" s="35"/>
      <c r="C24117" s="442"/>
      <c r="P24117" s="235"/>
      <c r="AI24117" s="38"/>
    </row>
    <row r="24118" ht="15.75" customHeight="1">
      <c r="A24118" s="35"/>
      <c r="C24118" s="442"/>
      <c r="P24118" s="235"/>
      <c r="AI24118" s="38"/>
    </row>
    <row r="24119" ht="15.75" customHeight="1">
      <c r="A24119" s="35"/>
      <c r="C24119" s="442"/>
      <c r="P24119" s="235"/>
      <c r="AI24119" s="38"/>
    </row>
    <row r="24120" ht="15.75" customHeight="1">
      <c r="A24120" s="35"/>
      <c r="C24120" s="442"/>
      <c r="P24120" s="235"/>
      <c r="AI24120" s="38"/>
    </row>
    <row r="24121" ht="15.75" customHeight="1">
      <c r="A24121" s="35"/>
      <c r="C24121" s="442"/>
      <c r="P24121" s="235"/>
      <c r="AI24121" s="38"/>
    </row>
    <row r="24122" ht="15.75" customHeight="1">
      <c r="A24122" s="35"/>
      <c r="C24122" s="442"/>
      <c r="P24122" s="235"/>
      <c r="AI24122" s="38"/>
    </row>
    <row r="24123" ht="15.75" customHeight="1">
      <c r="A24123" s="35"/>
      <c r="C24123" s="442"/>
      <c r="P24123" s="235"/>
      <c r="AI24123" s="38"/>
    </row>
    <row r="24124" ht="15.75" customHeight="1">
      <c r="A24124" s="35"/>
      <c r="C24124" s="442"/>
      <c r="P24124" s="235"/>
      <c r="AI24124" s="38"/>
    </row>
    <row r="24125" ht="15.75" customHeight="1">
      <c r="A24125" s="35"/>
      <c r="C24125" s="442"/>
      <c r="P24125" s="235"/>
      <c r="AI24125" s="38"/>
    </row>
    <row r="24126" ht="15.75" customHeight="1">
      <c r="A24126" s="35"/>
      <c r="C24126" s="442"/>
      <c r="P24126" s="235"/>
      <c r="AI24126" s="38"/>
    </row>
    <row r="24127" ht="15.75" customHeight="1">
      <c r="A24127" s="35"/>
      <c r="C24127" s="442"/>
      <c r="P24127" s="235"/>
      <c r="AI24127" s="38"/>
    </row>
    <row r="24128" ht="15.75" customHeight="1">
      <c r="A24128" s="35"/>
      <c r="C24128" s="442"/>
      <c r="P24128" s="235"/>
      <c r="AI24128" s="38"/>
    </row>
    <row r="24129" ht="15.75" customHeight="1">
      <c r="A24129" s="35"/>
      <c r="C24129" s="442"/>
      <c r="P24129" s="235"/>
      <c r="AI24129" s="38"/>
    </row>
    <row r="24130" ht="15.75" customHeight="1">
      <c r="A24130" s="35"/>
      <c r="C24130" s="442"/>
      <c r="P24130" s="235"/>
      <c r="AI24130" s="38"/>
    </row>
    <row r="24131" ht="15.75" customHeight="1">
      <c r="A24131" s="35"/>
      <c r="C24131" s="442"/>
      <c r="P24131" s="235"/>
      <c r="AI24131" s="38"/>
    </row>
    <row r="24132" ht="15.75" customHeight="1">
      <c r="A24132" s="35"/>
      <c r="C24132" s="442"/>
      <c r="P24132" s="235"/>
      <c r="AI24132" s="38"/>
    </row>
    <row r="24133" ht="15.75" customHeight="1">
      <c r="A24133" s="35"/>
      <c r="C24133" s="442"/>
      <c r="P24133" s="235"/>
      <c r="AI24133" s="38"/>
    </row>
    <row r="24134" ht="15.75" customHeight="1">
      <c r="A24134" s="35"/>
      <c r="C24134" s="442"/>
      <c r="P24134" s="235"/>
      <c r="AI24134" s="38"/>
    </row>
    <row r="24135" ht="15.75" customHeight="1">
      <c r="A24135" s="35"/>
      <c r="C24135" s="442"/>
      <c r="P24135" s="235"/>
      <c r="AI24135" s="38"/>
    </row>
    <row r="24136" ht="15.75" customHeight="1">
      <c r="A24136" s="35"/>
      <c r="C24136" s="442"/>
      <c r="P24136" s="235"/>
      <c r="AI24136" s="38"/>
    </row>
    <row r="24137" ht="15.75" customHeight="1">
      <c r="A24137" s="35"/>
      <c r="C24137" s="442"/>
      <c r="P24137" s="235"/>
      <c r="AI24137" s="38"/>
    </row>
    <row r="24138" ht="15.75" customHeight="1">
      <c r="A24138" s="35"/>
      <c r="C24138" s="442"/>
      <c r="P24138" s="235"/>
      <c r="AI24138" s="38"/>
    </row>
    <row r="24139" ht="15.75" customHeight="1">
      <c r="A24139" s="35"/>
      <c r="C24139" s="442"/>
      <c r="P24139" s="235"/>
      <c r="AI24139" s="38"/>
    </row>
    <row r="24140" ht="15.75" customHeight="1">
      <c r="A24140" s="35"/>
      <c r="C24140" s="442"/>
      <c r="P24140" s="235"/>
      <c r="AI24140" s="38"/>
    </row>
    <row r="24141" ht="15.75" customHeight="1">
      <c r="A24141" s="35"/>
      <c r="C24141" s="442"/>
      <c r="P24141" s="235"/>
      <c r="AI24141" s="38"/>
    </row>
    <row r="24142" ht="15.75" customHeight="1">
      <c r="A24142" s="35"/>
      <c r="C24142" s="442"/>
      <c r="P24142" s="235"/>
      <c r="AI24142" s="38"/>
    </row>
    <row r="24143" ht="15.75" customHeight="1">
      <c r="A24143" s="35"/>
      <c r="C24143" s="442"/>
      <c r="P24143" s="235"/>
      <c r="AI24143" s="38"/>
    </row>
    <row r="24144" ht="15.75" customHeight="1">
      <c r="A24144" s="35"/>
      <c r="C24144" s="442"/>
      <c r="P24144" s="235"/>
      <c r="AI24144" s="38"/>
    </row>
    <row r="24145" ht="15.75" customHeight="1">
      <c r="A24145" s="35"/>
      <c r="C24145" s="442"/>
      <c r="P24145" s="235"/>
      <c r="AI24145" s="38"/>
    </row>
    <row r="24146" ht="15.75" customHeight="1">
      <c r="A24146" s="35"/>
      <c r="C24146" s="442"/>
      <c r="P24146" s="235"/>
      <c r="AI24146" s="38"/>
    </row>
    <row r="24147" ht="15.75" customHeight="1">
      <c r="A24147" s="35"/>
      <c r="C24147" s="442"/>
      <c r="P24147" s="235"/>
      <c r="AI24147" s="38"/>
    </row>
    <row r="24148" ht="15.75" customHeight="1">
      <c r="A24148" s="35"/>
      <c r="C24148" s="442"/>
      <c r="P24148" s="235"/>
      <c r="AI24148" s="38"/>
    </row>
    <row r="24149" ht="15.75" customHeight="1">
      <c r="A24149" s="35"/>
      <c r="C24149" s="442"/>
      <c r="P24149" s="235"/>
      <c r="AI24149" s="38"/>
    </row>
    <row r="24150" ht="15.75" customHeight="1">
      <c r="A24150" s="35"/>
      <c r="C24150" s="442"/>
      <c r="P24150" s="235"/>
      <c r="AI24150" s="38"/>
    </row>
    <row r="24151" ht="15.75" customHeight="1">
      <c r="A24151" s="35"/>
      <c r="C24151" s="442"/>
      <c r="P24151" s="235"/>
      <c r="AI24151" s="38"/>
    </row>
    <row r="24152" ht="15.75" customHeight="1">
      <c r="A24152" s="35"/>
      <c r="C24152" s="442"/>
      <c r="P24152" s="235"/>
      <c r="AI24152" s="38"/>
    </row>
    <row r="24153" ht="15.75" customHeight="1">
      <c r="A24153" s="35"/>
      <c r="C24153" s="442"/>
      <c r="P24153" s="235"/>
      <c r="AI24153" s="38"/>
    </row>
    <row r="24154" ht="15.75" customHeight="1">
      <c r="A24154" s="35"/>
      <c r="C24154" s="442"/>
      <c r="P24154" s="235"/>
      <c r="AI24154" s="38"/>
    </row>
    <row r="24155" ht="15.75" customHeight="1">
      <c r="A24155" s="35"/>
      <c r="C24155" s="442"/>
      <c r="P24155" s="235"/>
      <c r="AI24155" s="38"/>
    </row>
    <row r="24156" ht="15.75" customHeight="1">
      <c r="A24156" s="35"/>
      <c r="C24156" s="442"/>
      <c r="P24156" s="235"/>
      <c r="AI24156" s="38"/>
    </row>
    <row r="24157" ht="15.75" customHeight="1">
      <c r="A24157" s="35"/>
      <c r="C24157" s="442"/>
      <c r="P24157" s="235"/>
      <c r="AI24157" s="38"/>
    </row>
    <row r="24158" ht="15.75" customHeight="1">
      <c r="A24158" s="35"/>
      <c r="C24158" s="442"/>
      <c r="P24158" s="235"/>
      <c r="AI24158" s="38"/>
    </row>
    <row r="24159" ht="15.75" customHeight="1">
      <c r="A24159" s="35"/>
      <c r="C24159" s="442"/>
      <c r="P24159" s="235"/>
      <c r="AI24159" s="38"/>
    </row>
    <row r="24160" ht="15.75" customHeight="1">
      <c r="A24160" s="35"/>
      <c r="C24160" s="442"/>
      <c r="P24160" s="235"/>
      <c r="AI24160" s="38"/>
    </row>
    <row r="24161" ht="15.75" customHeight="1">
      <c r="A24161" s="35"/>
      <c r="C24161" s="442"/>
      <c r="P24161" s="235"/>
      <c r="AI24161" s="38"/>
    </row>
    <row r="24162" ht="15.75" customHeight="1">
      <c r="A24162" s="35"/>
      <c r="C24162" s="442"/>
      <c r="P24162" s="235"/>
      <c r="AI24162" s="38"/>
    </row>
    <row r="24163" ht="15.75" customHeight="1">
      <c r="A24163" s="35"/>
      <c r="C24163" s="442"/>
      <c r="P24163" s="235"/>
      <c r="AI24163" s="38"/>
    </row>
    <row r="24164" ht="15.75" customHeight="1">
      <c r="A24164" s="35"/>
      <c r="C24164" s="442"/>
      <c r="P24164" s="235"/>
      <c r="AI24164" s="38"/>
    </row>
    <row r="24165" ht="15.75" customHeight="1">
      <c r="A24165" s="35"/>
      <c r="C24165" s="442"/>
      <c r="P24165" s="235"/>
      <c r="AI24165" s="38"/>
    </row>
    <row r="24166" ht="15.75" customHeight="1">
      <c r="A24166" s="35"/>
      <c r="C24166" s="442"/>
      <c r="P24166" s="235"/>
      <c r="AI24166" s="38"/>
    </row>
    <row r="24167" ht="15.75" customHeight="1">
      <c r="A24167" s="35"/>
      <c r="C24167" s="442"/>
      <c r="P24167" s="235"/>
      <c r="AI24167" s="38"/>
    </row>
    <row r="24168" ht="15.75" customHeight="1">
      <c r="A24168" s="35"/>
      <c r="C24168" s="442"/>
      <c r="P24168" s="235"/>
      <c r="AI24168" s="38"/>
    </row>
    <row r="24169" ht="15.75" customHeight="1">
      <c r="A24169" s="35"/>
      <c r="C24169" s="442"/>
      <c r="P24169" s="235"/>
      <c r="AI24169" s="38"/>
    </row>
    <row r="24170" ht="15.75" customHeight="1">
      <c r="A24170" s="35"/>
      <c r="C24170" s="442"/>
      <c r="P24170" s="235"/>
      <c r="AI24170" s="38"/>
    </row>
    <row r="24171" ht="15.75" customHeight="1">
      <c r="A24171" s="35"/>
      <c r="C24171" s="442"/>
      <c r="P24171" s="235"/>
      <c r="AI24171" s="38"/>
    </row>
    <row r="24172" ht="15.75" customHeight="1">
      <c r="A24172" s="35"/>
      <c r="C24172" s="442"/>
      <c r="P24172" s="235"/>
      <c r="AI24172" s="38"/>
    </row>
    <row r="24173" ht="15.75" customHeight="1">
      <c r="A24173" s="35"/>
      <c r="C24173" s="442"/>
      <c r="P24173" s="235"/>
      <c r="AI24173" s="38"/>
    </row>
    <row r="24174" ht="15.75" customHeight="1">
      <c r="A24174" s="35"/>
      <c r="C24174" s="442"/>
      <c r="P24174" s="235"/>
      <c r="AI24174" s="38"/>
    </row>
    <row r="24175" ht="15.75" customHeight="1">
      <c r="A24175" s="35"/>
      <c r="C24175" s="442"/>
      <c r="P24175" s="235"/>
      <c r="AI24175" s="38"/>
    </row>
    <row r="24176" ht="15.75" customHeight="1">
      <c r="A24176" s="35"/>
      <c r="C24176" s="442"/>
      <c r="P24176" s="235"/>
      <c r="AI24176" s="38"/>
    </row>
    <row r="24177" ht="15.75" customHeight="1">
      <c r="A24177" s="35"/>
      <c r="C24177" s="442"/>
      <c r="P24177" s="235"/>
      <c r="AI24177" s="38"/>
    </row>
    <row r="24178" ht="15.75" customHeight="1">
      <c r="A24178" s="35"/>
      <c r="C24178" s="442"/>
      <c r="P24178" s="235"/>
      <c r="AI24178" s="38"/>
    </row>
    <row r="24179" ht="15.75" customHeight="1">
      <c r="A24179" s="35"/>
      <c r="C24179" s="442"/>
      <c r="P24179" s="235"/>
      <c r="AI24179" s="38"/>
    </row>
    <row r="24180" ht="15.75" customHeight="1">
      <c r="A24180" s="35"/>
      <c r="C24180" s="442"/>
      <c r="P24180" s="235"/>
      <c r="AI24180" s="38"/>
    </row>
    <row r="24181" ht="15.75" customHeight="1">
      <c r="A24181" s="35"/>
      <c r="C24181" s="442"/>
      <c r="P24181" s="235"/>
      <c r="AI24181" s="38"/>
    </row>
    <row r="24182" ht="15.75" customHeight="1">
      <c r="A24182" s="35"/>
      <c r="C24182" s="442"/>
      <c r="P24182" s="235"/>
      <c r="AI24182" s="38"/>
    </row>
    <row r="24183" ht="15.75" customHeight="1">
      <c r="A24183" s="35"/>
      <c r="C24183" s="442"/>
      <c r="P24183" s="235"/>
      <c r="AI24183" s="38"/>
    </row>
    <row r="24184" ht="15.75" customHeight="1">
      <c r="A24184" s="35"/>
      <c r="C24184" s="442"/>
      <c r="P24184" s="235"/>
      <c r="AI24184" s="38"/>
    </row>
    <row r="24185" ht="15.75" customHeight="1">
      <c r="A24185" s="35"/>
      <c r="C24185" s="442"/>
      <c r="P24185" s="235"/>
      <c r="AI24185" s="38"/>
    </row>
    <row r="24186" ht="15.75" customHeight="1">
      <c r="A24186" s="35"/>
      <c r="C24186" s="442"/>
      <c r="P24186" s="235"/>
      <c r="AI24186" s="38"/>
    </row>
    <row r="24187" ht="15.75" customHeight="1">
      <c r="A24187" s="35"/>
      <c r="C24187" s="442"/>
      <c r="P24187" s="235"/>
      <c r="AI24187" s="38"/>
    </row>
    <row r="24188" ht="15.75" customHeight="1">
      <c r="A24188" s="35"/>
      <c r="C24188" s="442"/>
      <c r="P24188" s="235"/>
      <c r="AI24188" s="38"/>
    </row>
    <row r="24189" ht="15.75" customHeight="1">
      <c r="A24189" s="35"/>
      <c r="C24189" s="442"/>
      <c r="P24189" s="235"/>
      <c r="AI24189" s="38"/>
    </row>
    <row r="24190" ht="15.75" customHeight="1">
      <c r="A24190" s="35"/>
      <c r="C24190" s="442"/>
      <c r="P24190" s="235"/>
      <c r="AI24190" s="38"/>
    </row>
    <row r="24191" ht="15.75" customHeight="1">
      <c r="A24191" s="35"/>
      <c r="C24191" s="442"/>
      <c r="P24191" s="235"/>
      <c r="AI24191" s="38"/>
    </row>
    <row r="24192" ht="15.75" customHeight="1">
      <c r="A24192" s="35"/>
      <c r="C24192" s="442"/>
      <c r="P24192" s="235"/>
      <c r="AI24192" s="38"/>
    </row>
    <row r="24193" ht="15.75" customHeight="1">
      <c r="A24193" s="35"/>
      <c r="C24193" s="442"/>
      <c r="P24193" s="235"/>
      <c r="AI24193" s="38"/>
    </row>
    <row r="24194" ht="15.75" customHeight="1">
      <c r="A24194" s="35"/>
      <c r="C24194" s="442"/>
      <c r="P24194" s="235"/>
      <c r="AI24194" s="38"/>
    </row>
    <row r="24195" ht="15.75" customHeight="1">
      <c r="A24195" s="35"/>
      <c r="C24195" s="442"/>
      <c r="P24195" s="235"/>
      <c r="AI24195" s="38"/>
    </row>
    <row r="24196" ht="15.75" customHeight="1">
      <c r="A24196" s="35"/>
      <c r="C24196" s="442"/>
      <c r="P24196" s="235"/>
      <c r="AI24196" s="38"/>
    </row>
    <row r="24197" ht="15.75" customHeight="1">
      <c r="A24197" s="35"/>
      <c r="C24197" s="442"/>
      <c r="P24197" s="235"/>
      <c r="AI24197" s="38"/>
    </row>
    <row r="24198" ht="15.75" customHeight="1">
      <c r="A24198" s="35"/>
      <c r="C24198" s="442"/>
      <c r="P24198" s="235"/>
      <c r="AI24198" s="38"/>
    </row>
    <row r="24199" ht="15.75" customHeight="1">
      <c r="A24199" s="35"/>
      <c r="C24199" s="442"/>
      <c r="P24199" s="235"/>
      <c r="AI24199" s="38"/>
    </row>
    <row r="24200" ht="15.75" customHeight="1">
      <c r="A24200" s="35"/>
      <c r="C24200" s="442"/>
      <c r="P24200" s="235"/>
      <c r="AI24200" s="38"/>
    </row>
    <row r="24201" ht="15.75" customHeight="1">
      <c r="A24201" s="35"/>
      <c r="C24201" s="442"/>
      <c r="P24201" s="235"/>
      <c r="AI24201" s="38"/>
    </row>
    <row r="24202" ht="15.75" customHeight="1">
      <c r="A24202" s="35"/>
      <c r="C24202" s="442"/>
      <c r="P24202" s="235"/>
      <c r="AI24202" s="38"/>
    </row>
    <row r="24203" ht="15.75" customHeight="1">
      <c r="A24203" s="35"/>
      <c r="C24203" s="442"/>
      <c r="P24203" s="235"/>
      <c r="AI24203" s="38"/>
    </row>
    <row r="24204" ht="15.75" customHeight="1">
      <c r="A24204" s="35"/>
      <c r="C24204" s="442"/>
      <c r="P24204" s="235"/>
      <c r="AI24204" s="38"/>
    </row>
    <row r="24205" ht="15.75" customHeight="1">
      <c r="A24205" s="35"/>
      <c r="C24205" s="442"/>
      <c r="P24205" s="235"/>
      <c r="AI24205" s="38"/>
    </row>
    <row r="24206" ht="15.75" customHeight="1">
      <c r="A24206" s="35"/>
      <c r="C24206" s="442"/>
      <c r="P24206" s="235"/>
      <c r="AI24206" s="38"/>
    </row>
    <row r="24207" ht="15.75" customHeight="1">
      <c r="A24207" s="35"/>
      <c r="C24207" s="442"/>
      <c r="P24207" s="235"/>
      <c r="AI24207" s="38"/>
    </row>
    <row r="24208" ht="15.75" customHeight="1">
      <c r="A24208" s="35"/>
      <c r="C24208" s="442"/>
      <c r="P24208" s="235"/>
      <c r="AI24208" s="38"/>
    </row>
    <row r="24209" ht="15.75" customHeight="1">
      <c r="A24209" s="35"/>
      <c r="C24209" s="442"/>
      <c r="P24209" s="235"/>
      <c r="AI24209" s="38"/>
    </row>
    <row r="24210" ht="15.75" customHeight="1">
      <c r="A24210" s="35"/>
      <c r="C24210" s="442"/>
      <c r="P24210" s="235"/>
      <c r="AI24210" s="38"/>
    </row>
    <row r="24211" ht="15.75" customHeight="1">
      <c r="A24211" s="35"/>
      <c r="C24211" s="442"/>
      <c r="P24211" s="235"/>
      <c r="AI24211" s="38"/>
    </row>
    <row r="24212" ht="15.75" customHeight="1">
      <c r="A24212" s="35"/>
      <c r="C24212" s="442"/>
      <c r="P24212" s="235"/>
      <c r="AI24212" s="38"/>
    </row>
    <row r="24213" ht="15.75" customHeight="1">
      <c r="A24213" s="35"/>
      <c r="C24213" s="442"/>
      <c r="P24213" s="235"/>
      <c r="AI24213" s="38"/>
    </row>
    <row r="24214" ht="15.75" customHeight="1">
      <c r="A24214" s="35"/>
      <c r="C24214" s="442"/>
      <c r="P24214" s="235"/>
      <c r="AI24214" s="38"/>
    </row>
    <row r="24215" ht="15.75" customHeight="1">
      <c r="A24215" s="35"/>
      <c r="C24215" s="442"/>
      <c r="P24215" s="235"/>
      <c r="AI24215" s="38"/>
    </row>
    <row r="24216" ht="15.75" customHeight="1">
      <c r="A24216" s="35"/>
      <c r="C24216" s="442"/>
      <c r="P24216" s="235"/>
      <c r="AI24216" s="38"/>
    </row>
    <row r="24217" ht="15.75" customHeight="1">
      <c r="A24217" s="35"/>
      <c r="C24217" s="442"/>
      <c r="P24217" s="235"/>
      <c r="AI24217" s="38"/>
    </row>
    <row r="24218" ht="15.75" customHeight="1">
      <c r="A24218" s="35"/>
      <c r="C24218" s="442"/>
      <c r="P24218" s="235"/>
      <c r="AI24218" s="38"/>
    </row>
    <row r="24219" ht="15.75" customHeight="1">
      <c r="A24219" s="35"/>
      <c r="C24219" s="442"/>
      <c r="P24219" s="235"/>
      <c r="AI24219" s="38"/>
    </row>
    <row r="24220" ht="15.75" customHeight="1">
      <c r="A24220" s="35"/>
      <c r="C24220" s="442"/>
      <c r="P24220" s="235"/>
      <c r="AI24220" s="38"/>
    </row>
    <row r="24221" ht="15.75" customHeight="1">
      <c r="A24221" s="35"/>
      <c r="C24221" s="442"/>
      <c r="P24221" s="235"/>
      <c r="AI24221" s="38"/>
    </row>
    <row r="24222" ht="15.75" customHeight="1">
      <c r="A24222" s="35"/>
      <c r="C24222" s="442"/>
      <c r="P24222" s="235"/>
      <c r="AI24222" s="38"/>
    </row>
    <row r="24223" ht="15.75" customHeight="1">
      <c r="A24223" s="35"/>
      <c r="C24223" s="442"/>
      <c r="P24223" s="235"/>
      <c r="AI24223" s="38"/>
    </row>
    <row r="24224" ht="15.75" customHeight="1">
      <c r="A24224" s="35"/>
      <c r="C24224" s="442"/>
      <c r="P24224" s="235"/>
      <c r="AI24224" s="38"/>
    </row>
    <row r="24225" ht="15.75" customHeight="1">
      <c r="A24225" s="35"/>
      <c r="C24225" s="442"/>
      <c r="P24225" s="235"/>
      <c r="AI24225" s="38"/>
    </row>
    <row r="24226" ht="15.75" customHeight="1">
      <c r="A24226" s="35"/>
      <c r="C24226" s="442"/>
      <c r="P24226" s="235"/>
      <c r="AI24226" s="38"/>
    </row>
    <row r="24227" ht="15.75" customHeight="1">
      <c r="A24227" s="35"/>
      <c r="C24227" s="442"/>
      <c r="P24227" s="235"/>
      <c r="AI24227" s="38"/>
    </row>
    <row r="24228" ht="15.75" customHeight="1">
      <c r="A24228" s="35"/>
      <c r="C24228" s="442"/>
      <c r="P24228" s="235"/>
      <c r="AI24228" s="38"/>
    </row>
    <row r="24229" ht="15.75" customHeight="1">
      <c r="A24229" s="35"/>
      <c r="C24229" s="442"/>
      <c r="P24229" s="235"/>
      <c r="AI24229" s="38"/>
    </row>
    <row r="24230" ht="15.75" customHeight="1">
      <c r="A24230" s="35"/>
      <c r="C24230" s="442"/>
      <c r="P24230" s="235"/>
      <c r="AI24230" s="38"/>
    </row>
    <row r="24231" ht="15.75" customHeight="1">
      <c r="A24231" s="35"/>
      <c r="C24231" s="442"/>
      <c r="P24231" s="235"/>
      <c r="AI24231" s="38"/>
    </row>
    <row r="24232" ht="15.75" customHeight="1">
      <c r="A24232" s="35"/>
      <c r="C24232" s="442"/>
      <c r="P24232" s="235"/>
      <c r="AI24232" s="38"/>
    </row>
    <row r="24233" ht="15.75" customHeight="1">
      <c r="A24233" s="35"/>
      <c r="C24233" s="442"/>
      <c r="P24233" s="235"/>
      <c r="AI24233" s="38"/>
    </row>
    <row r="24234" ht="15.75" customHeight="1">
      <c r="A24234" s="35"/>
      <c r="C24234" s="442"/>
      <c r="P24234" s="235"/>
      <c r="AI24234" s="38"/>
    </row>
    <row r="24235" ht="15.75" customHeight="1">
      <c r="A24235" s="35"/>
      <c r="C24235" s="442"/>
      <c r="P24235" s="235"/>
      <c r="AI24235" s="38"/>
    </row>
    <row r="24236" ht="15.75" customHeight="1">
      <c r="A24236" s="35"/>
      <c r="C24236" s="442"/>
      <c r="P24236" s="235"/>
      <c r="AI24236" s="38"/>
    </row>
    <row r="24237" ht="15.75" customHeight="1">
      <c r="A24237" s="35"/>
      <c r="C24237" s="442"/>
      <c r="P24237" s="235"/>
      <c r="AI24237" s="38"/>
    </row>
    <row r="24238" ht="15.75" customHeight="1">
      <c r="A24238" s="35"/>
      <c r="C24238" s="442"/>
      <c r="P24238" s="235"/>
      <c r="AI24238" s="38"/>
    </row>
    <row r="24239" ht="15.75" customHeight="1">
      <c r="A24239" s="35"/>
      <c r="C24239" s="442"/>
      <c r="P24239" s="235"/>
      <c r="AI24239" s="38"/>
    </row>
    <row r="24240" ht="15.75" customHeight="1">
      <c r="A24240" s="35"/>
      <c r="C24240" s="442"/>
      <c r="P24240" s="235"/>
      <c r="AI24240" s="38"/>
    </row>
    <row r="24241" ht="15.75" customHeight="1">
      <c r="A24241" s="35"/>
      <c r="C24241" s="442"/>
      <c r="P24241" s="235"/>
      <c r="AI24241" s="38"/>
    </row>
    <row r="24242" ht="15.75" customHeight="1">
      <c r="A24242" s="35"/>
      <c r="C24242" s="442"/>
      <c r="P24242" s="235"/>
      <c r="AI24242" s="38"/>
    </row>
    <row r="24243" ht="15.75" customHeight="1">
      <c r="A24243" s="35"/>
      <c r="C24243" s="442"/>
      <c r="P24243" s="235"/>
      <c r="AI24243" s="38"/>
    </row>
    <row r="24244" ht="15.75" customHeight="1">
      <c r="A24244" s="35"/>
      <c r="C24244" s="442"/>
      <c r="P24244" s="235"/>
      <c r="AI24244" s="38"/>
    </row>
    <row r="24245" ht="15.75" customHeight="1">
      <c r="A24245" s="35"/>
      <c r="C24245" s="442"/>
      <c r="P24245" s="235"/>
      <c r="AI24245" s="38"/>
    </row>
    <row r="24246" ht="15.75" customHeight="1">
      <c r="A24246" s="35"/>
      <c r="C24246" s="442"/>
      <c r="P24246" s="235"/>
      <c r="AI24246" s="38"/>
    </row>
    <row r="24247" ht="15.75" customHeight="1">
      <c r="A24247" s="35"/>
      <c r="C24247" s="442"/>
      <c r="P24247" s="235"/>
      <c r="AI24247" s="38"/>
    </row>
    <row r="24248" ht="15.75" customHeight="1">
      <c r="A24248" s="35"/>
      <c r="C24248" s="442"/>
      <c r="P24248" s="235"/>
      <c r="AI24248" s="38"/>
    </row>
    <row r="24249" ht="15.75" customHeight="1">
      <c r="A24249" s="35"/>
      <c r="C24249" s="442"/>
      <c r="P24249" s="235"/>
      <c r="AI24249" s="38"/>
    </row>
    <row r="24250" ht="15.75" customHeight="1">
      <c r="A24250" s="35"/>
      <c r="C24250" s="442"/>
      <c r="P24250" s="235"/>
      <c r="AI24250" s="38"/>
    </row>
    <row r="24251" ht="15.75" customHeight="1">
      <c r="A24251" s="35"/>
      <c r="C24251" s="442"/>
      <c r="P24251" s="235"/>
      <c r="AI24251" s="38"/>
    </row>
    <row r="24252" ht="15.75" customHeight="1">
      <c r="A24252" s="35"/>
      <c r="C24252" s="442"/>
      <c r="P24252" s="235"/>
      <c r="AI24252" s="38"/>
    </row>
    <row r="24253" ht="15.75" customHeight="1">
      <c r="A24253" s="35"/>
      <c r="C24253" s="442"/>
      <c r="P24253" s="235"/>
      <c r="AI24253" s="38"/>
    </row>
    <row r="24254" ht="15.75" customHeight="1">
      <c r="A24254" s="35"/>
      <c r="C24254" s="442"/>
      <c r="P24254" s="235"/>
      <c r="AI24254" s="38"/>
    </row>
    <row r="24255" ht="15.75" customHeight="1">
      <c r="A24255" s="35"/>
      <c r="C24255" s="442"/>
      <c r="P24255" s="235"/>
      <c r="AI24255" s="38"/>
    </row>
    <row r="24256" ht="15.75" customHeight="1">
      <c r="A24256" s="35"/>
      <c r="C24256" s="442"/>
      <c r="P24256" s="235"/>
      <c r="AI24256" s="38"/>
    </row>
    <row r="24257" ht="15.75" customHeight="1">
      <c r="A24257" s="35"/>
      <c r="C24257" s="442"/>
      <c r="P24257" s="235"/>
      <c r="AI24257" s="38"/>
    </row>
    <row r="24258" ht="15.75" customHeight="1">
      <c r="A24258" s="35"/>
      <c r="C24258" s="442"/>
      <c r="P24258" s="235"/>
      <c r="AI24258" s="38"/>
    </row>
    <row r="24259" ht="15.75" customHeight="1">
      <c r="A24259" s="35"/>
      <c r="C24259" s="442"/>
      <c r="P24259" s="235"/>
      <c r="AI24259" s="38"/>
    </row>
    <row r="24260" ht="15.75" customHeight="1">
      <c r="A24260" s="35"/>
      <c r="C24260" s="442"/>
      <c r="P24260" s="235"/>
      <c r="AI24260" s="38"/>
    </row>
    <row r="24261" ht="15.75" customHeight="1">
      <c r="A24261" s="35"/>
      <c r="C24261" s="442"/>
      <c r="P24261" s="235"/>
      <c r="AI24261" s="38"/>
    </row>
    <row r="24262" ht="15.75" customHeight="1">
      <c r="A24262" s="35"/>
      <c r="C24262" s="442"/>
      <c r="P24262" s="235"/>
      <c r="AI24262" s="38"/>
    </row>
    <row r="24263" ht="15.75" customHeight="1">
      <c r="A24263" s="35"/>
      <c r="C24263" s="442"/>
      <c r="P24263" s="235"/>
      <c r="AI24263" s="38"/>
    </row>
    <row r="24264" ht="15.75" customHeight="1">
      <c r="A24264" s="35"/>
      <c r="C24264" s="442"/>
      <c r="P24264" s="235"/>
      <c r="AI24264" s="38"/>
    </row>
    <row r="24265" ht="15.75" customHeight="1">
      <c r="A24265" s="35"/>
      <c r="C24265" s="442"/>
      <c r="P24265" s="235"/>
      <c r="AI24265" s="38"/>
    </row>
    <row r="24266" ht="15.75" customHeight="1">
      <c r="A24266" s="35"/>
      <c r="C24266" s="442"/>
      <c r="P24266" s="235"/>
      <c r="AI24266" s="38"/>
    </row>
    <row r="24267" ht="15.75" customHeight="1">
      <c r="A24267" s="35"/>
      <c r="C24267" s="442"/>
      <c r="P24267" s="235"/>
      <c r="AI24267" s="38"/>
    </row>
    <row r="24268" ht="15.75" customHeight="1">
      <c r="A24268" s="35"/>
      <c r="C24268" s="442"/>
      <c r="P24268" s="235"/>
      <c r="AI24268" s="38"/>
    </row>
    <row r="24269" ht="15.75" customHeight="1">
      <c r="A24269" s="35"/>
      <c r="C24269" s="442"/>
      <c r="P24269" s="235"/>
      <c r="AI24269" s="38"/>
    </row>
    <row r="24270" ht="15.75" customHeight="1">
      <c r="A24270" s="35"/>
      <c r="C24270" s="442"/>
      <c r="P24270" s="235"/>
      <c r="AI24270" s="38"/>
    </row>
    <row r="24271" ht="15.75" customHeight="1">
      <c r="A24271" s="35"/>
      <c r="C24271" s="442"/>
      <c r="P24271" s="235"/>
      <c r="AI24271" s="38"/>
    </row>
    <row r="24272" ht="15.75" customHeight="1">
      <c r="A24272" s="35"/>
      <c r="C24272" s="442"/>
      <c r="P24272" s="235"/>
      <c r="AI24272" s="38"/>
    </row>
    <row r="24273" ht="15.75" customHeight="1">
      <c r="A24273" s="35"/>
      <c r="C24273" s="442"/>
      <c r="P24273" s="235"/>
      <c r="AI24273" s="38"/>
    </row>
    <row r="24274" ht="15.75" customHeight="1">
      <c r="A24274" s="35"/>
      <c r="C24274" s="442"/>
      <c r="P24274" s="235"/>
      <c r="AI24274" s="38"/>
    </row>
    <row r="24275" ht="15.75" customHeight="1">
      <c r="A24275" s="35"/>
      <c r="C24275" s="442"/>
      <c r="P24275" s="235"/>
      <c r="AI24275" s="38"/>
    </row>
    <row r="24276" ht="15.75" customHeight="1">
      <c r="A24276" s="35"/>
      <c r="C24276" s="442"/>
      <c r="P24276" s="235"/>
      <c r="AI24276" s="38"/>
    </row>
    <row r="24277" ht="15.75" customHeight="1">
      <c r="A24277" s="35"/>
      <c r="C24277" s="442"/>
      <c r="P24277" s="235"/>
      <c r="AI24277" s="38"/>
    </row>
    <row r="24278" ht="15.75" customHeight="1">
      <c r="A24278" s="35"/>
      <c r="C24278" s="442"/>
      <c r="P24278" s="235"/>
      <c r="AI24278" s="38"/>
    </row>
    <row r="24279" ht="15.75" customHeight="1">
      <c r="A24279" s="35"/>
      <c r="C24279" s="442"/>
      <c r="P24279" s="235"/>
      <c r="AI24279" s="38"/>
    </row>
    <row r="24280" ht="15.75" customHeight="1">
      <c r="A24280" s="35"/>
      <c r="C24280" s="442"/>
      <c r="P24280" s="235"/>
      <c r="AI24280" s="38"/>
    </row>
    <row r="24281" ht="15.75" customHeight="1">
      <c r="A24281" s="35"/>
      <c r="C24281" s="442"/>
      <c r="P24281" s="235"/>
      <c r="AI24281" s="38"/>
    </row>
    <row r="24282" ht="15.75" customHeight="1">
      <c r="A24282" s="35"/>
      <c r="C24282" s="442"/>
      <c r="P24282" s="235"/>
      <c r="AI24282" s="38"/>
    </row>
    <row r="24283" ht="15.75" customHeight="1">
      <c r="A24283" s="35"/>
      <c r="C24283" s="442"/>
      <c r="P24283" s="235"/>
      <c r="AI24283" s="38"/>
    </row>
    <row r="24284" ht="15.75" customHeight="1">
      <c r="A24284" s="35"/>
      <c r="C24284" s="442"/>
      <c r="P24284" s="235"/>
      <c r="AI24284" s="38"/>
    </row>
    <row r="24285" ht="15.75" customHeight="1">
      <c r="A24285" s="35"/>
      <c r="C24285" s="442"/>
      <c r="P24285" s="235"/>
      <c r="AI24285" s="38"/>
    </row>
    <row r="24286" ht="15.75" customHeight="1">
      <c r="A24286" s="35"/>
      <c r="C24286" s="442"/>
      <c r="P24286" s="235"/>
      <c r="AI24286" s="38"/>
    </row>
    <row r="24287" ht="15.75" customHeight="1">
      <c r="A24287" s="35"/>
      <c r="C24287" s="442"/>
      <c r="P24287" s="235"/>
      <c r="AI24287" s="38"/>
    </row>
    <row r="24288" ht="15.75" customHeight="1">
      <c r="A24288" s="35"/>
      <c r="C24288" s="442"/>
      <c r="P24288" s="235"/>
      <c r="AI24288" s="38"/>
    </row>
    <row r="24289" ht="15.75" customHeight="1">
      <c r="A24289" s="35"/>
      <c r="C24289" s="442"/>
      <c r="P24289" s="235"/>
      <c r="AI24289" s="38"/>
    </row>
    <row r="24290" ht="15.75" customHeight="1">
      <c r="A24290" s="35"/>
      <c r="C24290" s="442"/>
      <c r="P24290" s="235"/>
      <c r="AI24290" s="38"/>
    </row>
    <row r="24291" ht="15.75" customHeight="1">
      <c r="A24291" s="35"/>
      <c r="C24291" s="442"/>
      <c r="P24291" s="235"/>
      <c r="AI24291" s="38"/>
    </row>
    <row r="24292" ht="15.75" customHeight="1">
      <c r="A24292" s="35"/>
      <c r="C24292" s="442"/>
      <c r="P24292" s="235"/>
      <c r="AI24292" s="38"/>
    </row>
    <row r="24293" ht="15.75" customHeight="1">
      <c r="A24293" s="35"/>
      <c r="C24293" s="442"/>
      <c r="P24293" s="235"/>
      <c r="AI24293" s="38"/>
    </row>
    <row r="24294" ht="15.75" customHeight="1">
      <c r="A24294" s="35"/>
      <c r="C24294" s="442"/>
      <c r="P24294" s="235"/>
      <c r="AI24294" s="38"/>
    </row>
    <row r="24295" ht="15.75" customHeight="1">
      <c r="A24295" s="35"/>
      <c r="C24295" s="442"/>
      <c r="P24295" s="235"/>
      <c r="AI24295" s="38"/>
    </row>
    <row r="24296" ht="15.75" customHeight="1">
      <c r="A24296" s="35"/>
      <c r="C24296" s="442"/>
      <c r="P24296" s="235"/>
      <c r="AI24296" s="38"/>
    </row>
    <row r="24297" ht="15.75" customHeight="1">
      <c r="A24297" s="35"/>
      <c r="C24297" s="442"/>
      <c r="P24297" s="235"/>
      <c r="AI24297" s="38"/>
    </row>
    <row r="24298" ht="15.75" customHeight="1">
      <c r="A24298" s="35"/>
      <c r="C24298" s="442"/>
      <c r="P24298" s="235"/>
      <c r="AI24298" s="38"/>
    </row>
    <row r="24299" ht="15.75" customHeight="1">
      <c r="A24299" s="35"/>
      <c r="C24299" s="442"/>
      <c r="P24299" s="235"/>
      <c r="AI24299" s="38"/>
    </row>
    <row r="24300" ht="15.75" customHeight="1">
      <c r="A24300" s="35"/>
      <c r="C24300" s="442"/>
      <c r="P24300" s="235"/>
      <c r="AI24300" s="38"/>
    </row>
    <row r="24301" ht="15.75" customHeight="1">
      <c r="A24301" s="35"/>
      <c r="C24301" s="442"/>
      <c r="P24301" s="235"/>
      <c r="AI24301" s="38"/>
    </row>
    <row r="24302" ht="15.75" customHeight="1">
      <c r="A24302" s="35"/>
      <c r="C24302" s="442"/>
      <c r="P24302" s="235"/>
      <c r="AI24302" s="38"/>
    </row>
    <row r="24303" ht="15.75" customHeight="1">
      <c r="A24303" s="35"/>
      <c r="C24303" s="442"/>
      <c r="P24303" s="235"/>
      <c r="AI24303" s="38"/>
    </row>
    <row r="24304" ht="15.75" customHeight="1">
      <c r="A24304" s="35"/>
      <c r="C24304" s="442"/>
      <c r="P24304" s="235"/>
      <c r="AI24304" s="38"/>
    </row>
    <row r="24305" ht="15.75" customHeight="1">
      <c r="A24305" s="35"/>
      <c r="C24305" s="442"/>
      <c r="P24305" s="235"/>
      <c r="AI24305" s="38"/>
    </row>
    <row r="24306" ht="15.75" customHeight="1">
      <c r="A24306" s="35"/>
      <c r="C24306" s="442"/>
      <c r="P24306" s="235"/>
      <c r="AI24306" s="38"/>
    </row>
    <row r="24307" ht="15.75" customHeight="1">
      <c r="A24307" s="35"/>
      <c r="C24307" s="442"/>
      <c r="P24307" s="235"/>
      <c r="AI24307" s="38"/>
    </row>
    <row r="24308" ht="15.75" customHeight="1">
      <c r="A24308" s="35"/>
      <c r="C24308" s="442"/>
      <c r="P24308" s="235"/>
      <c r="AI24308" s="38"/>
    </row>
    <row r="24309" ht="15.75" customHeight="1">
      <c r="A24309" s="35"/>
      <c r="C24309" s="442"/>
      <c r="P24309" s="235"/>
      <c r="AI24309" s="38"/>
    </row>
    <row r="24310" ht="15.75" customHeight="1">
      <c r="A24310" s="35"/>
      <c r="C24310" s="442"/>
      <c r="P24310" s="235"/>
      <c r="AI24310" s="38"/>
    </row>
    <row r="24311" ht="15.75" customHeight="1">
      <c r="A24311" s="35"/>
      <c r="C24311" s="442"/>
      <c r="P24311" s="235"/>
      <c r="AI24311" s="38"/>
    </row>
    <row r="24312" ht="15.75" customHeight="1">
      <c r="A24312" s="35"/>
      <c r="C24312" s="442"/>
      <c r="P24312" s="235"/>
      <c r="AI24312" s="38"/>
    </row>
    <row r="24313" ht="15.75" customHeight="1">
      <c r="A24313" s="35"/>
      <c r="C24313" s="442"/>
      <c r="P24313" s="235"/>
      <c r="AI24313" s="38"/>
    </row>
    <row r="24314" ht="15.75" customHeight="1">
      <c r="A24314" s="35"/>
      <c r="C24314" s="442"/>
      <c r="P24314" s="235"/>
      <c r="AI24314" s="38"/>
    </row>
    <row r="24315" ht="15.75" customHeight="1">
      <c r="A24315" s="35"/>
      <c r="C24315" s="442"/>
      <c r="P24315" s="235"/>
      <c r="AI24315" s="38"/>
    </row>
    <row r="24316" ht="15.75" customHeight="1">
      <c r="A24316" s="35"/>
      <c r="C24316" s="442"/>
      <c r="P24316" s="235"/>
      <c r="AI24316" s="38"/>
    </row>
    <row r="24317" ht="15.75" customHeight="1">
      <c r="A24317" s="35"/>
      <c r="C24317" s="442"/>
      <c r="P24317" s="235"/>
      <c r="AI24317" s="38"/>
    </row>
    <row r="24318" ht="15.75" customHeight="1">
      <c r="A24318" s="35"/>
      <c r="C24318" s="442"/>
      <c r="P24318" s="235"/>
      <c r="AI24318" s="38"/>
    </row>
    <row r="24319" ht="15.75" customHeight="1">
      <c r="A24319" s="35"/>
      <c r="C24319" s="442"/>
      <c r="P24319" s="235"/>
      <c r="AI24319" s="38"/>
    </row>
    <row r="24320" ht="15.75" customHeight="1">
      <c r="A24320" s="35"/>
      <c r="C24320" s="442"/>
      <c r="P24320" s="235"/>
      <c r="AI24320" s="38"/>
    </row>
    <row r="24321" ht="15.75" customHeight="1">
      <c r="A24321" s="35"/>
      <c r="C24321" s="442"/>
      <c r="P24321" s="235"/>
      <c r="AI24321" s="38"/>
    </row>
    <row r="24322" ht="15.75" customHeight="1">
      <c r="A24322" s="35"/>
      <c r="C24322" s="442"/>
      <c r="P24322" s="235"/>
      <c r="AI24322" s="38"/>
    </row>
    <row r="24323" ht="15.75" customHeight="1">
      <c r="A24323" s="35"/>
      <c r="C24323" s="442"/>
      <c r="P24323" s="235"/>
      <c r="AI24323" s="38"/>
    </row>
    <row r="24324" ht="15.75" customHeight="1">
      <c r="A24324" s="35"/>
      <c r="C24324" s="442"/>
      <c r="P24324" s="235"/>
      <c r="AI24324" s="38"/>
    </row>
    <row r="24325" ht="15.75" customHeight="1">
      <c r="A24325" s="35"/>
      <c r="C24325" s="442"/>
      <c r="P24325" s="235"/>
      <c r="AI24325" s="38"/>
    </row>
    <row r="24326" ht="15.75" customHeight="1">
      <c r="A24326" s="35"/>
      <c r="C24326" s="442"/>
      <c r="P24326" s="235"/>
      <c r="AI24326" s="38"/>
    </row>
    <row r="24327" ht="15.75" customHeight="1">
      <c r="A24327" s="35"/>
      <c r="C24327" s="442"/>
      <c r="P24327" s="235"/>
      <c r="AI24327" s="38"/>
    </row>
    <row r="24328" ht="15.75" customHeight="1">
      <c r="A24328" s="35"/>
      <c r="C24328" s="442"/>
      <c r="P24328" s="235"/>
      <c r="AI24328" s="38"/>
    </row>
    <row r="24329" ht="15.75" customHeight="1">
      <c r="A24329" s="35"/>
      <c r="C24329" s="442"/>
      <c r="P24329" s="235"/>
      <c r="AI24329" s="38"/>
    </row>
    <row r="24330" ht="15.75" customHeight="1">
      <c r="A24330" s="35"/>
      <c r="C24330" s="442"/>
      <c r="P24330" s="235"/>
      <c r="AI24330" s="38"/>
    </row>
    <row r="24331" ht="15.75" customHeight="1">
      <c r="A24331" s="35"/>
      <c r="C24331" s="442"/>
      <c r="P24331" s="235"/>
      <c r="AI24331" s="38"/>
    </row>
    <row r="24332" ht="15.75" customHeight="1">
      <c r="A24332" s="35"/>
      <c r="C24332" s="442"/>
      <c r="P24332" s="235"/>
      <c r="AI24332" s="38"/>
    </row>
    <row r="24333" ht="15.75" customHeight="1">
      <c r="A24333" s="35"/>
      <c r="C24333" s="442"/>
      <c r="P24333" s="235"/>
      <c r="AI24333" s="38"/>
    </row>
    <row r="24334" ht="15.75" customHeight="1">
      <c r="A24334" s="35"/>
      <c r="C24334" s="442"/>
      <c r="P24334" s="235"/>
      <c r="AI24334" s="38"/>
    </row>
    <row r="24335" ht="15.75" customHeight="1">
      <c r="A24335" s="35"/>
      <c r="C24335" s="442"/>
      <c r="P24335" s="235"/>
      <c r="AI24335" s="38"/>
    </row>
    <row r="24336" ht="15.75" customHeight="1">
      <c r="A24336" s="35"/>
      <c r="C24336" s="442"/>
      <c r="P24336" s="235"/>
      <c r="AI24336" s="38"/>
    </row>
    <row r="24337" ht="15.75" customHeight="1">
      <c r="A24337" s="35"/>
      <c r="C24337" s="442"/>
      <c r="P24337" s="235"/>
      <c r="AI24337" s="38"/>
    </row>
    <row r="24338" ht="15.75" customHeight="1">
      <c r="A24338" s="35"/>
      <c r="C24338" s="442"/>
      <c r="P24338" s="235"/>
      <c r="AI24338" s="38"/>
    </row>
    <row r="24339" ht="15.75" customHeight="1">
      <c r="A24339" s="35"/>
      <c r="C24339" s="442"/>
      <c r="P24339" s="235"/>
      <c r="AI24339" s="38"/>
    </row>
    <row r="24340" ht="15.75" customHeight="1">
      <c r="A24340" s="35"/>
      <c r="C24340" s="442"/>
      <c r="P24340" s="235"/>
      <c r="AI24340" s="38"/>
    </row>
    <row r="24341" ht="15.75" customHeight="1">
      <c r="A24341" s="35"/>
      <c r="C24341" s="442"/>
      <c r="P24341" s="235"/>
      <c r="AI24341" s="38"/>
    </row>
    <row r="24342" ht="15.75" customHeight="1">
      <c r="A24342" s="35"/>
      <c r="C24342" s="442"/>
      <c r="P24342" s="235"/>
      <c r="AI24342" s="38"/>
    </row>
    <row r="24343" ht="15.75" customHeight="1">
      <c r="A24343" s="35"/>
      <c r="C24343" s="442"/>
      <c r="P24343" s="235"/>
      <c r="AI24343" s="38"/>
    </row>
    <row r="24344" ht="15.75" customHeight="1">
      <c r="A24344" s="35"/>
      <c r="C24344" s="442"/>
      <c r="P24344" s="235"/>
      <c r="AI24344" s="38"/>
    </row>
    <row r="24345" ht="15.75" customHeight="1">
      <c r="A24345" s="35"/>
      <c r="C24345" s="442"/>
      <c r="P24345" s="235"/>
      <c r="AI24345" s="38"/>
    </row>
    <row r="24346" ht="15.75" customHeight="1">
      <c r="A24346" s="35"/>
      <c r="C24346" s="442"/>
      <c r="P24346" s="235"/>
      <c r="AI24346" s="38"/>
    </row>
    <row r="24347" ht="15.75" customHeight="1">
      <c r="A24347" s="35"/>
      <c r="C24347" s="442"/>
      <c r="P24347" s="235"/>
      <c r="AI24347" s="38"/>
    </row>
    <row r="24348" ht="15.75" customHeight="1">
      <c r="A24348" s="35"/>
      <c r="C24348" s="442"/>
      <c r="P24348" s="235"/>
      <c r="AI24348" s="38"/>
    </row>
    <row r="24349" ht="15.75" customHeight="1">
      <c r="A24349" s="35"/>
      <c r="C24349" s="442"/>
      <c r="P24349" s="235"/>
      <c r="AI24349" s="38"/>
    </row>
    <row r="24350" ht="15.75" customHeight="1">
      <c r="A24350" s="35"/>
      <c r="C24350" s="442"/>
      <c r="P24350" s="235"/>
      <c r="AI24350" s="38"/>
    </row>
    <row r="24351" ht="15.75" customHeight="1">
      <c r="A24351" s="35"/>
      <c r="C24351" s="442"/>
      <c r="P24351" s="235"/>
      <c r="AI24351" s="38"/>
    </row>
    <row r="24352" ht="15.75" customHeight="1">
      <c r="A24352" s="35"/>
      <c r="C24352" s="442"/>
      <c r="P24352" s="235"/>
      <c r="AI24352" s="38"/>
    </row>
    <row r="24353" ht="15.75" customHeight="1">
      <c r="A24353" s="35"/>
      <c r="C24353" s="442"/>
      <c r="P24353" s="235"/>
      <c r="AI24353" s="38"/>
    </row>
    <row r="24354" ht="15.75" customHeight="1">
      <c r="A24354" s="35"/>
      <c r="C24354" s="442"/>
      <c r="P24354" s="235"/>
      <c r="AI24354" s="38"/>
    </row>
    <row r="24355" ht="15.75" customHeight="1">
      <c r="A24355" s="35"/>
      <c r="C24355" s="442"/>
      <c r="P24355" s="235"/>
      <c r="AI24355" s="38"/>
    </row>
    <row r="24356" ht="15.75" customHeight="1">
      <c r="A24356" s="35"/>
      <c r="C24356" s="442"/>
      <c r="P24356" s="235"/>
      <c r="AI24356" s="38"/>
    </row>
    <row r="24357" ht="15.75" customHeight="1">
      <c r="A24357" s="35"/>
      <c r="C24357" s="442"/>
      <c r="P24357" s="235"/>
      <c r="AI24357" s="38"/>
    </row>
    <row r="24358" ht="15.75" customHeight="1">
      <c r="A24358" s="35"/>
      <c r="C24358" s="442"/>
      <c r="P24358" s="235"/>
      <c r="AI24358" s="38"/>
    </row>
    <row r="24359" ht="15.75" customHeight="1">
      <c r="A24359" s="35"/>
      <c r="C24359" s="442"/>
      <c r="P24359" s="235"/>
      <c r="AI24359" s="38"/>
    </row>
    <row r="24360" ht="15.75" customHeight="1">
      <c r="A24360" s="35"/>
      <c r="C24360" s="442"/>
      <c r="P24360" s="235"/>
      <c r="AI24360" s="38"/>
    </row>
    <row r="24361" ht="15.75" customHeight="1">
      <c r="A24361" s="35"/>
      <c r="C24361" s="442"/>
      <c r="P24361" s="235"/>
      <c r="AI24361" s="38"/>
    </row>
    <row r="24362" ht="15.75" customHeight="1">
      <c r="A24362" s="35"/>
      <c r="C24362" s="442"/>
      <c r="P24362" s="235"/>
      <c r="AI24362" s="38"/>
    </row>
    <row r="24363" ht="15.75" customHeight="1">
      <c r="A24363" s="35"/>
      <c r="C24363" s="442"/>
      <c r="P24363" s="235"/>
      <c r="AI24363" s="38"/>
    </row>
    <row r="24364" ht="15.75" customHeight="1">
      <c r="A24364" s="35"/>
      <c r="C24364" s="442"/>
      <c r="P24364" s="235"/>
      <c r="AI24364" s="38"/>
    </row>
    <row r="24365" ht="15.75" customHeight="1">
      <c r="A24365" s="35"/>
      <c r="C24365" s="442"/>
      <c r="P24365" s="235"/>
      <c r="AI24365" s="38"/>
    </row>
    <row r="24366" ht="15.75" customHeight="1">
      <c r="A24366" s="35"/>
      <c r="C24366" s="442"/>
      <c r="P24366" s="235"/>
      <c r="AI24366" s="38"/>
    </row>
    <row r="24367" ht="15.75" customHeight="1">
      <c r="A24367" s="35"/>
      <c r="C24367" s="442"/>
      <c r="P24367" s="235"/>
      <c r="AI24367" s="38"/>
    </row>
    <row r="24368" ht="15.75" customHeight="1">
      <c r="A24368" s="35"/>
      <c r="C24368" s="442"/>
      <c r="P24368" s="235"/>
      <c r="AI24368" s="38"/>
    </row>
    <row r="24369" ht="15.75" customHeight="1">
      <c r="A24369" s="35"/>
      <c r="C24369" s="442"/>
      <c r="P24369" s="235"/>
      <c r="AI24369" s="38"/>
    </row>
    <row r="24370" ht="15.75" customHeight="1">
      <c r="A24370" s="35"/>
      <c r="C24370" s="442"/>
      <c r="P24370" s="235"/>
      <c r="AI24370" s="38"/>
    </row>
    <row r="24371" ht="15.75" customHeight="1">
      <c r="A24371" s="35"/>
      <c r="C24371" s="442"/>
      <c r="P24371" s="235"/>
      <c r="AI24371" s="38"/>
    </row>
    <row r="24372" ht="15.75" customHeight="1">
      <c r="A24372" s="35"/>
      <c r="C24372" s="442"/>
      <c r="P24372" s="235"/>
      <c r="AI24372" s="38"/>
    </row>
    <row r="24373" ht="15.75" customHeight="1">
      <c r="A24373" s="35"/>
      <c r="C24373" s="442"/>
      <c r="P24373" s="235"/>
      <c r="AI24373" s="38"/>
    </row>
    <row r="24374" ht="15.75" customHeight="1">
      <c r="A24374" s="35"/>
      <c r="C24374" s="442"/>
      <c r="P24374" s="235"/>
      <c r="AI24374" s="38"/>
    </row>
    <row r="24375" ht="15.75" customHeight="1">
      <c r="A24375" s="35"/>
      <c r="C24375" s="442"/>
      <c r="P24375" s="235"/>
      <c r="AI24375" s="38"/>
    </row>
    <row r="24376" ht="15.75" customHeight="1">
      <c r="A24376" s="35"/>
      <c r="C24376" s="442"/>
      <c r="P24376" s="235"/>
      <c r="AI24376" s="38"/>
    </row>
    <row r="24377" ht="15.75" customHeight="1">
      <c r="A24377" s="35"/>
      <c r="C24377" s="442"/>
      <c r="P24377" s="235"/>
      <c r="AI24377" s="38"/>
    </row>
    <row r="24378" ht="15.75" customHeight="1">
      <c r="A24378" s="35"/>
      <c r="C24378" s="442"/>
      <c r="P24378" s="235"/>
      <c r="AI24378" s="38"/>
    </row>
    <row r="24379" ht="15.75" customHeight="1">
      <c r="A24379" s="35"/>
      <c r="C24379" s="442"/>
      <c r="P24379" s="235"/>
      <c r="AI24379" s="38"/>
    </row>
    <row r="24380" ht="15.75" customHeight="1">
      <c r="A24380" s="35"/>
      <c r="C24380" s="442"/>
      <c r="P24380" s="235"/>
      <c r="AI24380" s="38"/>
    </row>
    <row r="24381" ht="15.75" customHeight="1">
      <c r="A24381" s="35"/>
      <c r="C24381" s="442"/>
      <c r="P24381" s="235"/>
      <c r="AI24381" s="38"/>
    </row>
    <row r="24382" ht="15.75" customHeight="1">
      <c r="A24382" s="35"/>
      <c r="C24382" s="442"/>
      <c r="P24382" s="235"/>
      <c r="AI24382" s="38"/>
    </row>
    <row r="24383" ht="15.75" customHeight="1">
      <c r="A24383" s="35"/>
      <c r="C24383" s="442"/>
      <c r="P24383" s="235"/>
      <c r="AI24383" s="38"/>
    </row>
    <row r="24384" ht="15.75" customHeight="1">
      <c r="A24384" s="35"/>
      <c r="C24384" s="442"/>
      <c r="P24384" s="235"/>
      <c r="AI24384" s="38"/>
    </row>
    <row r="24385" ht="15.75" customHeight="1">
      <c r="A24385" s="35"/>
      <c r="C24385" s="442"/>
      <c r="P24385" s="235"/>
      <c r="AI24385" s="38"/>
    </row>
    <row r="24386" ht="15.75" customHeight="1">
      <c r="A24386" s="35"/>
      <c r="C24386" s="442"/>
      <c r="P24386" s="235"/>
      <c r="AI24386" s="38"/>
    </row>
    <row r="24387" ht="15.75" customHeight="1">
      <c r="A24387" s="35"/>
      <c r="C24387" s="442"/>
      <c r="P24387" s="235"/>
      <c r="AI24387" s="38"/>
    </row>
    <row r="24388" ht="15.75" customHeight="1">
      <c r="A24388" s="35"/>
      <c r="C24388" s="442"/>
      <c r="P24388" s="235"/>
      <c r="AI24388" s="38"/>
    </row>
    <row r="24389" ht="15.75" customHeight="1">
      <c r="A24389" s="35"/>
      <c r="C24389" s="442"/>
      <c r="P24389" s="235"/>
      <c r="AI24389" s="38"/>
    </row>
    <row r="24390" ht="15.75" customHeight="1">
      <c r="A24390" s="35"/>
      <c r="C24390" s="442"/>
      <c r="P24390" s="235"/>
      <c r="AI24390" s="38"/>
    </row>
    <row r="24391" ht="15.75" customHeight="1">
      <c r="A24391" s="35"/>
      <c r="C24391" s="442"/>
      <c r="P24391" s="235"/>
      <c r="AI24391" s="38"/>
    </row>
    <row r="24392" ht="15.75" customHeight="1">
      <c r="A24392" s="35"/>
      <c r="C24392" s="442"/>
      <c r="P24392" s="235"/>
      <c r="AI24392" s="38"/>
    </row>
    <row r="24393" ht="15.75" customHeight="1">
      <c r="A24393" s="35"/>
      <c r="C24393" s="442"/>
      <c r="P24393" s="235"/>
      <c r="AI24393" s="38"/>
    </row>
    <row r="24394" ht="15.75" customHeight="1">
      <c r="A24394" s="35"/>
      <c r="C24394" s="442"/>
      <c r="P24394" s="235"/>
      <c r="AI24394" s="38"/>
    </row>
    <row r="24395" ht="15.75" customHeight="1">
      <c r="A24395" s="35"/>
      <c r="C24395" s="442"/>
      <c r="P24395" s="235"/>
      <c r="AI24395" s="38"/>
    </row>
    <row r="24396" ht="15.75" customHeight="1">
      <c r="A24396" s="35"/>
      <c r="C24396" s="442"/>
      <c r="P24396" s="235"/>
      <c r="AI24396" s="38"/>
    </row>
    <row r="24397" ht="15.75" customHeight="1">
      <c r="A24397" s="35"/>
      <c r="C24397" s="442"/>
      <c r="P24397" s="235"/>
      <c r="AI24397" s="38"/>
    </row>
    <row r="24398" ht="15.75" customHeight="1">
      <c r="A24398" s="35"/>
      <c r="C24398" s="442"/>
      <c r="P24398" s="235"/>
      <c r="AI24398" s="38"/>
    </row>
    <row r="24399" ht="15.75" customHeight="1">
      <c r="A24399" s="35"/>
      <c r="C24399" s="442"/>
      <c r="P24399" s="235"/>
      <c r="AI24399" s="38"/>
    </row>
    <row r="24400" ht="15.75" customHeight="1">
      <c r="A24400" s="35"/>
      <c r="C24400" s="442"/>
      <c r="P24400" s="235"/>
      <c r="AI24400" s="38"/>
    </row>
    <row r="24401" ht="15.75" customHeight="1">
      <c r="A24401" s="35"/>
      <c r="C24401" s="442"/>
      <c r="P24401" s="235"/>
      <c r="AI24401" s="38"/>
    </row>
    <row r="24402" ht="15.75" customHeight="1">
      <c r="A24402" s="35"/>
      <c r="C24402" s="442"/>
      <c r="P24402" s="235"/>
      <c r="AI24402" s="38"/>
    </row>
    <row r="24403" ht="15.75" customHeight="1">
      <c r="A24403" s="35"/>
      <c r="C24403" s="442"/>
      <c r="P24403" s="235"/>
      <c r="AI24403" s="38"/>
    </row>
    <row r="24404" ht="15.75" customHeight="1">
      <c r="A24404" s="35"/>
      <c r="C24404" s="442"/>
      <c r="P24404" s="235"/>
      <c r="AI24404" s="38"/>
    </row>
    <row r="24405" ht="15.75" customHeight="1">
      <c r="A24405" s="35"/>
      <c r="C24405" s="442"/>
      <c r="P24405" s="235"/>
      <c r="AI24405" s="38"/>
    </row>
    <row r="24406" ht="15.75" customHeight="1">
      <c r="A24406" s="35"/>
      <c r="C24406" s="442"/>
      <c r="P24406" s="235"/>
      <c r="AI24406" s="38"/>
    </row>
    <row r="24407" ht="15.75" customHeight="1">
      <c r="A24407" s="35"/>
      <c r="C24407" s="442"/>
      <c r="P24407" s="235"/>
      <c r="AI24407" s="38"/>
    </row>
    <row r="24408" ht="15.75" customHeight="1">
      <c r="A24408" s="35"/>
      <c r="C24408" s="442"/>
      <c r="P24408" s="235"/>
      <c r="AI24408" s="38"/>
    </row>
    <row r="24409" ht="15.75" customHeight="1">
      <c r="A24409" s="35"/>
      <c r="C24409" s="442"/>
      <c r="P24409" s="235"/>
      <c r="AI24409" s="38"/>
    </row>
    <row r="24410" ht="15.75" customHeight="1">
      <c r="A24410" s="35"/>
      <c r="C24410" s="442"/>
      <c r="P24410" s="235"/>
      <c r="AI24410" s="38"/>
    </row>
    <row r="24411" ht="15.75" customHeight="1">
      <c r="A24411" s="35"/>
      <c r="C24411" s="442"/>
      <c r="P24411" s="235"/>
      <c r="AI24411" s="38"/>
    </row>
    <row r="24412" ht="15.75" customHeight="1">
      <c r="A24412" s="35"/>
      <c r="C24412" s="442"/>
      <c r="P24412" s="235"/>
      <c r="AI24412" s="38"/>
    </row>
    <row r="24413" ht="15.75" customHeight="1">
      <c r="A24413" s="35"/>
      <c r="C24413" s="442"/>
      <c r="P24413" s="235"/>
      <c r="AI24413" s="38"/>
    </row>
    <row r="24414" ht="15.75" customHeight="1">
      <c r="A24414" s="35"/>
      <c r="C24414" s="442"/>
      <c r="P24414" s="235"/>
      <c r="AI24414" s="38"/>
    </row>
    <row r="24415" ht="15.75" customHeight="1">
      <c r="A24415" s="35"/>
      <c r="C24415" s="442"/>
      <c r="P24415" s="235"/>
      <c r="AI24415" s="38"/>
    </row>
    <row r="24416" ht="15.75" customHeight="1">
      <c r="A24416" s="35"/>
      <c r="C24416" s="442"/>
      <c r="P24416" s="235"/>
      <c r="AI24416" s="38"/>
    </row>
    <row r="24417" ht="15.75" customHeight="1">
      <c r="A24417" s="35"/>
      <c r="C24417" s="442"/>
      <c r="P24417" s="235"/>
      <c r="AI24417" s="38"/>
    </row>
    <row r="24418" ht="15.75" customHeight="1">
      <c r="A24418" s="35"/>
      <c r="C24418" s="442"/>
      <c r="P24418" s="235"/>
      <c r="AI24418" s="38"/>
    </row>
    <row r="24419" ht="15.75" customHeight="1">
      <c r="A24419" s="35"/>
      <c r="C24419" s="442"/>
      <c r="P24419" s="235"/>
      <c r="AI24419" s="38"/>
    </row>
    <row r="24420" ht="15.75" customHeight="1">
      <c r="A24420" s="35"/>
      <c r="C24420" s="442"/>
      <c r="P24420" s="235"/>
      <c r="AI24420" s="38"/>
    </row>
    <row r="24421" ht="15.75" customHeight="1">
      <c r="A24421" s="35"/>
      <c r="C24421" s="442"/>
      <c r="P24421" s="235"/>
      <c r="AI24421" s="38"/>
    </row>
    <row r="24422" ht="15.75" customHeight="1">
      <c r="A24422" s="35"/>
      <c r="C24422" s="442"/>
      <c r="P24422" s="235"/>
      <c r="AI24422" s="38"/>
    </row>
    <row r="24423" ht="15.75" customHeight="1">
      <c r="A24423" s="35"/>
      <c r="C24423" s="442"/>
      <c r="P24423" s="235"/>
      <c r="AI24423" s="38"/>
    </row>
    <row r="24424" ht="15.75" customHeight="1">
      <c r="A24424" s="35"/>
      <c r="C24424" s="442"/>
      <c r="P24424" s="235"/>
      <c r="AI24424" s="38"/>
    </row>
    <row r="24425" ht="15.75" customHeight="1">
      <c r="A24425" s="35"/>
      <c r="C24425" s="442"/>
      <c r="P24425" s="235"/>
      <c r="AI24425" s="38"/>
    </row>
    <row r="24426" ht="15.75" customHeight="1">
      <c r="A24426" s="35"/>
      <c r="C24426" s="442"/>
      <c r="P24426" s="235"/>
      <c r="AI24426" s="38"/>
    </row>
    <row r="24427" ht="15.75" customHeight="1">
      <c r="A24427" s="35"/>
      <c r="C24427" s="442"/>
      <c r="P24427" s="235"/>
      <c r="AI24427" s="38"/>
    </row>
    <row r="24428" ht="15.75" customHeight="1">
      <c r="A24428" s="35"/>
      <c r="C24428" s="442"/>
      <c r="P24428" s="235"/>
      <c r="AI24428" s="38"/>
    </row>
    <row r="24429" ht="15.75" customHeight="1">
      <c r="A24429" s="35"/>
      <c r="C24429" s="442"/>
      <c r="P24429" s="235"/>
      <c r="AI24429" s="38"/>
    </row>
    <row r="24430" ht="15.75" customHeight="1">
      <c r="A24430" s="35"/>
      <c r="C24430" s="442"/>
      <c r="P24430" s="235"/>
      <c r="AI24430" s="38"/>
    </row>
    <row r="24431" ht="15.75" customHeight="1">
      <c r="A24431" s="35"/>
      <c r="C24431" s="442"/>
      <c r="P24431" s="235"/>
      <c r="AI24431" s="38"/>
    </row>
    <row r="24432" ht="15.75" customHeight="1">
      <c r="A24432" s="35"/>
      <c r="C24432" s="442"/>
      <c r="P24432" s="235"/>
      <c r="AI24432" s="38"/>
    </row>
    <row r="24433" ht="15.75" customHeight="1">
      <c r="A24433" s="35"/>
      <c r="C24433" s="442"/>
      <c r="P24433" s="235"/>
      <c r="AI24433" s="38"/>
    </row>
    <row r="24434" ht="15.75" customHeight="1">
      <c r="A24434" s="35"/>
      <c r="C24434" s="442"/>
      <c r="P24434" s="235"/>
      <c r="AI24434" s="38"/>
    </row>
    <row r="24435" ht="15.75" customHeight="1">
      <c r="A24435" s="35"/>
      <c r="C24435" s="442"/>
      <c r="P24435" s="235"/>
      <c r="AI24435" s="38"/>
    </row>
    <row r="24436" ht="15.75" customHeight="1">
      <c r="A24436" s="35"/>
      <c r="C24436" s="442"/>
      <c r="P24436" s="235"/>
      <c r="AI24436" s="38"/>
    </row>
    <row r="24437" ht="15.75" customHeight="1">
      <c r="A24437" s="35"/>
      <c r="C24437" s="442"/>
      <c r="P24437" s="235"/>
      <c r="AI24437" s="38"/>
    </row>
    <row r="24438" ht="15.75" customHeight="1">
      <c r="A24438" s="35"/>
      <c r="C24438" s="442"/>
      <c r="P24438" s="235"/>
      <c r="AI24438" s="38"/>
    </row>
    <row r="24439" ht="15.75" customHeight="1">
      <c r="A24439" s="35"/>
      <c r="C24439" s="442"/>
      <c r="P24439" s="235"/>
      <c r="AI24439" s="38"/>
    </row>
    <row r="24440" ht="15.75" customHeight="1">
      <c r="A24440" s="35"/>
      <c r="C24440" s="442"/>
      <c r="P24440" s="235"/>
      <c r="AI24440" s="38"/>
    </row>
    <row r="24441" ht="15.75" customHeight="1">
      <c r="A24441" s="35"/>
      <c r="C24441" s="442"/>
      <c r="P24441" s="235"/>
      <c r="AI24441" s="38"/>
    </row>
    <row r="24442" ht="15.75" customHeight="1">
      <c r="A24442" s="35"/>
      <c r="C24442" s="442"/>
      <c r="P24442" s="235"/>
      <c r="AI24442" s="38"/>
    </row>
    <row r="24443" ht="15.75" customHeight="1">
      <c r="A24443" s="35"/>
      <c r="C24443" s="442"/>
      <c r="P24443" s="235"/>
      <c r="AI24443" s="38"/>
    </row>
    <row r="24444" ht="15.75" customHeight="1">
      <c r="A24444" s="35"/>
      <c r="C24444" s="442"/>
      <c r="P24444" s="235"/>
      <c r="AI24444" s="38"/>
    </row>
    <row r="24445" ht="15.75" customHeight="1">
      <c r="A24445" s="35"/>
      <c r="C24445" s="442"/>
      <c r="P24445" s="235"/>
      <c r="AI24445" s="38"/>
    </row>
    <row r="24446" ht="15.75" customHeight="1">
      <c r="A24446" s="35"/>
      <c r="C24446" s="442"/>
      <c r="P24446" s="235"/>
      <c r="AI24446" s="38"/>
    </row>
    <row r="24447" ht="15.75" customHeight="1">
      <c r="A24447" s="35"/>
      <c r="C24447" s="442"/>
      <c r="P24447" s="235"/>
      <c r="AI24447" s="38"/>
    </row>
    <row r="24448" ht="15.75" customHeight="1">
      <c r="A24448" s="35"/>
      <c r="C24448" s="442"/>
      <c r="P24448" s="235"/>
      <c r="AI24448" s="38"/>
    </row>
    <row r="24449" ht="15.75" customHeight="1">
      <c r="A24449" s="35"/>
      <c r="C24449" s="442"/>
      <c r="P24449" s="235"/>
      <c r="AI24449" s="38"/>
    </row>
    <row r="24450" ht="15.75" customHeight="1">
      <c r="A24450" s="35"/>
      <c r="C24450" s="442"/>
      <c r="P24450" s="235"/>
      <c r="AI24450" s="38"/>
    </row>
    <row r="24451" ht="15.75" customHeight="1">
      <c r="A24451" s="35"/>
      <c r="C24451" s="442"/>
      <c r="P24451" s="235"/>
      <c r="AI24451" s="38"/>
    </row>
    <row r="24452" ht="15.75" customHeight="1">
      <c r="A24452" s="35"/>
      <c r="C24452" s="442"/>
      <c r="P24452" s="235"/>
      <c r="AI24452" s="38"/>
    </row>
    <row r="24453" ht="15.75" customHeight="1">
      <c r="A24453" s="35"/>
      <c r="C24453" s="442"/>
      <c r="P24453" s="235"/>
      <c r="AI24453" s="38"/>
    </row>
    <row r="24454" ht="15.75" customHeight="1">
      <c r="A24454" s="35"/>
      <c r="C24454" s="442"/>
      <c r="P24454" s="235"/>
      <c r="AI24454" s="38"/>
    </row>
    <row r="24455" ht="15.75" customHeight="1">
      <c r="A24455" s="35"/>
      <c r="C24455" s="442"/>
      <c r="P24455" s="235"/>
      <c r="AI24455" s="38"/>
    </row>
    <row r="24456" ht="15.75" customHeight="1">
      <c r="A24456" s="35"/>
      <c r="C24456" s="442"/>
      <c r="P24456" s="235"/>
      <c r="AI24456" s="38"/>
    </row>
    <row r="24457" ht="15.75" customHeight="1">
      <c r="A24457" s="35"/>
      <c r="C24457" s="442"/>
      <c r="P24457" s="235"/>
      <c r="AI24457" s="38"/>
    </row>
    <row r="24458" ht="15.75" customHeight="1">
      <c r="A24458" s="35"/>
      <c r="C24458" s="442"/>
      <c r="P24458" s="235"/>
      <c r="AI24458" s="38"/>
    </row>
    <row r="24459" ht="15.75" customHeight="1">
      <c r="A24459" s="35"/>
      <c r="C24459" s="442"/>
      <c r="P24459" s="235"/>
      <c r="AI24459" s="38"/>
    </row>
    <row r="24460" ht="15.75" customHeight="1">
      <c r="A24460" s="35"/>
      <c r="C24460" s="442"/>
      <c r="P24460" s="235"/>
      <c r="AI24460" s="38"/>
    </row>
    <row r="24461" ht="15.75" customHeight="1">
      <c r="A24461" s="35"/>
      <c r="C24461" s="442"/>
      <c r="P24461" s="235"/>
      <c r="AI24461" s="38"/>
    </row>
    <row r="24462" ht="15.75" customHeight="1">
      <c r="A24462" s="35"/>
      <c r="C24462" s="442"/>
      <c r="P24462" s="235"/>
      <c r="AI24462" s="38"/>
    </row>
    <row r="24463" ht="15.75" customHeight="1">
      <c r="A24463" s="35"/>
      <c r="C24463" s="442"/>
      <c r="P24463" s="235"/>
      <c r="AI24463" s="38"/>
    </row>
    <row r="24464" ht="15.75" customHeight="1">
      <c r="A24464" s="35"/>
      <c r="C24464" s="442"/>
      <c r="P24464" s="235"/>
      <c r="AI24464" s="38"/>
    </row>
    <row r="24465" ht="15.75" customHeight="1">
      <c r="A24465" s="35"/>
      <c r="C24465" s="442"/>
      <c r="P24465" s="235"/>
      <c r="AI24465" s="38"/>
    </row>
    <row r="24466" ht="15.75" customHeight="1">
      <c r="A24466" s="35"/>
      <c r="C24466" s="442"/>
      <c r="P24466" s="235"/>
      <c r="AI24466" s="38"/>
    </row>
    <row r="24467" ht="15.75" customHeight="1">
      <c r="A24467" s="35"/>
      <c r="C24467" s="442"/>
      <c r="P24467" s="235"/>
      <c r="AI24467" s="38"/>
    </row>
    <row r="24468" ht="15.75" customHeight="1">
      <c r="A24468" s="35"/>
      <c r="C24468" s="442"/>
      <c r="P24468" s="235"/>
      <c r="AI24468" s="38"/>
    </row>
    <row r="24469" ht="15.75" customHeight="1">
      <c r="A24469" s="35"/>
      <c r="C24469" s="442"/>
      <c r="P24469" s="235"/>
      <c r="AI24469" s="38"/>
    </row>
    <row r="24470" ht="15.75" customHeight="1">
      <c r="A24470" s="35"/>
      <c r="C24470" s="442"/>
      <c r="P24470" s="235"/>
      <c r="AI24470" s="38"/>
    </row>
    <row r="24471" ht="15.75" customHeight="1">
      <c r="A24471" s="35"/>
      <c r="C24471" s="442"/>
      <c r="P24471" s="235"/>
      <c r="AI24471" s="38"/>
    </row>
    <row r="24472" ht="15.75" customHeight="1">
      <c r="A24472" s="35"/>
      <c r="C24472" s="442"/>
      <c r="P24472" s="235"/>
      <c r="AI24472" s="38"/>
    </row>
    <row r="24473" ht="15.75" customHeight="1">
      <c r="A24473" s="35"/>
      <c r="C24473" s="442"/>
      <c r="P24473" s="235"/>
      <c r="AI24473" s="38"/>
    </row>
    <row r="24474" ht="15.75" customHeight="1">
      <c r="A24474" s="35"/>
      <c r="C24474" s="442"/>
      <c r="P24474" s="235"/>
      <c r="AI24474" s="38"/>
    </row>
    <row r="24475" ht="15.75" customHeight="1">
      <c r="A24475" s="35"/>
      <c r="C24475" s="442"/>
      <c r="P24475" s="235"/>
      <c r="AI24475" s="38"/>
    </row>
    <row r="24476" ht="15.75" customHeight="1">
      <c r="A24476" s="35"/>
      <c r="C24476" s="442"/>
      <c r="P24476" s="235"/>
      <c r="AI24476" s="38"/>
    </row>
    <row r="24477" ht="15.75" customHeight="1">
      <c r="A24477" s="35"/>
      <c r="C24477" s="442"/>
      <c r="P24477" s="235"/>
      <c r="AI24477" s="38"/>
    </row>
    <row r="24478" ht="15.75" customHeight="1">
      <c r="A24478" s="35"/>
      <c r="C24478" s="442"/>
      <c r="P24478" s="235"/>
      <c r="AI24478" s="38"/>
    </row>
    <row r="24479" ht="15.75" customHeight="1">
      <c r="A24479" s="35"/>
      <c r="C24479" s="442"/>
      <c r="P24479" s="235"/>
      <c r="AI24479" s="38"/>
    </row>
    <row r="24480" ht="15.75" customHeight="1">
      <c r="A24480" s="35"/>
      <c r="C24480" s="442"/>
      <c r="P24480" s="235"/>
      <c r="AI24480" s="38"/>
    </row>
    <row r="24481" ht="15.75" customHeight="1">
      <c r="A24481" s="35"/>
      <c r="C24481" s="442"/>
      <c r="P24481" s="235"/>
      <c r="AI24481" s="38"/>
    </row>
    <row r="24482" ht="15.75" customHeight="1">
      <c r="A24482" s="35"/>
      <c r="C24482" s="442"/>
      <c r="P24482" s="235"/>
      <c r="AI24482" s="38"/>
    </row>
    <row r="24483" ht="15.75" customHeight="1">
      <c r="A24483" s="35"/>
      <c r="C24483" s="442"/>
      <c r="P24483" s="235"/>
      <c r="AI24483" s="38"/>
    </row>
    <row r="24484" ht="15.75" customHeight="1">
      <c r="A24484" s="35"/>
      <c r="C24484" s="442"/>
      <c r="P24484" s="235"/>
      <c r="AI24484" s="38"/>
    </row>
    <row r="24485" ht="15.75" customHeight="1">
      <c r="A24485" s="35"/>
      <c r="C24485" s="442"/>
      <c r="P24485" s="235"/>
      <c r="AI24485" s="38"/>
    </row>
    <row r="24486" ht="15.75" customHeight="1">
      <c r="A24486" s="35"/>
      <c r="C24486" s="442"/>
      <c r="P24486" s="235"/>
      <c r="AI24486" s="38"/>
    </row>
    <row r="24487" ht="15.75" customHeight="1">
      <c r="A24487" s="35"/>
      <c r="C24487" s="442"/>
      <c r="P24487" s="235"/>
      <c r="AI24487" s="38"/>
    </row>
    <row r="24488" ht="15.75" customHeight="1">
      <c r="A24488" s="35"/>
      <c r="C24488" s="442"/>
      <c r="P24488" s="235"/>
      <c r="AI24488" s="38"/>
    </row>
    <row r="24489" ht="15.75" customHeight="1">
      <c r="A24489" s="35"/>
      <c r="C24489" s="442"/>
      <c r="P24489" s="235"/>
      <c r="AI24489" s="38"/>
    </row>
    <row r="24490" ht="15.75" customHeight="1">
      <c r="A24490" s="35"/>
      <c r="C24490" s="442"/>
      <c r="P24490" s="235"/>
      <c r="AI24490" s="38"/>
    </row>
    <row r="24491" ht="15.75" customHeight="1">
      <c r="A24491" s="35"/>
      <c r="C24491" s="442"/>
      <c r="P24491" s="235"/>
      <c r="AI24491" s="38"/>
    </row>
    <row r="24492" ht="15.75" customHeight="1">
      <c r="A24492" s="35"/>
      <c r="C24492" s="442"/>
      <c r="P24492" s="235"/>
      <c r="AI24492" s="38"/>
    </row>
    <row r="24493" ht="15.75" customHeight="1">
      <c r="A24493" s="35"/>
      <c r="C24493" s="442"/>
      <c r="P24493" s="235"/>
      <c r="AI24493" s="38"/>
    </row>
    <row r="24494" ht="15.75" customHeight="1">
      <c r="A24494" s="35"/>
      <c r="C24494" s="442"/>
      <c r="P24494" s="235"/>
      <c r="AI24494" s="38"/>
    </row>
    <row r="24495" ht="15.75" customHeight="1">
      <c r="A24495" s="35"/>
      <c r="C24495" s="442"/>
      <c r="P24495" s="235"/>
      <c r="AI24495" s="38"/>
    </row>
    <row r="24496" ht="15.75" customHeight="1">
      <c r="A24496" s="35"/>
      <c r="C24496" s="442"/>
      <c r="P24496" s="235"/>
      <c r="AI24496" s="38"/>
    </row>
    <row r="24497" ht="15.75" customHeight="1">
      <c r="A24497" s="35"/>
      <c r="C24497" s="442"/>
      <c r="P24497" s="235"/>
      <c r="AI24497" s="38"/>
    </row>
    <row r="24498" ht="15.75" customHeight="1">
      <c r="A24498" s="35"/>
      <c r="C24498" s="442"/>
      <c r="P24498" s="235"/>
      <c r="AI24498" s="38"/>
    </row>
    <row r="24499" ht="15.75" customHeight="1">
      <c r="A24499" s="35"/>
      <c r="C24499" s="442"/>
      <c r="P24499" s="235"/>
      <c r="AI24499" s="38"/>
    </row>
    <row r="24500" ht="15.75" customHeight="1">
      <c r="A24500" s="35"/>
      <c r="C24500" s="442"/>
      <c r="P24500" s="235"/>
      <c r="AI24500" s="38"/>
    </row>
    <row r="24501" ht="15.75" customHeight="1">
      <c r="A24501" s="35"/>
      <c r="C24501" s="442"/>
      <c r="P24501" s="235"/>
      <c r="AI24501" s="38"/>
    </row>
    <row r="24502" ht="15.75" customHeight="1">
      <c r="A24502" s="35"/>
      <c r="C24502" s="442"/>
      <c r="P24502" s="235"/>
      <c r="AI24502" s="38"/>
    </row>
    <row r="24503" ht="15.75" customHeight="1">
      <c r="A24503" s="35"/>
      <c r="C24503" s="442"/>
      <c r="P24503" s="235"/>
      <c r="AI24503" s="38"/>
    </row>
    <row r="24504" ht="15.75" customHeight="1">
      <c r="A24504" s="35"/>
      <c r="C24504" s="442"/>
      <c r="P24504" s="235"/>
      <c r="AI24504" s="38"/>
    </row>
    <row r="24505" ht="15.75" customHeight="1">
      <c r="A24505" s="35"/>
      <c r="C24505" s="442"/>
      <c r="P24505" s="235"/>
      <c r="AI24505" s="38"/>
    </row>
    <row r="24506" ht="15.75" customHeight="1">
      <c r="A24506" s="35"/>
      <c r="C24506" s="442"/>
      <c r="P24506" s="235"/>
      <c r="AI24506" s="38"/>
    </row>
    <row r="24507" ht="15.75" customHeight="1">
      <c r="A24507" s="35"/>
      <c r="C24507" s="442"/>
      <c r="P24507" s="235"/>
      <c r="AI24507" s="38"/>
    </row>
    <row r="24508" ht="15.75" customHeight="1">
      <c r="A24508" s="35"/>
      <c r="C24508" s="442"/>
      <c r="P24508" s="235"/>
      <c r="AI24508" s="38"/>
    </row>
    <row r="24509" ht="15.75" customHeight="1">
      <c r="A24509" s="35"/>
      <c r="C24509" s="442"/>
      <c r="P24509" s="235"/>
      <c r="AI24509" s="38"/>
    </row>
    <row r="24510" ht="15.75" customHeight="1">
      <c r="A24510" s="35"/>
      <c r="C24510" s="442"/>
      <c r="P24510" s="235"/>
      <c r="AI24510" s="38"/>
    </row>
    <row r="24511" ht="15.75" customHeight="1">
      <c r="A24511" s="35"/>
      <c r="C24511" s="442"/>
      <c r="P24511" s="235"/>
      <c r="AI24511" s="38"/>
    </row>
    <row r="24512" ht="15.75" customHeight="1">
      <c r="A24512" s="35"/>
      <c r="C24512" s="442"/>
      <c r="P24512" s="235"/>
      <c r="AI24512" s="38"/>
    </row>
    <row r="24513" ht="15.75" customHeight="1">
      <c r="A24513" s="35"/>
      <c r="C24513" s="442"/>
      <c r="P24513" s="235"/>
      <c r="AI24513" s="38"/>
    </row>
    <row r="24514" ht="15.75" customHeight="1">
      <c r="A24514" s="35"/>
      <c r="C24514" s="442"/>
      <c r="P24514" s="235"/>
      <c r="AI24514" s="38"/>
    </row>
    <row r="24515" ht="15.75" customHeight="1">
      <c r="A24515" s="35"/>
      <c r="C24515" s="442"/>
      <c r="P24515" s="235"/>
      <c r="AI24515" s="38"/>
    </row>
    <row r="24516" ht="15.75" customHeight="1">
      <c r="A24516" s="35"/>
      <c r="C24516" s="442"/>
      <c r="P24516" s="235"/>
      <c r="AI24516" s="38"/>
    </row>
    <row r="24517" ht="15.75" customHeight="1">
      <c r="A24517" s="35"/>
      <c r="C24517" s="442"/>
      <c r="P24517" s="235"/>
      <c r="AI24517" s="38"/>
    </row>
    <row r="24518" ht="15.75" customHeight="1">
      <c r="A24518" s="35"/>
      <c r="C24518" s="442"/>
      <c r="P24518" s="235"/>
      <c r="AI24518" s="38"/>
    </row>
    <row r="24519" ht="15.75" customHeight="1">
      <c r="A24519" s="35"/>
      <c r="C24519" s="442"/>
      <c r="P24519" s="235"/>
      <c r="AI24519" s="38"/>
    </row>
    <row r="24520" ht="15.75" customHeight="1">
      <c r="A24520" s="35"/>
      <c r="C24520" s="442"/>
      <c r="P24520" s="235"/>
      <c r="AI24520" s="38"/>
    </row>
    <row r="24521" ht="15.75" customHeight="1">
      <c r="A24521" s="35"/>
      <c r="C24521" s="442"/>
      <c r="P24521" s="235"/>
      <c r="AI24521" s="38"/>
    </row>
    <row r="24522" ht="15.75" customHeight="1">
      <c r="A24522" s="35"/>
      <c r="C24522" s="442"/>
      <c r="P24522" s="235"/>
      <c r="AI24522" s="38"/>
    </row>
    <row r="24523" ht="15.75" customHeight="1">
      <c r="A24523" s="35"/>
      <c r="C24523" s="442"/>
      <c r="P24523" s="235"/>
      <c r="AI24523" s="38"/>
    </row>
    <row r="24524" ht="15.75" customHeight="1">
      <c r="A24524" s="35"/>
      <c r="C24524" s="442"/>
      <c r="P24524" s="235"/>
      <c r="AI24524" s="38"/>
    </row>
    <row r="24525" ht="15.75" customHeight="1">
      <c r="A24525" s="35"/>
      <c r="C24525" s="442"/>
      <c r="P24525" s="235"/>
      <c r="AI24525" s="38"/>
    </row>
    <row r="24526" ht="15.75" customHeight="1">
      <c r="A24526" s="35"/>
      <c r="C24526" s="442"/>
      <c r="P24526" s="235"/>
      <c r="AI24526" s="38"/>
    </row>
    <row r="24527" ht="15.75" customHeight="1">
      <c r="A24527" s="35"/>
      <c r="C24527" s="442"/>
      <c r="P24527" s="235"/>
      <c r="AI24527" s="38"/>
    </row>
    <row r="24528" ht="15.75" customHeight="1">
      <c r="A24528" s="35"/>
      <c r="C24528" s="442"/>
      <c r="P24528" s="235"/>
      <c r="AI24528" s="38"/>
    </row>
    <row r="24529" ht="15.75" customHeight="1">
      <c r="A24529" s="35"/>
      <c r="C24529" s="442"/>
      <c r="P24529" s="235"/>
      <c r="AI24529" s="38"/>
    </row>
    <row r="24530" ht="15.75" customHeight="1">
      <c r="A24530" s="35"/>
      <c r="C24530" s="442"/>
      <c r="P24530" s="235"/>
      <c r="AI24530" s="38"/>
    </row>
    <row r="24531" ht="15.75" customHeight="1">
      <c r="A24531" s="35"/>
      <c r="C24531" s="442"/>
      <c r="P24531" s="235"/>
      <c r="AI24531" s="38"/>
    </row>
    <row r="24532" ht="15.75" customHeight="1">
      <c r="A24532" s="35"/>
      <c r="C24532" s="442"/>
      <c r="P24532" s="235"/>
      <c r="AI24532" s="38"/>
    </row>
    <row r="24533" ht="15.75" customHeight="1">
      <c r="A24533" s="35"/>
      <c r="C24533" s="442"/>
      <c r="P24533" s="235"/>
      <c r="AI24533" s="38"/>
    </row>
    <row r="24534" ht="15.75" customHeight="1">
      <c r="A24534" s="35"/>
      <c r="C24534" s="442"/>
      <c r="P24534" s="235"/>
      <c r="AI24534" s="38"/>
    </row>
    <row r="24535" ht="15.75" customHeight="1">
      <c r="A24535" s="35"/>
      <c r="C24535" s="442"/>
      <c r="P24535" s="235"/>
      <c r="AI24535" s="38"/>
    </row>
    <row r="24536" ht="15.75" customHeight="1">
      <c r="A24536" s="35"/>
      <c r="C24536" s="442"/>
      <c r="P24536" s="235"/>
      <c r="AI24536" s="38"/>
    </row>
    <row r="24537" ht="15.75" customHeight="1">
      <c r="A24537" s="35"/>
      <c r="C24537" s="442"/>
      <c r="P24537" s="235"/>
      <c r="AI24537" s="38"/>
    </row>
    <row r="24538" ht="15.75" customHeight="1">
      <c r="A24538" s="35"/>
      <c r="C24538" s="442"/>
      <c r="P24538" s="235"/>
      <c r="AI24538" s="38"/>
    </row>
    <row r="24539" ht="15.75" customHeight="1">
      <c r="A24539" s="35"/>
      <c r="C24539" s="442"/>
      <c r="P24539" s="235"/>
      <c r="AI24539" s="38"/>
    </row>
    <row r="24540" ht="15.75" customHeight="1">
      <c r="A24540" s="35"/>
      <c r="C24540" s="442"/>
      <c r="P24540" s="235"/>
      <c r="AI24540" s="38"/>
    </row>
    <row r="24541" ht="15.75" customHeight="1">
      <c r="A24541" s="35"/>
      <c r="C24541" s="442"/>
      <c r="P24541" s="235"/>
      <c r="AI24541" s="38"/>
    </row>
    <row r="24542" ht="15.75" customHeight="1">
      <c r="A24542" s="35"/>
      <c r="C24542" s="442"/>
      <c r="P24542" s="235"/>
      <c r="AI24542" s="38"/>
    </row>
    <row r="24543" ht="15.75" customHeight="1">
      <c r="A24543" s="35"/>
      <c r="C24543" s="442"/>
      <c r="P24543" s="235"/>
      <c r="AI24543" s="38"/>
    </row>
    <row r="24544" ht="15.75" customHeight="1">
      <c r="A24544" s="35"/>
      <c r="C24544" s="442"/>
      <c r="P24544" s="235"/>
      <c r="AI24544" s="38"/>
    </row>
    <row r="24545" ht="15.75" customHeight="1">
      <c r="A24545" s="35"/>
      <c r="C24545" s="442"/>
      <c r="P24545" s="235"/>
      <c r="AI24545" s="38"/>
    </row>
    <row r="24546" ht="15.75" customHeight="1">
      <c r="A24546" s="35"/>
      <c r="C24546" s="442"/>
      <c r="P24546" s="235"/>
      <c r="AI24546" s="38"/>
    </row>
    <row r="24547" ht="15.75" customHeight="1">
      <c r="A24547" s="35"/>
      <c r="C24547" s="442"/>
      <c r="P24547" s="235"/>
      <c r="AI24547" s="38"/>
    </row>
    <row r="24548" ht="15.75" customHeight="1">
      <c r="A24548" s="35"/>
      <c r="C24548" s="442"/>
      <c r="P24548" s="235"/>
      <c r="AI24548" s="38"/>
    </row>
    <row r="24549" ht="15.75" customHeight="1">
      <c r="A24549" s="35"/>
      <c r="C24549" s="442"/>
      <c r="P24549" s="235"/>
      <c r="AI24549" s="38"/>
    </row>
    <row r="24550" ht="15.75" customHeight="1">
      <c r="A24550" s="35"/>
      <c r="C24550" s="442"/>
      <c r="P24550" s="235"/>
      <c r="AI24550" s="38"/>
    </row>
    <row r="24551" ht="15.75" customHeight="1">
      <c r="A24551" s="35"/>
      <c r="C24551" s="442"/>
      <c r="P24551" s="235"/>
      <c r="AI24551" s="38"/>
    </row>
    <row r="24552" ht="15.75" customHeight="1">
      <c r="A24552" s="35"/>
      <c r="C24552" s="442"/>
      <c r="P24552" s="235"/>
      <c r="AI24552" s="38"/>
    </row>
    <row r="24553" ht="15.75" customHeight="1">
      <c r="A24553" s="35"/>
      <c r="C24553" s="442"/>
      <c r="P24553" s="235"/>
      <c r="AI24553" s="38"/>
    </row>
    <row r="24554" ht="15.75" customHeight="1">
      <c r="A24554" s="35"/>
      <c r="C24554" s="442"/>
      <c r="P24554" s="235"/>
      <c r="AI24554" s="38"/>
    </row>
    <row r="24555" ht="15.75" customHeight="1">
      <c r="A24555" s="35"/>
      <c r="C24555" s="442"/>
      <c r="P24555" s="235"/>
      <c r="AI24555" s="38"/>
    </row>
    <row r="24556" ht="15.75" customHeight="1">
      <c r="A24556" s="35"/>
      <c r="C24556" s="442"/>
      <c r="P24556" s="235"/>
      <c r="AI24556" s="38"/>
    </row>
    <row r="24557" ht="15.75" customHeight="1">
      <c r="A24557" s="35"/>
      <c r="C24557" s="442"/>
      <c r="P24557" s="235"/>
      <c r="AI24557" s="38"/>
    </row>
    <row r="24558" ht="15.75" customHeight="1">
      <c r="A24558" s="35"/>
      <c r="C24558" s="442"/>
      <c r="P24558" s="235"/>
      <c r="AI24558" s="38"/>
    </row>
    <row r="24559" ht="15.75" customHeight="1">
      <c r="A24559" s="35"/>
      <c r="C24559" s="442"/>
      <c r="P24559" s="235"/>
      <c r="AI24559" s="38"/>
    </row>
    <row r="24560" ht="15.75" customHeight="1">
      <c r="A24560" s="35"/>
      <c r="C24560" s="442"/>
      <c r="P24560" s="235"/>
      <c r="AI24560" s="38"/>
    </row>
    <row r="24561" ht="15.75" customHeight="1">
      <c r="A24561" s="35"/>
      <c r="C24561" s="442"/>
      <c r="P24561" s="235"/>
      <c r="AI24561" s="38"/>
    </row>
    <row r="24562" ht="15.75" customHeight="1">
      <c r="A24562" s="35"/>
      <c r="C24562" s="442"/>
      <c r="P24562" s="235"/>
      <c r="AI24562" s="38"/>
    </row>
    <row r="24563" ht="15.75" customHeight="1">
      <c r="A24563" s="35"/>
      <c r="C24563" s="442"/>
      <c r="P24563" s="235"/>
      <c r="AI24563" s="38"/>
    </row>
    <row r="24564" ht="15.75" customHeight="1">
      <c r="A24564" s="35"/>
      <c r="C24564" s="442"/>
      <c r="P24564" s="235"/>
      <c r="AI24564" s="38"/>
    </row>
    <row r="24565" ht="15.75" customHeight="1">
      <c r="A24565" s="35"/>
      <c r="C24565" s="442"/>
      <c r="P24565" s="235"/>
      <c r="AI24565" s="38"/>
    </row>
    <row r="24566" ht="15.75" customHeight="1">
      <c r="A24566" s="35"/>
      <c r="C24566" s="442"/>
      <c r="P24566" s="235"/>
      <c r="AI24566" s="38"/>
    </row>
    <row r="24567" ht="15.75" customHeight="1">
      <c r="A24567" s="35"/>
      <c r="C24567" s="442"/>
      <c r="P24567" s="235"/>
      <c r="AI24567" s="38"/>
    </row>
    <row r="24568" ht="15.75" customHeight="1">
      <c r="A24568" s="35"/>
      <c r="C24568" s="442"/>
      <c r="P24568" s="235"/>
      <c r="AI24568" s="38"/>
    </row>
    <row r="24569" ht="15.75" customHeight="1">
      <c r="A24569" s="35"/>
      <c r="C24569" s="442"/>
      <c r="P24569" s="235"/>
      <c r="AI24569" s="38"/>
    </row>
    <row r="24570" ht="15.75" customHeight="1">
      <c r="A24570" s="35"/>
      <c r="C24570" s="442"/>
      <c r="P24570" s="235"/>
      <c r="AI24570" s="38"/>
    </row>
    <row r="24571" ht="15.75" customHeight="1">
      <c r="A24571" s="35"/>
      <c r="C24571" s="442"/>
      <c r="P24571" s="235"/>
      <c r="AI24571" s="38"/>
    </row>
    <row r="24572" ht="15.75" customHeight="1">
      <c r="A24572" s="35"/>
      <c r="C24572" s="442"/>
      <c r="P24572" s="235"/>
      <c r="AI24572" s="38"/>
    </row>
    <row r="24573" ht="15.75" customHeight="1">
      <c r="A24573" s="35"/>
      <c r="C24573" s="442"/>
      <c r="P24573" s="235"/>
      <c r="AI24573" s="38"/>
    </row>
    <row r="24574" ht="15.75" customHeight="1">
      <c r="A24574" s="35"/>
      <c r="C24574" s="442"/>
      <c r="P24574" s="235"/>
      <c r="AI24574" s="38"/>
    </row>
    <row r="24575" ht="15.75" customHeight="1">
      <c r="A24575" s="35"/>
      <c r="C24575" s="442"/>
      <c r="P24575" s="235"/>
      <c r="AI24575" s="38"/>
    </row>
    <row r="24576" ht="15.75" customHeight="1">
      <c r="A24576" s="35"/>
      <c r="C24576" s="442"/>
      <c r="P24576" s="235"/>
      <c r="AI24576" s="38"/>
    </row>
    <row r="24577" ht="15.75" customHeight="1">
      <c r="A24577" s="35"/>
      <c r="C24577" s="442"/>
      <c r="P24577" s="235"/>
      <c r="AI24577" s="38"/>
    </row>
    <row r="24578" ht="15.75" customHeight="1">
      <c r="A24578" s="35"/>
      <c r="C24578" s="442"/>
      <c r="P24578" s="235"/>
      <c r="AI24578" s="38"/>
    </row>
    <row r="24579" ht="15.75" customHeight="1">
      <c r="A24579" s="35"/>
      <c r="C24579" s="442"/>
      <c r="P24579" s="235"/>
      <c r="AI24579" s="38"/>
    </row>
    <row r="24580" ht="15.75" customHeight="1">
      <c r="A24580" s="35"/>
      <c r="C24580" s="442"/>
      <c r="P24580" s="235"/>
      <c r="AI24580" s="38"/>
    </row>
    <row r="24581" ht="15.75" customHeight="1">
      <c r="A24581" s="35"/>
      <c r="C24581" s="442"/>
      <c r="P24581" s="235"/>
      <c r="AI24581" s="38"/>
    </row>
    <row r="24582" ht="15.75" customHeight="1">
      <c r="A24582" s="35"/>
      <c r="C24582" s="442"/>
      <c r="P24582" s="235"/>
      <c r="AI24582" s="38"/>
    </row>
    <row r="24583" ht="15.75" customHeight="1">
      <c r="A24583" s="35"/>
      <c r="C24583" s="442"/>
      <c r="P24583" s="235"/>
      <c r="AI24583" s="38"/>
    </row>
    <row r="24584" ht="15.75" customHeight="1">
      <c r="A24584" s="35"/>
      <c r="C24584" s="442"/>
      <c r="P24584" s="235"/>
      <c r="AI24584" s="38"/>
    </row>
    <row r="24585" ht="15.75" customHeight="1">
      <c r="A24585" s="35"/>
      <c r="C24585" s="442"/>
      <c r="P24585" s="235"/>
      <c r="AI24585" s="38"/>
    </row>
    <row r="24586" ht="15.75" customHeight="1">
      <c r="A24586" s="35"/>
      <c r="C24586" s="442"/>
      <c r="P24586" s="235"/>
      <c r="AI24586" s="38"/>
    </row>
    <row r="24587" ht="15.75" customHeight="1">
      <c r="A24587" s="35"/>
      <c r="C24587" s="442"/>
      <c r="P24587" s="235"/>
      <c r="AI24587" s="38"/>
    </row>
    <row r="24588" ht="15.75" customHeight="1">
      <c r="A24588" s="35"/>
      <c r="C24588" s="442"/>
      <c r="P24588" s="235"/>
      <c r="AI24588" s="38"/>
    </row>
    <row r="24589" ht="15.75" customHeight="1">
      <c r="A24589" s="35"/>
      <c r="C24589" s="442"/>
      <c r="P24589" s="235"/>
      <c r="AI24589" s="38"/>
    </row>
    <row r="24590" ht="15.75" customHeight="1">
      <c r="A24590" s="35"/>
      <c r="C24590" s="442"/>
      <c r="P24590" s="235"/>
      <c r="AI24590" s="38"/>
    </row>
    <row r="24591" ht="15.75" customHeight="1">
      <c r="A24591" s="35"/>
      <c r="C24591" s="442"/>
      <c r="P24591" s="235"/>
      <c r="AI24591" s="38"/>
    </row>
    <row r="24592" ht="15.75" customHeight="1">
      <c r="A24592" s="35"/>
      <c r="C24592" s="442"/>
      <c r="P24592" s="235"/>
      <c r="AI24592" s="38"/>
    </row>
    <row r="24593" ht="15.75" customHeight="1">
      <c r="A24593" s="35"/>
      <c r="C24593" s="442"/>
      <c r="P24593" s="235"/>
      <c r="AI24593" s="38"/>
    </row>
    <row r="24594" ht="15.75" customHeight="1">
      <c r="A24594" s="35"/>
      <c r="C24594" s="442"/>
      <c r="P24594" s="235"/>
      <c r="AI24594" s="38"/>
    </row>
    <row r="24595" ht="15.75" customHeight="1">
      <c r="A24595" s="35"/>
      <c r="C24595" s="442"/>
      <c r="P24595" s="235"/>
      <c r="AI24595" s="38"/>
    </row>
    <row r="24596" ht="15.75" customHeight="1">
      <c r="A24596" s="35"/>
      <c r="C24596" s="442"/>
      <c r="P24596" s="235"/>
      <c r="AI24596" s="38"/>
    </row>
    <row r="24597" ht="15.75" customHeight="1">
      <c r="A24597" s="35"/>
      <c r="C24597" s="442"/>
      <c r="P24597" s="235"/>
      <c r="AI24597" s="38"/>
    </row>
    <row r="24598" ht="15.75" customHeight="1">
      <c r="A24598" s="35"/>
      <c r="C24598" s="442"/>
      <c r="P24598" s="235"/>
      <c r="AI24598" s="38"/>
    </row>
    <row r="24599" ht="15.75" customHeight="1">
      <c r="A24599" s="35"/>
      <c r="C24599" s="442"/>
      <c r="P24599" s="235"/>
      <c r="AI24599" s="38"/>
    </row>
    <row r="24600" ht="15.75" customHeight="1">
      <c r="A24600" s="35"/>
      <c r="C24600" s="442"/>
      <c r="P24600" s="235"/>
      <c r="AI24600" s="38"/>
    </row>
    <row r="24601" ht="15.75" customHeight="1">
      <c r="A24601" s="35"/>
      <c r="C24601" s="442"/>
      <c r="P24601" s="235"/>
      <c r="AI24601" s="38"/>
    </row>
    <row r="24602" ht="15.75" customHeight="1">
      <c r="A24602" s="35"/>
      <c r="C24602" s="442"/>
      <c r="P24602" s="235"/>
      <c r="AI24602" s="38"/>
    </row>
    <row r="24603" ht="15.75" customHeight="1">
      <c r="A24603" s="35"/>
      <c r="C24603" s="442"/>
      <c r="P24603" s="235"/>
      <c r="AI24603" s="38"/>
    </row>
    <row r="24604" ht="15.75" customHeight="1">
      <c r="A24604" s="35"/>
      <c r="C24604" s="442"/>
      <c r="P24604" s="235"/>
      <c r="AI24604" s="38"/>
    </row>
    <row r="24605" ht="15.75" customHeight="1">
      <c r="A24605" s="35"/>
      <c r="C24605" s="442"/>
      <c r="P24605" s="235"/>
      <c r="AI24605" s="38"/>
    </row>
    <row r="24606" ht="15.75" customHeight="1">
      <c r="A24606" s="35"/>
      <c r="C24606" s="442"/>
      <c r="P24606" s="235"/>
      <c r="AI24606" s="38"/>
    </row>
    <row r="24607" ht="15.75" customHeight="1">
      <c r="A24607" s="35"/>
      <c r="C24607" s="442"/>
      <c r="P24607" s="235"/>
      <c r="AI24607" s="38"/>
    </row>
    <row r="24608" ht="15.75" customHeight="1">
      <c r="A24608" s="35"/>
      <c r="C24608" s="442"/>
      <c r="P24608" s="235"/>
      <c r="AI24608" s="38"/>
    </row>
    <row r="24609" ht="15.75" customHeight="1">
      <c r="A24609" s="35"/>
      <c r="C24609" s="442"/>
      <c r="P24609" s="235"/>
      <c r="AI24609" s="38"/>
    </row>
    <row r="24610" ht="15.75" customHeight="1">
      <c r="A24610" s="35"/>
      <c r="C24610" s="442"/>
      <c r="P24610" s="235"/>
      <c r="AI24610" s="38"/>
    </row>
    <row r="24611" ht="15.75" customHeight="1">
      <c r="A24611" s="35"/>
      <c r="C24611" s="442"/>
      <c r="P24611" s="235"/>
      <c r="AI24611" s="38"/>
    </row>
    <row r="24612" ht="15.75" customHeight="1">
      <c r="A24612" s="35"/>
      <c r="C24612" s="442"/>
      <c r="P24612" s="235"/>
      <c r="AI24612" s="38"/>
    </row>
    <row r="24613" ht="15.75" customHeight="1">
      <c r="A24613" s="35"/>
      <c r="C24613" s="442"/>
      <c r="P24613" s="235"/>
      <c r="AI24613" s="38"/>
    </row>
    <row r="24614" ht="15.75" customHeight="1">
      <c r="A24614" s="35"/>
      <c r="C24614" s="442"/>
      <c r="P24614" s="235"/>
      <c r="AI24614" s="38"/>
    </row>
    <row r="24615" ht="15.75" customHeight="1">
      <c r="A24615" s="35"/>
      <c r="C24615" s="442"/>
      <c r="P24615" s="235"/>
      <c r="AI24615" s="38"/>
    </row>
    <row r="24616" ht="15.75" customHeight="1">
      <c r="A24616" s="35"/>
      <c r="C24616" s="442"/>
      <c r="P24616" s="235"/>
      <c r="AI24616" s="38"/>
    </row>
    <row r="24617" ht="15.75" customHeight="1">
      <c r="A24617" s="35"/>
      <c r="C24617" s="442"/>
      <c r="P24617" s="235"/>
      <c r="AI24617" s="38"/>
    </row>
    <row r="24618" ht="15.75" customHeight="1">
      <c r="A24618" s="35"/>
      <c r="C24618" s="442"/>
      <c r="P24618" s="235"/>
      <c r="AI24618" s="38"/>
    </row>
    <row r="24619" ht="15.75" customHeight="1">
      <c r="A24619" s="35"/>
      <c r="C24619" s="442"/>
      <c r="P24619" s="235"/>
      <c r="AI24619" s="38"/>
    </row>
    <row r="24620" ht="15.75" customHeight="1">
      <c r="A24620" s="35"/>
      <c r="C24620" s="442"/>
      <c r="P24620" s="235"/>
      <c r="AI24620" s="38"/>
    </row>
    <row r="24621" ht="15.75" customHeight="1">
      <c r="A24621" s="35"/>
      <c r="C24621" s="442"/>
      <c r="P24621" s="235"/>
      <c r="AI24621" s="38"/>
    </row>
    <row r="24622" ht="15.75" customHeight="1">
      <c r="A24622" s="35"/>
      <c r="C24622" s="442"/>
      <c r="P24622" s="235"/>
      <c r="AI24622" s="38"/>
    </row>
    <row r="24623" ht="15.75" customHeight="1">
      <c r="A24623" s="35"/>
      <c r="C24623" s="442"/>
      <c r="P24623" s="235"/>
      <c r="AI24623" s="38"/>
    </row>
    <row r="24624" ht="15.75" customHeight="1">
      <c r="A24624" s="35"/>
      <c r="C24624" s="442"/>
      <c r="P24624" s="235"/>
      <c r="AI24624" s="38"/>
    </row>
    <row r="24625" ht="15.75" customHeight="1">
      <c r="A24625" s="35"/>
      <c r="C24625" s="442"/>
      <c r="P24625" s="235"/>
      <c r="AI24625" s="38"/>
    </row>
    <row r="24626" ht="15.75" customHeight="1">
      <c r="A24626" s="35"/>
      <c r="C24626" s="442"/>
      <c r="P24626" s="235"/>
      <c r="AI24626" s="38"/>
    </row>
    <row r="24627" ht="15.75" customHeight="1">
      <c r="A24627" s="35"/>
      <c r="C24627" s="442"/>
      <c r="P24627" s="235"/>
      <c r="AI24627" s="38"/>
    </row>
    <row r="24628" ht="15.75" customHeight="1">
      <c r="A24628" s="35"/>
      <c r="C24628" s="442"/>
      <c r="P24628" s="235"/>
      <c r="AI24628" s="38"/>
    </row>
    <row r="24629" ht="15.75" customHeight="1">
      <c r="A24629" s="35"/>
      <c r="C24629" s="442"/>
      <c r="P24629" s="235"/>
      <c r="AI24629" s="38"/>
    </row>
    <row r="24630" ht="15.75" customHeight="1">
      <c r="A24630" s="35"/>
      <c r="C24630" s="442"/>
      <c r="P24630" s="235"/>
      <c r="AI24630" s="38"/>
    </row>
    <row r="24631" ht="15.75" customHeight="1">
      <c r="A24631" s="35"/>
      <c r="C24631" s="442"/>
      <c r="P24631" s="235"/>
      <c r="AI24631" s="38"/>
    </row>
    <row r="24632" ht="15.75" customHeight="1">
      <c r="A24632" s="35"/>
      <c r="C24632" s="442"/>
      <c r="P24632" s="235"/>
      <c r="AI24632" s="38"/>
    </row>
    <row r="24633" ht="15.75" customHeight="1">
      <c r="A24633" s="35"/>
      <c r="C24633" s="442"/>
      <c r="P24633" s="235"/>
      <c r="AI24633" s="38"/>
    </row>
    <row r="24634" ht="15.75" customHeight="1">
      <c r="A24634" s="35"/>
      <c r="C24634" s="442"/>
      <c r="P24634" s="235"/>
      <c r="AI24634" s="38"/>
    </row>
    <row r="24635" ht="15.75" customHeight="1">
      <c r="A24635" s="35"/>
      <c r="C24635" s="442"/>
      <c r="P24635" s="235"/>
      <c r="AI24635" s="38"/>
    </row>
    <row r="24636" ht="15.75" customHeight="1">
      <c r="A24636" s="35"/>
      <c r="C24636" s="442"/>
      <c r="P24636" s="235"/>
      <c r="AI24636" s="38"/>
    </row>
    <row r="24637" ht="15.75" customHeight="1">
      <c r="A24637" s="35"/>
      <c r="C24637" s="442"/>
      <c r="P24637" s="235"/>
      <c r="AI24637" s="38"/>
    </row>
    <row r="24638" ht="15.75" customHeight="1">
      <c r="A24638" s="35"/>
      <c r="C24638" s="442"/>
      <c r="P24638" s="235"/>
      <c r="AI24638" s="38"/>
    </row>
    <row r="24639" ht="15.75" customHeight="1">
      <c r="A24639" s="35"/>
      <c r="C24639" s="442"/>
      <c r="P24639" s="235"/>
      <c r="AI24639" s="38"/>
    </row>
    <row r="24640" ht="15.75" customHeight="1">
      <c r="A24640" s="35"/>
      <c r="C24640" s="442"/>
      <c r="P24640" s="235"/>
      <c r="AI24640" s="38"/>
    </row>
    <row r="24641" ht="15.75" customHeight="1">
      <c r="A24641" s="35"/>
      <c r="C24641" s="442"/>
      <c r="P24641" s="235"/>
      <c r="AI24641" s="38"/>
    </row>
    <row r="24642" ht="15.75" customHeight="1">
      <c r="A24642" s="35"/>
      <c r="C24642" s="442"/>
      <c r="P24642" s="235"/>
      <c r="AI24642" s="38"/>
    </row>
    <row r="24643" ht="15.75" customHeight="1">
      <c r="A24643" s="35"/>
      <c r="C24643" s="442"/>
      <c r="P24643" s="235"/>
      <c r="AI24643" s="38"/>
    </row>
    <row r="24644" ht="15.75" customHeight="1">
      <c r="A24644" s="35"/>
      <c r="C24644" s="442"/>
      <c r="P24644" s="235"/>
      <c r="AI24644" s="38"/>
    </row>
    <row r="24645" ht="15.75" customHeight="1">
      <c r="A24645" s="35"/>
      <c r="C24645" s="442"/>
      <c r="P24645" s="235"/>
      <c r="AI24645" s="38"/>
    </row>
    <row r="24646" ht="15.75" customHeight="1">
      <c r="A24646" s="35"/>
      <c r="C24646" s="442"/>
      <c r="P24646" s="235"/>
      <c r="AI24646" s="38"/>
    </row>
    <row r="24647" ht="15.75" customHeight="1">
      <c r="A24647" s="35"/>
      <c r="C24647" s="442"/>
      <c r="P24647" s="235"/>
      <c r="AI24647" s="38"/>
    </row>
    <row r="24648" ht="15.75" customHeight="1">
      <c r="A24648" s="35"/>
      <c r="C24648" s="442"/>
      <c r="P24648" s="235"/>
      <c r="AI24648" s="38"/>
    </row>
    <row r="24649" ht="15.75" customHeight="1">
      <c r="A24649" s="35"/>
      <c r="C24649" s="442"/>
      <c r="P24649" s="235"/>
      <c r="AI24649" s="38"/>
    </row>
    <row r="24650" ht="15.75" customHeight="1">
      <c r="A24650" s="35"/>
      <c r="C24650" s="442"/>
      <c r="P24650" s="235"/>
      <c r="AI24650" s="38"/>
    </row>
    <row r="24651" ht="15.75" customHeight="1">
      <c r="A24651" s="35"/>
      <c r="C24651" s="442"/>
      <c r="P24651" s="235"/>
      <c r="AI24651" s="38"/>
    </row>
    <row r="24652" ht="15.75" customHeight="1">
      <c r="A24652" s="35"/>
      <c r="C24652" s="442"/>
      <c r="P24652" s="235"/>
      <c r="AI24652" s="38"/>
    </row>
    <row r="24653" ht="15.75" customHeight="1">
      <c r="A24653" s="35"/>
      <c r="C24653" s="442"/>
      <c r="P24653" s="235"/>
      <c r="AI24653" s="38"/>
    </row>
    <row r="24654" ht="15.75" customHeight="1">
      <c r="A24654" s="35"/>
      <c r="C24654" s="442"/>
      <c r="P24654" s="235"/>
      <c r="AI24654" s="38"/>
    </row>
    <row r="24655" ht="15.75" customHeight="1">
      <c r="A24655" s="35"/>
      <c r="C24655" s="442"/>
      <c r="P24655" s="235"/>
      <c r="AI24655" s="38"/>
    </row>
    <row r="24656" ht="15.75" customHeight="1">
      <c r="A24656" s="35"/>
      <c r="C24656" s="442"/>
      <c r="P24656" s="235"/>
      <c r="AI24656" s="38"/>
    </row>
    <row r="24657" ht="15.75" customHeight="1">
      <c r="A24657" s="35"/>
      <c r="C24657" s="442"/>
      <c r="P24657" s="235"/>
      <c r="AI24657" s="38"/>
    </row>
    <row r="24658" ht="15.75" customHeight="1">
      <c r="A24658" s="35"/>
      <c r="C24658" s="442"/>
      <c r="P24658" s="235"/>
      <c r="AI24658" s="38"/>
    </row>
    <row r="24659" ht="15.75" customHeight="1">
      <c r="A24659" s="35"/>
      <c r="C24659" s="442"/>
      <c r="P24659" s="235"/>
      <c r="AI24659" s="38"/>
    </row>
    <row r="24660" ht="15.75" customHeight="1">
      <c r="A24660" s="35"/>
      <c r="C24660" s="442"/>
      <c r="P24660" s="235"/>
      <c r="AI24660" s="38"/>
    </row>
    <row r="24661" ht="15.75" customHeight="1">
      <c r="A24661" s="35"/>
      <c r="C24661" s="442"/>
      <c r="P24661" s="235"/>
      <c r="AI24661" s="38"/>
    </row>
    <row r="24662" ht="15.75" customHeight="1">
      <c r="A24662" s="35"/>
      <c r="C24662" s="442"/>
      <c r="P24662" s="235"/>
      <c r="AI24662" s="38"/>
    </row>
    <row r="24663" ht="15.75" customHeight="1">
      <c r="A24663" s="35"/>
      <c r="C24663" s="442"/>
      <c r="P24663" s="235"/>
      <c r="AI24663" s="38"/>
    </row>
    <row r="24664" ht="15.75" customHeight="1">
      <c r="A24664" s="35"/>
      <c r="C24664" s="442"/>
      <c r="P24664" s="235"/>
      <c r="AI24664" s="38"/>
    </row>
    <row r="24665" ht="15.75" customHeight="1">
      <c r="A24665" s="35"/>
      <c r="C24665" s="442"/>
      <c r="P24665" s="235"/>
      <c r="AI24665" s="38"/>
    </row>
    <row r="24666" ht="15.75" customHeight="1">
      <c r="A24666" s="35"/>
      <c r="C24666" s="442"/>
      <c r="P24666" s="235"/>
      <c r="AI24666" s="38"/>
    </row>
    <row r="24667" ht="15.75" customHeight="1">
      <c r="A24667" s="35"/>
      <c r="C24667" s="442"/>
      <c r="P24667" s="235"/>
      <c r="AI24667" s="38"/>
    </row>
    <row r="24668" ht="15.75" customHeight="1">
      <c r="A24668" s="35"/>
      <c r="C24668" s="442"/>
      <c r="P24668" s="235"/>
      <c r="AI24668" s="38"/>
    </row>
    <row r="24669" ht="15.75" customHeight="1">
      <c r="A24669" s="35"/>
      <c r="C24669" s="442"/>
      <c r="P24669" s="235"/>
      <c r="AI24669" s="38"/>
    </row>
    <row r="24670" ht="15.75" customHeight="1">
      <c r="A24670" s="35"/>
      <c r="C24670" s="442"/>
      <c r="P24670" s="235"/>
      <c r="AI24670" s="38"/>
    </row>
    <row r="24671" ht="15.75" customHeight="1">
      <c r="A24671" s="35"/>
      <c r="C24671" s="442"/>
      <c r="P24671" s="235"/>
      <c r="AI24671" s="38"/>
    </row>
    <row r="24672" ht="15.75" customHeight="1">
      <c r="A24672" s="35"/>
      <c r="C24672" s="442"/>
      <c r="P24672" s="235"/>
      <c r="AI24672" s="38"/>
    </row>
    <row r="24673" ht="15.75" customHeight="1">
      <c r="A24673" s="35"/>
      <c r="C24673" s="442"/>
      <c r="P24673" s="235"/>
      <c r="AI24673" s="38"/>
    </row>
    <row r="24674" ht="15.75" customHeight="1">
      <c r="A24674" s="35"/>
      <c r="C24674" s="442"/>
      <c r="P24674" s="235"/>
      <c r="AI24674" s="38"/>
    </row>
    <row r="24675" ht="15.75" customHeight="1">
      <c r="A24675" s="35"/>
      <c r="C24675" s="442"/>
      <c r="P24675" s="235"/>
      <c r="AI24675" s="38"/>
    </row>
    <row r="24676" ht="15.75" customHeight="1">
      <c r="A24676" s="35"/>
      <c r="C24676" s="442"/>
      <c r="P24676" s="235"/>
      <c r="AI24676" s="38"/>
    </row>
    <row r="24677" ht="15.75" customHeight="1">
      <c r="A24677" s="35"/>
      <c r="C24677" s="442"/>
      <c r="P24677" s="235"/>
      <c r="AI24677" s="38"/>
    </row>
    <row r="24678" ht="15.75" customHeight="1">
      <c r="A24678" s="35"/>
      <c r="C24678" s="442"/>
      <c r="P24678" s="235"/>
      <c r="AI24678" s="38"/>
    </row>
    <row r="24679" ht="15.75" customHeight="1">
      <c r="A24679" s="35"/>
      <c r="C24679" s="442"/>
      <c r="P24679" s="235"/>
      <c r="AI24679" s="38"/>
    </row>
    <row r="24680" ht="15.75" customHeight="1">
      <c r="A24680" s="35"/>
      <c r="C24680" s="442"/>
      <c r="P24680" s="235"/>
      <c r="AI24680" s="38"/>
    </row>
    <row r="24681" ht="15.75" customHeight="1">
      <c r="A24681" s="35"/>
      <c r="C24681" s="442"/>
      <c r="P24681" s="235"/>
      <c r="AI24681" s="38"/>
    </row>
    <row r="24682" ht="15.75" customHeight="1">
      <c r="A24682" s="35"/>
      <c r="C24682" s="442"/>
      <c r="P24682" s="235"/>
      <c r="AI24682" s="38"/>
    </row>
    <row r="24683" ht="15.75" customHeight="1">
      <c r="A24683" s="35"/>
      <c r="C24683" s="442"/>
      <c r="P24683" s="235"/>
      <c r="AI24683" s="38"/>
    </row>
    <row r="24684" ht="15.75" customHeight="1">
      <c r="A24684" s="35"/>
      <c r="C24684" s="442"/>
      <c r="P24684" s="235"/>
      <c r="AI24684" s="38"/>
    </row>
    <row r="24685" ht="15.75" customHeight="1">
      <c r="A24685" s="35"/>
      <c r="C24685" s="442"/>
      <c r="P24685" s="235"/>
      <c r="AI24685" s="38"/>
    </row>
    <row r="24686" ht="15.75" customHeight="1">
      <c r="A24686" s="35"/>
      <c r="C24686" s="442"/>
      <c r="P24686" s="235"/>
      <c r="AI24686" s="38"/>
    </row>
    <row r="24687" ht="15.75" customHeight="1">
      <c r="A24687" s="35"/>
      <c r="C24687" s="442"/>
      <c r="P24687" s="235"/>
      <c r="AI24687" s="38"/>
    </row>
    <row r="24688" ht="15.75" customHeight="1">
      <c r="A24688" s="35"/>
      <c r="C24688" s="442"/>
      <c r="P24688" s="235"/>
      <c r="AI24688" s="38"/>
    </row>
    <row r="24689" ht="15.75" customHeight="1">
      <c r="A24689" s="35"/>
      <c r="C24689" s="442"/>
      <c r="P24689" s="235"/>
      <c r="AI24689" s="38"/>
    </row>
    <row r="24690" ht="15.75" customHeight="1">
      <c r="A24690" s="35"/>
      <c r="C24690" s="442"/>
      <c r="P24690" s="235"/>
      <c r="AI24690" s="38"/>
    </row>
    <row r="24691" ht="15.75" customHeight="1">
      <c r="A24691" s="35"/>
      <c r="C24691" s="442"/>
      <c r="P24691" s="235"/>
      <c r="AI24691" s="38"/>
    </row>
    <row r="24692" ht="15.75" customHeight="1">
      <c r="A24692" s="35"/>
      <c r="C24692" s="442"/>
      <c r="P24692" s="235"/>
      <c r="AI24692" s="38"/>
    </row>
    <row r="24693" ht="15.75" customHeight="1">
      <c r="A24693" s="35"/>
      <c r="C24693" s="442"/>
      <c r="P24693" s="235"/>
      <c r="AI24693" s="38"/>
    </row>
    <row r="24694" ht="15.75" customHeight="1">
      <c r="A24694" s="35"/>
      <c r="C24694" s="442"/>
      <c r="P24694" s="235"/>
      <c r="AI24694" s="38"/>
    </row>
    <row r="24695" ht="15.75" customHeight="1">
      <c r="A24695" s="35"/>
      <c r="C24695" s="442"/>
      <c r="P24695" s="235"/>
      <c r="AI24695" s="38"/>
    </row>
    <row r="24696" ht="15.75" customHeight="1">
      <c r="A24696" s="35"/>
      <c r="C24696" s="442"/>
      <c r="P24696" s="235"/>
      <c r="AI24696" s="38"/>
    </row>
    <row r="24697" ht="15.75" customHeight="1">
      <c r="A24697" s="35"/>
      <c r="C24697" s="442"/>
      <c r="P24697" s="235"/>
      <c r="AI24697" s="38"/>
    </row>
    <row r="24698" ht="15.75" customHeight="1">
      <c r="A24698" s="35"/>
      <c r="C24698" s="442"/>
      <c r="P24698" s="235"/>
      <c r="AI24698" s="38"/>
    </row>
    <row r="24699" ht="15.75" customHeight="1">
      <c r="A24699" s="35"/>
      <c r="C24699" s="442"/>
      <c r="P24699" s="235"/>
      <c r="AI24699" s="38"/>
    </row>
    <row r="24700" ht="15.75" customHeight="1">
      <c r="A24700" s="35"/>
      <c r="C24700" s="442"/>
      <c r="P24700" s="235"/>
      <c r="AI24700" s="38"/>
    </row>
    <row r="24701" ht="15.75" customHeight="1">
      <c r="A24701" s="35"/>
      <c r="C24701" s="442"/>
      <c r="P24701" s="235"/>
      <c r="AI24701" s="38"/>
    </row>
    <row r="24702" ht="15.75" customHeight="1">
      <c r="A24702" s="35"/>
      <c r="C24702" s="442"/>
      <c r="P24702" s="235"/>
      <c r="AI24702" s="38"/>
    </row>
    <row r="24703" ht="15.75" customHeight="1">
      <c r="A24703" s="35"/>
      <c r="C24703" s="442"/>
      <c r="P24703" s="235"/>
      <c r="AI24703" s="38"/>
    </row>
    <row r="24704" ht="15.75" customHeight="1">
      <c r="A24704" s="35"/>
      <c r="C24704" s="442"/>
      <c r="P24704" s="235"/>
      <c r="AI24704" s="38"/>
    </row>
    <row r="24705" ht="15.75" customHeight="1">
      <c r="A24705" s="35"/>
      <c r="C24705" s="442"/>
      <c r="P24705" s="235"/>
      <c r="AI24705" s="38"/>
    </row>
    <row r="24706" ht="15.75" customHeight="1">
      <c r="A24706" s="35"/>
      <c r="C24706" s="442"/>
      <c r="P24706" s="235"/>
      <c r="AI24706" s="38"/>
    </row>
    <row r="24707" ht="15.75" customHeight="1">
      <c r="A24707" s="35"/>
      <c r="C24707" s="442"/>
      <c r="P24707" s="235"/>
      <c r="AI24707" s="38"/>
    </row>
    <row r="24708" ht="15.75" customHeight="1">
      <c r="A24708" s="35"/>
      <c r="C24708" s="442"/>
      <c r="P24708" s="235"/>
      <c r="AI24708" s="38"/>
    </row>
    <row r="24709" ht="15.75" customHeight="1">
      <c r="A24709" s="35"/>
      <c r="C24709" s="442"/>
      <c r="P24709" s="235"/>
      <c r="AI24709" s="38"/>
    </row>
    <row r="24710" ht="15.75" customHeight="1">
      <c r="A24710" s="35"/>
      <c r="C24710" s="442"/>
      <c r="P24710" s="235"/>
      <c r="AI24710" s="38"/>
    </row>
    <row r="24711" ht="15.75" customHeight="1">
      <c r="A24711" s="35"/>
      <c r="C24711" s="442"/>
      <c r="P24711" s="235"/>
      <c r="AI24711" s="38"/>
    </row>
    <row r="24712" ht="15.75" customHeight="1">
      <c r="A24712" s="35"/>
      <c r="C24712" s="442"/>
      <c r="P24712" s="235"/>
      <c r="AI24712" s="38"/>
    </row>
    <row r="24713" ht="15.75" customHeight="1">
      <c r="A24713" s="35"/>
      <c r="C24713" s="442"/>
      <c r="P24713" s="235"/>
      <c r="AI24713" s="38"/>
    </row>
    <row r="24714" ht="15.75" customHeight="1">
      <c r="A24714" s="35"/>
      <c r="C24714" s="442"/>
      <c r="P24714" s="235"/>
      <c r="AI24714" s="38"/>
    </row>
    <row r="24715" ht="15.75" customHeight="1">
      <c r="A24715" s="35"/>
      <c r="C24715" s="442"/>
      <c r="P24715" s="235"/>
      <c r="AI24715" s="38"/>
    </row>
    <row r="24716" ht="15.75" customHeight="1">
      <c r="A24716" s="35"/>
      <c r="C24716" s="442"/>
      <c r="P24716" s="235"/>
      <c r="AI24716" s="38"/>
    </row>
    <row r="24717" ht="15.75" customHeight="1">
      <c r="A24717" s="35"/>
      <c r="C24717" s="442"/>
      <c r="P24717" s="235"/>
      <c r="AI24717" s="38"/>
    </row>
    <row r="24718" ht="15.75" customHeight="1">
      <c r="A24718" s="35"/>
      <c r="C24718" s="442"/>
      <c r="P24718" s="235"/>
      <c r="AI24718" s="38"/>
    </row>
    <row r="24719" ht="15.75" customHeight="1">
      <c r="A24719" s="35"/>
      <c r="C24719" s="442"/>
      <c r="P24719" s="235"/>
      <c r="AI24719" s="38"/>
    </row>
    <row r="24720" ht="15.75" customHeight="1">
      <c r="A24720" s="35"/>
      <c r="C24720" s="442"/>
      <c r="P24720" s="235"/>
      <c r="AI24720" s="38"/>
    </row>
    <row r="24721" ht="15.75" customHeight="1">
      <c r="A24721" s="35"/>
      <c r="C24721" s="442"/>
      <c r="P24721" s="235"/>
      <c r="AI24721" s="38"/>
    </row>
    <row r="24722" ht="15.75" customHeight="1">
      <c r="A24722" s="35"/>
      <c r="C24722" s="442"/>
      <c r="P24722" s="235"/>
      <c r="AI24722" s="38"/>
    </row>
    <row r="24723" ht="15.75" customHeight="1">
      <c r="A24723" s="35"/>
      <c r="C24723" s="442"/>
      <c r="P24723" s="235"/>
      <c r="AI24723" s="38"/>
    </row>
    <row r="24724" ht="15.75" customHeight="1">
      <c r="A24724" s="35"/>
      <c r="C24724" s="442"/>
      <c r="P24724" s="235"/>
      <c r="AI24724" s="38"/>
    </row>
    <row r="24725" ht="15.75" customHeight="1">
      <c r="A24725" s="35"/>
      <c r="C24725" s="442"/>
      <c r="P24725" s="235"/>
      <c r="AI24725" s="38"/>
    </row>
    <row r="24726" ht="15.75" customHeight="1">
      <c r="A24726" s="35"/>
      <c r="C24726" s="442"/>
      <c r="P24726" s="235"/>
      <c r="AI24726" s="38"/>
    </row>
    <row r="24727" ht="15.75" customHeight="1">
      <c r="A24727" s="35"/>
      <c r="C24727" s="442"/>
      <c r="P24727" s="235"/>
      <c r="AI24727" s="38"/>
    </row>
    <row r="24728" ht="15.75" customHeight="1">
      <c r="A24728" s="35"/>
      <c r="C24728" s="442"/>
      <c r="P24728" s="235"/>
      <c r="AI24728" s="38"/>
    </row>
    <row r="24729" ht="15.75" customHeight="1">
      <c r="A24729" s="35"/>
      <c r="C24729" s="442"/>
      <c r="P24729" s="235"/>
      <c r="AI24729" s="38"/>
    </row>
    <row r="24730" ht="15.75" customHeight="1">
      <c r="A24730" s="35"/>
      <c r="C24730" s="442"/>
      <c r="P24730" s="235"/>
      <c r="AI24730" s="38"/>
    </row>
    <row r="24731" ht="15.75" customHeight="1">
      <c r="A24731" s="35"/>
      <c r="C24731" s="442"/>
      <c r="P24731" s="235"/>
      <c r="AI24731" s="38"/>
    </row>
    <row r="24732" ht="15.75" customHeight="1">
      <c r="A24732" s="35"/>
      <c r="C24732" s="442"/>
      <c r="P24732" s="235"/>
      <c r="AI24732" s="38"/>
    </row>
    <row r="24733" ht="15.75" customHeight="1">
      <c r="A24733" s="35"/>
      <c r="C24733" s="442"/>
      <c r="P24733" s="235"/>
      <c r="AI24733" s="38"/>
    </row>
    <row r="24734" ht="15.75" customHeight="1">
      <c r="A24734" s="35"/>
      <c r="C24734" s="442"/>
      <c r="P24734" s="235"/>
      <c r="AI24734" s="38"/>
    </row>
    <row r="24735" ht="15.75" customHeight="1">
      <c r="A24735" s="35"/>
      <c r="C24735" s="442"/>
      <c r="P24735" s="235"/>
      <c r="AI24735" s="38"/>
    </row>
    <row r="24736" ht="15.75" customHeight="1">
      <c r="A24736" s="35"/>
      <c r="C24736" s="442"/>
      <c r="P24736" s="235"/>
      <c r="AI24736" s="38"/>
    </row>
    <row r="24737" ht="15.75" customHeight="1">
      <c r="A24737" s="35"/>
      <c r="C24737" s="442"/>
      <c r="P24737" s="235"/>
      <c r="AI24737" s="38"/>
    </row>
    <row r="24738" ht="15.75" customHeight="1">
      <c r="A24738" s="35"/>
      <c r="C24738" s="442"/>
      <c r="P24738" s="235"/>
      <c r="AI24738" s="38"/>
    </row>
    <row r="24739" ht="15.75" customHeight="1">
      <c r="A24739" s="35"/>
      <c r="C24739" s="442"/>
      <c r="P24739" s="235"/>
      <c r="AI24739" s="38"/>
    </row>
    <row r="24740" ht="15.75" customHeight="1">
      <c r="A24740" s="35"/>
      <c r="C24740" s="442"/>
      <c r="P24740" s="235"/>
      <c r="AI24740" s="38"/>
    </row>
    <row r="24741" ht="15.75" customHeight="1">
      <c r="A24741" s="35"/>
      <c r="C24741" s="442"/>
      <c r="P24741" s="235"/>
      <c r="AI24741" s="38"/>
    </row>
    <row r="24742" ht="15.75" customHeight="1">
      <c r="A24742" s="35"/>
      <c r="C24742" s="442"/>
      <c r="P24742" s="235"/>
      <c r="AI24742" s="38"/>
    </row>
    <row r="24743" ht="15.75" customHeight="1">
      <c r="A24743" s="35"/>
      <c r="C24743" s="442"/>
      <c r="P24743" s="235"/>
      <c r="AI24743" s="38"/>
    </row>
    <row r="24744" ht="15.75" customHeight="1">
      <c r="A24744" s="35"/>
      <c r="C24744" s="442"/>
      <c r="P24744" s="235"/>
      <c r="AI24744" s="38"/>
    </row>
    <row r="24745" ht="15.75" customHeight="1">
      <c r="A24745" s="35"/>
      <c r="C24745" s="442"/>
      <c r="P24745" s="235"/>
      <c r="AI24745" s="38"/>
    </row>
    <row r="24746" ht="15.75" customHeight="1">
      <c r="A24746" s="35"/>
      <c r="C24746" s="442"/>
      <c r="P24746" s="235"/>
      <c r="AI24746" s="38"/>
    </row>
    <row r="24747" ht="15.75" customHeight="1">
      <c r="A24747" s="35"/>
      <c r="C24747" s="442"/>
      <c r="P24747" s="235"/>
      <c r="AI24747" s="38"/>
    </row>
    <row r="24748" ht="15.75" customHeight="1">
      <c r="A24748" s="35"/>
      <c r="C24748" s="442"/>
      <c r="P24748" s="235"/>
      <c r="AI24748" s="38"/>
    </row>
    <row r="24749" ht="15.75" customHeight="1">
      <c r="A24749" s="35"/>
      <c r="C24749" s="442"/>
      <c r="P24749" s="235"/>
      <c r="AI24749" s="38"/>
    </row>
    <row r="24750" ht="15.75" customHeight="1">
      <c r="A24750" s="35"/>
      <c r="C24750" s="442"/>
      <c r="P24750" s="235"/>
      <c r="AI24750" s="38"/>
    </row>
    <row r="24751" ht="15.75" customHeight="1">
      <c r="A24751" s="35"/>
      <c r="C24751" s="442"/>
      <c r="P24751" s="235"/>
      <c r="AI24751" s="38"/>
    </row>
    <row r="24752" ht="15.75" customHeight="1">
      <c r="A24752" s="35"/>
      <c r="C24752" s="442"/>
      <c r="P24752" s="235"/>
      <c r="AI24752" s="38"/>
    </row>
    <row r="24753" ht="15.75" customHeight="1">
      <c r="A24753" s="35"/>
      <c r="C24753" s="442"/>
      <c r="P24753" s="235"/>
      <c r="AI24753" s="38"/>
    </row>
    <row r="24754" ht="15.75" customHeight="1">
      <c r="A24754" s="35"/>
      <c r="C24754" s="442"/>
      <c r="P24754" s="235"/>
      <c r="AI24754" s="38"/>
    </row>
    <row r="24755" ht="15.75" customHeight="1">
      <c r="A24755" s="35"/>
      <c r="C24755" s="442"/>
      <c r="P24755" s="235"/>
      <c r="AI24755" s="38"/>
    </row>
    <row r="24756" ht="15.75" customHeight="1">
      <c r="A24756" s="35"/>
      <c r="C24756" s="442"/>
      <c r="P24756" s="235"/>
      <c r="AI24756" s="38"/>
    </row>
    <row r="24757" ht="15.75" customHeight="1">
      <c r="A24757" s="35"/>
      <c r="C24757" s="442"/>
      <c r="P24757" s="235"/>
      <c r="AI24757" s="38"/>
    </row>
    <row r="24758" ht="15.75" customHeight="1">
      <c r="A24758" s="35"/>
      <c r="C24758" s="442"/>
      <c r="P24758" s="235"/>
      <c r="AI24758" s="38"/>
    </row>
    <row r="24759" ht="15.75" customHeight="1">
      <c r="A24759" s="35"/>
      <c r="C24759" s="442"/>
      <c r="P24759" s="235"/>
      <c r="AI24759" s="38"/>
    </row>
    <row r="24760" ht="15.75" customHeight="1">
      <c r="A24760" s="35"/>
      <c r="C24760" s="442"/>
      <c r="P24760" s="235"/>
      <c r="AI24760" s="38"/>
    </row>
    <row r="24761" ht="15.75" customHeight="1">
      <c r="A24761" s="35"/>
      <c r="C24761" s="442"/>
      <c r="P24761" s="235"/>
      <c r="AI24761" s="38"/>
    </row>
    <row r="24762" ht="15.75" customHeight="1">
      <c r="A24762" s="35"/>
      <c r="C24762" s="442"/>
      <c r="P24762" s="235"/>
      <c r="AI24762" s="38"/>
    </row>
    <row r="24763" ht="15.75" customHeight="1">
      <c r="A24763" s="35"/>
      <c r="C24763" s="442"/>
      <c r="P24763" s="235"/>
      <c r="AI24763" s="38"/>
    </row>
    <row r="24764" ht="15.75" customHeight="1">
      <c r="A24764" s="35"/>
      <c r="C24764" s="442"/>
      <c r="P24764" s="235"/>
      <c r="AI24764" s="38"/>
    </row>
    <row r="24765" ht="15.75" customHeight="1">
      <c r="A24765" s="35"/>
      <c r="C24765" s="442"/>
      <c r="P24765" s="235"/>
      <c r="AI24765" s="38"/>
    </row>
    <row r="24766" ht="15.75" customHeight="1">
      <c r="A24766" s="35"/>
      <c r="C24766" s="442"/>
      <c r="P24766" s="235"/>
      <c r="AI24766" s="38"/>
    </row>
    <row r="24767" ht="15.75" customHeight="1">
      <c r="A24767" s="35"/>
      <c r="C24767" s="442"/>
      <c r="P24767" s="235"/>
      <c r="AI24767" s="38"/>
    </row>
    <row r="24768" ht="15.75" customHeight="1">
      <c r="A24768" s="35"/>
      <c r="C24768" s="442"/>
      <c r="P24768" s="235"/>
      <c r="AI24768" s="38"/>
    </row>
    <row r="24769" ht="15.75" customHeight="1">
      <c r="A24769" s="35"/>
      <c r="C24769" s="442"/>
      <c r="P24769" s="235"/>
      <c r="AI24769" s="38"/>
    </row>
    <row r="24770" ht="15.75" customHeight="1">
      <c r="A24770" s="35"/>
      <c r="C24770" s="442"/>
      <c r="P24770" s="235"/>
      <c r="AI24770" s="38"/>
    </row>
    <row r="24771" ht="15.75" customHeight="1">
      <c r="A24771" s="35"/>
      <c r="C24771" s="442"/>
      <c r="P24771" s="235"/>
      <c r="AI24771" s="38"/>
    </row>
    <row r="24772" ht="15.75" customHeight="1">
      <c r="A24772" s="35"/>
      <c r="C24772" s="442"/>
      <c r="P24772" s="235"/>
      <c r="AI24772" s="38"/>
    </row>
    <row r="24773" ht="15.75" customHeight="1">
      <c r="A24773" s="35"/>
      <c r="C24773" s="442"/>
      <c r="P24773" s="235"/>
      <c r="AI24773" s="38"/>
    </row>
    <row r="24774" ht="15.75" customHeight="1">
      <c r="A24774" s="35"/>
      <c r="C24774" s="442"/>
      <c r="P24774" s="235"/>
      <c r="AI24774" s="38"/>
    </row>
    <row r="24775" ht="15.75" customHeight="1">
      <c r="A24775" s="35"/>
      <c r="C24775" s="442"/>
      <c r="P24775" s="235"/>
      <c r="AI24775" s="38"/>
    </row>
    <row r="24776" ht="15.75" customHeight="1">
      <c r="A24776" s="35"/>
      <c r="C24776" s="442"/>
      <c r="P24776" s="235"/>
      <c r="AI24776" s="38"/>
    </row>
    <row r="24777" ht="15.75" customHeight="1">
      <c r="A24777" s="35"/>
      <c r="C24777" s="442"/>
      <c r="P24777" s="235"/>
      <c r="AI24777" s="38"/>
    </row>
    <row r="24778" ht="15.75" customHeight="1">
      <c r="A24778" s="35"/>
      <c r="C24778" s="442"/>
      <c r="P24778" s="235"/>
      <c r="AI24778" s="38"/>
    </row>
    <row r="24779" ht="15.75" customHeight="1">
      <c r="A24779" s="35"/>
      <c r="C24779" s="442"/>
      <c r="P24779" s="235"/>
      <c r="AI24779" s="38"/>
    </row>
    <row r="24780" ht="15.75" customHeight="1">
      <c r="A24780" s="35"/>
      <c r="C24780" s="442"/>
      <c r="P24780" s="235"/>
      <c r="AI24780" s="38"/>
    </row>
    <row r="24781" ht="15.75" customHeight="1">
      <c r="A24781" s="35"/>
      <c r="C24781" s="442"/>
      <c r="P24781" s="235"/>
      <c r="AI24781" s="38"/>
    </row>
    <row r="24782" ht="15.75" customHeight="1">
      <c r="A24782" s="35"/>
      <c r="C24782" s="442"/>
      <c r="P24782" s="235"/>
      <c r="AI24782" s="38"/>
    </row>
    <row r="24783" ht="15.75" customHeight="1">
      <c r="A24783" s="35"/>
      <c r="C24783" s="442"/>
      <c r="P24783" s="235"/>
      <c r="AI24783" s="38"/>
    </row>
    <row r="24784" ht="15.75" customHeight="1">
      <c r="A24784" s="35"/>
      <c r="C24784" s="442"/>
      <c r="P24784" s="235"/>
      <c r="AI24784" s="38"/>
    </row>
    <row r="24785" ht="15.75" customHeight="1">
      <c r="A24785" s="35"/>
      <c r="C24785" s="442"/>
      <c r="P24785" s="235"/>
      <c r="AI24785" s="38"/>
    </row>
    <row r="24786" ht="15.75" customHeight="1">
      <c r="A24786" s="35"/>
      <c r="C24786" s="442"/>
      <c r="P24786" s="235"/>
      <c r="AI24786" s="38"/>
    </row>
    <row r="24787" ht="15.75" customHeight="1">
      <c r="A24787" s="35"/>
      <c r="C24787" s="442"/>
      <c r="P24787" s="235"/>
      <c r="AI24787" s="38"/>
    </row>
    <row r="24788" ht="15.75" customHeight="1">
      <c r="A24788" s="35"/>
      <c r="C24788" s="442"/>
      <c r="P24788" s="235"/>
      <c r="AI24788" s="38"/>
    </row>
    <row r="24789" ht="15.75" customHeight="1">
      <c r="A24789" s="35"/>
      <c r="C24789" s="442"/>
      <c r="P24789" s="235"/>
      <c r="AI24789" s="38"/>
    </row>
    <row r="24790" ht="15.75" customHeight="1">
      <c r="A24790" s="35"/>
      <c r="C24790" s="442"/>
      <c r="P24790" s="235"/>
      <c r="AI24790" s="38"/>
    </row>
    <row r="24791" ht="15.75" customHeight="1">
      <c r="A24791" s="35"/>
      <c r="C24791" s="442"/>
      <c r="P24791" s="235"/>
      <c r="AI24791" s="38"/>
    </row>
    <row r="24792" ht="15.75" customHeight="1">
      <c r="A24792" s="35"/>
      <c r="C24792" s="442"/>
      <c r="P24792" s="235"/>
      <c r="AI24792" s="38"/>
    </row>
    <row r="24793" ht="15.75" customHeight="1">
      <c r="A24793" s="35"/>
      <c r="C24793" s="442"/>
      <c r="P24793" s="235"/>
      <c r="AI24793" s="38"/>
    </row>
    <row r="24794" ht="15.75" customHeight="1">
      <c r="A24794" s="35"/>
      <c r="C24794" s="442"/>
      <c r="P24794" s="235"/>
      <c r="AI24794" s="38"/>
    </row>
    <row r="24795" ht="15.75" customHeight="1">
      <c r="A24795" s="35"/>
      <c r="C24795" s="442"/>
      <c r="P24795" s="235"/>
      <c r="AI24795" s="38"/>
    </row>
    <row r="24796" ht="15.75" customHeight="1">
      <c r="A24796" s="35"/>
      <c r="C24796" s="442"/>
      <c r="P24796" s="235"/>
      <c r="AI24796" s="38"/>
    </row>
    <row r="24797" ht="15.75" customHeight="1">
      <c r="A24797" s="35"/>
      <c r="C24797" s="442"/>
      <c r="P24797" s="235"/>
      <c r="AI24797" s="38"/>
    </row>
    <row r="24798" ht="15.75" customHeight="1">
      <c r="A24798" s="35"/>
      <c r="C24798" s="442"/>
      <c r="P24798" s="235"/>
      <c r="AI24798" s="38"/>
    </row>
    <row r="24799" ht="15.75" customHeight="1">
      <c r="A24799" s="35"/>
      <c r="C24799" s="442"/>
      <c r="P24799" s="235"/>
      <c r="AI24799" s="38"/>
    </row>
    <row r="24800" ht="15.75" customHeight="1">
      <c r="A24800" s="35"/>
      <c r="C24800" s="442"/>
      <c r="P24800" s="235"/>
      <c r="AI24800" s="38"/>
    </row>
    <row r="24801" ht="15.75" customHeight="1">
      <c r="A24801" s="35"/>
      <c r="C24801" s="442"/>
      <c r="P24801" s="235"/>
      <c r="AI24801" s="38"/>
    </row>
    <row r="24802" ht="15.75" customHeight="1">
      <c r="A24802" s="35"/>
      <c r="C24802" s="442"/>
      <c r="P24802" s="235"/>
      <c r="AI24802" s="38"/>
    </row>
    <row r="24803" ht="15.75" customHeight="1">
      <c r="A24803" s="35"/>
      <c r="C24803" s="442"/>
      <c r="P24803" s="235"/>
      <c r="AI24803" s="38"/>
    </row>
    <row r="24804" ht="15.75" customHeight="1">
      <c r="A24804" s="35"/>
      <c r="C24804" s="442"/>
      <c r="P24804" s="235"/>
      <c r="AI24804" s="38"/>
    </row>
    <row r="24805" ht="15.75" customHeight="1">
      <c r="A24805" s="35"/>
      <c r="C24805" s="442"/>
      <c r="P24805" s="235"/>
      <c r="AI24805" s="38"/>
    </row>
    <row r="24806" ht="15.75" customHeight="1">
      <c r="A24806" s="35"/>
      <c r="C24806" s="442"/>
      <c r="P24806" s="235"/>
      <c r="AI24806" s="38"/>
    </row>
    <row r="24807" ht="15.75" customHeight="1">
      <c r="A24807" s="35"/>
      <c r="C24807" s="442"/>
      <c r="P24807" s="235"/>
      <c r="AI24807" s="38"/>
    </row>
    <row r="24808" ht="15.75" customHeight="1">
      <c r="A24808" s="35"/>
      <c r="C24808" s="442"/>
      <c r="P24808" s="235"/>
      <c r="AI24808" s="38"/>
    </row>
    <row r="24809" ht="15.75" customHeight="1">
      <c r="A24809" s="35"/>
      <c r="C24809" s="442"/>
      <c r="P24809" s="235"/>
      <c r="AI24809" s="38"/>
    </row>
    <row r="24810" ht="15.75" customHeight="1">
      <c r="A24810" s="35"/>
      <c r="C24810" s="442"/>
      <c r="P24810" s="235"/>
      <c r="AI24810" s="38"/>
    </row>
    <row r="24811" ht="15.75" customHeight="1">
      <c r="A24811" s="35"/>
      <c r="C24811" s="442"/>
      <c r="P24811" s="235"/>
      <c r="AI24811" s="38"/>
    </row>
    <row r="24812" ht="15.75" customHeight="1">
      <c r="A24812" s="35"/>
      <c r="C24812" s="442"/>
      <c r="P24812" s="235"/>
      <c r="AI24812" s="38"/>
    </row>
    <row r="24813" ht="15.75" customHeight="1">
      <c r="A24813" s="35"/>
      <c r="C24813" s="442"/>
      <c r="P24813" s="235"/>
      <c r="AI24813" s="38"/>
    </row>
    <row r="24814" ht="15.75" customHeight="1">
      <c r="A24814" s="35"/>
      <c r="C24814" s="442"/>
      <c r="P24814" s="235"/>
      <c r="AI24814" s="38"/>
    </row>
    <row r="24815" ht="15.75" customHeight="1">
      <c r="A24815" s="35"/>
      <c r="C24815" s="442"/>
      <c r="P24815" s="235"/>
      <c r="AI24815" s="38"/>
    </row>
    <row r="24816" ht="15.75" customHeight="1">
      <c r="A24816" s="35"/>
      <c r="C24816" s="442"/>
      <c r="P24816" s="235"/>
      <c r="AI24816" s="38"/>
    </row>
    <row r="24817" ht="15.75" customHeight="1">
      <c r="A24817" s="35"/>
      <c r="C24817" s="442"/>
      <c r="P24817" s="235"/>
      <c r="AI24817" s="38"/>
    </row>
    <row r="24818" ht="15.75" customHeight="1">
      <c r="A24818" s="35"/>
      <c r="C24818" s="442"/>
      <c r="P24818" s="235"/>
      <c r="AI24818" s="38"/>
    </row>
    <row r="24819" ht="15.75" customHeight="1">
      <c r="A24819" s="35"/>
      <c r="C24819" s="442"/>
      <c r="P24819" s="235"/>
      <c r="AI24819" s="38"/>
    </row>
    <row r="24820" ht="15.75" customHeight="1">
      <c r="A24820" s="35"/>
      <c r="C24820" s="442"/>
      <c r="P24820" s="235"/>
      <c r="AI24820" s="38"/>
    </row>
    <row r="24821" ht="15.75" customHeight="1">
      <c r="A24821" s="35"/>
      <c r="C24821" s="442"/>
      <c r="P24821" s="235"/>
      <c r="AI24821" s="38"/>
    </row>
    <row r="24822" ht="15.75" customHeight="1">
      <c r="A24822" s="35"/>
      <c r="C24822" s="442"/>
      <c r="P24822" s="235"/>
      <c r="AI24822" s="38"/>
    </row>
    <row r="24823" ht="15.75" customHeight="1">
      <c r="A24823" s="35"/>
      <c r="C24823" s="442"/>
      <c r="P24823" s="235"/>
      <c r="AI24823" s="38"/>
    </row>
    <row r="24824" ht="15.75" customHeight="1">
      <c r="A24824" s="35"/>
      <c r="C24824" s="442"/>
      <c r="P24824" s="235"/>
      <c r="AI24824" s="38"/>
    </row>
    <row r="24825" ht="15.75" customHeight="1">
      <c r="A24825" s="35"/>
      <c r="C24825" s="442"/>
      <c r="P24825" s="235"/>
      <c r="AI24825" s="38"/>
    </row>
    <row r="24826" ht="15.75" customHeight="1">
      <c r="A24826" s="35"/>
      <c r="C24826" s="442"/>
      <c r="P24826" s="235"/>
      <c r="AI24826" s="38"/>
    </row>
    <row r="24827" ht="15.75" customHeight="1">
      <c r="A24827" s="35"/>
      <c r="C24827" s="442"/>
      <c r="P24827" s="235"/>
      <c r="AI24827" s="38"/>
    </row>
    <row r="24828" ht="15.75" customHeight="1">
      <c r="A24828" s="35"/>
      <c r="C24828" s="442"/>
      <c r="P24828" s="235"/>
      <c r="AI24828" s="38"/>
    </row>
    <row r="24829" ht="15.75" customHeight="1">
      <c r="A24829" s="35"/>
      <c r="C24829" s="442"/>
      <c r="P24829" s="235"/>
      <c r="AI24829" s="38"/>
    </row>
    <row r="24830" ht="15.75" customHeight="1">
      <c r="A24830" s="35"/>
      <c r="C24830" s="442"/>
      <c r="P24830" s="235"/>
      <c r="AI24830" s="38"/>
    </row>
    <row r="24831" ht="15.75" customHeight="1">
      <c r="A24831" s="35"/>
      <c r="C24831" s="442"/>
      <c r="P24831" s="235"/>
      <c r="AI24831" s="38"/>
    </row>
    <row r="24832" ht="15.75" customHeight="1">
      <c r="A24832" s="35"/>
      <c r="C24832" s="442"/>
      <c r="P24832" s="235"/>
      <c r="AI24832" s="38"/>
    </row>
    <row r="24833" ht="15.75" customHeight="1">
      <c r="A24833" s="35"/>
      <c r="C24833" s="442"/>
      <c r="P24833" s="235"/>
      <c r="AI24833" s="38"/>
    </row>
    <row r="24834" ht="15.75" customHeight="1">
      <c r="A24834" s="35"/>
      <c r="C24834" s="442"/>
      <c r="P24834" s="235"/>
      <c r="AI24834" s="38"/>
    </row>
    <row r="24835" ht="15.75" customHeight="1">
      <c r="A24835" s="35"/>
      <c r="C24835" s="442"/>
      <c r="P24835" s="235"/>
      <c r="AI24835" s="38"/>
    </row>
    <row r="24836" ht="15.75" customHeight="1">
      <c r="A24836" s="35"/>
      <c r="C24836" s="442"/>
      <c r="P24836" s="235"/>
      <c r="AI24836" s="38"/>
    </row>
    <row r="24837" ht="15.75" customHeight="1">
      <c r="A24837" s="35"/>
      <c r="C24837" s="442"/>
      <c r="P24837" s="235"/>
      <c r="AI24837" s="38"/>
    </row>
    <row r="24838" ht="15.75" customHeight="1">
      <c r="A24838" s="35"/>
      <c r="C24838" s="442"/>
      <c r="P24838" s="235"/>
      <c r="AI24838" s="38"/>
    </row>
    <row r="24839" ht="15.75" customHeight="1">
      <c r="A24839" s="35"/>
      <c r="C24839" s="442"/>
      <c r="P24839" s="235"/>
      <c r="AI24839" s="38"/>
    </row>
    <row r="24840" ht="15.75" customHeight="1">
      <c r="A24840" s="35"/>
      <c r="C24840" s="442"/>
      <c r="P24840" s="235"/>
      <c r="AI24840" s="38"/>
    </row>
    <row r="24841" ht="15.75" customHeight="1">
      <c r="A24841" s="35"/>
      <c r="C24841" s="442"/>
      <c r="P24841" s="235"/>
      <c r="AI24841" s="38"/>
    </row>
    <row r="24842" ht="15.75" customHeight="1">
      <c r="A24842" s="35"/>
      <c r="C24842" s="442"/>
      <c r="P24842" s="235"/>
      <c r="AI24842" s="38"/>
    </row>
    <row r="24843" ht="15.75" customHeight="1">
      <c r="A24843" s="35"/>
      <c r="C24843" s="442"/>
      <c r="P24843" s="235"/>
      <c r="AI24843" s="38"/>
    </row>
    <row r="24844" ht="15.75" customHeight="1">
      <c r="A24844" s="35"/>
      <c r="C24844" s="442"/>
      <c r="P24844" s="235"/>
      <c r="AI24844" s="38"/>
    </row>
    <row r="24845" ht="15.75" customHeight="1">
      <c r="A24845" s="35"/>
      <c r="C24845" s="442"/>
      <c r="P24845" s="235"/>
      <c r="AI24845" s="38"/>
    </row>
    <row r="24846" ht="15.75" customHeight="1">
      <c r="A24846" s="35"/>
      <c r="C24846" s="442"/>
      <c r="P24846" s="235"/>
      <c r="AI24846" s="38"/>
    </row>
    <row r="24847" ht="15.75" customHeight="1">
      <c r="A24847" s="35"/>
      <c r="C24847" s="442"/>
      <c r="P24847" s="235"/>
      <c r="AI24847" s="38"/>
    </row>
    <row r="24848" ht="15.75" customHeight="1">
      <c r="A24848" s="35"/>
      <c r="C24848" s="442"/>
      <c r="P24848" s="235"/>
      <c r="AI24848" s="38"/>
    </row>
    <row r="24849" ht="15.75" customHeight="1">
      <c r="A24849" s="35"/>
      <c r="C24849" s="442"/>
      <c r="P24849" s="235"/>
      <c r="AI24849" s="38"/>
    </row>
    <row r="24850" ht="15.75" customHeight="1">
      <c r="A24850" s="35"/>
      <c r="C24850" s="442"/>
      <c r="P24850" s="235"/>
      <c r="AI24850" s="38"/>
    </row>
    <row r="24851" ht="15.75" customHeight="1">
      <c r="A24851" s="35"/>
      <c r="C24851" s="442"/>
      <c r="P24851" s="235"/>
      <c r="AI24851" s="38"/>
    </row>
    <row r="24852" ht="15.75" customHeight="1">
      <c r="A24852" s="35"/>
      <c r="C24852" s="442"/>
      <c r="P24852" s="235"/>
      <c r="AI24852" s="38"/>
    </row>
    <row r="24853" ht="15.75" customHeight="1">
      <c r="A24853" s="35"/>
      <c r="C24853" s="442"/>
      <c r="P24853" s="235"/>
      <c r="AI24853" s="38"/>
    </row>
    <row r="24854" ht="15.75" customHeight="1">
      <c r="A24854" s="35"/>
      <c r="C24854" s="442"/>
      <c r="P24854" s="235"/>
      <c r="AI24854" s="38"/>
    </row>
    <row r="24855" ht="15.75" customHeight="1">
      <c r="A24855" s="35"/>
      <c r="C24855" s="442"/>
      <c r="P24855" s="235"/>
      <c r="AI24855" s="38"/>
    </row>
    <row r="24856" ht="15.75" customHeight="1">
      <c r="A24856" s="35"/>
      <c r="C24856" s="442"/>
      <c r="P24856" s="235"/>
      <c r="AI24856" s="38"/>
    </row>
    <row r="24857" ht="15.75" customHeight="1">
      <c r="A24857" s="35"/>
      <c r="C24857" s="442"/>
      <c r="P24857" s="235"/>
      <c r="AI24857" s="38"/>
    </row>
    <row r="24858" ht="15.75" customHeight="1">
      <c r="A24858" s="35"/>
      <c r="C24858" s="442"/>
      <c r="P24858" s="235"/>
      <c r="AI24858" s="38"/>
    </row>
    <row r="24859" ht="15.75" customHeight="1">
      <c r="A24859" s="35"/>
      <c r="C24859" s="442"/>
      <c r="P24859" s="235"/>
      <c r="AI24859" s="38"/>
    </row>
    <row r="24860" ht="15.75" customHeight="1">
      <c r="A24860" s="35"/>
      <c r="C24860" s="442"/>
      <c r="P24860" s="235"/>
      <c r="AI24860" s="38"/>
    </row>
    <row r="24861" ht="15.75" customHeight="1">
      <c r="A24861" s="35"/>
      <c r="C24861" s="442"/>
      <c r="P24861" s="235"/>
      <c r="AI24861" s="38"/>
    </row>
    <row r="24862" ht="15.75" customHeight="1">
      <c r="A24862" s="35"/>
      <c r="C24862" s="442"/>
      <c r="P24862" s="235"/>
      <c r="AI24862" s="38"/>
    </row>
    <row r="24863" ht="15.75" customHeight="1">
      <c r="A24863" s="35"/>
      <c r="C24863" s="442"/>
      <c r="P24863" s="235"/>
      <c r="AI24863" s="38"/>
    </row>
    <row r="24864" ht="15.75" customHeight="1">
      <c r="A24864" s="35"/>
      <c r="C24864" s="442"/>
      <c r="P24864" s="235"/>
      <c r="AI24864" s="38"/>
    </row>
    <row r="24865" ht="15.75" customHeight="1">
      <c r="A24865" s="35"/>
      <c r="C24865" s="442"/>
      <c r="P24865" s="235"/>
      <c r="AI24865" s="38"/>
    </row>
    <row r="24866" ht="15.75" customHeight="1">
      <c r="A24866" s="35"/>
      <c r="C24866" s="442"/>
      <c r="P24866" s="235"/>
      <c r="AI24866" s="38"/>
    </row>
    <row r="24867" ht="15.75" customHeight="1">
      <c r="A24867" s="35"/>
      <c r="C24867" s="442"/>
      <c r="P24867" s="235"/>
      <c r="AI24867" s="38"/>
    </row>
    <row r="24868" ht="15.75" customHeight="1">
      <c r="A24868" s="35"/>
      <c r="C24868" s="442"/>
      <c r="P24868" s="235"/>
      <c r="AI24868" s="38"/>
    </row>
    <row r="24869" ht="15.75" customHeight="1">
      <c r="A24869" s="35"/>
      <c r="C24869" s="442"/>
      <c r="P24869" s="235"/>
      <c r="AI24869" s="38"/>
    </row>
    <row r="24870" ht="15.75" customHeight="1">
      <c r="A24870" s="35"/>
      <c r="C24870" s="442"/>
      <c r="P24870" s="235"/>
      <c r="AI24870" s="38"/>
    </row>
    <row r="24871" ht="15.75" customHeight="1">
      <c r="A24871" s="35"/>
      <c r="C24871" s="442"/>
      <c r="P24871" s="235"/>
      <c r="AI24871" s="38"/>
    </row>
    <row r="24872" ht="15.75" customHeight="1">
      <c r="A24872" s="35"/>
      <c r="C24872" s="442"/>
      <c r="P24872" s="235"/>
      <c r="AI24872" s="38"/>
    </row>
    <row r="24873" ht="15.75" customHeight="1">
      <c r="A24873" s="35"/>
      <c r="C24873" s="442"/>
      <c r="P24873" s="235"/>
      <c r="AI24873" s="38"/>
    </row>
    <row r="24874" ht="15.75" customHeight="1">
      <c r="A24874" s="35"/>
      <c r="C24874" s="442"/>
      <c r="P24874" s="235"/>
      <c r="AI24874" s="38"/>
    </row>
    <row r="24875" ht="15.75" customHeight="1">
      <c r="A24875" s="35"/>
      <c r="C24875" s="442"/>
      <c r="P24875" s="235"/>
      <c r="AI24875" s="38"/>
    </row>
    <row r="24876" ht="15.75" customHeight="1">
      <c r="A24876" s="35"/>
      <c r="C24876" s="442"/>
      <c r="P24876" s="235"/>
      <c r="AI24876" s="38"/>
    </row>
    <row r="24877" ht="15.75" customHeight="1">
      <c r="A24877" s="35"/>
      <c r="C24877" s="442"/>
      <c r="P24877" s="235"/>
      <c r="AI24877" s="38"/>
    </row>
    <row r="24878" ht="15.75" customHeight="1">
      <c r="A24878" s="35"/>
      <c r="C24878" s="442"/>
      <c r="P24878" s="235"/>
      <c r="AI24878" s="38"/>
    </row>
    <row r="24879" ht="15.75" customHeight="1">
      <c r="A24879" s="35"/>
      <c r="C24879" s="442"/>
      <c r="P24879" s="235"/>
      <c r="AI24879" s="38"/>
    </row>
    <row r="24880" ht="15.75" customHeight="1">
      <c r="A24880" s="35"/>
      <c r="C24880" s="442"/>
      <c r="P24880" s="235"/>
      <c r="AI24880" s="38"/>
    </row>
    <row r="24881" ht="15.75" customHeight="1">
      <c r="A24881" s="35"/>
      <c r="C24881" s="442"/>
      <c r="P24881" s="235"/>
      <c r="AI24881" s="38"/>
    </row>
    <row r="24882" ht="15.75" customHeight="1">
      <c r="A24882" s="35"/>
      <c r="C24882" s="442"/>
      <c r="P24882" s="235"/>
      <c r="AI24882" s="38"/>
    </row>
    <row r="24883" ht="15.75" customHeight="1">
      <c r="A24883" s="35"/>
      <c r="C24883" s="442"/>
      <c r="P24883" s="235"/>
      <c r="AI24883" s="38"/>
    </row>
    <row r="24884" ht="15.75" customHeight="1">
      <c r="A24884" s="35"/>
      <c r="C24884" s="442"/>
      <c r="P24884" s="235"/>
      <c r="AI24884" s="38"/>
    </row>
    <row r="24885" ht="15.75" customHeight="1">
      <c r="A24885" s="35"/>
      <c r="C24885" s="442"/>
      <c r="P24885" s="235"/>
      <c r="AI24885" s="38"/>
    </row>
    <row r="24886" ht="15.75" customHeight="1">
      <c r="A24886" s="35"/>
      <c r="C24886" s="442"/>
      <c r="P24886" s="235"/>
      <c r="AI24886" s="38"/>
    </row>
    <row r="24887" ht="15.75" customHeight="1">
      <c r="A24887" s="35"/>
      <c r="C24887" s="442"/>
      <c r="P24887" s="235"/>
      <c r="AI24887" s="38"/>
    </row>
    <row r="24888" ht="15.75" customHeight="1">
      <c r="A24888" s="35"/>
      <c r="C24888" s="442"/>
      <c r="P24888" s="235"/>
      <c r="AI24888" s="38"/>
    </row>
    <row r="24889" ht="15.75" customHeight="1">
      <c r="A24889" s="35"/>
      <c r="C24889" s="442"/>
      <c r="P24889" s="235"/>
      <c r="AI24889" s="38"/>
    </row>
    <row r="24890" ht="15.75" customHeight="1">
      <c r="A24890" s="35"/>
      <c r="C24890" s="442"/>
      <c r="P24890" s="235"/>
      <c r="AI24890" s="38"/>
    </row>
    <row r="24891" ht="15.75" customHeight="1">
      <c r="A24891" s="35"/>
      <c r="C24891" s="442"/>
      <c r="P24891" s="235"/>
      <c r="AI24891" s="38"/>
    </row>
    <row r="24892" ht="15.75" customHeight="1">
      <c r="A24892" s="35"/>
      <c r="C24892" s="442"/>
      <c r="P24892" s="235"/>
      <c r="AI24892" s="38"/>
    </row>
    <row r="24893" ht="15.75" customHeight="1">
      <c r="A24893" s="35"/>
      <c r="C24893" s="442"/>
      <c r="P24893" s="235"/>
      <c r="AI24893" s="38"/>
    </row>
    <row r="24894" ht="15.75" customHeight="1">
      <c r="A24894" s="35"/>
      <c r="C24894" s="442"/>
      <c r="P24894" s="235"/>
      <c r="AI24894" s="38"/>
    </row>
    <row r="24895" ht="15.75" customHeight="1">
      <c r="A24895" s="35"/>
      <c r="C24895" s="442"/>
      <c r="P24895" s="235"/>
      <c r="AI24895" s="38"/>
    </row>
    <row r="24896" ht="15.75" customHeight="1">
      <c r="A24896" s="35"/>
      <c r="C24896" s="442"/>
      <c r="P24896" s="235"/>
      <c r="AI24896" s="38"/>
    </row>
    <row r="24897" ht="15.75" customHeight="1">
      <c r="A24897" s="35"/>
      <c r="C24897" s="442"/>
      <c r="P24897" s="235"/>
      <c r="AI24897" s="38"/>
    </row>
    <row r="24898" ht="15.75" customHeight="1">
      <c r="A24898" s="35"/>
      <c r="C24898" s="442"/>
      <c r="P24898" s="235"/>
      <c r="AI24898" s="38"/>
    </row>
    <row r="24899" ht="15.75" customHeight="1">
      <c r="A24899" s="35"/>
      <c r="C24899" s="442"/>
      <c r="P24899" s="235"/>
      <c r="AI24899" s="38"/>
    </row>
    <row r="24900" ht="15.75" customHeight="1">
      <c r="A24900" s="35"/>
      <c r="C24900" s="442"/>
      <c r="P24900" s="235"/>
      <c r="AI24900" s="38"/>
    </row>
    <row r="24901" ht="15.75" customHeight="1">
      <c r="A24901" s="35"/>
      <c r="C24901" s="442"/>
      <c r="P24901" s="235"/>
      <c r="AI24901" s="38"/>
    </row>
    <row r="24902" ht="15.75" customHeight="1">
      <c r="A24902" s="35"/>
      <c r="C24902" s="442"/>
      <c r="P24902" s="235"/>
      <c r="AI24902" s="38"/>
    </row>
    <row r="24903" ht="15.75" customHeight="1">
      <c r="A24903" s="35"/>
      <c r="C24903" s="442"/>
      <c r="P24903" s="235"/>
      <c r="AI24903" s="38"/>
    </row>
    <row r="24904" ht="15.75" customHeight="1">
      <c r="A24904" s="35"/>
      <c r="C24904" s="442"/>
      <c r="P24904" s="235"/>
      <c r="AI24904" s="38"/>
    </row>
    <row r="24905" ht="15.75" customHeight="1">
      <c r="A24905" s="35"/>
      <c r="C24905" s="442"/>
      <c r="P24905" s="235"/>
      <c r="AI24905" s="38"/>
    </row>
    <row r="24906" ht="15.75" customHeight="1">
      <c r="A24906" s="35"/>
      <c r="C24906" s="442"/>
      <c r="P24906" s="235"/>
      <c r="AI24906" s="38"/>
    </row>
    <row r="24907" ht="15.75" customHeight="1">
      <c r="A24907" s="35"/>
      <c r="C24907" s="442"/>
      <c r="P24907" s="235"/>
      <c r="AI24907" s="38"/>
    </row>
    <row r="24908" ht="15.75" customHeight="1">
      <c r="A24908" s="35"/>
      <c r="C24908" s="442"/>
      <c r="P24908" s="235"/>
      <c r="AI24908" s="38"/>
    </row>
    <row r="24909" ht="15.75" customHeight="1">
      <c r="A24909" s="35"/>
      <c r="C24909" s="442"/>
      <c r="P24909" s="235"/>
      <c r="AI24909" s="38"/>
    </row>
    <row r="24910" ht="15.75" customHeight="1">
      <c r="A24910" s="35"/>
      <c r="C24910" s="442"/>
      <c r="P24910" s="235"/>
      <c r="AI24910" s="38"/>
    </row>
    <row r="24911" ht="15.75" customHeight="1">
      <c r="A24911" s="35"/>
      <c r="C24911" s="442"/>
      <c r="P24911" s="235"/>
      <c r="AI24911" s="38"/>
    </row>
    <row r="24912" ht="15.75" customHeight="1">
      <c r="A24912" s="35"/>
      <c r="C24912" s="442"/>
      <c r="P24912" s="235"/>
      <c r="AI24912" s="38"/>
    </row>
    <row r="24913" ht="15.75" customHeight="1">
      <c r="A24913" s="35"/>
      <c r="C24913" s="442"/>
      <c r="P24913" s="235"/>
      <c r="AI24913" s="38"/>
    </row>
    <row r="24914" ht="15.75" customHeight="1">
      <c r="A24914" s="35"/>
      <c r="C24914" s="442"/>
      <c r="P24914" s="235"/>
      <c r="AI24914" s="38"/>
    </row>
    <row r="24915" ht="15.75" customHeight="1">
      <c r="A24915" s="35"/>
      <c r="C24915" s="442"/>
      <c r="P24915" s="235"/>
      <c r="AI24915" s="38"/>
    </row>
    <row r="24916" ht="15.75" customHeight="1">
      <c r="A24916" s="35"/>
      <c r="C24916" s="442"/>
      <c r="P24916" s="235"/>
      <c r="AI24916" s="38"/>
    </row>
    <row r="24917" ht="15.75" customHeight="1">
      <c r="A24917" s="35"/>
      <c r="C24917" s="442"/>
      <c r="P24917" s="235"/>
      <c r="AI24917" s="38"/>
    </row>
    <row r="24918" ht="15.75" customHeight="1">
      <c r="A24918" s="35"/>
      <c r="C24918" s="442"/>
      <c r="P24918" s="235"/>
      <c r="AI24918" s="38"/>
    </row>
    <row r="24919" ht="15.75" customHeight="1">
      <c r="A24919" s="35"/>
      <c r="C24919" s="442"/>
      <c r="P24919" s="235"/>
      <c r="AI24919" s="38"/>
    </row>
    <row r="24920" ht="15.75" customHeight="1">
      <c r="A24920" s="35"/>
      <c r="C24920" s="442"/>
      <c r="P24920" s="235"/>
      <c r="AI24920" s="38"/>
    </row>
    <row r="24921" ht="15.75" customHeight="1">
      <c r="A24921" s="35"/>
      <c r="C24921" s="442"/>
      <c r="P24921" s="235"/>
      <c r="AI24921" s="38"/>
    </row>
    <row r="24922" ht="15.75" customHeight="1">
      <c r="A24922" s="35"/>
      <c r="C24922" s="442"/>
      <c r="P24922" s="235"/>
      <c r="AI24922" s="38"/>
    </row>
    <row r="24923" ht="15.75" customHeight="1">
      <c r="A24923" s="35"/>
      <c r="C24923" s="442"/>
      <c r="P24923" s="235"/>
      <c r="AI24923" s="38"/>
    </row>
    <row r="24924" ht="15.75" customHeight="1">
      <c r="A24924" s="35"/>
      <c r="C24924" s="442"/>
      <c r="P24924" s="235"/>
      <c r="AI24924" s="38"/>
    </row>
    <row r="24925" ht="15.75" customHeight="1">
      <c r="A24925" s="35"/>
      <c r="C24925" s="442"/>
      <c r="P24925" s="235"/>
      <c r="AI24925" s="38"/>
    </row>
    <row r="24926" ht="15.75" customHeight="1">
      <c r="A24926" s="35"/>
      <c r="C24926" s="442"/>
      <c r="P24926" s="235"/>
      <c r="AI24926" s="38"/>
    </row>
    <row r="24927" ht="15.75" customHeight="1">
      <c r="A24927" s="35"/>
      <c r="C24927" s="442"/>
      <c r="P24927" s="235"/>
      <c r="AI24927" s="38"/>
    </row>
    <row r="24928" ht="15.75" customHeight="1">
      <c r="A24928" s="35"/>
      <c r="C24928" s="442"/>
      <c r="P24928" s="235"/>
      <c r="AI24928" s="38"/>
    </row>
    <row r="24929" ht="15.75" customHeight="1">
      <c r="A24929" s="35"/>
      <c r="C24929" s="442"/>
      <c r="P24929" s="235"/>
      <c r="AI24929" s="38"/>
    </row>
    <row r="24930" ht="15.75" customHeight="1">
      <c r="A24930" s="35"/>
      <c r="C24930" s="442"/>
      <c r="P24930" s="235"/>
      <c r="AI24930" s="38"/>
    </row>
    <row r="24931" ht="15.75" customHeight="1">
      <c r="A24931" s="35"/>
      <c r="C24931" s="442"/>
      <c r="P24931" s="235"/>
      <c r="AI24931" s="38"/>
    </row>
    <row r="24932" ht="15.75" customHeight="1">
      <c r="A24932" s="35"/>
      <c r="C24932" s="442"/>
      <c r="P24932" s="235"/>
      <c r="AI24932" s="38"/>
    </row>
    <row r="24933" ht="15.75" customHeight="1">
      <c r="A24933" s="35"/>
      <c r="C24933" s="442"/>
      <c r="P24933" s="235"/>
      <c r="AI24933" s="38"/>
    </row>
    <row r="24934" ht="15.75" customHeight="1">
      <c r="A24934" s="35"/>
      <c r="C24934" s="442"/>
      <c r="P24934" s="235"/>
      <c r="AI24934" s="38"/>
    </row>
    <row r="24935" ht="15.75" customHeight="1">
      <c r="A24935" s="35"/>
      <c r="C24935" s="442"/>
      <c r="P24935" s="235"/>
      <c r="AI24935" s="38"/>
    </row>
    <row r="24936" ht="15.75" customHeight="1">
      <c r="A24936" s="35"/>
      <c r="C24936" s="442"/>
      <c r="P24936" s="235"/>
      <c r="AI24936" s="38"/>
    </row>
    <row r="24937" ht="15.75" customHeight="1">
      <c r="A24937" s="35"/>
      <c r="C24937" s="442"/>
      <c r="P24937" s="235"/>
      <c r="AI24937" s="38"/>
    </row>
    <row r="24938" ht="15.75" customHeight="1">
      <c r="A24938" s="35"/>
      <c r="C24938" s="442"/>
      <c r="P24938" s="235"/>
      <c r="AI24938" s="38"/>
    </row>
    <row r="24939" ht="15.75" customHeight="1">
      <c r="A24939" s="35"/>
      <c r="C24939" s="442"/>
      <c r="P24939" s="235"/>
      <c r="AI24939" s="38"/>
    </row>
    <row r="24940" ht="15.75" customHeight="1">
      <c r="A24940" s="35"/>
      <c r="C24940" s="442"/>
      <c r="P24940" s="235"/>
      <c r="AI24940" s="38"/>
    </row>
    <row r="24941" ht="15.75" customHeight="1">
      <c r="A24941" s="35"/>
      <c r="C24941" s="442"/>
      <c r="P24941" s="235"/>
      <c r="AI24941" s="38"/>
    </row>
    <row r="24942" ht="15.75" customHeight="1">
      <c r="A24942" s="35"/>
      <c r="C24942" s="442"/>
      <c r="P24942" s="235"/>
      <c r="AI24942" s="38"/>
    </row>
    <row r="24943" ht="15.75" customHeight="1">
      <c r="A24943" s="35"/>
      <c r="C24943" s="442"/>
      <c r="P24943" s="235"/>
      <c r="AI24943" s="38"/>
    </row>
    <row r="24944" ht="15.75" customHeight="1">
      <c r="A24944" s="35"/>
      <c r="C24944" s="442"/>
      <c r="P24944" s="235"/>
      <c r="AI24944" s="38"/>
    </row>
    <row r="24945" ht="15.75" customHeight="1">
      <c r="A24945" s="35"/>
      <c r="C24945" s="442"/>
      <c r="P24945" s="235"/>
      <c r="AI24945" s="38"/>
    </row>
    <row r="24946" ht="15.75" customHeight="1">
      <c r="A24946" s="35"/>
      <c r="C24946" s="442"/>
      <c r="P24946" s="235"/>
      <c r="AI24946" s="38"/>
    </row>
    <row r="24947" ht="15.75" customHeight="1">
      <c r="A24947" s="35"/>
      <c r="C24947" s="442"/>
      <c r="P24947" s="235"/>
      <c r="AI24947" s="38"/>
    </row>
    <row r="24948" ht="15.75" customHeight="1">
      <c r="A24948" s="35"/>
      <c r="C24948" s="442"/>
      <c r="P24948" s="235"/>
      <c r="AI24948" s="38"/>
    </row>
    <row r="24949" ht="15.75" customHeight="1">
      <c r="A24949" s="35"/>
      <c r="C24949" s="442"/>
      <c r="P24949" s="235"/>
      <c r="AI24949" s="38"/>
    </row>
    <row r="24950" ht="15.75" customHeight="1">
      <c r="A24950" s="35"/>
      <c r="C24950" s="442"/>
      <c r="P24950" s="235"/>
      <c r="AI24950" s="38"/>
    </row>
    <row r="24951" ht="15.75" customHeight="1">
      <c r="A24951" s="35"/>
      <c r="C24951" s="442"/>
      <c r="P24951" s="235"/>
      <c r="AI24951" s="38"/>
    </row>
    <row r="24952" ht="15.75" customHeight="1">
      <c r="A24952" s="35"/>
      <c r="C24952" s="442"/>
      <c r="P24952" s="235"/>
      <c r="AI24952" s="38"/>
    </row>
    <row r="24953" ht="15.75" customHeight="1">
      <c r="A24953" s="35"/>
      <c r="C24953" s="442"/>
      <c r="P24953" s="235"/>
      <c r="AI24953" s="38"/>
    </row>
    <row r="24954" ht="15.75" customHeight="1">
      <c r="A24954" s="35"/>
      <c r="C24954" s="442"/>
      <c r="P24954" s="235"/>
      <c r="AI24954" s="38"/>
    </row>
    <row r="24955" ht="15.75" customHeight="1">
      <c r="A24955" s="35"/>
      <c r="C24955" s="442"/>
      <c r="P24955" s="235"/>
      <c r="AI24955" s="38"/>
    </row>
    <row r="24956" ht="15.75" customHeight="1">
      <c r="A24956" s="35"/>
      <c r="C24956" s="442"/>
      <c r="P24956" s="235"/>
      <c r="AI24956" s="38"/>
    </row>
    <row r="24957" ht="15.75" customHeight="1">
      <c r="A24957" s="35"/>
      <c r="C24957" s="442"/>
      <c r="P24957" s="235"/>
      <c r="AI24957" s="38"/>
    </row>
    <row r="24958" ht="15.75" customHeight="1">
      <c r="A24958" s="35"/>
      <c r="C24958" s="442"/>
      <c r="P24958" s="235"/>
      <c r="AI24958" s="38"/>
    </row>
    <row r="24959" ht="15.75" customHeight="1">
      <c r="A24959" s="35"/>
      <c r="C24959" s="442"/>
      <c r="P24959" s="235"/>
      <c r="AI24959" s="38"/>
    </row>
    <row r="24960" ht="15.75" customHeight="1">
      <c r="A24960" s="35"/>
      <c r="C24960" s="442"/>
      <c r="P24960" s="235"/>
      <c r="AI24960" s="38"/>
    </row>
    <row r="24961" ht="15.75" customHeight="1">
      <c r="A24961" s="35"/>
      <c r="C24961" s="442"/>
      <c r="P24961" s="235"/>
      <c r="AI24961" s="38"/>
    </row>
    <row r="24962" ht="15.75" customHeight="1">
      <c r="A24962" s="35"/>
      <c r="C24962" s="442"/>
      <c r="P24962" s="235"/>
      <c r="AI24962" s="38"/>
    </row>
    <row r="24963" ht="15.75" customHeight="1">
      <c r="A24963" s="35"/>
      <c r="C24963" s="442"/>
      <c r="P24963" s="235"/>
      <c r="AI24963" s="38"/>
    </row>
    <row r="24964" ht="15.75" customHeight="1">
      <c r="A24964" s="35"/>
      <c r="C24964" s="442"/>
      <c r="P24964" s="235"/>
      <c r="AI24964" s="38"/>
    </row>
    <row r="24965" ht="15.75" customHeight="1">
      <c r="A24965" s="35"/>
      <c r="C24965" s="442"/>
      <c r="P24965" s="235"/>
      <c r="AI24965" s="38"/>
    </row>
    <row r="24966" ht="15.75" customHeight="1">
      <c r="A24966" s="35"/>
      <c r="C24966" s="442"/>
      <c r="P24966" s="235"/>
      <c r="AI24966" s="38"/>
    </row>
    <row r="24967" ht="15.75" customHeight="1">
      <c r="A24967" s="35"/>
      <c r="C24967" s="442"/>
      <c r="P24967" s="235"/>
      <c r="AI24967" s="38"/>
    </row>
    <row r="24968" ht="15.75" customHeight="1">
      <c r="A24968" s="35"/>
      <c r="C24968" s="442"/>
      <c r="P24968" s="235"/>
      <c r="AI24968" s="38"/>
    </row>
    <row r="24969" ht="15.75" customHeight="1">
      <c r="A24969" s="35"/>
      <c r="C24969" s="442"/>
      <c r="P24969" s="235"/>
      <c r="AI24969" s="38"/>
    </row>
    <row r="24970" ht="15.75" customHeight="1">
      <c r="A24970" s="35"/>
      <c r="C24970" s="442"/>
      <c r="P24970" s="235"/>
      <c r="AI24970" s="38"/>
    </row>
    <row r="24971" ht="15.75" customHeight="1">
      <c r="A24971" s="35"/>
      <c r="C24971" s="442"/>
      <c r="P24971" s="235"/>
      <c r="AI24971" s="38"/>
    </row>
    <row r="24972" ht="15.75" customHeight="1">
      <c r="A24972" s="35"/>
      <c r="C24972" s="442"/>
      <c r="P24972" s="235"/>
      <c r="AI24972" s="38"/>
    </row>
    <row r="24973" ht="15.75" customHeight="1">
      <c r="A24973" s="35"/>
      <c r="C24973" s="442"/>
      <c r="P24973" s="235"/>
      <c r="AI24973" s="38"/>
    </row>
    <row r="24974" ht="15.75" customHeight="1">
      <c r="A24974" s="35"/>
      <c r="C24974" s="442"/>
      <c r="P24974" s="235"/>
      <c r="AI24974" s="38"/>
    </row>
    <row r="24975" ht="15.75" customHeight="1">
      <c r="A24975" s="35"/>
      <c r="C24975" s="442"/>
      <c r="P24975" s="235"/>
      <c r="AI24975" s="38"/>
    </row>
    <row r="24976" ht="15.75" customHeight="1">
      <c r="A24976" s="35"/>
      <c r="C24976" s="442"/>
      <c r="P24976" s="235"/>
      <c r="AI24976" s="38"/>
    </row>
    <row r="24977" ht="15.75" customHeight="1">
      <c r="A24977" s="35"/>
      <c r="C24977" s="442"/>
      <c r="P24977" s="235"/>
      <c r="AI24977" s="38"/>
    </row>
    <row r="24978" ht="15.75" customHeight="1">
      <c r="A24978" s="35"/>
      <c r="C24978" s="442"/>
      <c r="P24978" s="235"/>
      <c r="AI24978" s="38"/>
    </row>
    <row r="24979" ht="15.75" customHeight="1">
      <c r="A24979" s="35"/>
      <c r="C24979" s="442"/>
      <c r="P24979" s="235"/>
      <c r="AI24979" s="38"/>
    </row>
    <row r="24980" ht="15.75" customHeight="1">
      <c r="A24980" s="35"/>
      <c r="C24980" s="442"/>
      <c r="P24980" s="235"/>
      <c r="AI24980" s="38"/>
    </row>
    <row r="24981" ht="15.75" customHeight="1">
      <c r="A24981" s="35"/>
      <c r="C24981" s="442"/>
      <c r="P24981" s="235"/>
      <c r="AI24981" s="38"/>
    </row>
    <row r="24982" ht="15.75" customHeight="1">
      <c r="A24982" s="35"/>
      <c r="C24982" s="442"/>
      <c r="P24982" s="235"/>
      <c r="AI24982" s="38"/>
    </row>
    <row r="24983" ht="15.75" customHeight="1">
      <c r="A24983" s="35"/>
      <c r="C24983" s="442"/>
      <c r="P24983" s="235"/>
      <c r="AI24983" s="38"/>
    </row>
    <row r="24984" ht="15.75" customHeight="1">
      <c r="A24984" s="35"/>
      <c r="C24984" s="442"/>
      <c r="P24984" s="235"/>
      <c r="AI24984" s="38"/>
    </row>
    <row r="24985" ht="15.75" customHeight="1">
      <c r="A24985" s="35"/>
      <c r="C24985" s="442"/>
      <c r="P24985" s="235"/>
      <c r="AI24985" s="38"/>
    </row>
    <row r="24986" ht="15.75" customHeight="1">
      <c r="A24986" s="35"/>
      <c r="C24986" s="442"/>
      <c r="P24986" s="235"/>
      <c r="AI24986" s="38"/>
    </row>
    <row r="24987" ht="15.75" customHeight="1">
      <c r="A24987" s="35"/>
      <c r="C24987" s="442"/>
      <c r="P24987" s="235"/>
      <c r="AI24987" s="38"/>
    </row>
    <row r="24988" ht="15.75" customHeight="1">
      <c r="A24988" s="35"/>
      <c r="C24988" s="442"/>
      <c r="P24988" s="235"/>
      <c r="AI24988" s="38"/>
    </row>
    <row r="24989" ht="15.75" customHeight="1">
      <c r="A24989" s="35"/>
      <c r="C24989" s="442"/>
      <c r="P24989" s="235"/>
      <c r="AI24989" s="38"/>
    </row>
    <row r="24990" ht="15.75" customHeight="1">
      <c r="A24990" s="35"/>
      <c r="C24990" s="442"/>
      <c r="P24990" s="235"/>
      <c r="AI24990" s="38"/>
    </row>
    <row r="24991" ht="15.75" customHeight="1">
      <c r="A24991" s="35"/>
      <c r="C24991" s="442"/>
      <c r="P24991" s="235"/>
      <c r="AI24991" s="38"/>
    </row>
    <row r="24992" ht="15.75" customHeight="1">
      <c r="A24992" s="35"/>
      <c r="C24992" s="442"/>
      <c r="P24992" s="235"/>
      <c r="AI24992" s="38"/>
    </row>
    <row r="24993" ht="15.75" customHeight="1">
      <c r="A24993" s="35"/>
      <c r="C24993" s="442"/>
      <c r="P24993" s="235"/>
      <c r="AI24993" s="38"/>
    </row>
    <row r="24994" ht="15.75" customHeight="1">
      <c r="A24994" s="35"/>
      <c r="C24994" s="442"/>
      <c r="P24994" s="235"/>
      <c r="AI24994" s="38"/>
    </row>
    <row r="24995" ht="15.75" customHeight="1">
      <c r="A24995" s="35"/>
      <c r="C24995" s="442"/>
      <c r="P24995" s="235"/>
      <c r="AI24995" s="38"/>
    </row>
    <row r="24996" ht="15.75" customHeight="1">
      <c r="A24996" s="35"/>
      <c r="C24996" s="442"/>
      <c r="P24996" s="235"/>
      <c r="AI24996" s="38"/>
    </row>
    <row r="24997" ht="15.75" customHeight="1">
      <c r="A24997" s="35"/>
      <c r="C24997" s="442"/>
      <c r="P24997" s="235"/>
      <c r="AI24997" s="38"/>
    </row>
    <row r="24998" ht="15.75" customHeight="1">
      <c r="A24998" s="35"/>
      <c r="C24998" s="442"/>
      <c r="P24998" s="235"/>
      <c r="AI24998" s="38"/>
    </row>
    <row r="24999" ht="15.75" customHeight="1">
      <c r="A24999" s="35"/>
      <c r="C24999" s="442"/>
      <c r="P24999" s="235"/>
      <c r="AI24999" s="38"/>
    </row>
    <row r="25000" ht="15.75" customHeight="1">
      <c r="A25000" s="35"/>
      <c r="C25000" s="442"/>
      <c r="P25000" s="235"/>
      <c r="AI25000" s="38"/>
    </row>
    <row r="25001" ht="15.75" customHeight="1">
      <c r="A25001" s="35"/>
      <c r="C25001" s="442"/>
      <c r="P25001" s="235"/>
      <c r="AI25001" s="38"/>
    </row>
    <row r="25002" ht="15.75" customHeight="1">
      <c r="A25002" s="35"/>
      <c r="C25002" s="442"/>
      <c r="P25002" s="235"/>
      <c r="AI25002" s="38"/>
    </row>
    <row r="25003" ht="15.75" customHeight="1">
      <c r="A25003" s="35"/>
      <c r="C25003" s="442"/>
      <c r="P25003" s="235"/>
      <c r="AI25003" s="38"/>
    </row>
    <row r="25004" ht="15.75" customHeight="1">
      <c r="A25004" s="35"/>
      <c r="C25004" s="442"/>
      <c r="P25004" s="235"/>
      <c r="AI25004" s="38"/>
    </row>
    <row r="25005" ht="15.75" customHeight="1">
      <c r="A25005" s="35"/>
      <c r="C25005" s="442"/>
      <c r="P25005" s="235"/>
      <c r="AI25005" s="38"/>
    </row>
    <row r="25006" ht="15.75" customHeight="1">
      <c r="A25006" s="35"/>
      <c r="C25006" s="442"/>
      <c r="P25006" s="235"/>
      <c r="AI25006" s="38"/>
    </row>
    <row r="25007" ht="15.75" customHeight="1">
      <c r="A25007" s="35"/>
      <c r="C25007" s="442"/>
      <c r="P25007" s="235"/>
      <c r="AI25007" s="38"/>
    </row>
    <row r="25008" ht="15.75" customHeight="1">
      <c r="A25008" s="35"/>
      <c r="C25008" s="442"/>
      <c r="P25008" s="235"/>
      <c r="AI25008" s="38"/>
    </row>
    <row r="25009" ht="15.75" customHeight="1">
      <c r="A25009" s="35"/>
      <c r="C25009" s="442"/>
      <c r="P25009" s="235"/>
      <c r="AI25009" s="38"/>
    </row>
    <row r="25010" ht="15.75" customHeight="1">
      <c r="A25010" s="35"/>
      <c r="C25010" s="442"/>
      <c r="P25010" s="235"/>
      <c r="AI25010" s="38"/>
    </row>
    <row r="25011" ht="15.75" customHeight="1">
      <c r="A25011" s="35"/>
      <c r="C25011" s="442"/>
      <c r="P25011" s="235"/>
      <c r="AI25011" s="38"/>
    </row>
    <row r="25012" ht="15.75" customHeight="1">
      <c r="A25012" s="35"/>
      <c r="C25012" s="442"/>
      <c r="P25012" s="235"/>
      <c r="AI25012" s="38"/>
    </row>
    <row r="25013" ht="15.75" customHeight="1">
      <c r="A25013" s="35"/>
      <c r="C25013" s="442"/>
      <c r="P25013" s="235"/>
      <c r="AI25013" s="38"/>
    </row>
    <row r="25014" ht="15.75" customHeight="1">
      <c r="A25014" s="35"/>
      <c r="C25014" s="442"/>
      <c r="P25014" s="235"/>
      <c r="AI25014" s="38"/>
    </row>
    <row r="25015" ht="15.75" customHeight="1">
      <c r="A25015" s="35"/>
      <c r="C25015" s="442"/>
      <c r="P25015" s="235"/>
      <c r="AI25015" s="38"/>
    </row>
    <row r="25016" ht="15.75" customHeight="1">
      <c r="A25016" s="35"/>
      <c r="C25016" s="442"/>
      <c r="P25016" s="235"/>
      <c r="AI25016" s="38"/>
    </row>
    <row r="25017" ht="15.75" customHeight="1">
      <c r="A25017" s="35"/>
      <c r="C25017" s="442"/>
      <c r="P25017" s="235"/>
      <c r="AI25017" s="38"/>
    </row>
    <row r="25018" ht="15.75" customHeight="1">
      <c r="A25018" s="35"/>
      <c r="C25018" s="442"/>
      <c r="P25018" s="235"/>
      <c r="AI25018" s="38"/>
    </row>
    <row r="25019" ht="15.75" customHeight="1">
      <c r="A25019" s="35"/>
      <c r="C25019" s="442"/>
      <c r="P25019" s="235"/>
      <c r="AI25019" s="38"/>
    </row>
    <row r="25020" ht="15.75" customHeight="1">
      <c r="A25020" s="35"/>
      <c r="C25020" s="442"/>
      <c r="P25020" s="235"/>
      <c r="AI25020" s="38"/>
    </row>
    <row r="25021" ht="15.75" customHeight="1">
      <c r="A25021" s="35"/>
      <c r="C25021" s="442"/>
      <c r="P25021" s="235"/>
      <c r="AI25021" s="38"/>
    </row>
    <row r="25022" ht="15.75" customHeight="1">
      <c r="A25022" s="35"/>
      <c r="C25022" s="442"/>
      <c r="P25022" s="235"/>
      <c r="AI25022" s="38"/>
    </row>
    <row r="25023" ht="15.75" customHeight="1">
      <c r="A25023" s="35"/>
      <c r="C25023" s="442"/>
      <c r="P25023" s="235"/>
      <c r="AI25023" s="38"/>
    </row>
    <row r="25024" ht="15.75" customHeight="1">
      <c r="A25024" s="35"/>
      <c r="C25024" s="442"/>
      <c r="P25024" s="235"/>
      <c r="AI25024" s="38"/>
    </row>
    <row r="25025" ht="15.75" customHeight="1">
      <c r="A25025" s="35"/>
      <c r="C25025" s="442"/>
      <c r="P25025" s="235"/>
      <c r="AI25025" s="38"/>
    </row>
    <row r="25026" ht="15.75" customHeight="1">
      <c r="A25026" s="35"/>
      <c r="C25026" s="442"/>
      <c r="P25026" s="235"/>
      <c r="AI25026" s="38"/>
    </row>
    <row r="25027" ht="15.75" customHeight="1">
      <c r="A25027" s="35"/>
      <c r="C25027" s="442"/>
      <c r="P25027" s="235"/>
      <c r="AI25027" s="38"/>
    </row>
    <row r="25028" ht="15.75" customHeight="1">
      <c r="A25028" s="35"/>
      <c r="C25028" s="442"/>
      <c r="P25028" s="235"/>
      <c r="AI25028" s="38"/>
    </row>
    <row r="25029" ht="15.75" customHeight="1">
      <c r="A25029" s="35"/>
      <c r="C25029" s="442"/>
      <c r="P25029" s="235"/>
      <c r="AI25029" s="38"/>
    </row>
    <row r="25030" ht="15.75" customHeight="1">
      <c r="A25030" s="35"/>
      <c r="C25030" s="442"/>
      <c r="P25030" s="235"/>
      <c r="AI25030" s="38"/>
    </row>
    <row r="25031" ht="15.75" customHeight="1">
      <c r="A25031" s="35"/>
      <c r="C25031" s="442"/>
      <c r="P25031" s="235"/>
      <c r="AI25031" s="38"/>
    </row>
    <row r="25032" ht="15.75" customHeight="1">
      <c r="A25032" s="35"/>
      <c r="C25032" s="442"/>
      <c r="P25032" s="235"/>
      <c r="AI25032" s="38"/>
    </row>
    <row r="25033" ht="15.75" customHeight="1">
      <c r="A25033" s="35"/>
      <c r="C25033" s="442"/>
      <c r="P25033" s="235"/>
      <c r="AI25033" s="38"/>
    </row>
    <row r="25034" ht="15.75" customHeight="1">
      <c r="A25034" s="35"/>
      <c r="C25034" s="442"/>
      <c r="P25034" s="235"/>
      <c r="AI25034" s="38"/>
    </row>
    <row r="25035" ht="15.75" customHeight="1">
      <c r="A25035" s="35"/>
      <c r="C25035" s="442"/>
      <c r="P25035" s="235"/>
      <c r="AI25035" s="38"/>
    </row>
    <row r="25036" ht="15.75" customHeight="1">
      <c r="A25036" s="35"/>
      <c r="C25036" s="442"/>
      <c r="P25036" s="235"/>
      <c r="AI25036" s="38"/>
    </row>
    <row r="25037" ht="15.75" customHeight="1">
      <c r="A25037" s="35"/>
      <c r="C25037" s="442"/>
      <c r="P25037" s="235"/>
      <c r="AI25037" s="38"/>
    </row>
    <row r="25038" ht="15.75" customHeight="1">
      <c r="A25038" s="35"/>
      <c r="C25038" s="442"/>
      <c r="P25038" s="235"/>
      <c r="AI25038" s="38"/>
    </row>
    <row r="25039" ht="15.75" customHeight="1">
      <c r="A25039" s="35"/>
      <c r="C25039" s="442"/>
      <c r="P25039" s="235"/>
      <c r="AI25039" s="38"/>
    </row>
    <row r="25040" ht="15.75" customHeight="1">
      <c r="A25040" s="35"/>
      <c r="C25040" s="442"/>
      <c r="P25040" s="235"/>
      <c r="AI25040" s="38"/>
    </row>
    <row r="25041" ht="15.75" customHeight="1">
      <c r="A25041" s="35"/>
      <c r="C25041" s="442"/>
      <c r="P25041" s="235"/>
      <c r="AI25041" s="38"/>
    </row>
    <row r="25042" ht="15.75" customHeight="1">
      <c r="A25042" s="35"/>
      <c r="C25042" s="442"/>
      <c r="P25042" s="235"/>
      <c r="AI25042" s="38"/>
    </row>
    <row r="25043" ht="15.75" customHeight="1">
      <c r="A25043" s="35"/>
      <c r="C25043" s="442"/>
      <c r="P25043" s="235"/>
      <c r="AI25043" s="38"/>
    </row>
    <row r="25044" ht="15.75" customHeight="1">
      <c r="A25044" s="35"/>
      <c r="C25044" s="442"/>
      <c r="P25044" s="235"/>
      <c r="AI25044" s="38"/>
    </row>
    <row r="25045" ht="15.75" customHeight="1">
      <c r="A25045" s="35"/>
      <c r="C25045" s="442"/>
      <c r="P25045" s="235"/>
      <c r="AI25045" s="38"/>
    </row>
    <row r="25046" ht="15.75" customHeight="1">
      <c r="A25046" s="35"/>
      <c r="C25046" s="442"/>
      <c r="P25046" s="235"/>
      <c r="AI25046" s="38"/>
    </row>
    <row r="25047" ht="15.75" customHeight="1">
      <c r="A25047" s="35"/>
      <c r="C25047" s="442"/>
      <c r="P25047" s="235"/>
      <c r="AI25047" s="38"/>
    </row>
    <row r="25048" ht="15.75" customHeight="1">
      <c r="A25048" s="35"/>
      <c r="C25048" s="442"/>
      <c r="P25048" s="235"/>
      <c r="AI25048" s="38"/>
    </row>
    <row r="25049" ht="15.75" customHeight="1">
      <c r="A25049" s="35"/>
      <c r="C25049" s="442"/>
      <c r="P25049" s="235"/>
      <c r="AI25049" s="38"/>
    </row>
    <row r="25050" ht="15.75" customHeight="1">
      <c r="A25050" s="35"/>
      <c r="C25050" s="442"/>
      <c r="P25050" s="235"/>
      <c r="AI25050" s="38"/>
    </row>
    <row r="25051" ht="15.75" customHeight="1">
      <c r="A25051" s="35"/>
      <c r="C25051" s="442"/>
      <c r="P25051" s="235"/>
      <c r="AI25051" s="38"/>
    </row>
    <row r="25052" ht="15.75" customHeight="1">
      <c r="A25052" s="35"/>
      <c r="C25052" s="442"/>
      <c r="P25052" s="235"/>
      <c r="AI25052" s="38"/>
    </row>
    <row r="25053" ht="15.75" customHeight="1">
      <c r="A25053" s="35"/>
      <c r="C25053" s="442"/>
      <c r="P25053" s="235"/>
      <c r="AI25053" s="38"/>
    </row>
    <row r="25054" ht="15.75" customHeight="1">
      <c r="A25054" s="35"/>
      <c r="C25054" s="442"/>
      <c r="P25054" s="235"/>
      <c r="AI25054" s="38"/>
    </row>
    <row r="25055" ht="15.75" customHeight="1">
      <c r="A25055" s="35"/>
      <c r="C25055" s="442"/>
      <c r="P25055" s="235"/>
      <c r="AI25055" s="38"/>
    </row>
    <row r="25056" ht="15.75" customHeight="1">
      <c r="A25056" s="35"/>
      <c r="C25056" s="442"/>
      <c r="P25056" s="235"/>
      <c r="AI25056" s="38"/>
    </row>
    <row r="25057" ht="15.75" customHeight="1">
      <c r="A25057" s="35"/>
      <c r="C25057" s="442"/>
      <c r="P25057" s="235"/>
      <c r="AI25057" s="38"/>
    </row>
    <row r="25058" ht="15.75" customHeight="1">
      <c r="A25058" s="35"/>
      <c r="C25058" s="442"/>
      <c r="P25058" s="235"/>
      <c r="AI25058" s="38"/>
    </row>
    <row r="25059" ht="15.75" customHeight="1">
      <c r="A25059" s="35"/>
      <c r="C25059" s="442"/>
      <c r="P25059" s="235"/>
      <c r="AI25059" s="38"/>
    </row>
    <row r="25060" ht="15.75" customHeight="1">
      <c r="A25060" s="35"/>
      <c r="C25060" s="442"/>
      <c r="P25060" s="235"/>
      <c r="AI25060" s="38"/>
    </row>
    <row r="25061" ht="15.75" customHeight="1">
      <c r="A25061" s="35"/>
      <c r="C25061" s="442"/>
      <c r="P25061" s="235"/>
      <c r="AI25061" s="38"/>
    </row>
    <row r="25062" ht="15.75" customHeight="1">
      <c r="A25062" s="35"/>
      <c r="C25062" s="442"/>
      <c r="P25062" s="235"/>
      <c r="AI25062" s="38"/>
    </row>
    <row r="25063" ht="15.75" customHeight="1">
      <c r="A25063" s="35"/>
      <c r="C25063" s="442"/>
      <c r="P25063" s="235"/>
      <c r="AI25063" s="38"/>
    </row>
    <row r="25064" ht="15.75" customHeight="1">
      <c r="A25064" s="35"/>
      <c r="C25064" s="442"/>
      <c r="P25064" s="235"/>
      <c r="AI25064" s="38"/>
    </row>
    <row r="25065" ht="15.75" customHeight="1">
      <c r="A25065" s="35"/>
      <c r="C25065" s="442"/>
      <c r="P25065" s="235"/>
      <c r="AI25065" s="38"/>
    </row>
    <row r="25066" ht="15.75" customHeight="1">
      <c r="A25066" s="35"/>
      <c r="C25066" s="442"/>
      <c r="P25066" s="235"/>
      <c r="AI25066" s="38"/>
    </row>
    <row r="25067" ht="15.75" customHeight="1">
      <c r="A25067" s="35"/>
      <c r="C25067" s="442"/>
      <c r="P25067" s="235"/>
      <c r="AI25067" s="38"/>
    </row>
    <row r="25068" ht="15.75" customHeight="1">
      <c r="A25068" s="35"/>
      <c r="C25068" s="442"/>
      <c r="P25068" s="235"/>
      <c r="AI25068" s="38"/>
    </row>
    <row r="25069" ht="15.75" customHeight="1">
      <c r="A25069" s="35"/>
      <c r="C25069" s="442"/>
      <c r="P25069" s="235"/>
      <c r="AI25069" s="38"/>
    </row>
    <row r="25070" ht="15.75" customHeight="1">
      <c r="A25070" s="35"/>
      <c r="C25070" s="442"/>
      <c r="P25070" s="235"/>
      <c r="AI25070" s="38"/>
    </row>
    <row r="25071" ht="15.75" customHeight="1">
      <c r="A25071" s="35"/>
      <c r="C25071" s="442"/>
      <c r="P25071" s="235"/>
      <c r="AI25071" s="38"/>
    </row>
    <row r="25072" ht="15.75" customHeight="1">
      <c r="A25072" s="35"/>
      <c r="C25072" s="442"/>
      <c r="P25072" s="235"/>
      <c r="AI25072" s="38"/>
    </row>
    <row r="25073" ht="15.75" customHeight="1">
      <c r="A25073" s="35"/>
      <c r="C25073" s="442"/>
      <c r="P25073" s="235"/>
      <c r="AI25073" s="38"/>
    </row>
    <row r="25074" ht="15.75" customHeight="1">
      <c r="A25074" s="35"/>
      <c r="C25074" s="442"/>
      <c r="P25074" s="235"/>
      <c r="AI25074" s="38"/>
    </row>
    <row r="25075" ht="15.75" customHeight="1">
      <c r="A25075" s="35"/>
      <c r="C25075" s="442"/>
      <c r="P25075" s="235"/>
      <c r="AI25075" s="38"/>
    </row>
    <row r="25076" ht="15.75" customHeight="1">
      <c r="A25076" s="35"/>
      <c r="C25076" s="442"/>
      <c r="P25076" s="235"/>
      <c r="AI25076" s="38"/>
    </row>
    <row r="25077" ht="15.75" customHeight="1">
      <c r="A25077" s="35"/>
      <c r="C25077" s="442"/>
      <c r="P25077" s="235"/>
      <c r="AI25077" s="38"/>
    </row>
    <row r="25078" ht="15.75" customHeight="1">
      <c r="A25078" s="35"/>
      <c r="C25078" s="442"/>
      <c r="P25078" s="235"/>
      <c r="AI25078" s="38"/>
    </row>
    <row r="25079" ht="15.75" customHeight="1">
      <c r="A25079" s="35"/>
      <c r="C25079" s="442"/>
      <c r="P25079" s="235"/>
      <c r="AI25079" s="38"/>
    </row>
    <row r="25080" ht="15.75" customHeight="1">
      <c r="A25080" s="35"/>
      <c r="C25080" s="442"/>
      <c r="P25080" s="235"/>
      <c r="AI25080" s="38"/>
    </row>
    <row r="25081" ht="15.75" customHeight="1">
      <c r="A25081" s="35"/>
      <c r="C25081" s="442"/>
      <c r="P25081" s="235"/>
      <c r="AI25081" s="38"/>
    </row>
    <row r="25082" ht="15.75" customHeight="1">
      <c r="A25082" s="35"/>
      <c r="C25082" s="442"/>
      <c r="P25082" s="235"/>
      <c r="AI25082" s="38"/>
    </row>
    <row r="25083" ht="15.75" customHeight="1">
      <c r="A25083" s="35"/>
      <c r="C25083" s="442"/>
      <c r="P25083" s="235"/>
      <c r="AI25083" s="38"/>
    </row>
    <row r="25084" ht="15.75" customHeight="1">
      <c r="A25084" s="35"/>
      <c r="C25084" s="442"/>
      <c r="P25084" s="235"/>
      <c r="AI25084" s="38"/>
    </row>
    <row r="25085" ht="15.75" customHeight="1">
      <c r="A25085" s="35"/>
      <c r="C25085" s="442"/>
      <c r="P25085" s="235"/>
      <c r="AI25085" s="38"/>
    </row>
    <row r="25086" ht="15.75" customHeight="1">
      <c r="A25086" s="35"/>
      <c r="C25086" s="442"/>
      <c r="P25086" s="235"/>
      <c r="AI25086" s="38"/>
    </row>
    <row r="25087" ht="15.75" customHeight="1">
      <c r="A25087" s="35"/>
      <c r="C25087" s="442"/>
      <c r="P25087" s="235"/>
      <c r="AI25087" s="38"/>
    </row>
    <row r="25088" ht="15.75" customHeight="1">
      <c r="A25088" s="35"/>
      <c r="C25088" s="442"/>
      <c r="P25088" s="235"/>
      <c r="AI25088" s="38"/>
    </row>
    <row r="25089" ht="15.75" customHeight="1">
      <c r="A25089" s="35"/>
      <c r="C25089" s="442"/>
      <c r="P25089" s="235"/>
      <c r="AI25089" s="38"/>
    </row>
    <row r="25090" ht="15.75" customHeight="1">
      <c r="A25090" s="35"/>
      <c r="C25090" s="442"/>
      <c r="P25090" s="235"/>
      <c r="AI25090" s="38"/>
    </row>
    <row r="25091" ht="15.75" customHeight="1">
      <c r="A25091" s="35"/>
      <c r="C25091" s="442"/>
      <c r="P25091" s="235"/>
      <c r="AI25091" s="38"/>
    </row>
    <row r="25092" ht="15.75" customHeight="1">
      <c r="A25092" s="35"/>
      <c r="C25092" s="442"/>
      <c r="P25092" s="235"/>
      <c r="AI25092" s="38"/>
    </row>
    <row r="25093" ht="15.75" customHeight="1">
      <c r="A25093" s="35"/>
      <c r="C25093" s="442"/>
      <c r="P25093" s="235"/>
      <c r="AI25093" s="38"/>
    </row>
    <row r="25094" ht="15.75" customHeight="1">
      <c r="A25094" s="35"/>
      <c r="C25094" s="442"/>
      <c r="P25094" s="235"/>
      <c r="AI25094" s="38"/>
    </row>
    <row r="25095" ht="15.75" customHeight="1">
      <c r="A25095" s="35"/>
      <c r="C25095" s="442"/>
      <c r="P25095" s="235"/>
      <c r="AI25095" s="38"/>
    </row>
    <row r="25096" ht="15.75" customHeight="1">
      <c r="A25096" s="35"/>
      <c r="C25096" s="442"/>
      <c r="P25096" s="235"/>
      <c r="AI25096" s="38"/>
    </row>
    <row r="25097" ht="15.75" customHeight="1">
      <c r="A25097" s="35"/>
      <c r="C25097" s="442"/>
      <c r="P25097" s="235"/>
      <c r="AI25097" s="38"/>
    </row>
    <row r="25098" ht="15.75" customHeight="1">
      <c r="A25098" s="35"/>
      <c r="C25098" s="442"/>
      <c r="P25098" s="235"/>
      <c r="AI25098" s="38"/>
    </row>
    <row r="25099" ht="15.75" customHeight="1">
      <c r="A25099" s="35"/>
      <c r="C25099" s="442"/>
      <c r="P25099" s="235"/>
      <c r="AI25099" s="38"/>
    </row>
    <row r="25100" ht="15.75" customHeight="1">
      <c r="A25100" s="35"/>
      <c r="C25100" s="442"/>
      <c r="P25100" s="235"/>
      <c r="AI25100" s="38"/>
    </row>
    <row r="25101" ht="15.75" customHeight="1">
      <c r="A25101" s="35"/>
      <c r="C25101" s="442"/>
      <c r="P25101" s="235"/>
      <c r="AI25101" s="38"/>
    </row>
    <row r="25102" ht="15.75" customHeight="1">
      <c r="A25102" s="35"/>
      <c r="C25102" s="442"/>
      <c r="P25102" s="235"/>
      <c r="AI25102" s="38"/>
    </row>
    <row r="25103" ht="15.75" customHeight="1">
      <c r="A25103" s="35"/>
      <c r="C25103" s="442"/>
      <c r="P25103" s="235"/>
      <c r="AI25103" s="38"/>
    </row>
    <row r="25104" ht="15.75" customHeight="1">
      <c r="A25104" s="35"/>
      <c r="C25104" s="442"/>
      <c r="P25104" s="235"/>
      <c r="AI25104" s="38"/>
    </row>
    <row r="25105" ht="15.75" customHeight="1">
      <c r="A25105" s="35"/>
      <c r="C25105" s="442"/>
      <c r="P25105" s="235"/>
      <c r="AI25105" s="38"/>
    </row>
    <row r="25106" ht="15.75" customHeight="1">
      <c r="A25106" s="35"/>
      <c r="C25106" s="442"/>
      <c r="P25106" s="235"/>
      <c r="AI25106" s="38"/>
    </row>
    <row r="25107" ht="15.75" customHeight="1">
      <c r="A25107" s="35"/>
      <c r="C25107" s="442"/>
      <c r="P25107" s="235"/>
      <c r="AI25107" s="38"/>
    </row>
    <row r="25108" ht="15.75" customHeight="1">
      <c r="A25108" s="35"/>
      <c r="C25108" s="442"/>
      <c r="P25108" s="235"/>
      <c r="AI25108" s="38"/>
    </row>
    <row r="25109" ht="15.75" customHeight="1">
      <c r="A25109" s="35"/>
      <c r="C25109" s="442"/>
      <c r="P25109" s="235"/>
      <c r="AI25109" s="38"/>
    </row>
    <row r="25110" ht="15.75" customHeight="1">
      <c r="A25110" s="35"/>
      <c r="C25110" s="442"/>
      <c r="P25110" s="235"/>
      <c r="AI25110" s="38"/>
    </row>
    <row r="25111" ht="15.75" customHeight="1">
      <c r="A25111" s="35"/>
      <c r="C25111" s="442"/>
      <c r="P25111" s="235"/>
      <c r="AI25111" s="38"/>
    </row>
    <row r="25112" ht="15.75" customHeight="1">
      <c r="A25112" s="35"/>
      <c r="C25112" s="442"/>
      <c r="P25112" s="235"/>
      <c r="AI25112" s="38"/>
    </row>
    <row r="25113" ht="15.75" customHeight="1">
      <c r="A25113" s="35"/>
      <c r="C25113" s="442"/>
      <c r="P25113" s="235"/>
      <c r="AI25113" s="38"/>
    </row>
    <row r="25114" ht="15.75" customHeight="1">
      <c r="A25114" s="35"/>
      <c r="C25114" s="442"/>
      <c r="P25114" s="235"/>
      <c r="AI25114" s="38"/>
    </row>
    <row r="25115" ht="15.75" customHeight="1">
      <c r="A25115" s="35"/>
      <c r="C25115" s="442"/>
      <c r="P25115" s="235"/>
      <c r="AI25115" s="38"/>
    </row>
    <row r="25116" ht="15.75" customHeight="1">
      <c r="A25116" s="35"/>
      <c r="C25116" s="442"/>
      <c r="P25116" s="235"/>
      <c r="AI25116" s="38"/>
    </row>
    <row r="25117" ht="15.75" customHeight="1">
      <c r="A25117" s="35"/>
      <c r="C25117" s="442"/>
      <c r="P25117" s="235"/>
      <c r="AI25117" s="38"/>
    </row>
    <row r="25118" ht="15.75" customHeight="1">
      <c r="A25118" s="35"/>
      <c r="C25118" s="442"/>
      <c r="P25118" s="235"/>
      <c r="AI25118" s="38"/>
    </row>
    <row r="25119" ht="15.75" customHeight="1">
      <c r="A25119" s="35"/>
      <c r="C25119" s="442"/>
      <c r="P25119" s="235"/>
      <c r="AI25119" s="38"/>
    </row>
    <row r="25120" ht="15.75" customHeight="1">
      <c r="A25120" s="35"/>
      <c r="C25120" s="442"/>
      <c r="P25120" s="235"/>
      <c r="AI25120" s="38"/>
    </row>
    <row r="25121" ht="15.75" customHeight="1">
      <c r="A25121" s="35"/>
      <c r="C25121" s="442"/>
      <c r="P25121" s="235"/>
      <c r="AI25121" s="38"/>
    </row>
    <row r="25122" ht="15.75" customHeight="1">
      <c r="A25122" s="35"/>
      <c r="C25122" s="442"/>
      <c r="P25122" s="235"/>
      <c r="AI25122" s="38"/>
    </row>
    <row r="25123" ht="15.75" customHeight="1">
      <c r="A25123" s="35"/>
      <c r="C25123" s="442"/>
      <c r="P25123" s="235"/>
      <c r="AI25123" s="38"/>
    </row>
    <row r="25124" ht="15.75" customHeight="1">
      <c r="A25124" s="35"/>
      <c r="C25124" s="442"/>
      <c r="P25124" s="235"/>
      <c r="AI25124" s="38"/>
    </row>
    <row r="25125" ht="15.75" customHeight="1">
      <c r="A25125" s="35"/>
      <c r="C25125" s="442"/>
      <c r="P25125" s="235"/>
      <c r="AI25125" s="38"/>
    </row>
    <row r="25126" ht="15.75" customHeight="1">
      <c r="A25126" s="35"/>
      <c r="C25126" s="442"/>
      <c r="P25126" s="235"/>
      <c r="AI25126" s="38"/>
    </row>
    <row r="25127" ht="15.75" customHeight="1">
      <c r="A25127" s="35"/>
      <c r="C25127" s="442"/>
      <c r="P25127" s="235"/>
      <c r="AI25127" s="38"/>
    </row>
    <row r="25128" ht="15.75" customHeight="1">
      <c r="A25128" s="35"/>
      <c r="C25128" s="442"/>
      <c r="P25128" s="235"/>
      <c r="AI25128" s="38"/>
    </row>
    <row r="25129" ht="15.75" customHeight="1">
      <c r="A25129" s="35"/>
      <c r="C25129" s="442"/>
      <c r="P25129" s="235"/>
      <c r="AI25129" s="38"/>
    </row>
    <row r="25130" ht="15.75" customHeight="1">
      <c r="A25130" s="35"/>
      <c r="C25130" s="442"/>
      <c r="P25130" s="235"/>
      <c r="AI25130" s="38"/>
    </row>
    <row r="25131" ht="15.75" customHeight="1">
      <c r="A25131" s="35"/>
      <c r="C25131" s="442"/>
      <c r="P25131" s="235"/>
      <c r="AI25131" s="38"/>
    </row>
    <row r="25132" ht="15.75" customHeight="1">
      <c r="A25132" s="35"/>
      <c r="C25132" s="442"/>
      <c r="P25132" s="235"/>
      <c r="AI25132" s="38"/>
    </row>
    <row r="25133" ht="15.75" customHeight="1">
      <c r="A25133" s="35"/>
      <c r="C25133" s="442"/>
      <c r="P25133" s="235"/>
      <c r="AI25133" s="38"/>
    </row>
    <row r="25134" ht="15.75" customHeight="1">
      <c r="A25134" s="35"/>
      <c r="C25134" s="442"/>
      <c r="P25134" s="235"/>
      <c r="AI25134" s="38"/>
    </row>
    <row r="25135" ht="15.75" customHeight="1">
      <c r="A25135" s="35"/>
      <c r="C25135" s="442"/>
      <c r="P25135" s="235"/>
      <c r="AI25135" s="38"/>
    </row>
    <row r="25136" ht="15.75" customHeight="1">
      <c r="A25136" s="35"/>
      <c r="C25136" s="442"/>
      <c r="P25136" s="235"/>
      <c r="AI25136" s="38"/>
    </row>
    <row r="25137" ht="15.75" customHeight="1">
      <c r="A25137" s="35"/>
      <c r="C25137" s="442"/>
      <c r="P25137" s="235"/>
      <c r="AI25137" s="38"/>
    </row>
    <row r="25138" ht="15.75" customHeight="1">
      <c r="A25138" s="35"/>
      <c r="C25138" s="442"/>
      <c r="P25138" s="235"/>
      <c r="AI25138" s="38"/>
    </row>
    <row r="25139" ht="15.75" customHeight="1">
      <c r="A25139" s="35"/>
      <c r="C25139" s="442"/>
      <c r="P25139" s="235"/>
      <c r="AI25139" s="38"/>
    </row>
    <row r="25140" ht="15.75" customHeight="1">
      <c r="A25140" s="35"/>
      <c r="C25140" s="442"/>
      <c r="P25140" s="235"/>
      <c r="AI25140" s="38"/>
    </row>
    <row r="25141" ht="15.75" customHeight="1">
      <c r="A25141" s="35"/>
      <c r="C25141" s="442"/>
      <c r="P25141" s="235"/>
      <c r="AI25141" s="38"/>
    </row>
    <row r="25142" ht="15.75" customHeight="1">
      <c r="A25142" s="35"/>
      <c r="C25142" s="442"/>
      <c r="P25142" s="235"/>
      <c r="AI25142" s="38"/>
    </row>
    <row r="25143" ht="15.75" customHeight="1">
      <c r="A25143" s="35"/>
      <c r="C25143" s="442"/>
      <c r="P25143" s="235"/>
      <c r="AI25143" s="38"/>
    </row>
    <row r="25144" ht="15.75" customHeight="1">
      <c r="A25144" s="35"/>
      <c r="C25144" s="442"/>
      <c r="P25144" s="235"/>
      <c r="AI25144" s="38"/>
    </row>
    <row r="25145" ht="15.75" customHeight="1">
      <c r="A25145" s="35"/>
      <c r="C25145" s="442"/>
      <c r="P25145" s="235"/>
      <c r="AI25145" s="38"/>
    </row>
    <row r="25146" ht="15.75" customHeight="1">
      <c r="A25146" s="35"/>
      <c r="C25146" s="442"/>
      <c r="P25146" s="235"/>
      <c r="AI25146" s="38"/>
    </row>
    <row r="25147" ht="15.75" customHeight="1">
      <c r="A25147" s="35"/>
      <c r="C25147" s="442"/>
      <c r="P25147" s="235"/>
      <c r="AI25147" s="38"/>
    </row>
    <row r="25148" ht="15.75" customHeight="1">
      <c r="A25148" s="35"/>
      <c r="C25148" s="442"/>
      <c r="P25148" s="235"/>
      <c r="AI25148" s="38"/>
    </row>
    <row r="25149" ht="15.75" customHeight="1">
      <c r="A25149" s="35"/>
      <c r="C25149" s="442"/>
      <c r="P25149" s="235"/>
      <c r="AI25149" s="38"/>
    </row>
    <row r="25150" ht="15.75" customHeight="1">
      <c r="A25150" s="35"/>
      <c r="C25150" s="442"/>
      <c r="P25150" s="235"/>
      <c r="AI25150" s="38"/>
    </row>
    <row r="25151" ht="15.75" customHeight="1">
      <c r="A25151" s="35"/>
      <c r="C25151" s="442"/>
      <c r="P25151" s="235"/>
      <c r="AI25151" s="38"/>
    </row>
    <row r="25152" ht="15.75" customHeight="1">
      <c r="A25152" s="35"/>
      <c r="C25152" s="442"/>
      <c r="P25152" s="235"/>
      <c r="AI25152" s="38"/>
    </row>
    <row r="25153" ht="15.75" customHeight="1">
      <c r="A25153" s="35"/>
      <c r="C25153" s="442"/>
      <c r="P25153" s="235"/>
      <c r="AI25153" s="38"/>
    </row>
    <row r="25154" ht="15.75" customHeight="1">
      <c r="A25154" s="35"/>
      <c r="C25154" s="442"/>
      <c r="P25154" s="235"/>
      <c r="AI25154" s="38"/>
    </row>
    <row r="25155" ht="15.75" customHeight="1">
      <c r="A25155" s="35"/>
      <c r="C25155" s="442"/>
      <c r="P25155" s="235"/>
      <c r="AI25155" s="38"/>
    </row>
    <row r="25156" ht="15.75" customHeight="1">
      <c r="A25156" s="35"/>
      <c r="C25156" s="442"/>
      <c r="P25156" s="235"/>
      <c r="AI25156" s="38"/>
    </row>
    <row r="25157" ht="15.75" customHeight="1">
      <c r="A25157" s="35"/>
      <c r="C25157" s="442"/>
      <c r="P25157" s="235"/>
      <c r="AI25157" s="38"/>
    </row>
    <row r="25158" ht="15.75" customHeight="1">
      <c r="A25158" s="35"/>
      <c r="C25158" s="442"/>
      <c r="P25158" s="235"/>
      <c r="AI25158" s="38"/>
    </row>
    <row r="25159" ht="15.75" customHeight="1">
      <c r="A25159" s="35"/>
      <c r="C25159" s="442"/>
      <c r="P25159" s="235"/>
      <c r="AI25159" s="38"/>
    </row>
    <row r="25160" ht="15.75" customHeight="1">
      <c r="A25160" s="35"/>
      <c r="C25160" s="442"/>
      <c r="P25160" s="235"/>
      <c r="AI25160" s="38"/>
    </row>
    <row r="25161" ht="15.75" customHeight="1">
      <c r="A25161" s="35"/>
      <c r="C25161" s="442"/>
      <c r="P25161" s="235"/>
      <c r="AI25161" s="38"/>
    </row>
    <row r="25162" ht="15.75" customHeight="1">
      <c r="A25162" s="35"/>
      <c r="C25162" s="442"/>
      <c r="P25162" s="235"/>
      <c r="AI25162" s="38"/>
    </row>
    <row r="25163" ht="15.75" customHeight="1">
      <c r="A25163" s="35"/>
      <c r="C25163" s="442"/>
      <c r="P25163" s="235"/>
      <c r="AI25163" s="38"/>
    </row>
    <row r="25164" ht="15.75" customHeight="1">
      <c r="A25164" s="35"/>
      <c r="C25164" s="442"/>
      <c r="P25164" s="235"/>
      <c r="AI25164" s="38"/>
    </row>
    <row r="25165" ht="15.75" customHeight="1">
      <c r="A25165" s="35"/>
      <c r="C25165" s="442"/>
      <c r="P25165" s="235"/>
      <c r="AI25165" s="38"/>
    </row>
    <row r="25166" ht="15.75" customHeight="1">
      <c r="A25166" s="35"/>
      <c r="C25166" s="442"/>
      <c r="P25166" s="235"/>
      <c r="AI25166" s="38"/>
    </row>
    <row r="25167" ht="15.75" customHeight="1">
      <c r="A25167" s="35"/>
      <c r="C25167" s="442"/>
      <c r="P25167" s="235"/>
      <c r="AI25167" s="38"/>
    </row>
    <row r="25168" ht="15.75" customHeight="1">
      <c r="A25168" s="35"/>
      <c r="C25168" s="442"/>
      <c r="P25168" s="235"/>
      <c r="AI25168" s="38"/>
    </row>
    <row r="25169" ht="15.75" customHeight="1">
      <c r="A25169" s="35"/>
      <c r="C25169" s="442"/>
      <c r="P25169" s="235"/>
      <c r="AI25169" s="38"/>
    </row>
    <row r="25170" ht="15.75" customHeight="1">
      <c r="A25170" s="35"/>
      <c r="C25170" s="442"/>
      <c r="P25170" s="235"/>
      <c r="AI25170" s="38"/>
    </row>
    <row r="25171" ht="15.75" customHeight="1">
      <c r="A25171" s="35"/>
      <c r="C25171" s="442"/>
      <c r="P25171" s="235"/>
      <c r="AI25171" s="38"/>
    </row>
    <row r="25172" ht="15.75" customHeight="1">
      <c r="A25172" s="35"/>
      <c r="C25172" s="442"/>
      <c r="P25172" s="235"/>
      <c r="AI25172" s="38"/>
    </row>
    <row r="25173" ht="15.75" customHeight="1">
      <c r="A25173" s="35"/>
      <c r="C25173" s="442"/>
      <c r="P25173" s="235"/>
      <c r="AI25173" s="38"/>
    </row>
    <row r="25174" ht="15.75" customHeight="1">
      <c r="A25174" s="35"/>
      <c r="C25174" s="442"/>
      <c r="P25174" s="235"/>
      <c r="AI25174" s="38"/>
    </row>
    <row r="25175" ht="15.75" customHeight="1">
      <c r="A25175" s="35"/>
      <c r="C25175" s="442"/>
      <c r="P25175" s="235"/>
      <c r="AI25175" s="38"/>
    </row>
    <row r="25176" ht="15.75" customHeight="1">
      <c r="A25176" s="35"/>
      <c r="C25176" s="442"/>
      <c r="P25176" s="235"/>
      <c r="AI25176" s="38"/>
    </row>
    <row r="25177" ht="15.75" customHeight="1">
      <c r="A25177" s="35"/>
      <c r="C25177" s="442"/>
      <c r="P25177" s="235"/>
      <c r="AI25177" s="38"/>
    </row>
    <row r="25178" ht="15.75" customHeight="1">
      <c r="A25178" s="35"/>
      <c r="C25178" s="442"/>
      <c r="P25178" s="235"/>
      <c r="AI25178" s="38"/>
    </row>
    <row r="25179" ht="15.75" customHeight="1">
      <c r="A25179" s="35"/>
      <c r="C25179" s="442"/>
      <c r="P25179" s="235"/>
      <c r="AI25179" s="38"/>
    </row>
    <row r="25180" ht="15.75" customHeight="1">
      <c r="A25180" s="35"/>
      <c r="C25180" s="442"/>
      <c r="P25180" s="235"/>
      <c r="AI25180" s="38"/>
    </row>
    <row r="25181" ht="15.75" customHeight="1">
      <c r="A25181" s="35"/>
      <c r="C25181" s="442"/>
      <c r="P25181" s="235"/>
      <c r="AI25181" s="38"/>
    </row>
    <row r="25182" ht="15.75" customHeight="1">
      <c r="A25182" s="35"/>
      <c r="C25182" s="442"/>
      <c r="P25182" s="235"/>
      <c r="AI25182" s="38"/>
    </row>
    <row r="25183" ht="15.75" customHeight="1">
      <c r="A25183" s="35"/>
      <c r="C25183" s="442"/>
      <c r="P25183" s="235"/>
      <c r="AI25183" s="38"/>
    </row>
    <row r="25184" ht="15.75" customHeight="1">
      <c r="A25184" s="35"/>
      <c r="C25184" s="442"/>
      <c r="P25184" s="235"/>
      <c r="AI25184" s="38"/>
    </row>
    <row r="25185" ht="15.75" customHeight="1">
      <c r="A25185" s="35"/>
      <c r="C25185" s="442"/>
      <c r="P25185" s="235"/>
      <c r="AI25185" s="38"/>
    </row>
    <row r="25186" ht="15.75" customHeight="1">
      <c r="A25186" s="35"/>
      <c r="C25186" s="442"/>
      <c r="P25186" s="235"/>
      <c r="AI25186" s="38"/>
    </row>
    <row r="25187" ht="15.75" customHeight="1">
      <c r="A25187" s="35"/>
      <c r="C25187" s="442"/>
      <c r="P25187" s="235"/>
      <c r="AI25187" s="38"/>
    </row>
    <row r="25188" ht="15.75" customHeight="1">
      <c r="A25188" s="35"/>
      <c r="C25188" s="442"/>
      <c r="P25188" s="235"/>
      <c r="AI25188" s="38"/>
    </row>
    <row r="25189" ht="15.75" customHeight="1">
      <c r="A25189" s="35"/>
      <c r="C25189" s="442"/>
      <c r="P25189" s="235"/>
      <c r="AI25189" s="38"/>
    </row>
    <row r="25190" ht="15.75" customHeight="1">
      <c r="A25190" s="35"/>
      <c r="C25190" s="442"/>
      <c r="P25190" s="235"/>
      <c r="AI25190" s="38"/>
    </row>
    <row r="25191" ht="15.75" customHeight="1">
      <c r="A25191" s="35"/>
      <c r="C25191" s="442"/>
      <c r="P25191" s="235"/>
      <c r="AI25191" s="38"/>
    </row>
    <row r="25192" ht="15.75" customHeight="1">
      <c r="A25192" s="35"/>
      <c r="C25192" s="442"/>
      <c r="P25192" s="235"/>
      <c r="AI25192" s="38"/>
    </row>
    <row r="25193" ht="15.75" customHeight="1">
      <c r="A25193" s="35"/>
      <c r="C25193" s="442"/>
      <c r="P25193" s="235"/>
      <c r="AI25193" s="38"/>
    </row>
    <row r="25194" ht="15.75" customHeight="1">
      <c r="A25194" s="35"/>
      <c r="C25194" s="442"/>
      <c r="P25194" s="235"/>
      <c r="AI25194" s="38"/>
    </row>
    <row r="25195" ht="15.75" customHeight="1">
      <c r="A25195" s="35"/>
      <c r="C25195" s="442"/>
      <c r="P25195" s="235"/>
      <c r="AI25195" s="38"/>
    </row>
    <row r="25196" ht="15.75" customHeight="1">
      <c r="A25196" s="35"/>
      <c r="C25196" s="442"/>
      <c r="P25196" s="235"/>
      <c r="AI25196" s="38"/>
    </row>
    <row r="25197" ht="15.75" customHeight="1">
      <c r="A25197" s="35"/>
      <c r="C25197" s="442"/>
      <c r="P25197" s="235"/>
      <c r="AI25197" s="38"/>
    </row>
    <row r="25198" ht="15.75" customHeight="1">
      <c r="A25198" s="35"/>
      <c r="C25198" s="442"/>
      <c r="P25198" s="235"/>
      <c r="AI25198" s="38"/>
    </row>
    <row r="25199" ht="15.75" customHeight="1">
      <c r="A25199" s="35"/>
      <c r="C25199" s="442"/>
      <c r="P25199" s="235"/>
      <c r="AI25199" s="38"/>
    </row>
    <row r="25200" ht="15.75" customHeight="1">
      <c r="A25200" s="35"/>
      <c r="C25200" s="442"/>
      <c r="P25200" s="235"/>
      <c r="AI25200" s="38"/>
    </row>
    <row r="25201" ht="15.75" customHeight="1">
      <c r="A25201" s="35"/>
      <c r="C25201" s="442"/>
      <c r="P25201" s="235"/>
      <c r="AI25201" s="38"/>
    </row>
    <row r="25202" ht="15.75" customHeight="1">
      <c r="A25202" s="35"/>
      <c r="C25202" s="442"/>
      <c r="P25202" s="235"/>
      <c r="AI25202" s="38"/>
    </row>
    <row r="25203" ht="15.75" customHeight="1">
      <c r="A25203" s="35"/>
      <c r="C25203" s="442"/>
      <c r="P25203" s="235"/>
      <c r="AI25203" s="38"/>
    </row>
    <row r="25204" ht="15.75" customHeight="1">
      <c r="A25204" s="35"/>
      <c r="C25204" s="442"/>
      <c r="P25204" s="235"/>
      <c r="AI25204" s="38"/>
    </row>
    <row r="25205" ht="15.75" customHeight="1">
      <c r="A25205" s="35"/>
      <c r="C25205" s="442"/>
      <c r="P25205" s="235"/>
      <c r="AI25205" s="38"/>
    </row>
    <row r="25206" ht="15.75" customHeight="1">
      <c r="A25206" s="35"/>
      <c r="C25206" s="442"/>
      <c r="P25206" s="235"/>
      <c r="AI25206" s="38"/>
    </row>
    <row r="25207" ht="15.75" customHeight="1">
      <c r="A25207" s="35"/>
      <c r="C25207" s="442"/>
      <c r="P25207" s="235"/>
      <c r="AI25207" s="38"/>
    </row>
    <row r="25208" ht="15.75" customHeight="1">
      <c r="A25208" s="35"/>
      <c r="C25208" s="442"/>
      <c r="P25208" s="235"/>
      <c r="AI25208" s="38"/>
    </row>
    <row r="25209" ht="15.75" customHeight="1">
      <c r="A25209" s="35"/>
      <c r="C25209" s="442"/>
      <c r="P25209" s="235"/>
      <c r="AI25209" s="38"/>
    </row>
    <row r="25210" ht="15.75" customHeight="1">
      <c r="A25210" s="35"/>
      <c r="C25210" s="442"/>
      <c r="P25210" s="235"/>
      <c r="AI25210" s="38"/>
    </row>
    <row r="25211" ht="15.75" customHeight="1">
      <c r="A25211" s="35"/>
      <c r="C25211" s="442"/>
      <c r="P25211" s="235"/>
      <c r="AI25211" s="38"/>
    </row>
    <row r="25212" ht="15.75" customHeight="1">
      <c r="A25212" s="35"/>
      <c r="C25212" s="442"/>
      <c r="P25212" s="235"/>
      <c r="AI25212" s="38"/>
    </row>
    <row r="25213" ht="15.75" customHeight="1">
      <c r="A25213" s="35"/>
      <c r="C25213" s="442"/>
      <c r="P25213" s="235"/>
      <c r="AI25213" s="38"/>
    </row>
    <row r="25214" ht="15.75" customHeight="1">
      <c r="A25214" s="35"/>
      <c r="C25214" s="442"/>
      <c r="P25214" s="235"/>
      <c r="AI25214" s="38"/>
    </row>
    <row r="25215" ht="15.75" customHeight="1">
      <c r="A25215" s="35"/>
      <c r="C25215" s="442"/>
      <c r="P25215" s="235"/>
      <c r="AI25215" s="38"/>
    </row>
    <row r="25216" ht="15.75" customHeight="1">
      <c r="A25216" s="35"/>
      <c r="C25216" s="442"/>
      <c r="P25216" s="235"/>
      <c r="AI25216" s="38"/>
    </row>
    <row r="25217" ht="15.75" customHeight="1">
      <c r="A25217" s="35"/>
      <c r="C25217" s="442"/>
      <c r="P25217" s="235"/>
      <c r="AI25217" s="38"/>
    </row>
    <row r="25218" ht="15.75" customHeight="1">
      <c r="A25218" s="35"/>
      <c r="C25218" s="442"/>
      <c r="P25218" s="235"/>
      <c r="AI25218" s="38"/>
    </row>
    <row r="25219" ht="15.75" customHeight="1">
      <c r="A25219" s="35"/>
      <c r="C25219" s="442"/>
      <c r="P25219" s="235"/>
      <c r="AI25219" s="38"/>
    </row>
    <row r="25220" ht="15.75" customHeight="1">
      <c r="A25220" s="35"/>
      <c r="C25220" s="442"/>
      <c r="P25220" s="235"/>
      <c r="AI25220" s="38"/>
    </row>
    <row r="25221" ht="15.75" customHeight="1">
      <c r="A25221" s="35"/>
      <c r="C25221" s="442"/>
      <c r="P25221" s="235"/>
      <c r="AI25221" s="38"/>
    </row>
    <row r="25222" ht="15.75" customHeight="1">
      <c r="A25222" s="35"/>
      <c r="C25222" s="442"/>
      <c r="P25222" s="235"/>
      <c r="AI25222" s="38"/>
    </row>
    <row r="25223" ht="15.75" customHeight="1">
      <c r="A25223" s="35"/>
      <c r="C25223" s="442"/>
      <c r="P25223" s="235"/>
      <c r="AI25223" s="38"/>
    </row>
    <row r="25224" ht="15.75" customHeight="1">
      <c r="A25224" s="35"/>
      <c r="C25224" s="442"/>
      <c r="P25224" s="235"/>
      <c r="AI25224" s="38"/>
    </row>
    <row r="25225" ht="15.75" customHeight="1">
      <c r="A25225" s="35"/>
      <c r="C25225" s="442"/>
      <c r="P25225" s="235"/>
      <c r="AI25225" s="38"/>
    </row>
    <row r="25226" ht="15.75" customHeight="1">
      <c r="A25226" s="35"/>
      <c r="C25226" s="442"/>
      <c r="P25226" s="235"/>
      <c r="AI25226" s="38"/>
    </row>
    <row r="25227" ht="15.75" customHeight="1">
      <c r="A25227" s="35"/>
      <c r="C25227" s="442"/>
      <c r="P25227" s="235"/>
      <c r="AI25227" s="38"/>
    </row>
    <row r="25228" ht="15.75" customHeight="1">
      <c r="A25228" s="35"/>
      <c r="C25228" s="442"/>
      <c r="P25228" s="235"/>
      <c r="AI25228" s="38"/>
    </row>
    <row r="25229" ht="15.75" customHeight="1">
      <c r="A25229" s="35"/>
      <c r="C25229" s="442"/>
      <c r="P25229" s="235"/>
      <c r="AI25229" s="38"/>
    </row>
    <row r="25230" ht="15.75" customHeight="1">
      <c r="A25230" s="35"/>
      <c r="C25230" s="442"/>
      <c r="P25230" s="235"/>
      <c r="AI25230" s="38"/>
    </row>
    <row r="25231" ht="15.75" customHeight="1">
      <c r="A25231" s="35"/>
      <c r="C25231" s="442"/>
      <c r="P25231" s="235"/>
      <c r="AI25231" s="38"/>
    </row>
    <row r="25232" ht="15.75" customHeight="1">
      <c r="A25232" s="35"/>
      <c r="C25232" s="442"/>
      <c r="P25232" s="235"/>
      <c r="AI25232" s="38"/>
    </row>
    <row r="25233" ht="15.75" customHeight="1">
      <c r="A25233" s="35"/>
      <c r="C25233" s="442"/>
      <c r="P25233" s="235"/>
      <c r="AI25233" s="38"/>
    </row>
    <row r="25234" ht="15.75" customHeight="1">
      <c r="A25234" s="35"/>
      <c r="C25234" s="442"/>
      <c r="P25234" s="235"/>
      <c r="AI25234" s="38"/>
    </row>
    <row r="25235" ht="15.75" customHeight="1">
      <c r="A25235" s="35"/>
      <c r="C25235" s="442"/>
      <c r="P25235" s="235"/>
      <c r="AI25235" s="38"/>
    </row>
    <row r="25236" ht="15.75" customHeight="1">
      <c r="A25236" s="35"/>
      <c r="C25236" s="442"/>
      <c r="P25236" s="235"/>
      <c r="AI25236" s="38"/>
    </row>
    <row r="25237" ht="15.75" customHeight="1">
      <c r="A25237" s="35"/>
      <c r="C25237" s="442"/>
      <c r="P25237" s="235"/>
      <c r="AI25237" s="38"/>
    </row>
    <row r="25238" ht="15.75" customHeight="1">
      <c r="A25238" s="35"/>
      <c r="C25238" s="442"/>
      <c r="P25238" s="235"/>
      <c r="AI25238" s="38"/>
    </row>
    <row r="25239" ht="15.75" customHeight="1">
      <c r="A25239" s="35"/>
      <c r="C25239" s="442"/>
      <c r="P25239" s="235"/>
      <c r="AI25239" s="38"/>
    </row>
    <row r="25240" ht="15.75" customHeight="1">
      <c r="A25240" s="35"/>
      <c r="C25240" s="442"/>
      <c r="P25240" s="235"/>
      <c r="AI25240" s="38"/>
    </row>
    <row r="25241" ht="15.75" customHeight="1">
      <c r="A25241" s="35"/>
      <c r="C25241" s="442"/>
      <c r="P25241" s="235"/>
      <c r="AI25241" s="38"/>
    </row>
    <row r="25242" ht="15.75" customHeight="1">
      <c r="A25242" s="35"/>
      <c r="C25242" s="442"/>
      <c r="P25242" s="235"/>
      <c r="AI25242" s="38"/>
    </row>
    <row r="25243" ht="15.75" customHeight="1">
      <c r="A25243" s="35"/>
      <c r="C25243" s="442"/>
      <c r="P25243" s="235"/>
      <c r="AI25243" s="38"/>
    </row>
    <row r="25244" ht="15.75" customHeight="1">
      <c r="A25244" s="35"/>
      <c r="C25244" s="442"/>
      <c r="P25244" s="235"/>
      <c r="AI25244" s="38"/>
    </row>
    <row r="25245" ht="15.75" customHeight="1">
      <c r="A25245" s="35"/>
      <c r="C25245" s="442"/>
      <c r="P25245" s="235"/>
      <c r="AI25245" s="38"/>
    </row>
    <row r="25246" ht="15.75" customHeight="1">
      <c r="A25246" s="35"/>
      <c r="C25246" s="442"/>
      <c r="P25246" s="235"/>
      <c r="AI25246" s="38"/>
    </row>
    <row r="25247" ht="15.75" customHeight="1">
      <c r="A25247" s="35"/>
      <c r="C25247" s="442"/>
      <c r="P25247" s="235"/>
      <c r="AI25247" s="38"/>
    </row>
    <row r="25248" ht="15.75" customHeight="1">
      <c r="A25248" s="35"/>
      <c r="C25248" s="442"/>
      <c r="P25248" s="235"/>
      <c r="AI25248" s="38"/>
    </row>
    <row r="25249" ht="15.75" customHeight="1">
      <c r="A25249" s="35"/>
      <c r="C25249" s="442"/>
      <c r="P25249" s="235"/>
      <c r="AI25249" s="38"/>
    </row>
    <row r="25250" ht="15.75" customHeight="1">
      <c r="A25250" s="35"/>
      <c r="C25250" s="442"/>
      <c r="P25250" s="235"/>
      <c r="AI25250" s="38"/>
    </row>
    <row r="25251" ht="15.75" customHeight="1">
      <c r="A25251" s="35"/>
      <c r="C25251" s="442"/>
      <c r="P25251" s="235"/>
      <c r="AI25251" s="38"/>
    </row>
    <row r="25252" ht="15.75" customHeight="1">
      <c r="A25252" s="35"/>
      <c r="C25252" s="442"/>
      <c r="P25252" s="235"/>
      <c r="AI25252" s="38"/>
    </row>
    <row r="25253" ht="15.75" customHeight="1">
      <c r="A25253" s="35"/>
      <c r="C25253" s="442"/>
      <c r="P25253" s="235"/>
      <c r="AI25253" s="38"/>
    </row>
    <row r="25254" ht="15.75" customHeight="1">
      <c r="A25254" s="35"/>
      <c r="C25254" s="442"/>
      <c r="P25254" s="235"/>
      <c r="AI25254" s="38"/>
    </row>
    <row r="25255" ht="15.75" customHeight="1">
      <c r="A25255" s="35"/>
      <c r="C25255" s="442"/>
      <c r="P25255" s="235"/>
      <c r="AI25255" s="38"/>
    </row>
    <row r="25256" ht="15.75" customHeight="1">
      <c r="A25256" s="35"/>
      <c r="C25256" s="442"/>
      <c r="P25256" s="235"/>
      <c r="AI25256" s="38"/>
    </row>
    <row r="25257" ht="15.75" customHeight="1">
      <c r="A25257" s="35"/>
      <c r="C25257" s="442"/>
      <c r="P25257" s="235"/>
      <c r="AI25257" s="38"/>
    </row>
    <row r="25258" ht="15.75" customHeight="1">
      <c r="A25258" s="35"/>
      <c r="C25258" s="442"/>
      <c r="P25258" s="235"/>
      <c r="AI25258" s="38"/>
    </row>
    <row r="25259" ht="15.75" customHeight="1">
      <c r="A25259" s="35"/>
      <c r="C25259" s="442"/>
      <c r="P25259" s="235"/>
      <c r="AI25259" s="38"/>
    </row>
    <row r="25260" ht="15.75" customHeight="1">
      <c r="A25260" s="35"/>
      <c r="C25260" s="442"/>
      <c r="P25260" s="235"/>
      <c r="AI25260" s="38"/>
    </row>
    <row r="25261" ht="15.75" customHeight="1">
      <c r="A25261" s="35"/>
      <c r="C25261" s="442"/>
      <c r="P25261" s="235"/>
      <c r="AI25261" s="38"/>
    </row>
    <row r="25262" ht="15.75" customHeight="1">
      <c r="A25262" s="35"/>
      <c r="C25262" s="442"/>
      <c r="P25262" s="235"/>
      <c r="AI25262" s="38"/>
    </row>
    <row r="25263" ht="15.75" customHeight="1">
      <c r="A25263" s="35"/>
      <c r="C25263" s="442"/>
      <c r="P25263" s="235"/>
      <c r="AI25263" s="38"/>
    </row>
    <row r="25264" ht="15.75" customHeight="1">
      <c r="A25264" s="35"/>
      <c r="C25264" s="442"/>
      <c r="P25264" s="235"/>
      <c r="AI25264" s="38"/>
    </row>
    <row r="25265" ht="15.75" customHeight="1">
      <c r="A25265" s="35"/>
      <c r="C25265" s="442"/>
      <c r="P25265" s="235"/>
      <c r="AI25265" s="38"/>
    </row>
    <row r="25266" ht="15.75" customHeight="1">
      <c r="A25266" s="35"/>
      <c r="C25266" s="442"/>
      <c r="P25266" s="235"/>
      <c r="AI25266" s="38"/>
    </row>
    <row r="25267" ht="15.75" customHeight="1">
      <c r="A25267" s="35"/>
      <c r="C25267" s="442"/>
      <c r="P25267" s="235"/>
      <c r="AI25267" s="38"/>
    </row>
    <row r="25268" ht="15.75" customHeight="1">
      <c r="A25268" s="35"/>
      <c r="C25268" s="442"/>
      <c r="P25268" s="235"/>
      <c r="AI25268" s="38"/>
    </row>
    <row r="25269" ht="15.75" customHeight="1">
      <c r="A25269" s="35"/>
      <c r="C25269" s="442"/>
      <c r="P25269" s="235"/>
      <c r="AI25269" s="38"/>
    </row>
    <row r="25270" ht="15.75" customHeight="1">
      <c r="A25270" s="35"/>
      <c r="C25270" s="442"/>
      <c r="P25270" s="235"/>
      <c r="AI25270" s="38"/>
    </row>
    <row r="25271" ht="15.75" customHeight="1">
      <c r="A25271" s="35"/>
      <c r="C25271" s="442"/>
      <c r="P25271" s="235"/>
      <c r="AI25271" s="38"/>
    </row>
    <row r="25272" ht="15.75" customHeight="1">
      <c r="A25272" s="35"/>
      <c r="C25272" s="442"/>
      <c r="P25272" s="235"/>
      <c r="AI25272" s="38"/>
    </row>
    <row r="25273" ht="15.75" customHeight="1">
      <c r="A25273" s="35"/>
      <c r="C25273" s="442"/>
      <c r="P25273" s="235"/>
      <c r="AI25273" s="38"/>
    </row>
    <row r="25274" ht="15.75" customHeight="1">
      <c r="A25274" s="35"/>
      <c r="C25274" s="442"/>
      <c r="P25274" s="235"/>
      <c r="AI25274" s="38"/>
    </row>
    <row r="25275" ht="15.75" customHeight="1">
      <c r="A25275" s="35"/>
      <c r="C25275" s="442"/>
      <c r="P25275" s="235"/>
      <c r="AI25275" s="38"/>
    </row>
    <row r="25276" ht="15.75" customHeight="1">
      <c r="A25276" s="35"/>
      <c r="C25276" s="442"/>
      <c r="P25276" s="235"/>
      <c r="AI25276" s="38"/>
    </row>
    <row r="25277" ht="15.75" customHeight="1">
      <c r="A25277" s="35"/>
      <c r="C25277" s="442"/>
      <c r="P25277" s="235"/>
      <c r="AI25277" s="38"/>
    </row>
    <row r="25278" ht="15.75" customHeight="1">
      <c r="A25278" s="35"/>
      <c r="C25278" s="442"/>
      <c r="P25278" s="235"/>
      <c r="AI25278" s="38"/>
    </row>
    <row r="25279" ht="15.75" customHeight="1">
      <c r="A25279" s="35"/>
      <c r="C25279" s="442"/>
      <c r="P25279" s="235"/>
      <c r="AI25279" s="38"/>
    </row>
    <row r="25280" ht="15.75" customHeight="1">
      <c r="A25280" s="35"/>
      <c r="C25280" s="442"/>
      <c r="P25280" s="235"/>
      <c r="AI25280" s="38"/>
    </row>
    <row r="25281" ht="15.75" customHeight="1">
      <c r="A25281" s="35"/>
      <c r="C25281" s="442"/>
      <c r="P25281" s="235"/>
      <c r="AI25281" s="38"/>
    </row>
    <row r="25282" ht="15.75" customHeight="1">
      <c r="A25282" s="35"/>
      <c r="C25282" s="442"/>
      <c r="P25282" s="235"/>
      <c r="AI25282" s="38"/>
    </row>
    <row r="25283" ht="15.75" customHeight="1">
      <c r="A25283" s="35"/>
      <c r="C25283" s="442"/>
      <c r="P25283" s="235"/>
      <c r="AI25283" s="38"/>
    </row>
    <row r="25284" ht="15.75" customHeight="1">
      <c r="A25284" s="35"/>
      <c r="C25284" s="442"/>
      <c r="P25284" s="235"/>
      <c r="AI25284" s="38"/>
    </row>
    <row r="25285" ht="15.75" customHeight="1">
      <c r="A25285" s="35"/>
      <c r="C25285" s="442"/>
      <c r="P25285" s="235"/>
      <c r="AI25285" s="38"/>
    </row>
    <row r="25286" ht="15.75" customHeight="1">
      <c r="A25286" s="35"/>
      <c r="C25286" s="442"/>
      <c r="P25286" s="235"/>
      <c r="AI25286" s="38"/>
    </row>
    <row r="25287" ht="15.75" customHeight="1">
      <c r="A25287" s="35"/>
      <c r="C25287" s="442"/>
      <c r="P25287" s="235"/>
      <c r="AI25287" s="38"/>
    </row>
    <row r="25288" ht="15.75" customHeight="1">
      <c r="A25288" s="35"/>
      <c r="C25288" s="442"/>
      <c r="P25288" s="235"/>
      <c r="AI25288" s="38"/>
    </row>
    <row r="25289" ht="15.75" customHeight="1">
      <c r="A25289" s="35"/>
      <c r="C25289" s="442"/>
      <c r="P25289" s="235"/>
      <c r="AI25289" s="38"/>
    </row>
    <row r="25290" ht="15.75" customHeight="1">
      <c r="A25290" s="35"/>
      <c r="C25290" s="442"/>
      <c r="P25290" s="235"/>
      <c r="AI25290" s="38"/>
    </row>
    <row r="25291" ht="15.75" customHeight="1">
      <c r="A25291" s="35"/>
      <c r="C25291" s="442"/>
      <c r="P25291" s="235"/>
      <c r="AI25291" s="38"/>
    </row>
    <row r="25292" ht="15.75" customHeight="1">
      <c r="A25292" s="35"/>
      <c r="C25292" s="442"/>
      <c r="P25292" s="235"/>
      <c r="AI25292" s="38"/>
    </row>
    <row r="25293" ht="15.75" customHeight="1">
      <c r="A25293" s="35"/>
      <c r="C25293" s="442"/>
      <c r="P25293" s="235"/>
      <c r="AI25293" s="38"/>
    </row>
    <row r="25294" ht="15.75" customHeight="1">
      <c r="A25294" s="35"/>
      <c r="C25294" s="442"/>
      <c r="P25294" s="235"/>
      <c r="AI25294" s="38"/>
    </row>
    <row r="25295" ht="15.75" customHeight="1">
      <c r="A25295" s="35"/>
      <c r="C25295" s="442"/>
      <c r="P25295" s="235"/>
      <c r="AI25295" s="38"/>
    </row>
    <row r="25296" ht="15.75" customHeight="1">
      <c r="A25296" s="35"/>
      <c r="C25296" s="442"/>
      <c r="P25296" s="235"/>
      <c r="AI25296" s="38"/>
    </row>
    <row r="25297" ht="15.75" customHeight="1">
      <c r="A25297" s="35"/>
      <c r="C25297" s="442"/>
      <c r="P25297" s="235"/>
      <c r="AI25297" s="38"/>
    </row>
    <row r="25298" ht="15.75" customHeight="1">
      <c r="A25298" s="35"/>
      <c r="C25298" s="442"/>
      <c r="P25298" s="235"/>
      <c r="AI25298" s="38"/>
    </row>
    <row r="25299" ht="15.75" customHeight="1">
      <c r="A25299" s="35"/>
      <c r="C25299" s="442"/>
      <c r="P25299" s="235"/>
      <c r="AI25299" s="38"/>
    </row>
    <row r="25300" ht="15.75" customHeight="1">
      <c r="A25300" s="35"/>
      <c r="C25300" s="442"/>
      <c r="P25300" s="235"/>
      <c r="AI25300" s="38"/>
    </row>
    <row r="25301" ht="15.75" customHeight="1">
      <c r="A25301" s="35"/>
      <c r="C25301" s="442"/>
      <c r="P25301" s="235"/>
      <c r="AI25301" s="38"/>
    </row>
    <row r="25302" ht="15.75" customHeight="1">
      <c r="A25302" s="35"/>
      <c r="C25302" s="442"/>
      <c r="P25302" s="235"/>
      <c r="AI25302" s="38"/>
    </row>
    <row r="25303" ht="15.75" customHeight="1">
      <c r="A25303" s="35"/>
      <c r="C25303" s="442"/>
      <c r="P25303" s="235"/>
      <c r="AI25303" s="38"/>
    </row>
    <row r="25304" ht="15.75" customHeight="1">
      <c r="A25304" s="35"/>
      <c r="C25304" s="442"/>
      <c r="P25304" s="235"/>
      <c r="AI25304" s="38"/>
    </row>
    <row r="25305" ht="15.75" customHeight="1">
      <c r="A25305" s="35"/>
      <c r="C25305" s="442"/>
      <c r="P25305" s="235"/>
      <c r="AI25305" s="38"/>
    </row>
    <row r="25306" ht="15.75" customHeight="1">
      <c r="A25306" s="35"/>
      <c r="C25306" s="442"/>
      <c r="P25306" s="235"/>
      <c r="AI25306" s="38"/>
    </row>
    <row r="25307" ht="15.75" customHeight="1">
      <c r="A25307" s="35"/>
      <c r="C25307" s="442"/>
      <c r="P25307" s="235"/>
      <c r="AI25307" s="38"/>
    </row>
    <row r="25308" ht="15.75" customHeight="1">
      <c r="A25308" s="35"/>
      <c r="C25308" s="442"/>
      <c r="P25308" s="235"/>
      <c r="AI25308" s="38"/>
    </row>
    <row r="25309" ht="15.75" customHeight="1">
      <c r="A25309" s="35"/>
      <c r="C25309" s="442"/>
      <c r="P25309" s="235"/>
      <c r="AI25309" s="38"/>
    </row>
    <row r="25310" ht="15.75" customHeight="1">
      <c r="A25310" s="35"/>
      <c r="C25310" s="442"/>
      <c r="P25310" s="235"/>
      <c r="AI25310" s="38"/>
    </row>
    <row r="25311" ht="15.75" customHeight="1">
      <c r="A25311" s="35"/>
      <c r="C25311" s="442"/>
      <c r="P25311" s="235"/>
      <c r="AI25311" s="38"/>
    </row>
    <row r="25312" ht="15.75" customHeight="1">
      <c r="A25312" s="35"/>
      <c r="C25312" s="442"/>
      <c r="P25312" s="235"/>
      <c r="AI25312" s="38"/>
    </row>
    <row r="25313" ht="15.75" customHeight="1">
      <c r="A25313" s="35"/>
      <c r="C25313" s="442"/>
      <c r="P25313" s="235"/>
      <c r="AI25313" s="38"/>
    </row>
    <row r="25314" ht="15.75" customHeight="1">
      <c r="A25314" s="35"/>
      <c r="C25314" s="442"/>
      <c r="P25314" s="235"/>
      <c r="AI25314" s="38"/>
    </row>
    <row r="25315" ht="15.75" customHeight="1">
      <c r="A25315" s="35"/>
      <c r="C25315" s="442"/>
      <c r="P25315" s="235"/>
      <c r="AI25315" s="38"/>
    </row>
    <row r="25316" ht="15.75" customHeight="1">
      <c r="A25316" s="35"/>
      <c r="C25316" s="442"/>
      <c r="P25316" s="235"/>
      <c r="AI25316" s="38"/>
    </row>
    <row r="25317" ht="15.75" customHeight="1">
      <c r="A25317" s="35"/>
      <c r="C25317" s="442"/>
      <c r="P25317" s="235"/>
      <c r="AI25317" s="38"/>
    </row>
    <row r="25318" ht="15.75" customHeight="1">
      <c r="A25318" s="35"/>
      <c r="C25318" s="442"/>
      <c r="P25318" s="235"/>
      <c r="AI25318" s="38"/>
    </row>
    <row r="25319" ht="15.75" customHeight="1">
      <c r="A25319" s="35"/>
      <c r="C25319" s="442"/>
      <c r="P25319" s="235"/>
      <c r="AI25319" s="38"/>
    </row>
    <row r="25320" ht="15.75" customHeight="1">
      <c r="A25320" s="35"/>
      <c r="C25320" s="442"/>
      <c r="P25320" s="235"/>
      <c r="AI25320" s="38"/>
    </row>
    <row r="25321" ht="15.75" customHeight="1">
      <c r="A25321" s="35"/>
      <c r="C25321" s="442"/>
      <c r="P25321" s="235"/>
      <c r="AI25321" s="38"/>
    </row>
    <row r="25322" ht="15.75" customHeight="1">
      <c r="A25322" s="35"/>
      <c r="C25322" s="442"/>
      <c r="P25322" s="235"/>
      <c r="AI25322" s="38"/>
    </row>
    <row r="25323" ht="15.75" customHeight="1">
      <c r="A25323" s="35"/>
      <c r="C25323" s="442"/>
      <c r="P25323" s="235"/>
      <c r="AI25323" s="38"/>
    </row>
    <row r="25324" ht="15.75" customHeight="1">
      <c r="A25324" s="35"/>
      <c r="C25324" s="442"/>
      <c r="P25324" s="235"/>
      <c r="AI25324" s="38"/>
    </row>
    <row r="25325" ht="15.75" customHeight="1">
      <c r="A25325" s="35"/>
      <c r="C25325" s="442"/>
      <c r="P25325" s="235"/>
      <c r="AI25325" s="38"/>
    </row>
    <row r="25326" ht="15.75" customHeight="1">
      <c r="A25326" s="35"/>
      <c r="C25326" s="442"/>
      <c r="P25326" s="235"/>
      <c r="AI25326" s="38"/>
    </row>
    <row r="25327" ht="15.75" customHeight="1">
      <c r="A25327" s="35"/>
      <c r="C25327" s="442"/>
      <c r="P25327" s="235"/>
      <c r="AI25327" s="38"/>
    </row>
    <row r="25328" ht="15.75" customHeight="1">
      <c r="A25328" s="35"/>
      <c r="C25328" s="442"/>
      <c r="P25328" s="235"/>
      <c r="AI25328" s="38"/>
    </row>
    <row r="25329" ht="15.75" customHeight="1">
      <c r="A25329" s="35"/>
      <c r="C25329" s="442"/>
      <c r="P25329" s="235"/>
      <c r="AI25329" s="38"/>
    </row>
    <row r="25330" ht="15.75" customHeight="1">
      <c r="A25330" s="35"/>
      <c r="C25330" s="442"/>
      <c r="P25330" s="235"/>
      <c r="AI25330" s="38"/>
    </row>
    <row r="25331" ht="15.75" customHeight="1">
      <c r="A25331" s="35"/>
      <c r="C25331" s="442"/>
      <c r="P25331" s="235"/>
      <c r="AI25331" s="38"/>
    </row>
    <row r="25332" ht="15.75" customHeight="1">
      <c r="A25332" s="35"/>
      <c r="C25332" s="442"/>
      <c r="P25332" s="235"/>
      <c r="AI25332" s="38"/>
    </row>
    <row r="25333" ht="15.75" customHeight="1">
      <c r="A25333" s="35"/>
      <c r="C25333" s="442"/>
      <c r="P25333" s="235"/>
      <c r="AI25333" s="38"/>
    </row>
    <row r="25334" ht="15.75" customHeight="1">
      <c r="A25334" s="35"/>
      <c r="C25334" s="442"/>
      <c r="P25334" s="235"/>
      <c r="AI25334" s="38"/>
    </row>
    <row r="25335" ht="15.75" customHeight="1">
      <c r="A25335" s="35"/>
      <c r="C25335" s="442"/>
      <c r="P25335" s="235"/>
      <c r="AI25335" s="38"/>
    </row>
    <row r="25336" ht="15.75" customHeight="1">
      <c r="A25336" s="35"/>
      <c r="C25336" s="442"/>
      <c r="P25336" s="235"/>
      <c r="AI25336" s="38"/>
    </row>
    <row r="25337" ht="15.75" customHeight="1">
      <c r="A25337" s="35"/>
      <c r="C25337" s="442"/>
      <c r="P25337" s="235"/>
      <c r="AI25337" s="38"/>
    </row>
    <row r="25338" ht="15.75" customHeight="1">
      <c r="A25338" s="35"/>
      <c r="C25338" s="442"/>
      <c r="P25338" s="235"/>
      <c r="AI25338" s="38"/>
    </row>
    <row r="25339" ht="15.75" customHeight="1">
      <c r="A25339" s="35"/>
      <c r="C25339" s="442"/>
      <c r="P25339" s="235"/>
      <c r="AI25339" s="38"/>
    </row>
    <row r="25340" ht="15.75" customHeight="1">
      <c r="A25340" s="35"/>
      <c r="C25340" s="442"/>
      <c r="P25340" s="235"/>
      <c r="AI25340" s="38"/>
    </row>
    <row r="25341" ht="15.75" customHeight="1">
      <c r="A25341" s="35"/>
      <c r="C25341" s="442"/>
      <c r="P25341" s="235"/>
      <c r="AI25341" s="38"/>
    </row>
    <row r="25342" ht="15.75" customHeight="1">
      <c r="A25342" s="35"/>
      <c r="C25342" s="442"/>
      <c r="P25342" s="235"/>
      <c r="AI25342" s="38"/>
    </row>
    <row r="25343" ht="15.75" customHeight="1">
      <c r="A25343" s="35"/>
      <c r="C25343" s="442"/>
      <c r="P25343" s="235"/>
      <c r="AI25343" s="38"/>
    </row>
    <row r="25344" ht="15.75" customHeight="1">
      <c r="A25344" s="35"/>
      <c r="C25344" s="442"/>
      <c r="P25344" s="235"/>
      <c r="AI25344" s="38"/>
    </row>
    <row r="25345" ht="15.75" customHeight="1">
      <c r="A25345" s="35"/>
      <c r="C25345" s="442"/>
      <c r="P25345" s="235"/>
      <c r="AI25345" s="38"/>
    </row>
    <row r="25346" ht="15.75" customHeight="1">
      <c r="A25346" s="35"/>
      <c r="C25346" s="442"/>
      <c r="P25346" s="235"/>
      <c r="AI25346" s="38"/>
    </row>
    <row r="25347" ht="15.75" customHeight="1">
      <c r="A25347" s="35"/>
      <c r="C25347" s="442"/>
      <c r="P25347" s="235"/>
      <c r="AI25347" s="38"/>
    </row>
    <row r="25348" ht="15.75" customHeight="1">
      <c r="A25348" s="35"/>
      <c r="C25348" s="442"/>
      <c r="P25348" s="235"/>
      <c r="AI25348" s="38"/>
    </row>
    <row r="25349" ht="15.75" customHeight="1">
      <c r="A25349" s="35"/>
      <c r="C25349" s="442"/>
      <c r="P25349" s="235"/>
      <c r="AI25349" s="38"/>
    </row>
    <row r="25350" ht="15.75" customHeight="1">
      <c r="A25350" s="35"/>
      <c r="C25350" s="442"/>
      <c r="P25350" s="235"/>
      <c r="AI25350" s="38"/>
    </row>
    <row r="25351" ht="15.75" customHeight="1">
      <c r="A25351" s="35"/>
      <c r="C25351" s="442"/>
      <c r="P25351" s="235"/>
      <c r="AI25351" s="38"/>
    </row>
    <row r="25352" ht="15.75" customHeight="1">
      <c r="A25352" s="35"/>
      <c r="C25352" s="442"/>
      <c r="P25352" s="235"/>
      <c r="AI25352" s="38"/>
    </row>
    <row r="25353" ht="15.75" customHeight="1">
      <c r="A25353" s="35"/>
      <c r="C25353" s="442"/>
      <c r="P25353" s="235"/>
      <c r="AI25353" s="38"/>
    </row>
    <row r="25354" ht="15.75" customHeight="1">
      <c r="A25354" s="35"/>
      <c r="C25354" s="442"/>
      <c r="P25354" s="235"/>
      <c r="AI25354" s="38"/>
    </row>
    <row r="25355" ht="15.75" customHeight="1">
      <c r="A25355" s="35"/>
      <c r="C25355" s="442"/>
      <c r="P25355" s="235"/>
      <c r="AI25355" s="38"/>
    </row>
    <row r="25356" ht="15.75" customHeight="1">
      <c r="A25356" s="35"/>
      <c r="C25356" s="442"/>
      <c r="P25356" s="235"/>
      <c r="AI25356" s="38"/>
    </row>
    <row r="25357" ht="15.75" customHeight="1">
      <c r="A25357" s="35"/>
      <c r="C25357" s="442"/>
      <c r="P25357" s="235"/>
      <c r="AI25357" s="38"/>
    </row>
    <row r="25358" ht="15.75" customHeight="1">
      <c r="A25358" s="35"/>
      <c r="C25358" s="442"/>
      <c r="P25358" s="235"/>
      <c r="AI25358" s="38"/>
    </row>
    <row r="25359" ht="15.75" customHeight="1">
      <c r="A25359" s="35"/>
      <c r="C25359" s="442"/>
      <c r="P25359" s="235"/>
      <c r="AI25359" s="38"/>
    </row>
    <row r="25360" ht="15.75" customHeight="1">
      <c r="A25360" s="35"/>
      <c r="C25360" s="442"/>
      <c r="P25360" s="235"/>
      <c r="AI25360" s="38"/>
    </row>
    <row r="25361" ht="15.75" customHeight="1">
      <c r="A25361" s="35"/>
      <c r="C25361" s="442"/>
      <c r="P25361" s="235"/>
      <c r="AI25361" s="38"/>
    </row>
    <row r="25362" ht="15.75" customHeight="1">
      <c r="A25362" s="35"/>
      <c r="C25362" s="442"/>
      <c r="P25362" s="235"/>
      <c r="AI25362" s="38"/>
    </row>
    <row r="25363" ht="15.75" customHeight="1">
      <c r="A25363" s="35"/>
      <c r="C25363" s="442"/>
      <c r="P25363" s="235"/>
      <c r="AI25363" s="38"/>
    </row>
    <row r="25364" ht="15.75" customHeight="1">
      <c r="A25364" s="35"/>
      <c r="C25364" s="442"/>
      <c r="P25364" s="235"/>
      <c r="AI25364" s="38"/>
    </row>
    <row r="25365" ht="15.75" customHeight="1">
      <c r="A25365" s="35"/>
      <c r="C25365" s="442"/>
      <c r="P25365" s="235"/>
      <c r="AI25365" s="38"/>
    </row>
    <row r="25366" ht="15.75" customHeight="1">
      <c r="A25366" s="35"/>
      <c r="C25366" s="442"/>
      <c r="P25366" s="235"/>
      <c r="AI25366" s="38"/>
    </row>
    <row r="25367" ht="15.75" customHeight="1">
      <c r="A25367" s="35"/>
      <c r="C25367" s="442"/>
      <c r="P25367" s="235"/>
      <c r="AI25367" s="38"/>
    </row>
    <row r="25368" ht="15.75" customHeight="1">
      <c r="A25368" s="35"/>
      <c r="C25368" s="442"/>
      <c r="P25368" s="235"/>
      <c r="AI25368" s="38"/>
    </row>
    <row r="25369" ht="15.75" customHeight="1">
      <c r="A25369" s="35"/>
      <c r="C25369" s="442"/>
      <c r="P25369" s="235"/>
      <c r="AI25369" s="38"/>
    </row>
    <row r="25370" ht="15.75" customHeight="1">
      <c r="A25370" s="35"/>
      <c r="C25370" s="442"/>
      <c r="P25370" s="235"/>
      <c r="AI25370" s="38"/>
    </row>
    <row r="25371" ht="15.75" customHeight="1">
      <c r="A25371" s="35"/>
      <c r="C25371" s="442"/>
      <c r="P25371" s="235"/>
      <c r="AI25371" s="38"/>
    </row>
    <row r="25372" ht="15.75" customHeight="1">
      <c r="A25372" s="35"/>
      <c r="C25372" s="442"/>
      <c r="P25372" s="235"/>
      <c r="AI25372" s="38"/>
    </row>
    <row r="25373" ht="15.75" customHeight="1">
      <c r="A25373" s="35"/>
      <c r="C25373" s="442"/>
      <c r="P25373" s="235"/>
      <c r="AI25373" s="38"/>
    </row>
    <row r="25374" ht="15.75" customHeight="1">
      <c r="A25374" s="35"/>
      <c r="C25374" s="442"/>
      <c r="P25374" s="235"/>
      <c r="AI25374" s="38"/>
    </row>
    <row r="25375" ht="15.75" customHeight="1">
      <c r="A25375" s="35"/>
      <c r="C25375" s="442"/>
      <c r="P25375" s="235"/>
      <c r="AI25375" s="38"/>
    </row>
    <row r="25376" ht="15.75" customHeight="1">
      <c r="A25376" s="35"/>
      <c r="C25376" s="442"/>
      <c r="P25376" s="235"/>
      <c r="AI25376" s="38"/>
    </row>
    <row r="25377" ht="15.75" customHeight="1">
      <c r="A25377" s="35"/>
      <c r="C25377" s="442"/>
      <c r="P25377" s="235"/>
      <c r="AI25377" s="38"/>
    </row>
    <row r="25378" ht="15.75" customHeight="1">
      <c r="A25378" s="35"/>
      <c r="C25378" s="442"/>
      <c r="P25378" s="235"/>
      <c r="AI25378" s="38"/>
    </row>
    <row r="25379" ht="15.75" customHeight="1">
      <c r="A25379" s="35"/>
      <c r="C25379" s="442"/>
      <c r="P25379" s="235"/>
      <c r="AI25379" s="38"/>
    </row>
    <row r="25380" ht="15.75" customHeight="1">
      <c r="A25380" s="35"/>
      <c r="C25380" s="442"/>
      <c r="P25380" s="235"/>
      <c r="AI25380" s="38"/>
    </row>
    <row r="25381" ht="15.75" customHeight="1">
      <c r="A25381" s="35"/>
      <c r="C25381" s="442"/>
      <c r="P25381" s="235"/>
      <c r="AI25381" s="38"/>
    </row>
    <row r="25382" ht="15.75" customHeight="1">
      <c r="A25382" s="35"/>
      <c r="C25382" s="442"/>
      <c r="P25382" s="235"/>
      <c r="AI25382" s="38"/>
    </row>
    <row r="25383" ht="15.75" customHeight="1">
      <c r="A25383" s="35"/>
      <c r="C25383" s="442"/>
      <c r="P25383" s="235"/>
      <c r="AI25383" s="38"/>
    </row>
    <row r="25384" ht="15.75" customHeight="1">
      <c r="A25384" s="35"/>
      <c r="C25384" s="442"/>
      <c r="P25384" s="235"/>
      <c r="AI25384" s="38"/>
    </row>
    <row r="25385" ht="15.75" customHeight="1">
      <c r="A25385" s="35"/>
      <c r="C25385" s="442"/>
      <c r="P25385" s="235"/>
      <c r="AI25385" s="38"/>
    </row>
    <row r="25386" ht="15.75" customHeight="1">
      <c r="A25386" s="35"/>
      <c r="C25386" s="442"/>
      <c r="P25386" s="235"/>
      <c r="AI25386" s="38"/>
    </row>
    <row r="25387" ht="15.75" customHeight="1">
      <c r="A25387" s="35"/>
      <c r="C25387" s="442"/>
      <c r="P25387" s="235"/>
      <c r="AI25387" s="38"/>
    </row>
    <row r="25388" ht="15.75" customHeight="1">
      <c r="A25388" s="35"/>
      <c r="C25388" s="442"/>
      <c r="P25388" s="235"/>
      <c r="AI25388" s="38"/>
    </row>
    <row r="25389" ht="15.75" customHeight="1">
      <c r="A25389" s="35"/>
      <c r="C25389" s="442"/>
      <c r="P25389" s="235"/>
      <c r="AI25389" s="38"/>
    </row>
    <row r="25390" ht="15.75" customHeight="1">
      <c r="A25390" s="35"/>
      <c r="C25390" s="442"/>
      <c r="P25390" s="235"/>
      <c r="AI25390" s="38"/>
    </row>
    <row r="25391" ht="15.75" customHeight="1">
      <c r="A25391" s="35"/>
      <c r="C25391" s="442"/>
      <c r="P25391" s="235"/>
      <c r="AI25391" s="38"/>
    </row>
    <row r="25392" ht="15.75" customHeight="1">
      <c r="A25392" s="35"/>
      <c r="C25392" s="442"/>
      <c r="P25392" s="235"/>
      <c r="AI25392" s="38"/>
    </row>
    <row r="25393" ht="15.75" customHeight="1">
      <c r="A25393" s="35"/>
      <c r="C25393" s="442"/>
      <c r="P25393" s="235"/>
      <c r="AI25393" s="38"/>
    </row>
    <row r="25394" ht="15.75" customHeight="1">
      <c r="A25394" s="35"/>
      <c r="C25394" s="442"/>
      <c r="P25394" s="235"/>
      <c r="AI25394" s="38"/>
    </row>
    <row r="25395" ht="15.75" customHeight="1">
      <c r="A25395" s="35"/>
      <c r="C25395" s="442"/>
      <c r="P25395" s="235"/>
      <c r="AI25395" s="38"/>
    </row>
    <row r="25396" ht="15.75" customHeight="1">
      <c r="A25396" s="35"/>
      <c r="C25396" s="442"/>
      <c r="P25396" s="235"/>
      <c r="AI25396" s="38"/>
    </row>
    <row r="25397" ht="15.75" customHeight="1">
      <c r="A25397" s="35"/>
      <c r="C25397" s="442"/>
      <c r="P25397" s="235"/>
      <c r="AI25397" s="38"/>
    </row>
    <row r="25398" ht="15.75" customHeight="1">
      <c r="A25398" s="35"/>
      <c r="C25398" s="442"/>
      <c r="P25398" s="235"/>
      <c r="AI25398" s="38"/>
    </row>
    <row r="25399" ht="15.75" customHeight="1">
      <c r="A25399" s="35"/>
      <c r="C25399" s="442"/>
      <c r="P25399" s="235"/>
      <c r="AI25399" s="38"/>
    </row>
    <row r="25400" ht="15.75" customHeight="1">
      <c r="A25400" s="35"/>
      <c r="C25400" s="442"/>
      <c r="P25400" s="235"/>
      <c r="AI25400" s="38"/>
    </row>
    <row r="25401" ht="15.75" customHeight="1">
      <c r="A25401" s="35"/>
      <c r="C25401" s="442"/>
      <c r="P25401" s="235"/>
      <c r="AI25401" s="38"/>
    </row>
    <row r="25402" ht="15.75" customHeight="1">
      <c r="A25402" s="35"/>
      <c r="C25402" s="442"/>
      <c r="P25402" s="235"/>
      <c r="AI25402" s="38"/>
    </row>
    <row r="25403" ht="15.75" customHeight="1">
      <c r="A25403" s="35"/>
      <c r="C25403" s="442"/>
      <c r="P25403" s="235"/>
      <c r="AI25403" s="38"/>
    </row>
    <row r="25404" ht="15.75" customHeight="1">
      <c r="A25404" s="35"/>
      <c r="C25404" s="442"/>
      <c r="P25404" s="235"/>
      <c r="AI25404" s="38"/>
    </row>
    <row r="25405" ht="15.75" customHeight="1">
      <c r="A25405" s="35"/>
      <c r="C25405" s="442"/>
      <c r="P25405" s="235"/>
      <c r="AI25405" s="38"/>
    </row>
    <row r="25406" ht="15.75" customHeight="1">
      <c r="A25406" s="35"/>
      <c r="C25406" s="442"/>
      <c r="P25406" s="235"/>
      <c r="AI25406" s="38"/>
    </row>
    <row r="25407" ht="15.75" customHeight="1">
      <c r="A25407" s="35"/>
      <c r="C25407" s="442"/>
      <c r="P25407" s="235"/>
      <c r="AI25407" s="38"/>
    </row>
    <row r="25408" ht="15.75" customHeight="1">
      <c r="A25408" s="35"/>
      <c r="C25408" s="442"/>
      <c r="P25408" s="235"/>
      <c r="AI25408" s="38"/>
    </row>
    <row r="25409" ht="15.75" customHeight="1">
      <c r="A25409" s="35"/>
      <c r="C25409" s="442"/>
      <c r="P25409" s="235"/>
      <c r="AI25409" s="38"/>
    </row>
    <row r="25410" ht="15.75" customHeight="1">
      <c r="A25410" s="35"/>
      <c r="C25410" s="442"/>
      <c r="P25410" s="235"/>
      <c r="AI25410" s="38"/>
    </row>
    <row r="25411" ht="15.75" customHeight="1">
      <c r="A25411" s="35"/>
      <c r="C25411" s="442"/>
      <c r="P25411" s="235"/>
      <c r="AI25411" s="38"/>
    </row>
    <row r="25412" ht="15.75" customHeight="1">
      <c r="A25412" s="35"/>
      <c r="C25412" s="442"/>
      <c r="P25412" s="235"/>
      <c r="AI25412" s="38"/>
    </row>
    <row r="25413" ht="15.75" customHeight="1">
      <c r="A25413" s="35"/>
      <c r="C25413" s="442"/>
      <c r="P25413" s="235"/>
      <c r="AI25413" s="38"/>
    </row>
    <row r="25414" ht="15.75" customHeight="1">
      <c r="A25414" s="35"/>
      <c r="C25414" s="442"/>
      <c r="P25414" s="235"/>
      <c r="AI25414" s="38"/>
    </row>
    <row r="25415" ht="15.75" customHeight="1">
      <c r="A25415" s="35"/>
      <c r="C25415" s="442"/>
      <c r="P25415" s="235"/>
      <c r="AI25415" s="38"/>
    </row>
    <row r="25416" ht="15.75" customHeight="1">
      <c r="A25416" s="35"/>
      <c r="C25416" s="442"/>
      <c r="P25416" s="235"/>
      <c r="AI25416" s="38"/>
    </row>
    <row r="25417" ht="15.75" customHeight="1">
      <c r="A25417" s="35"/>
      <c r="C25417" s="442"/>
      <c r="P25417" s="235"/>
      <c r="AI25417" s="38"/>
    </row>
    <row r="25418" ht="15.75" customHeight="1">
      <c r="A25418" s="35"/>
      <c r="C25418" s="442"/>
      <c r="P25418" s="235"/>
      <c r="AI25418" s="38"/>
    </row>
    <row r="25419" ht="15.75" customHeight="1">
      <c r="A25419" s="35"/>
      <c r="C25419" s="442"/>
      <c r="P25419" s="235"/>
      <c r="AI25419" s="38"/>
    </row>
    <row r="25420" ht="15.75" customHeight="1">
      <c r="A25420" s="35"/>
      <c r="C25420" s="442"/>
      <c r="P25420" s="235"/>
      <c r="AI25420" s="38"/>
    </row>
    <row r="25421" ht="15.75" customHeight="1">
      <c r="A25421" s="35"/>
      <c r="C25421" s="442"/>
      <c r="P25421" s="235"/>
      <c r="AI25421" s="38"/>
    </row>
    <row r="25422" ht="15.75" customHeight="1">
      <c r="A25422" s="35"/>
      <c r="C25422" s="442"/>
      <c r="P25422" s="235"/>
      <c r="AI25422" s="38"/>
    </row>
    <row r="25423" ht="15.75" customHeight="1">
      <c r="A25423" s="35"/>
      <c r="C25423" s="442"/>
      <c r="P25423" s="235"/>
      <c r="AI25423" s="38"/>
    </row>
    <row r="25424" ht="15.75" customHeight="1">
      <c r="A25424" s="35"/>
      <c r="C25424" s="442"/>
      <c r="P25424" s="235"/>
      <c r="AI25424" s="38"/>
    </row>
    <row r="25425" ht="15.75" customHeight="1">
      <c r="A25425" s="35"/>
      <c r="C25425" s="442"/>
      <c r="P25425" s="235"/>
      <c r="AI25425" s="38"/>
    </row>
    <row r="25426" ht="15.75" customHeight="1">
      <c r="A25426" s="35"/>
      <c r="C25426" s="442"/>
      <c r="P25426" s="235"/>
      <c r="AI25426" s="38"/>
    </row>
    <row r="25427" ht="15.75" customHeight="1">
      <c r="A25427" s="35"/>
      <c r="C25427" s="442"/>
      <c r="P25427" s="235"/>
      <c r="AI25427" s="38"/>
    </row>
    <row r="25428" ht="15.75" customHeight="1">
      <c r="A25428" s="35"/>
      <c r="C25428" s="442"/>
      <c r="P25428" s="235"/>
      <c r="AI25428" s="38"/>
    </row>
    <row r="25429" ht="15.75" customHeight="1">
      <c r="A25429" s="35"/>
      <c r="C25429" s="442"/>
      <c r="P25429" s="235"/>
      <c r="AI25429" s="38"/>
    </row>
    <row r="25430" ht="15.75" customHeight="1">
      <c r="A25430" s="35"/>
      <c r="C25430" s="442"/>
      <c r="P25430" s="235"/>
      <c r="AI25430" s="38"/>
    </row>
    <row r="25431" ht="15.75" customHeight="1">
      <c r="A25431" s="35"/>
      <c r="C25431" s="442"/>
      <c r="P25431" s="235"/>
      <c r="AI25431" s="38"/>
    </row>
    <row r="25432" ht="15.75" customHeight="1">
      <c r="A25432" s="35"/>
      <c r="C25432" s="442"/>
      <c r="P25432" s="235"/>
      <c r="AI25432" s="38"/>
    </row>
    <row r="25433" ht="15.75" customHeight="1">
      <c r="A25433" s="35"/>
      <c r="C25433" s="442"/>
      <c r="P25433" s="235"/>
      <c r="AI25433" s="38"/>
    </row>
    <row r="25434" ht="15.75" customHeight="1">
      <c r="A25434" s="35"/>
      <c r="C25434" s="442"/>
      <c r="P25434" s="235"/>
      <c r="AI25434" s="38"/>
    </row>
    <row r="25435" ht="15.75" customHeight="1">
      <c r="A25435" s="35"/>
      <c r="C25435" s="442"/>
      <c r="P25435" s="235"/>
      <c r="AI25435" s="38"/>
    </row>
    <row r="25436" ht="15.75" customHeight="1">
      <c r="A25436" s="35"/>
      <c r="C25436" s="442"/>
      <c r="P25436" s="235"/>
      <c r="AI25436" s="38"/>
    </row>
    <row r="25437" ht="15.75" customHeight="1">
      <c r="A25437" s="35"/>
      <c r="C25437" s="442"/>
      <c r="P25437" s="235"/>
      <c r="AI25437" s="38"/>
    </row>
    <row r="25438" ht="15.75" customHeight="1">
      <c r="A25438" s="35"/>
      <c r="C25438" s="442"/>
      <c r="P25438" s="235"/>
      <c r="AI25438" s="38"/>
    </row>
    <row r="25439" ht="15.75" customHeight="1">
      <c r="A25439" s="35"/>
      <c r="C25439" s="442"/>
      <c r="P25439" s="235"/>
      <c r="AI25439" s="38"/>
    </row>
    <row r="25440" ht="15.75" customHeight="1">
      <c r="A25440" s="35"/>
      <c r="C25440" s="442"/>
      <c r="P25440" s="235"/>
      <c r="AI25440" s="38"/>
    </row>
    <row r="25441" ht="15.75" customHeight="1">
      <c r="A25441" s="35"/>
      <c r="C25441" s="442"/>
      <c r="P25441" s="235"/>
      <c r="AI25441" s="38"/>
    </row>
    <row r="25442" ht="15.75" customHeight="1">
      <c r="A25442" s="35"/>
      <c r="C25442" s="442"/>
      <c r="P25442" s="235"/>
      <c r="AI25442" s="38"/>
    </row>
    <row r="25443" ht="15.75" customHeight="1">
      <c r="A25443" s="35"/>
      <c r="C25443" s="442"/>
      <c r="P25443" s="235"/>
      <c r="AI25443" s="38"/>
    </row>
    <row r="25444" ht="15.75" customHeight="1">
      <c r="A25444" s="35"/>
      <c r="C25444" s="442"/>
      <c r="P25444" s="235"/>
      <c r="AI25444" s="38"/>
    </row>
    <row r="25445" ht="15.75" customHeight="1">
      <c r="A25445" s="35"/>
      <c r="C25445" s="442"/>
      <c r="P25445" s="235"/>
      <c r="AI25445" s="38"/>
    </row>
    <row r="25446" ht="15.75" customHeight="1">
      <c r="A25446" s="35"/>
      <c r="C25446" s="442"/>
      <c r="P25446" s="235"/>
      <c r="AI25446" s="38"/>
    </row>
    <row r="25447" ht="15.75" customHeight="1">
      <c r="A25447" s="35"/>
      <c r="C25447" s="442"/>
      <c r="P25447" s="235"/>
      <c r="AI25447" s="38"/>
    </row>
    <row r="25448" ht="15.75" customHeight="1">
      <c r="A25448" s="35"/>
      <c r="C25448" s="442"/>
      <c r="P25448" s="235"/>
      <c r="AI25448" s="38"/>
    </row>
    <row r="25449" ht="15.75" customHeight="1">
      <c r="A25449" s="35"/>
      <c r="C25449" s="442"/>
      <c r="P25449" s="235"/>
      <c r="AI25449" s="38"/>
    </row>
    <row r="25450" ht="15.75" customHeight="1">
      <c r="A25450" s="35"/>
      <c r="C25450" s="442"/>
      <c r="P25450" s="235"/>
      <c r="AI25450" s="38"/>
    </row>
    <row r="25451" ht="15.75" customHeight="1">
      <c r="A25451" s="35"/>
      <c r="C25451" s="442"/>
      <c r="P25451" s="235"/>
      <c r="AI25451" s="38"/>
    </row>
    <row r="25452" ht="15.75" customHeight="1">
      <c r="A25452" s="35"/>
      <c r="C25452" s="442"/>
      <c r="P25452" s="235"/>
      <c r="AI25452" s="38"/>
    </row>
    <row r="25453" ht="15.75" customHeight="1">
      <c r="A25453" s="35"/>
      <c r="C25453" s="442"/>
      <c r="P25453" s="235"/>
      <c r="AI25453" s="38"/>
    </row>
    <row r="25454" ht="15.75" customHeight="1">
      <c r="A25454" s="35"/>
      <c r="C25454" s="442"/>
      <c r="P25454" s="235"/>
      <c r="AI25454" s="38"/>
    </row>
    <row r="25455" ht="15.75" customHeight="1">
      <c r="A25455" s="35"/>
      <c r="C25455" s="442"/>
      <c r="P25455" s="235"/>
      <c r="AI25455" s="38"/>
    </row>
    <row r="25456" ht="15.75" customHeight="1">
      <c r="A25456" s="35"/>
      <c r="C25456" s="442"/>
      <c r="P25456" s="235"/>
      <c r="AI25456" s="38"/>
    </row>
    <row r="25457" ht="15.75" customHeight="1">
      <c r="A25457" s="35"/>
      <c r="C25457" s="442"/>
      <c r="P25457" s="235"/>
      <c r="AI25457" s="38"/>
    </row>
    <row r="25458" ht="15.75" customHeight="1">
      <c r="A25458" s="35"/>
      <c r="C25458" s="442"/>
      <c r="P25458" s="235"/>
      <c r="AI25458" s="38"/>
    </row>
    <row r="25459" ht="15.75" customHeight="1">
      <c r="A25459" s="35"/>
      <c r="C25459" s="442"/>
      <c r="P25459" s="235"/>
      <c r="AI25459" s="38"/>
    </row>
    <row r="25460" ht="15.75" customHeight="1">
      <c r="A25460" s="35"/>
      <c r="C25460" s="442"/>
      <c r="P25460" s="235"/>
      <c r="AI25460" s="38"/>
    </row>
    <row r="25461" ht="15.75" customHeight="1">
      <c r="A25461" s="35"/>
      <c r="C25461" s="442"/>
      <c r="P25461" s="235"/>
      <c r="AI25461" s="38"/>
    </row>
    <row r="25462" ht="15.75" customHeight="1">
      <c r="A25462" s="35"/>
      <c r="C25462" s="442"/>
      <c r="P25462" s="235"/>
      <c r="AI25462" s="38"/>
    </row>
    <row r="25463" ht="15.75" customHeight="1">
      <c r="A25463" s="35"/>
      <c r="C25463" s="442"/>
      <c r="P25463" s="235"/>
      <c r="AI25463" s="38"/>
    </row>
    <row r="25464" ht="15.75" customHeight="1">
      <c r="A25464" s="35"/>
      <c r="C25464" s="442"/>
      <c r="P25464" s="235"/>
      <c r="AI25464" s="38"/>
    </row>
    <row r="25465" ht="15.75" customHeight="1">
      <c r="A25465" s="35"/>
      <c r="C25465" s="442"/>
      <c r="P25465" s="235"/>
      <c r="AI25465" s="38"/>
    </row>
    <row r="25466" ht="15.75" customHeight="1">
      <c r="A25466" s="35"/>
      <c r="C25466" s="442"/>
      <c r="P25466" s="235"/>
      <c r="AI25466" s="38"/>
    </row>
    <row r="25467" ht="15.75" customHeight="1">
      <c r="A25467" s="35"/>
      <c r="C25467" s="442"/>
      <c r="P25467" s="235"/>
      <c r="AI25467" s="38"/>
    </row>
    <row r="25468" ht="15.75" customHeight="1">
      <c r="A25468" s="35"/>
      <c r="C25468" s="442"/>
      <c r="P25468" s="235"/>
      <c r="AI25468" s="38"/>
    </row>
    <row r="25469" ht="15.75" customHeight="1">
      <c r="A25469" s="35"/>
      <c r="C25469" s="442"/>
      <c r="P25469" s="235"/>
      <c r="AI25469" s="38"/>
    </row>
    <row r="25470" ht="15.75" customHeight="1">
      <c r="A25470" s="35"/>
      <c r="C25470" s="442"/>
      <c r="P25470" s="235"/>
      <c r="AI25470" s="38"/>
    </row>
    <row r="25471" ht="15.75" customHeight="1">
      <c r="A25471" s="35"/>
      <c r="C25471" s="442"/>
      <c r="P25471" s="235"/>
      <c r="AI25471" s="38"/>
    </row>
    <row r="25472" ht="15.75" customHeight="1">
      <c r="A25472" s="35"/>
      <c r="C25472" s="442"/>
      <c r="P25472" s="235"/>
      <c r="AI25472" s="38"/>
    </row>
    <row r="25473" ht="15.75" customHeight="1">
      <c r="A25473" s="35"/>
      <c r="C25473" s="442"/>
      <c r="P25473" s="235"/>
      <c r="AI25473" s="38"/>
    </row>
    <row r="25474" ht="15.75" customHeight="1">
      <c r="A25474" s="35"/>
      <c r="C25474" s="442"/>
      <c r="P25474" s="235"/>
      <c r="AI25474" s="38"/>
    </row>
    <row r="25475" ht="15.75" customHeight="1">
      <c r="A25475" s="35"/>
      <c r="C25475" s="442"/>
      <c r="P25475" s="235"/>
      <c r="AI25475" s="38"/>
    </row>
    <row r="25476" ht="15.75" customHeight="1">
      <c r="A25476" s="35"/>
      <c r="C25476" s="442"/>
      <c r="P25476" s="235"/>
      <c r="AI25476" s="38"/>
    </row>
    <row r="25477" ht="15.75" customHeight="1">
      <c r="A25477" s="35"/>
      <c r="C25477" s="442"/>
      <c r="P25477" s="235"/>
      <c r="AI25477" s="38"/>
    </row>
    <row r="25478" ht="15.75" customHeight="1">
      <c r="A25478" s="35"/>
      <c r="C25478" s="442"/>
      <c r="P25478" s="235"/>
      <c r="AI25478" s="38"/>
    </row>
    <row r="25479" ht="15.75" customHeight="1">
      <c r="A25479" s="35"/>
      <c r="C25479" s="442"/>
      <c r="P25479" s="235"/>
      <c r="AI25479" s="38"/>
    </row>
    <row r="25480" ht="15.75" customHeight="1">
      <c r="A25480" s="35"/>
      <c r="C25480" s="442"/>
      <c r="P25480" s="235"/>
      <c r="AI25480" s="38"/>
    </row>
    <row r="25481" ht="15.75" customHeight="1">
      <c r="A25481" s="35"/>
      <c r="C25481" s="442"/>
      <c r="P25481" s="235"/>
      <c r="AI25481" s="38"/>
    </row>
    <row r="25482" ht="15.75" customHeight="1">
      <c r="A25482" s="35"/>
      <c r="C25482" s="442"/>
      <c r="P25482" s="235"/>
      <c r="AI25482" s="38"/>
    </row>
    <row r="25483" ht="15.75" customHeight="1">
      <c r="A25483" s="35"/>
      <c r="C25483" s="442"/>
      <c r="P25483" s="235"/>
      <c r="AI25483" s="38"/>
    </row>
    <row r="25484" ht="15.75" customHeight="1">
      <c r="A25484" s="35"/>
      <c r="C25484" s="442"/>
      <c r="P25484" s="235"/>
      <c r="AI25484" s="38"/>
    </row>
    <row r="25485" ht="15.75" customHeight="1">
      <c r="A25485" s="35"/>
      <c r="C25485" s="442"/>
      <c r="P25485" s="235"/>
      <c r="AI25485" s="38"/>
    </row>
    <row r="25486" ht="15.75" customHeight="1">
      <c r="A25486" s="35"/>
      <c r="C25486" s="442"/>
      <c r="P25486" s="235"/>
      <c r="AI25486" s="38"/>
    </row>
    <row r="25487" ht="15.75" customHeight="1">
      <c r="A25487" s="35"/>
      <c r="C25487" s="442"/>
      <c r="P25487" s="235"/>
      <c r="AI25487" s="38"/>
    </row>
    <row r="25488" ht="15.75" customHeight="1">
      <c r="A25488" s="35"/>
      <c r="C25488" s="442"/>
      <c r="P25488" s="235"/>
      <c r="AI25488" s="38"/>
    </row>
    <row r="25489" ht="15.75" customHeight="1">
      <c r="A25489" s="35"/>
      <c r="C25489" s="442"/>
      <c r="P25489" s="235"/>
      <c r="AI25489" s="38"/>
    </row>
    <row r="25490" ht="15.75" customHeight="1">
      <c r="A25490" s="35"/>
      <c r="C25490" s="442"/>
      <c r="P25490" s="235"/>
      <c r="AI25490" s="38"/>
    </row>
    <row r="25491" ht="15.75" customHeight="1">
      <c r="A25491" s="35"/>
      <c r="C25491" s="442"/>
      <c r="P25491" s="235"/>
      <c r="AI25491" s="38"/>
    </row>
    <row r="25492" ht="15.75" customHeight="1">
      <c r="A25492" s="35"/>
      <c r="C25492" s="442"/>
      <c r="P25492" s="235"/>
      <c r="AI25492" s="38"/>
    </row>
    <row r="25493" ht="15.75" customHeight="1">
      <c r="A25493" s="35"/>
      <c r="C25493" s="442"/>
      <c r="P25493" s="235"/>
      <c r="AI25493" s="38"/>
    </row>
    <row r="25494" ht="15.75" customHeight="1">
      <c r="A25494" s="35"/>
      <c r="C25494" s="442"/>
      <c r="P25494" s="235"/>
      <c r="AI25494" s="38"/>
    </row>
    <row r="25495" ht="15.75" customHeight="1">
      <c r="A25495" s="35"/>
      <c r="C25495" s="442"/>
      <c r="P25495" s="235"/>
      <c r="AI25495" s="38"/>
    </row>
    <row r="25496" ht="15.75" customHeight="1">
      <c r="A25496" s="35"/>
      <c r="C25496" s="442"/>
      <c r="P25496" s="235"/>
      <c r="AI25496" s="38"/>
    </row>
    <row r="25497" ht="15.75" customHeight="1">
      <c r="A25497" s="35"/>
      <c r="C25497" s="442"/>
      <c r="P25497" s="235"/>
      <c r="AI25497" s="38"/>
    </row>
    <row r="25498" ht="15.75" customHeight="1">
      <c r="A25498" s="35"/>
      <c r="C25498" s="442"/>
      <c r="P25498" s="235"/>
      <c r="AI25498" s="38"/>
    </row>
    <row r="25499" ht="15.75" customHeight="1">
      <c r="A25499" s="35"/>
      <c r="C25499" s="442"/>
      <c r="P25499" s="235"/>
      <c r="AI25499" s="38"/>
    </row>
    <row r="25500" ht="15.75" customHeight="1">
      <c r="A25500" s="35"/>
      <c r="C25500" s="442"/>
      <c r="P25500" s="235"/>
      <c r="AI25500" s="38"/>
    </row>
    <row r="25501" ht="15.75" customHeight="1">
      <c r="A25501" s="35"/>
      <c r="C25501" s="442"/>
      <c r="P25501" s="235"/>
      <c r="AI25501" s="38"/>
    </row>
    <row r="25502" ht="15.75" customHeight="1">
      <c r="A25502" s="35"/>
      <c r="C25502" s="442"/>
      <c r="P25502" s="235"/>
      <c r="AI25502" s="38"/>
    </row>
    <row r="25503" ht="15.75" customHeight="1">
      <c r="A25503" s="35"/>
      <c r="C25503" s="442"/>
      <c r="P25503" s="235"/>
      <c r="AI25503" s="38"/>
    </row>
    <row r="25504" ht="15.75" customHeight="1">
      <c r="A25504" s="35"/>
      <c r="C25504" s="442"/>
      <c r="P25504" s="235"/>
      <c r="AI25504" s="38"/>
    </row>
    <row r="25505" ht="15.75" customHeight="1">
      <c r="A25505" s="35"/>
      <c r="C25505" s="442"/>
      <c r="P25505" s="235"/>
      <c r="AI25505" s="38"/>
    </row>
    <row r="25506" ht="15.75" customHeight="1">
      <c r="A25506" s="35"/>
      <c r="C25506" s="442"/>
      <c r="P25506" s="235"/>
      <c r="AI25506" s="38"/>
    </row>
    <row r="25507" ht="15.75" customHeight="1">
      <c r="A25507" s="35"/>
      <c r="C25507" s="442"/>
      <c r="P25507" s="235"/>
      <c r="AI25507" s="38"/>
    </row>
    <row r="25508" ht="15.75" customHeight="1">
      <c r="A25508" s="35"/>
      <c r="C25508" s="442"/>
      <c r="P25508" s="235"/>
      <c r="AI25508" s="38"/>
    </row>
    <row r="25509" ht="15.75" customHeight="1">
      <c r="A25509" s="35"/>
      <c r="C25509" s="442"/>
      <c r="P25509" s="235"/>
      <c r="AI25509" s="38"/>
    </row>
    <row r="25510" ht="15.75" customHeight="1">
      <c r="A25510" s="35"/>
      <c r="C25510" s="442"/>
      <c r="P25510" s="235"/>
      <c r="AI25510" s="38"/>
    </row>
    <row r="25511" ht="15.75" customHeight="1">
      <c r="A25511" s="35"/>
      <c r="C25511" s="442"/>
      <c r="P25511" s="235"/>
      <c r="AI25511" s="38"/>
    </row>
    <row r="25512" ht="15.75" customHeight="1">
      <c r="A25512" s="35"/>
      <c r="C25512" s="442"/>
      <c r="P25512" s="235"/>
      <c r="AI25512" s="38"/>
    </row>
    <row r="25513" ht="15.75" customHeight="1">
      <c r="A25513" s="35"/>
      <c r="C25513" s="442"/>
      <c r="P25513" s="235"/>
      <c r="AI25513" s="38"/>
    </row>
    <row r="25514" ht="15.75" customHeight="1">
      <c r="A25514" s="35"/>
      <c r="C25514" s="442"/>
      <c r="P25514" s="235"/>
      <c r="AI25514" s="38"/>
    </row>
    <row r="25515" ht="15.75" customHeight="1">
      <c r="A25515" s="35"/>
      <c r="C25515" s="442"/>
      <c r="P25515" s="235"/>
      <c r="AI25515" s="38"/>
    </row>
    <row r="25516" ht="15.75" customHeight="1">
      <c r="A25516" s="35"/>
      <c r="C25516" s="442"/>
      <c r="P25516" s="235"/>
      <c r="AI25516" s="38"/>
    </row>
    <row r="25517" ht="15.75" customHeight="1">
      <c r="A25517" s="35"/>
      <c r="C25517" s="442"/>
      <c r="P25517" s="235"/>
      <c r="AI25517" s="38"/>
    </row>
    <row r="25518" ht="15.75" customHeight="1">
      <c r="A25518" s="35"/>
      <c r="C25518" s="442"/>
      <c r="P25518" s="235"/>
      <c r="AI25518" s="38"/>
    </row>
    <row r="25519" ht="15.75" customHeight="1">
      <c r="A25519" s="35"/>
      <c r="C25519" s="442"/>
      <c r="P25519" s="235"/>
      <c r="AI25519" s="38"/>
    </row>
    <row r="25520" ht="15.75" customHeight="1">
      <c r="A25520" s="35"/>
      <c r="C25520" s="442"/>
      <c r="P25520" s="235"/>
      <c r="AI25520" s="38"/>
    </row>
    <row r="25521" ht="15.75" customHeight="1">
      <c r="A25521" s="35"/>
      <c r="C25521" s="442"/>
      <c r="P25521" s="235"/>
      <c r="AI25521" s="38"/>
    </row>
    <row r="25522" ht="15.75" customHeight="1">
      <c r="A25522" s="35"/>
      <c r="C25522" s="442"/>
      <c r="P25522" s="235"/>
      <c r="AI25522" s="38"/>
    </row>
    <row r="25523" ht="15.75" customHeight="1">
      <c r="A25523" s="35"/>
      <c r="C25523" s="442"/>
      <c r="P25523" s="235"/>
      <c r="AI25523" s="38"/>
    </row>
    <row r="25524" ht="15.75" customHeight="1">
      <c r="A25524" s="35"/>
      <c r="C25524" s="442"/>
      <c r="P25524" s="235"/>
      <c r="AI25524" s="38"/>
    </row>
    <row r="25525" ht="15.75" customHeight="1">
      <c r="A25525" s="35"/>
      <c r="C25525" s="442"/>
      <c r="P25525" s="235"/>
      <c r="AI25525" s="38"/>
    </row>
    <row r="25526" ht="15.75" customHeight="1">
      <c r="A25526" s="35"/>
      <c r="C25526" s="442"/>
      <c r="P25526" s="235"/>
      <c r="AI25526" s="38"/>
    </row>
    <row r="25527" ht="15.75" customHeight="1">
      <c r="A25527" s="35"/>
      <c r="C25527" s="442"/>
      <c r="P25527" s="235"/>
      <c r="AI25527" s="38"/>
    </row>
    <row r="25528" ht="15.75" customHeight="1">
      <c r="A25528" s="35"/>
      <c r="C25528" s="442"/>
      <c r="P25528" s="235"/>
      <c r="AI25528" s="38"/>
    </row>
    <row r="25529" ht="15.75" customHeight="1">
      <c r="A25529" s="35"/>
      <c r="C25529" s="442"/>
      <c r="P25529" s="235"/>
      <c r="AI25529" s="38"/>
    </row>
    <row r="25530" ht="15.75" customHeight="1">
      <c r="A25530" s="35"/>
      <c r="C25530" s="442"/>
      <c r="P25530" s="235"/>
      <c r="AI25530" s="38"/>
    </row>
    <row r="25531" ht="15.75" customHeight="1">
      <c r="A25531" s="35"/>
      <c r="C25531" s="442"/>
      <c r="P25531" s="235"/>
      <c r="AI25531" s="38"/>
    </row>
    <row r="25532" ht="15.75" customHeight="1">
      <c r="A25532" s="35"/>
      <c r="C25532" s="442"/>
      <c r="P25532" s="235"/>
      <c r="AI25532" s="38"/>
    </row>
    <row r="25533" ht="15.75" customHeight="1">
      <c r="A25533" s="35"/>
      <c r="C25533" s="442"/>
      <c r="P25533" s="235"/>
      <c r="AI25533" s="38"/>
    </row>
    <row r="25534" ht="15.75" customHeight="1">
      <c r="A25534" s="35"/>
      <c r="C25534" s="442"/>
      <c r="P25534" s="235"/>
      <c r="AI25534" s="38"/>
    </row>
    <row r="25535" ht="15.75" customHeight="1">
      <c r="A25535" s="35"/>
      <c r="C25535" s="442"/>
      <c r="P25535" s="235"/>
      <c r="AI25535" s="38"/>
    </row>
    <row r="25536" ht="15.75" customHeight="1">
      <c r="A25536" s="35"/>
      <c r="C25536" s="442"/>
      <c r="P25536" s="235"/>
      <c r="AI25536" s="38"/>
    </row>
    <row r="25537" ht="15.75" customHeight="1">
      <c r="A25537" s="35"/>
      <c r="C25537" s="442"/>
      <c r="P25537" s="235"/>
      <c r="AI25537" s="38"/>
    </row>
    <row r="25538" ht="15.75" customHeight="1">
      <c r="A25538" s="35"/>
      <c r="C25538" s="442"/>
      <c r="P25538" s="235"/>
      <c r="AI25538" s="38"/>
    </row>
    <row r="25539" ht="15.75" customHeight="1">
      <c r="A25539" s="35"/>
      <c r="C25539" s="442"/>
      <c r="P25539" s="235"/>
      <c r="AI25539" s="38"/>
    </row>
    <row r="25540" ht="15.75" customHeight="1">
      <c r="A25540" s="35"/>
      <c r="C25540" s="442"/>
      <c r="P25540" s="235"/>
      <c r="AI25540" s="38"/>
    </row>
    <row r="25541" ht="15.75" customHeight="1">
      <c r="A25541" s="35"/>
      <c r="C25541" s="442"/>
      <c r="P25541" s="235"/>
      <c r="AI25541" s="38"/>
    </row>
    <row r="25542" ht="15.75" customHeight="1">
      <c r="A25542" s="35"/>
      <c r="C25542" s="442"/>
      <c r="P25542" s="235"/>
      <c r="AI25542" s="38"/>
    </row>
    <row r="25543" ht="15.75" customHeight="1">
      <c r="A25543" s="35"/>
      <c r="C25543" s="442"/>
      <c r="P25543" s="235"/>
      <c r="AI25543" s="38"/>
    </row>
    <row r="25544" ht="15.75" customHeight="1">
      <c r="A25544" s="35"/>
      <c r="C25544" s="442"/>
      <c r="P25544" s="235"/>
      <c r="AI25544" s="38"/>
    </row>
    <row r="25545" ht="15.75" customHeight="1">
      <c r="A25545" s="35"/>
      <c r="C25545" s="442"/>
      <c r="P25545" s="235"/>
      <c r="AI25545" s="38"/>
    </row>
    <row r="25546" ht="15.75" customHeight="1">
      <c r="A25546" s="35"/>
      <c r="C25546" s="442"/>
      <c r="P25546" s="235"/>
      <c r="AI25546" s="38"/>
    </row>
    <row r="25547" ht="15.75" customHeight="1">
      <c r="A25547" s="35"/>
      <c r="C25547" s="442"/>
      <c r="P25547" s="235"/>
      <c r="AI25547" s="38"/>
    </row>
    <row r="25548" ht="15.75" customHeight="1">
      <c r="A25548" s="35"/>
      <c r="C25548" s="442"/>
      <c r="P25548" s="235"/>
      <c r="AI25548" s="38"/>
    </row>
    <row r="25549" ht="15.75" customHeight="1">
      <c r="A25549" s="35"/>
      <c r="C25549" s="442"/>
      <c r="P25549" s="235"/>
      <c r="AI25549" s="38"/>
    </row>
    <row r="25550" ht="15.75" customHeight="1">
      <c r="A25550" s="35"/>
      <c r="C25550" s="442"/>
      <c r="P25550" s="235"/>
      <c r="AI25550" s="38"/>
    </row>
    <row r="25551" ht="15.75" customHeight="1">
      <c r="A25551" s="35"/>
      <c r="C25551" s="442"/>
      <c r="P25551" s="235"/>
      <c r="AI25551" s="38"/>
    </row>
    <row r="25552" ht="15.75" customHeight="1">
      <c r="A25552" s="35"/>
      <c r="C25552" s="442"/>
      <c r="P25552" s="235"/>
      <c r="AI25552" s="38"/>
    </row>
    <row r="25553" ht="15.75" customHeight="1">
      <c r="A25553" s="35"/>
      <c r="C25553" s="442"/>
      <c r="P25553" s="235"/>
      <c r="AI25553" s="38"/>
    </row>
    <row r="25554" ht="15.75" customHeight="1">
      <c r="A25554" s="35"/>
      <c r="C25554" s="442"/>
      <c r="P25554" s="235"/>
      <c r="AI25554" s="38"/>
    </row>
    <row r="25555" ht="15.75" customHeight="1">
      <c r="A25555" s="35"/>
      <c r="C25555" s="442"/>
      <c r="P25555" s="235"/>
      <c r="AI25555" s="38"/>
    </row>
    <row r="25556" ht="15.75" customHeight="1">
      <c r="A25556" s="35"/>
      <c r="C25556" s="442"/>
      <c r="P25556" s="235"/>
      <c r="AI25556" s="38"/>
    </row>
    <row r="25557" ht="15.75" customHeight="1">
      <c r="A25557" s="35"/>
      <c r="C25557" s="442"/>
      <c r="P25557" s="235"/>
      <c r="AI25557" s="38"/>
    </row>
    <row r="25558" ht="15.75" customHeight="1">
      <c r="A25558" s="35"/>
      <c r="C25558" s="442"/>
      <c r="P25558" s="235"/>
      <c r="AI25558" s="38"/>
    </row>
    <row r="25559" ht="15.75" customHeight="1">
      <c r="A25559" s="35"/>
      <c r="C25559" s="442"/>
      <c r="P25559" s="235"/>
      <c r="AI25559" s="38"/>
    </row>
    <row r="25560" ht="15.75" customHeight="1">
      <c r="A25560" s="35"/>
      <c r="C25560" s="442"/>
      <c r="P25560" s="235"/>
      <c r="AI25560" s="38"/>
    </row>
    <row r="25561" ht="15.75" customHeight="1">
      <c r="A25561" s="35"/>
      <c r="C25561" s="442"/>
      <c r="P25561" s="235"/>
      <c r="AI25561" s="38"/>
    </row>
    <row r="25562" ht="15.75" customHeight="1">
      <c r="A25562" s="35"/>
      <c r="C25562" s="442"/>
      <c r="P25562" s="235"/>
      <c r="AI25562" s="38"/>
    </row>
    <row r="25563" ht="15.75" customHeight="1">
      <c r="A25563" s="35"/>
      <c r="C25563" s="442"/>
      <c r="P25563" s="235"/>
      <c r="AI25563" s="38"/>
    </row>
    <row r="25564" ht="15.75" customHeight="1">
      <c r="A25564" s="35"/>
      <c r="C25564" s="442"/>
      <c r="P25564" s="235"/>
      <c r="AI25564" s="38"/>
    </row>
    <row r="25565" ht="15.75" customHeight="1">
      <c r="A25565" s="35"/>
      <c r="C25565" s="442"/>
      <c r="P25565" s="235"/>
      <c r="AI25565" s="38"/>
    </row>
    <row r="25566" ht="15.75" customHeight="1">
      <c r="A25566" s="35"/>
      <c r="C25566" s="442"/>
      <c r="P25566" s="235"/>
      <c r="AI25566" s="38"/>
    </row>
    <row r="25567" ht="15.75" customHeight="1">
      <c r="A25567" s="35"/>
      <c r="C25567" s="442"/>
      <c r="P25567" s="235"/>
      <c r="AI25567" s="38"/>
    </row>
    <row r="25568" ht="15.75" customHeight="1">
      <c r="A25568" s="35"/>
      <c r="C25568" s="442"/>
      <c r="P25568" s="235"/>
      <c r="AI25568" s="38"/>
    </row>
    <row r="25569" ht="15.75" customHeight="1">
      <c r="A25569" s="35"/>
      <c r="C25569" s="442"/>
      <c r="P25569" s="235"/>
      <c r="AI25569" s="38"/>
    </row>
    <row r="25570" ht="15.75" customHeight="1">
      <c r="A25570" s="35"/>
      <c r="C25570" s="442"/>
      <c r="P25570" s="235"/>
      <c r="AI25570" s="38"/>
    </row>
    <row r="25571" ht="15.75" customHeight="1">
      <c r="A25571" s="35"/>
      <c r="C25571" s="442"/>
      <c r="P25571" s="235"/>
      <c r="AI25571" s="38"/>
    </row>
    <row r="25572" ht="15.75" customHeight="1">
      <c r="A25572" s="35"/>
      <c r="C25572" s="442"/>
      <c r="P25572" s="235"/>
      <c r="AI25572" s="38"/>
    </row>
    <row r="25573" ht="15.75" customHeight="1">
      <c r="A25573" s="35"/>
      <c r="C25573" s="442"/>
      <c r="P25573" s="235"/>
      <c r="AI25573" s="38"/>
    </row>
    <row r="25574" ht="15.75" customHeight="1">
      <c r="A25574" s="35"/>
      <c r="C25574" s="442"/>
      <c r="P25574" s="235"/>
      <c r="AI25574" s="38"/>
    </row>
    <row r="25575" ht="15.75" customHeight="1">
      <c r="A25575" s="35"/>
      <c r="C25575" s="442"/>
      <c r="P25575" s="235"/>
      <c r="AI25575" s="38"/>
    </row>
    <row r="25576" ht="15.75" customHeight="1">
      <c r="A25576" s="35"/>
      <c r="C25576" s="442"/>
      <c r="P25576" s="235"/>
      <c r="AI25576" s="38"/>
    </row>
    <row r="25577" ht="15.75" customHeight="1">
      <c r="A25577" s="35"/>
      <c r="C25577" s="442"/>
      <c r="P25577" s="235"/>
      <c r="AI25577" s="38"/>
    </row>
    <row r="25578" ht="15.75" customHeight="1">
      <c r="A25578" s="35"/>
      <c r="C25578" s="442"/>
      <c r="P25578" s="235"/>
      <c r="AI25578" s="38"/>
    </row>
    <row r="25579" ht="15.75" customHeight="1">
      <c r="A25579" s="35"/>
      <c r="C25579" s="442"/>
      <c r="P25579" s="235"/>
      <c r="AI25579" s="38"/>
    </row>
    <row r="25580" ht="15.75" customHeight="1">
      <c r="A25580" s="35"/>
      <c r="C25580" s="442"/>
      <c r="P25580" s="235"/>
      <c r="AI25580" s="38"/>
    </row>
    <row r="25581" ht="15.75" customHeight="1">
      <c r="A25581" s="35"/>
      <c r="C25581" s="442"/>
      <c r="P25581" s="235"/>
      <c r="AI25581" s="38"/>
    </row>
    <row r="25582" ht="15.75" customHeight="1">
      <c r="A25582" s="35"/>
      <c r="C25582" s="442"/>
      <c r="P25582" s="235"/>
      <c r="AI25582" s="38"/>
    </row>
    <row r="25583" ht="15.75" customHeight="1">
      <c r="A25583" s="35"/>
      <c r="C25583" s="442"/>
      <c r="P25583" s="235"/>
      <c r="AI25583" s="38"/>
    </row>
    <row r="25584" ht="15.75" customHeight="1">
      <c r="A25584" s="35"/>
      <c r="C25584" s="442"/>
      <c r="P25584" s="235"/>
      <c r="AI25584" s="38"/>
    </row>
    <row r="25585" ht="15.75" customHeight="1">
      <c r="A25585" s="35"/>
      <c r="C25585" s="442"/>
      <c r="P25585" s="235"/>
      <c r="AI25585" s="38"/>
    </row>
    <row r="25586" ht="15.75" customHeight="1">
      <c r="A25586" s="35"/>
      <c r="C25586" s="442"/>
      <c r="P25586" s="235"/>
      <c r="AI25586" s="38"/>
    </row>
    <row r="25587" ht="15.75" customHeight="1">
      <c r="A25587" s="35"/>
      <c r="C25587" s="442"/>
      <c r="P25587" s="235"/>
      <c r="AI25587" s="38"/>
    </row>
    <row r="25588" ht="15.75" customHeight="1">
      <c r="A25588" s="35"/>
      <c r="C25588" s="442"/>
      <c r="P25588" s="235"/>
      <c r="AI25588" s="38"/>
    </row>
    <row r="25589" ht="15.75" customHeight="1">
      <c r="A25589" s="35"/>
      <c r="C25589" s="442"/>
      <c r="P25589" s="235"/>
      <c r="AI25589" s="38"/>
    </row>
    <row r="25590" ht="15.75" customHeight="1">
      <c r="A25590" s="35"/>
      <c r="C25590" s="442"/>
      <c r="P25590" s="235"/>
      <c r="AI25590" s="38"/>
    </row>
    <row r="25591" ht="15.75" customHeight="1">
      <c r="A25591" s="35"/>
      <c r="C25591" s="442"/>
      <c r="P25591" s="235"/>
      <c r="AI25591" s="38"/>
    </row>
    <row r="25592" ht="15.75" customHeight="1">
      <c r="A25592" s="35"/>
      <c r="C25592" s="442"/>
      <c r="P25592" s="235"/>
      <c r="AI25592" s="38"/>
    </row>
    <row r="25593" ht="15.75" customHeight="1">
      <c r="A25593" s="35"/>
      <c r="C25593" s="442"/>
      <c r="P25593" s="235"/>
      <c r="AI25593" s="38"/>
    </row>
    <row r="25594" ht="15.75" customHeight="1">
      <c r="A25594" s="35"/>
      <c r="C25594" s="442"/>
      <c r="P25594" s="235"/>
      <c r="AI25594" s="38"/>
    </row>
    <row r="25595" ht="15.75" customHeight="1">
      <c r="A25595" s="35"/>
      <c r="C25595" s="442"/>
      <c r="P25595" s="235"/>
      <c r="AI25595" s="38"/>
    </row>
    <row r="25596" ht="15.75" customHeight="1">
      <c r="A25596" s="35"/>
      <c r="C25596" s="442"/>
      <c r="P25596" s="235"/>
      <c r="AI25596" s="38"/>
    </row>
    <row r="25597" ht="15.75" customHeight="1">
      <c r="A25597" s="35"/>
      <c r="C25597" s="442"/>
      <c r="P25597" s="235"/>
      <c r="AI25597" s="38"/>
    </row>
    <row r="25598" ht="15.75" customHeight="1">
      <c r="A25598" s="35"/>
      <c r="C25598" s="442"/>
      <c r="P25598" s="235"/>
      <c r="AI25598" s="38"/>
    </row>
    <row r="25599" ht="15.75" customHeight="1">
      <c r="A25599" s="35"/>
      <c r="C25599" s="442"/>
      <c r="P25599" s="235"/>
      <c r="AI25599" s="38"/>
    </row>
    <row r="25600" ht="15.75" customHeight="1">
      <c r="A25600" s="35"/>
      <c r="C25600" s="442"/>
      <c r="P25600" s="235"/>
      <c r="AI25600" s="38"/>
    </row>
    <row r="25601" ht="15.75" customHeight="1">
      <c r="A25601" s="35"/>
      <c r="C25601" s="442"/>
      <c r="P25601" s="235"/>
      <c r="AI25601" s="38"/>
    </row>
    <row r="25602" ht="15.75" customHeight="1">
      <c r="A25602" s="35"/>
      <c r="C25602" s="442"/>
      <c r="P25602" s="235"/>
      <c r="AI25602" s="38"/>
    </row>
    <row r="25603" ht="15.75" customHeight="1">
      <c r="A25603" s="35"/>
      <c r="C25603" s="442"/>
      <c r="P25603" s="235"/>
      <c r="AI25603" s="38"/>
    </row>
    <row r="25604" ht="15.75" customHeight="1">
      <c r="A25604" s="35"/>
      <c r="C25604" s="442"/>
      <c r="P25604" s="235"/>
      <c r="AI25604" s="38"/>
    </row>
    <row r="25605" ht="15.75" customHeight="1">
      <c r="A25605" s="35"/>
      <c r="C25605" s="442"/>
      <c r="P25605" s="235"/>
      <c r="AI25605" s="38"/>
    </row>
    <row r="25606" ht="15.75" customHeight="1">
      <c r="A25606" s="35"/>
      <c r="C25606" s="442"/>
      <c r="P25606" s="235"/>
      <c r="AI25606" s="38"/>
    </row>
    <row r="25607" ht="15.75" customHeight="1">
      <c r="A25607" s="35"/>
      <c r="C25607" s="442"/>
      <c r="P25607" s="235"/>
      <c r="AI25607" s="38"/>
    </row>
    <row r="25608" ht="15.75" customHeight="1">
      <c r="A25608" s="35"/>
      <c r="C25608" s="442"/>
      <c r="P25608" s="235"/>
      <c r="AI25608" s="38"/>
    </row>
    <row r="25609" ht="15.75" customHeight="1">
      <c r="A25609" s="35"/>
      <c r="C25609" s="442"/>
      <c r="P25609" s="235"/>
      <c r="AI25609" s="38"/>
    </row>
    <row r="25610" ht="15.75" customHeight="1">
      <c r="A25610" s="35"/>
      <c r="C25610" s="442"/>
      <c r="P25610" s="235"/>
      <c r="AI25610" s="38"/>
    </row>
    <row r="25611" ht="15.75" customHeight="1">
      <c r="A25611" s="35"/>
      <c r="C25611" s="442"/>
      <c r="P25611" s="235"/>
      <c r="AI25611" s="38"/>
    </row>
    <row r="25612" ht="15.75" customHeight="1">
      <c r="A25612" s="35"/>
      <c r="C25612" s="442"/>
      <c r="P25612" s="235"/>
      <c r="AI25612" s="38"/>
    </row>
    <row r="25613" ht="15.75" customHeight="1">
      <c r="A25613" s="35"/>
      <c r="C25613" s="442"/>
      <c r="P25613" s="235"/>
      <c r="AI25613" s="38"/>
    </row>
    <row r="25614" ht="15.75" customHeight="1">
      <c r="A25614" s="35"/>
      <c r="C25614" s="442"/>
      <c r="P25614" s="235"/>
      <c r="AI25614" s="38"/>
    </row>
    <row r="25615" ht="15.75" customHeight="1">
      <c r="A25615" s="35"/>
      <c r="C25615" s="442"/>
      <c r="P25615" s="235"/>
      <c r="AI25615" s="38"/>
    </row>
    <row r="25616" ht="15.75" customHeight="1">
      <c r="A25616" s="35"/>
      <c r="C25616" s="442"/>
      <c r="P25616" s="235"/>
      <c r="AI25616" s="38"/>
    </row>
    <row r="25617" ht="15.75" customHeight="1">
      <c r="A25617" s="35"/>
      <c r="C25617" s="442"/>
      <c r="P25617" s="235"/>
      <c r="AI25617" s="38"/>
    </row>
    <row r="25618" ht="15.75" customHeight="1">
      <c r="A25618" s="35"/>
      <c r="C25618" s="442"/>
      <c r="P25618" s="235"/>
      <c r="AI25618" s="38"/>
    </row>
    <row r="25619" ht="15.75" customHeight="1">
      <c r="A25619" s="35"/>
      <c r="C25619" s="442"/>
      <c r="P25619" s="235"/>
      <c r="AI25619" s="38"/>
    </row>
    <row r="25620" ht="15.75" customHeight="1">
      <c r="A25620" s="35"/>
      <c r="C25620" s="442"/>
      <c r="P25620" s="235"/>
      <c r="AI25620" s="38"/>
    </row>
    <row r="25621" ht="15.75" customHeight="1">
      <c r="A25621" s="35"/>
      <c r="C25621" s="442"/>
      <c r="P25621" s="235"/>
      <c r="AI25621" s="38"/>
    </row>
    <row r="25622" ht="15.75" customHeight="1">
      <c r="A25622" s="35"/>
      <c r="C25622" s="442"/>
      <c r="P25622" s="235"/>
      <c r="AI25622" s="38"/>
    </row>
    <row r="25623" ht="15.75" customHeight="1">
      <c r="A25623" s="35"/>
      <c r="C25623" s="442"/>
      <c r="P25623" s="235"/>
      <c r="AI25623" s="38"/>
    </row>
    <row r="25624" ht="15.75" customHeight="1">
      <c r="A25624" s="35"/>
      <c r="C25624" s="442"/>
      <c r="P25624" s="235"/>
      <c r="AI25624" s="38"/>
    </row>
    <row r="25625" ht="15.75" customHeight="1">
      <c r="A25625" s="35"/>
      <c r="C25625" s="442"/>
      <c r="P25625" s="235"/>
      <c r="AI25625" s="38"/>
    </row>
    <row r="25626" ht="15.75" customHeight="1">
      <c r="A25626" s="35"/>
      <c r="C25626" s="442"/>
      <c r="P25626" s="235"/>
      <c r="AI25626" s="38"/>
    </row>
    <row r="25627" ht="15.75" customHeight="1">
      <c r="A25627" s="35"/>
      <c r="C25627" s="442"/>
      <c r="P25627" s="235"/>
      <c r="AI25627" s="38"/>
    </row>
    <row r="25628" ht="15.75" customHeight="1">
      <c r="A25628" s="35"/>
      <c r="C25628" s="442"/>
      <c r="P25628" s="235"/>
      <c r="AI25628" s="38"/>
    </row>
    <row r="25629" ht="15.75" customHeight="1">
      <c r="A25629" s="35"/>
      <c r="C25629" s="442"/>
      <c r="P25629" s="235"/>
      <c r="AI25629" s="38"/>
    </row>
    <row r="25630" ht="15.75" customHeight="1">
      <c r="A25630" s="35"/>
      <c r="C25630" s="442"/>
      <c r="P25630" s="235"/>
      <c r="AI25630" s="38"/>
    </row>
    <row r="25631" ht="15.75" customHeight="1">
      <c r="A25631" s="35"/>
      <c r="C25631" s="442"/>
      <c r="P25631" s="235"/>
      <c r="AI25631" s="38"/>
    </row>
    <row r="25632" ht="15.75" customHeight="1">
      <c r="A25632" s="35"/>
      <c r="C25632" s="442"/>
      <c r="P25632" s="235"/>
      <c r="AI25632" s="38"/>
    </row>
    <row r="25633" ht="15.75" customHeight="1">
      <c r="A25633" s="35"/>
      <c r="C25633" s="442"/>
      <c r="P25633" s="235"/>
      <c r="AI25633" s="38"/>
    </row>
    <row r="25634" ht="15.75" customHeight="1">
      <c r="A25634" s="35"/>
      <c r="C25634" s="442"/>
      <c r="P25634" s="235"/>
      <c r="AI25634" s="38"/>
    </row>
    <row r="25635" ht="15.75" customHeight="1">
      <c r="A25635" s="35"/>
      <c r="C25635" s="442"/>
      <c r="P25635" s="235"/>
      <c r="AI25635" s="38"/>
    </row>
    <row r="25636" ht="15.75" customHeight="1">
      <c r="A25636" s="35"/>
      <c r="C25636" s="442"/>
      <c r="P25636" s="235"/>
      <c r="AI25636" s="38"/>
    </row>
    <row r="25637" ht="15.75" customHeight="1">
      <c r="A25637" s="35"/>
      <c r="C25637" s="442"/>
      <c r="P25637" s="235"/>
      <c r="AI25637" s="38"/>
    </row>
    <row r="25638" ht="15.75" customHeight="1">
      <c r="A25638" s="35"/>
      <c r="C25638" s="442"/>
      <c r="P25638" s="235"/>
      <c r="AI25638" s="38"/>
    </row>
    <row r="25639" ht="15.75" customHeight="1">
      <c r="A25639" s="35"/>
      <c r="C25639" s="442"/>
      <c r="P25639" s="235"/>
      <c r="AI25639" s="38"/>
    </row>
    <row r="25640" ht="15.75" customHeight="1">
      <c r="A25640" s="35"/>
      <c r="C25640" s="442"/>
      <c r="P25640" s="235"/>
      <c r="AI25640" s="38"/>
    </row>
    <row r="25641" ht="15.75" customHeight="1">
      <c r="A25641" s="35"/>
      <c r="C25641" s="442"/>
      <c r="P25641" s="235"/>
      <c r="AI25641" s="38"/>
    </row>
    <row r="25642" ht="15.75" customHeight="1">
      <c r="A25642" s="35"/>
      <c r="C25642" s="442"/>
      <c r="P25642" s="235"/>
      <c r="AI25642" s="38"/>
    </row>
    <row r="25643" ht="15.75" customHeight="1">
      <c r="A25643" s="35"/>
      <c r="C25643" s="442"/>
      <c r="P25643" s="235"/>
      <c r="AI25643" s="38"/>
    </row>
    <row r="25644" ht="15.75" customHeight="1">
      <c r="A25644" s="35"/>
      <c r="C25644" s="442"/>
      <c r="P25644" s="235"/>
      <c r="AI25644" s="38"/>
    </row>
    <row r="25645" ht="15.75" customHeight="1">
      <c r="A25645" s="35"/>
      <c r="C25645" s="442"/>
      <c r="P25645" s="235"/>
      <c r="AI25645" s="38"/>
    </row>
    <row r="25646" ht="15.75" customHeight="1">
      <c r="A25646" s="35"/>
      <c r="C25646" s="442"/>
      <c r="P25646" s="235"/>
      <c r="AI25646" s="38"/>
    </row>
    <row r="25647" ht="15.75" customHeight="1">
      <c r="A25647" s="35"/>
      <c r="C25647" s="442"/>
      <c r="P25647" s="235"/>
      <c r="AI25647" s="38"/>
    </row>
    <row r="25648" ht="15.75" customHeight="1">
      <c r="A25648" s="35"/>
      <c r="C25648" s="442"/>
      <c r="P25648" s="235"/>
      <c r="AI25648" s="38"/>
    </row>
    <row r="25649" ht="15.75" customHeight="1">
      <c r="A25649" s="35"/>
      <c r="C25649" s="442"/>
      <c r="P25649" s="235"/>
      <c r="AI25649" s="38"/>
    </row>
    <row r="25650" ht="15.75" customHeight="1">
      <c r="A25650" s="35"/>
      <c r="C25650" s="442"/>
      <c r="P25650" s="235"/>
      <c r="AI25650" s="38"/>
    </row>
    <row r="25651" ht="15.75" customHeight="1">
      <c r="A25651" s="35"/>
      <c r="C25651" s="442"/>
      <c r="P25651" s="235"/>
      <c r="AI25651" s="38"/>
    </row>
    <row r="25652" ht="15.75" customHeight="1">
      <c r="A25652" s="35"/>
      <c r="C25652" s="442"/>
      <c r="P25652" s="235"/>
      <c r="AI25652" s="38"/>
    </row>
    <row r="25653" ht="15.75" customHeight="1">
      <c r="A25653" s="35"/>
      <c r="C25653" s="442"/>
      <c r="P25653" s="235"/>
      <c r="AI25653" s="38"/>
    </row>
    <row r="25654" ht="15.75" customHeight="1">
      <c r="A25654" s="35"/>
      <c r="C25654" s="442"/>
      <c r="P25654" s="235"/>
      <c r="AI25654" s="38"/>
    </row>
    <row r="25655" ht="15.75" customHeight="1">
      <c r="A25655" s="35"/>
      <c r="C25655" s="442"/>
      <c r="P25655" s="235"/>
      <c r="AI25655" s="38"/>
    </row>
    <row r="25656" ht="15.75" customHeight="1">
      <c r="A25656" s="35"/>
      <c r="C25656" s="442"/>
      <c r="P25656" s="235"/>
      <c r="AI25656" s="38"/>
    </row>
    <row r="25657" ht="15.75" customHeight="1">
      <c r="A25657" s="35"/>
      <c r="C25657" s="442"/>
      <c r="P25657" s="235"/>
      <c r="AI25657" s="38"/>
    </row>
    <row r="25658" ht="15.75" customHeight="1">
      <c r="A25658" s="35"/>
      <c r="C25658" s="442"/>
      <c r="P25658" s="235"/>
      <c r="AI25658" s="38"/>
    </row>
    <row r="25659" ht="15.75" customHeight="1">
      <c r="A25659" s="35"/>
      <c r="C25659" s="442"/>
      <c r="P25659" s="235"/>
      <c r="AI25659" s="38"/>
    </row>
    <row r="25660" ht="15.75" customHeight="1">
      <c r="A25660" s="35"/>
      <c r="C25660" s="442"/>
      <c r="P25660" s="235"/>
      <c r="AI25660" s="38"/>
    </row>
    <row r="25661" ht="15.75" customHeight="1">
      <c r="A25661" s="35"/>
      <c r="C25661" s="442"/>
      <c r="P25661" s="235"/>
      <c r="AI25661" s="38"/>
    </row>
    <row r="25662" ht="15.75" customHeight="1">
      <c r="A25662" s="35"/>
      <c r="C25662" s="442"/>
      <c r="P25662" s="235"/>
      <c r="AI25662" s="38"/>
    </row>
    <row r="25663" ht="15.75" customHeight="1">
      <c r="A25663" s="35"/>
      <c r="C25663" s="442"/>
      <c r="P25663" s="235"/>
      <c r="AI25663" s="38"/>
    </row>
    <row r="25664" ht="15.75" customHeight="1">
      <c r="A25664" s="35"/>
      <c r="C25664" s="442"/>
      <c r="P25664" s="235"/>
      <c r="AI25664" s="38"/>
    </row>
    <row r="25665" ht="15.75" customHeight="1">
      <c r="A25665" s="35"/>
      <c r="C25665" s="442"/>
      <c r="P25665" s="235"/>
      <c r="AI25665" s="38"/>
    </row>
    <row r="25666" ht="15.75" customHeight="1">
      <c r="A25666" s="35"/>
      <c r="C25666" s="442"/>
      <c r="P25666" s="235"/>
      <c r="AI25666" s="38"/>
    </row>
    <row r="25667" ht="15.75" customHeight="1">
      <c r="A25667" s="35"/>
      <c r="C25667" s="442"/>
      <c r="P25667" s="235"/>
      <c r="AI25667" s="38"/>
    </row>
    <row r="25668" ht="15.75" customHeight="1">
      <c r="A25668" s="35"/>
      <c r="C25668" s="442"/>
      <c r="P25668" s="235"/>
      <c r="AI25668" s="38"/>
    </row>
    <row r="25669" ht="15.75" customHeight="1">
      <c r="A25669" s="35"/>
      <c r="C25669" s="442"/>
      <c r="P25669" s="235"/>
      <c r="AI25669" s="38"/>
    </row>
    <row r="25670" ht="15.75" customHeight="1">
      <c r="A25670" s="35"/>
      <c r="C25670" s="442"/>
      <c r="P25670" s="235"/>
      <c r="AI25670" s="38"/>
    </row>
    <row r="25671" ht="15.75" customHeight="1">
      <c r="A25671" s="35"/>
      <c r="C25671" s="442"/>
      <c r="P25671" s="235"/>
      <c r="AI25671" s="38"/>
    </row>
    <row r="25672" ht="15.75" customHeight="1">
      <c r="A25672" s="35"/>
      <c r="C25672" s="442"/>
      <c r="P25672" s="235"/>
      <c r="AI25672" s="38"/>
    </row>
    <row r="25673" ht="15.75" customHeight="1">
      <c r="A25673" s="35"/>
      <c r="C25673" s="442"/>
      <c r="P25673" s="235"/>
      <c r="AI25673" s="38"/>
    </row>
    <row r="25674" ht="15.75" customHeight="1">
      <c r="A25674" s="35"/>
      <c r="C25674" s="442"/>
      <c r="P25674" s="235"/>
      <c r="AI25674" s="38"/>
    </row>
    <row r="25675" ht="15.75" customHeight="1">
      <c r="A25675" s="35"/>
      <c r="C25675" s="442"/>
      <c r="P25675" s="235"/>
      <c r="AI25675" s="38"/>
    </row>
    <row r="25676" ht="15.75" customHeight="1">
      <c r="A25676" s="35"/>
      <c r="C25676" s="442"/>
      <c r="P25676" s="235"/>
      <c r="AI25676" s="38"/>
    </row>
    <row r="25677" ht="15.75" customHeight="1">
      <c r="A25677" s="35"/>
      <c r="C25677" s="442"/>
      <c r="P25677" s="235"/>
      <c r="AI25677" s="38"/>
    </row>
    <row r="25678" ht="15.75" customHeight="1">
      <c r="A25678" s="35"/>
      <c r="C25678" s="442"/>
      <c r="P25678" s="235"/>
      <c r="AI25678" s="38"/>
    </row>
    <row r="25679" ht="15.75" customHeight="1">
      <c r="A25679" s="35"/>
      <c r="C25679" s="442"/>
      <c r="P25679" s="235"/>
      <c r="AI25679" s="38"/>
    </row>
    <row r="25680" ht="15.75" customHeight="1">
      <c r="A25680" s="35"/>
      <c r="C25680" s="442"/>
      <c r="P25680" s="235"/>
      <c r="AI25680" s="38"/>
    </row>
    <row r="25681" ht="15.75" customHeight="1">
      <c r="A25681" s="35"/>
      <c r="C25681" s="442"/>
      <c r="P25681" s="235"/>
      <c r="AI25681" s="38"/>
    </row>
    <row r="25682" ht="15.75" customHeight="1">
      <c r="A25682" s="35"/>
      <c r="C25682" s="442"/>
      <c r="P25682" s="235"/>
      <c r="AI25682" s="38"/>
    </row>
    <row r="25683" ht="15.75" customHeight="1">
      <c r="A25683" s="35"/>
      <c r="C25683" s="442"/>
      <c r="P25683" s="235"/>
      <c r="AI25683" s="38"/>
    </row>
    <row r="25684" ht="15.75" customHeight="1">
      <c r="A25684" s="35"/>
      <c r="C25684" s="442"/>
      <c r="P25684" s="235"/>
      <c r="AI25684" s="38"/>
    </row>
    <row r="25685" ht="15.75" customHeight="1">
      <c r="A25685" s="35"/>
      <c r="C25685" s="442"/>
      <c r="P25685" s="235"/>
      <c r="AI25685" s="38"/>
    </row>
    <row r="25686" ht="15.75" customHeight="1">
      <c r="A25686" s="35"/>
      <c r="C25686" s="442"/>
      <c r="P25686" s="235"/>
      <c r="AI25686" s="38"/>
    </row>
    <row r="25687" ht="15.75" customHeight="1">
      <c r="A25687" s="35"/>
      <c r="C25687" s="442"/>
      <c r="P25687" s="235"/>
      <c r="AI25687" s="38"/>
    </row>
    <row r="25688" ht="15.75" customHeight="1">
      <c r="A25688" s="35"/>
      <c r="C25688" s="442"/>
      <c r="P25688" s="235"/>
      <c r="AI25688" s="38"/>
    </row>
    <row r="25689" ht="15.75" customHeight="1">
      <c r="A25689" s="35"/>
      <c r="C25689" s="442"/>
      <c r="P25689" s="235"/>
      <c r="AI25689" s="38"/>
    </row>
    <row r="25690" ht="15.75" customHeight="1">
      <c r="A25690" s="35"/>
      <c r="C25690" s="442"/>
      <c r="P25690" s="235"/>
      <c r="AI25690" s="38"/>
    </row>
    <row r="25691" ht="15.75" customHeight="1">
      <c r="A25691" s="35"/>
      <c r="C25691" s="442"/>
      <c r="P25691" s="235"/>
      <c r="AI25691" s="38"/>
    </row>
    <row r="25692" ht="15.75" customHeight="1">
      <c r="A25692" s="35"/>
      <c r="C25692" s="442"/>
      <c r="P25692" s="235"/>
      <c r="AI25692" s="38"/>
    </row>
    <row r="25693" ht="15.75" customHeight="1">
      <c r="A25693" s="35"/>
      <c r="C25693" s="442"/>
      <c r="P25693" s="235"/>
      <c r="AI25693" s="38"/>
    </row>
    <row r="25694" ht="15.75" customHeight="1">
      <c r="A25694" s="35"/>
      <c r="C25694" s="442"/>
      <c r="P25694" s="235"/>
      <c r="AI25694" s="38"/>
    </row>
    <row r="25695" ht="15.75" customHeight="1">
      <c r="A25695" s="35"/>
      <c r="C25695" s="442"/>
      <c r="P25695" s="235"/>
      <c r="AI25695" s="38"/>
    </row>
    <row r="25696" ht="15.75" customHeight="1">
      <c r="A25696" s="35"/>
      <c r="C25696" s="442"/>
      <c r="P25696" s="235"/>
      <c r="AI25696" s="38"/>
    </row>
    <row r="25697" ht="15.75" customHeight="1">
      <c r="A25697" s="35"/>
      <c r="C25697" s="442"/>
      <c r="P25697" s="235"/>
      <c r="AI25697" s="38"/>
    </row>
    <row r="25698" ht="15.75" customHeight="1">
      <c r="A25698" s="35"/>
      <c r="C25698" s="442"/>
      <c r="P25698" s="235"/>
      <c r="AI25698" s="38"/>
    </row>
    <row r="25699" ht="15.75" customHeight="1">
      <c r="A25699" s="35"/>
      <c r="C25699" s="442"/>
      <c r="P25699" s="235"/>
      <c r="AI25699" s="38"/>
    </row>
    <row r="25700" ht="15.75" customHeight="1">
      <c r="A25700" s="35"/>
      <c r="C25700" s="442"/>
      <c r="P25700" s="235"/>
      <c r="AI25700" s="38"/>
    </row>
    <row r="25701" ht="15.75" customHeight="1">
      <c r="A25701" s="35"/>
      <c r="C25701" s="442"/>
      <c r="P25701" s="235"/>
      <c r="AI25701" s="38"/>
    </row>
    <row r="25702" ht="15.75" customHeight="1">
      <c r="A25702" s="35"/>
      <c r="C25702" s="442"/>
      <c r="P25702" s="235"/>
      <c r="AI25702" s="38"/>
    </row>
    <row r="25703" ht="15.75" customHeight="1">
      <c r="A25703" s="35"/>
      <c r="C25703" s="442"/>
      <c r="P25703" s="235"/>
      <c r="AI25703" s="38"/>
    </row>
    <row r="25704" ht="15.75" customHeight="1">
      <c r="A25704" s="35"/>
      <c r="C25704" s="442"/>
      <c r="P25704" s="235"/>
      <c r="AI25704" s="38"/>
    </row>
    <row r="25705" ht="15.75" customHeight="1">
      <c r="A25705" s="35"/>
      <c r="C25705" s="442"/>
      <c r="P25705" s="235"/>
      <c r="AI25705" s="38"/>
    </row>
    <row r="25706" ht="15.75" customHeight="1">
      <c r="A25706" s="35"/>
      <c r="C25706" s="442"/>
      <c r="P25706" s="235"/>
      <c r="AI25706" s="38"/>
    </row>
    <row r="25707" ht="15.75" customHeight="1">
      <c r="A25707" s="35"/>
      <c r="C25707" s="442"/>
      <c r="P25707" s="235"/>
      <c r="AI25707" s="38"/>
    </row>
    <row r="25708" ht="15.75" customHeight="1">
      <c r="A25708" s="35"/>
      <c r="C25708" s="442"/>
      <c r="P25708" s="235"/>
      <c r="AI25708" s="38"/>
    </row>
    <row r="25709" ht="15.75" customHeight="1">
      <c r="A25709" s="35"/>
      <c r="C25709" s="442"/>
      <c r="P25709" s="235"/>
      <c r="AI25709" s="38"/>
    </row>
    <row r="25710" ht="15.75" customHeight="1">
      <c r="A25710" s="35"/>
      <c r="C25710" s="442"/>
      <c r="P25710" s="235"/>
      <c r="AI25710" s="38"/>
    </row>
    <row r="25711" ht="15.75" customHeight="1">
      <c r="A25711" s="35"/>
      <c r="C25711" s="442"/>
      <c r="P25711" s="235"/>
      <c r="AI25711" s="38"/>
    </row>
    <row r="25712" ht="15.75" customHeight="1">
      <c r="A25712" s="35"/>
      <c r="C25712" s="442"/>
      <c r="P25712" s="235"/>
      <c r="AI25712" s="38"/>
    </row>
    <row r="25713" ht="15.75" customHeight="1">
      <c r="A25713" s="35"/>
      <c r="C25713" s="442"/>
      <c r="P25713" s="235"/>
      <c r="AI25713" s="38"/>
    </row>
    <row r="25714" ht="15.75" customHeight="1">
      <c r="A25714" s="35"/>
      <c r="C25714" s="442"/>
      <c r="P25714" s="235"/>
      <c r="AI25714" s="38"/>
    </row>
    <row r="25715" ht="15.75" customHeight="1">
      <c r="A25715" s="35"/>
      <c r="C25715" s="442"/>
      <c r="P25715" s="235"/>
      <c r="AI25715" s="38"/>
    </row>
    <row r="25716" ht="15.75" customHeight="1">
      <c r="A25716" s="35"/>
      <c r="C25716" s="442"/>
      <c r="P25716" s="235"/>
      <c r="AI25716" s="38"/>
    </row>
    <row r="25717" ht="15.75" customHeight="1">
      <c r="A25717" s="35"/>
      <c r="C25717" s="442"/>
      <c r="P25717" s="235"/>
      <c r="AI25717" s="38"/>
    </row>
    <row r="25718" ht="15.75" customHeight="1">
      <c r="A25718" s="35"/>
      <c r="C25718" s="442"/>
      <c r="P25718" s="235"/>
      <c r="AI25718" s="38"/>
    </row>
    <row r="25719" ht="15.75" customHeight="1">
      <c r="A25719" s="35"/>
      <c r="C25719" s="442"/>
      <c r="P25719" s="235"/>
      <c r="AI25719" s="38"/>
    </row>
    <row r="25720" ht="15.75" customHeight="1">
      <c r="A25720" s="35"/>
      <c r="C25720" s="442"/>
      <c r="P25720" s="235"/>
      <c r="AI25720" s="38"/>
    </row>
    <row r="25721" ht="15.75" customHeight="1">
      <c r="A25721" s="35"/>
      <c r="C25721" s="442"/>
      <c r="P25721" s="235"/>
      <c r="AI25721" s="38"/>
    </row>
    <row r="25722" ht="15.75" customHeight="1">
      <c r="A25722" s="35"/>
      <c r="C25722" s="442"/>
      <c r="P25722" s="235"/>
      <c r="AI25722" s="38"/>
    </row>
    <row r="25723" ht="15.75" customHeight="1">
      <c r="A25723" s="35"/>
      <c r="C25723" s="442"/>
      <c r="P25723" s="235"/>
      <c r="AI25723" s="38"/>
    </row>
    <row r="25724" ht="15.75" customHeight="1">
      <c r="A25724" s="35"/>
      <c r="C25724" s="442"/>
      <c r="P25724" s="235"/>
      <c r="AI25724" s="38"/>
    </row>
    <row r="25725" ht="15.75" customHeight="1">
      <c r="A25725" s="35"/>
      <c r="C25725" s="442"/>
      <c r="P25725" s="235"/>
      <c r="AI25725" s="38"/>
    </row>
    <row r="25726" ht="15.75" customHeight="1">
      <c r="A25726" s="35"/>
      <c r="C25726" s="442"/>
      <c r="P25726" s="235"/>
      <c r="AI25726" s="38"/>
    </row>
    <row r="25727" ht="15.75" customHeight="1">
      <c r="A25727" s="35"/>
      <c r="C25727" s="442"/>
      <c r="P25727" s="235"/>
      <c r="AI25727" s="38"/>
    </row>
    <row r="25728" ht="15.75" customHeight="1">
      <c r="A25728" s="35"/>
      <c r="C25728" s="442"/>
      <c r="P25728" s="235"/>
      <c r="AI25728" s="38"/>
    </row>
    <row r="25729" ht="15.75" customHeight="1">
      <c r="A25729" s="35"/>
      <c r="C25729" s="442"/>
      <c r="P25729" s="235"/>
      <c r="AI25729" s="38"/>
    </row>
    <row r="25730" ht="15.75" customHeight="1">
      <c r="A25730" s="35"/>
      <c r="C25730" s="442"/>
      <c r="P25730" s="235"/>
      <c r="AI25730" s="38"/>
    </row>
    <row r="25731" ht="15.75" customHeight="1">
      <c r="A25731" s="35"/>
      <c r="C25731" s="442"/>
      <c r="P25731" s="235"/>
      <c r="AI25731" s="38"/>
    </row>
    <row r="25732" ht="15.75" customHeight="1">
      <c r="A25732" s="35"/>
      <c r="C25732" s="442"/>
      <c r="P25732" s="235"/>
      <c r="AI25732" s="38"/>
    </row>
    <row r="25733" ht="15.75" customHeight="1">
      <c r="A25733" s="35"/>
      <c r="C25733" s="442"/>
      <c r="P25733" s="235"/>
      <c r="AI25733" s="38"/>
    </row>
    <row r="25734" ht="15.75" customHeight="1">
      <c r="A25734" s="35"/>
      <c r="C25734" s="442"/>
      <c r="P25734" s="235"/>
      <c r="AI25734" s="38"/>
    </row>
    <row r="25735" ht="15.75" customHeight="1">
      <c r="A25735" s="35"/>
      <c r="C25735" s="442"/>
      <c r="P25735" s="235"/>
      <c r="AI25735" s="38"/>
    </row>
    <row r="25736" ht="15.75" customHeight="1">
      <c r="A25736" s="35"/>
      <c r="C25736" s="442"/>
      <c r="P25736" s="235"/>
      <c r="AI25736" s="38"/>
    </row>
    <row r="25737" ht="15.75" customHeight="1">
      <c r="A25737" s="35"/>
      <c r="C25737" s="442"/>
      <c r="P25737" s="235"/>
      <c r="AI25737" s="38"/>
    </row>
    <row r="25738" ht="15.75" customHeight="1">
      <c r="A25738" s="35"/>
      <c r="C25738" s="442"/>
      <c r="P25738" s="235"/>
      <c r="AI25738" s="38"/>
    </row>
    <row r="25739" ht="15.75" customHeight="1">
      <c r="A25739" s="35"/>
      <c r="C25739" s="442"/>
      <c r="P25739" s="235"/>
      <c r="AI25739" s="38"/>
    </row>
    <row r="25740" ht="15.75" customHeight="1">
      <c r="A25740" s="35"/>
      <c r="C25740" s="442"/>
      <c r="P25740" s="235"/>
      <c r="AI25740" s="38"/>
    </row>
    <row r="25741" ht="15.75" customHeight="1">
      <c r="A25741" s="35"/>
      <c r="C25741" s="442"/>
      <c r="P25741" s="235"/>
      <c r="AI25741" s="38"/>
    </row>
    <row r="25742" ht="15.75" customHeight="1">
      <c r="A25742" s="35"/>
      <c r="C25742" s="442"/>
      <c r="P25742" s="235"/>
      <c r="AI25742" s="38"/>
    </row>
    <row r="25743" ht="15.75" customHeight="1">
      <c r="A25743" s="35"/>
      <c r="C25743" s="442"/>
      <c r="P25743" s="235"/>
      <c r="AI25743" s="38"/>
    </row>
    <row r="25744" ht="15.75" customHeight="1">
      <c r="A25744" s="35"/>
      <c r="C25744" s="442"/>
      <c r="P25744" s="235"/>
      <c r="AI25744" s="38"/>
    </row>
    <row r="25745" ht="15.75" customHeight="1">
      <c r="A25745" s="35"/>
      <c r="C25745" s="442"/>
      <c r="P25745" s="235"/>
      <c r="AI25745" s="38"/>
    </row>
    <row r="25746" ht="15.75" customHeight="1">
      <c r="A25746" s="35"/>
      <c r="C25746" s="442"/>
      <c r="P25746" s="235"/>
      <c r="AI25746" s="38"/>
    </row>
    <row r="25747" ht="15.75" customHeight="1">
      <c r="A25747" s="35"/>
      <c r="C25747" s="442"/>
      <c r="P25747" s="235"/>
      <c r="AI25747" s="38"/>
    </row>
    <row r="25748" ht="15.75" customHeight="1">
      <c r="A25748" s="35"/>
      <c r="C25748" s="442"/>
      <c r="P25748" s="235"/>
      <c r="AI25748" s="38"/>
    </row>
    <row r="25749" ht="15.75" customHeight="1">
      <c r="A25749" s="35"/>
      <c r="C25749" s="442"/>
      <c r="P25749" s="235"/>
      <c r="AI25749" s="38"/>
    </row>
    <row r="25750" ht="15.75" customHeight="1">
      <c r="A25750" s="35"/>
      <c r="C25750" s="442"/>
      <c r="P25750" s="235"/>
      <c r="AI25750" s="38"/>
    </row>
    <row r="25751" ht="15.75" customHeight="1">
      <c r="A25751" s="35"/>
      <c r="C25751" s="442"/>
      <c r="P25751" s="235"/>
      <c r="AI25751" s="38"/>
    </row>
    <row r="25752" ht="15.75" customHeight="1">
      <c r="A25752" s="35"/>
      <c r="C25752" s="442"/>
      <c r="P25752" s="235"/>
      <c r="AI25752" s="38"/>
    </row>
    <row r="25753" ht="15.75" customHeight="1">
      <c r="A25753" s="35"/>
      <c r="C25753" s="442"/>
      <c r="P25753" s="235"/>
      <c r="AI25753" s="38"/>
    </row>
    <row r="25754" ht="15.75" customHeight="1">
      <c r="A25754" s="35"/>
      <c r="C25754" s="442"/>
      <c r="P25754" s="235"/>
      <c r="AI25754" s="38"/>
    </row>
    <row r="25755" ht="15.75" customHeight="1">
      <c r="A25755" s="35"/>
      <c r="C25755" s="442"/>
      <c r="P25755" s="235"/>
      <c r="AI25755" s="38"/>
    </row>
    <row r="25756" ht="15.75" customHeight="1">
      <c r="A25756" s="35"/>
      <c r="C25756" s="442"/>
      <c r="P25756" s="235"/>
      <c r="AI25756" s="38"/>
    </row>
    <row r="25757" ht="15.75" customHeight="1">
      <c r="A25757" s="35"/>
      <c r="C25757" s="442"/>
      <c r="P25757" s="235"/>
      <c r="AI25757" s="38"/>
    </row>
    <row r="25758" ht="15.75" customHeight="1">
      <c r="A25758" s="35"/>
      <c r="C25758" s="442"/>
      <c r="P25758" s="235"/>
      <c r="AI25758" s="38"/>
    </row>
    <row r="25759" ht="15.75" customHeight="1">
      <c r="A25759" s="35"/>
      <c r="C25759" s="442"/>
      <c r="P25759" s="235"/>
      <c r="AI25759" s="38"/>
    </row>
    <row r="25760" ht="15.75" customHeight="1">
      <c r="A25760" s="35"/>
      <c r="C25760" s="442"/>
      <c r="P25760" s="235"/>
      <c r="AI25760" s="38"/>
    </row>
    <row r="25761" ht="15.75" customHeight="1">
      <c r="A25761" s="35"/>
      <c r="C25761" s="442"/>
      <c r="P25761" s="235"/>
      <c r="AI25761" s="38"/>
    </row>
    <row r="25762" ht="15.75" customHeight="1">
      <c r="A25762" s="35"/>
      <c r="C25762" s="442"/>
      <c r="P25762" s="235"/>
      <c r="AI25762" s="38"/>
    </row>
    <row r="25763" ht="15.75" customHeight="1">
      <c r="A25763" s="35"/>
      <c r="C25763" s="442"/>
      <c r="P25763" s="235"/>
      <c r="AI25763" s="38"/>
    </row>
    <row r="25764" ht="15.75" customHeight="1">
      <c r="A25764" s="35"/>
      <c r="C25764" s="442"/>
      <c r="P25764" s="235"/>
      <c r="AI25764" s="38"/>
    </row>
    <row r="25765" ht="15.75" customHeight="1">
      <c r="A25765" s="35"/>
      <c r="C25765" s="442"/>
      <c r="P25765" s="235"/>
      <c r="AI25765" s="38"/>
    </row>
    <row r="25766" ht="15.75" customHeight="1">
      <c r="A25766" s="35"/>
      <c r="C25766" s="442"/>
      <c r="P25766" s="235"/>
      <c r="AI25766" s="38"/>
    </row>
    <row r="25767" ht="15.75" customHeight="1">
      <c r="A25767" s="35"/>
      <c r="C25767" s="442"/>
      <c r="P25767" s="235"/>
      <c r="AI25767" s="38"/>
    </row>
    <row r="25768" ht="15.75" customHeight="1">
      <c r="A25768" s="35"/>
      <c r="C25768" s="442"/>
      <c r="P25768" s="235"/>
      <c r="AI25768" s="38"/>
    </row>
    <row r="25769" ht="15.75" customHeight="1">
      <c r="A25769" s="35"/>
      <c r="C25769" s="442"/>
      <c r="P25769" s="235"/>
      <c r="AI25769" s="38"/>
    </row>
    <row r="25770" ht="15.75" customHeight="1">
      <c r="A25770" s="35"/>
      <c r="C25770" s="442"/>
      <c r="P25770" s="235"/>
      <c r="AI25770" s="38"/>
    </row>
    <row r="25771" ht="15.75" customHeight="1">
      <c r="A25771" s="35"/>
      <c r="C25771" s="442"/>
      <c r="P25771" s="235"/>
      <c r="AI25771" s="38"/>
    </row>
    <row r="25772" ht="15.75" customHeight="1">
      <c r="A25772" s="35"/>
      <c r="C25772" s="442"/>
      <c r="P25772" s="235"/>
      <c r="AI25772" s="38"/>
    </row>
    <row r="25773" ht="15.75" customHeight="1">
      <c r="A25773" s="35"/>
      <c r="C25773" s="442"/>
      <c r="P25773" s="235"/>
      <c r="AI25773" s="38"/>
    </row>
    <row r="25774" ht="15.75" customHeight="1">
      <c r="A25774" s="35"/>
      <c r="C25774" s="442"/>
      <c r="P25774" s="235"/>
      <c r="AI25774" s="38"/>
    </row>
    <row r="25775" ht="15.75" customHeight="1">
      <c r="A25775" s="35"/>
      <c r="C25775" s="442"/>
      <c r="P25775" s="235"/>
      <c r="AI25775" s="38"/>
    </row>
    <row r="25776" ht="15.75" customHeight="1">
      <c r="A25776" s="35"/>
      <c r="C25776" s="442"/>
      <c r="P25776" s="235"/>
      <c r="AI25776" s="38"/>
    </row>
    <row r="25777" ht="15.75" customHeight="1">
      <c r="A25777" s="35"/>
      <c r="C25777" s="442"/>
      <c r="P25777" s="235"/>
      <c r="AI25777" s="38"/>
    </row>
    <row r="25778" ht="15.75" customHeight="1">
      <c r="A25778" s="35"/>
      <c r="C25778" s="442"/>
      <c r="P25778" s="235"/>
      <c r="AI25778" s="38"/>
    </row>
    <row r="25779" ht="15.75" customHeight="1">
      <c r="A25779" s="35"/>
      <c r="C25779" s="442"/>
      <c r="P25779" s="235"/>
      <c r="AI25779" s="38"/>
    </row>
    <row r="25780" ht="15.75" customHeight="1">
      <c r="A25780" s="35"/>
      <c r="C25780" s="442"/>
      <c r="P25780" s="235"/>
      <c r="AI25780" s="38"/>
    </row>
    <row r="25781" ht="15.75" customHeight="1">
      <c r="A25781" s="35"/>
      <c r="C25781" s="442"/>
      <c r="P25781" s="235"/>
      <c r="AI25781" s="38"/>
    </row>
    <row r="25782" ht="15.75" customHeight="1">
      <c r="A25782" s="35"/>
      <c r="C25782" s="442"/>
      <c r="P25782" s="235"/>
      <c r="AI25782" s="38"/>
    </row>
    <row r="25783" ht="15.75" customHeight="1">
      <c r="A25783" s="35"/>
      <c r="C25783" s="442"/>
      <c r="P25783" s="235"/>
      <c r="AI25783" s="38"/>
    </row>
    <row r="25784" ht="15.75" customHeight="1">
      <c r="A25784" s="35"/>
      <c r="C25784" s="442"/>
      <c r="P25784" s="235"/>
      <c r="AI25784" s="38"/>
    </row>
    <row r="25785" ht="15.75" customHeight="1">
      <c r="A25785" s="35"/>
      <c r="C25785" s="442"/>
      <c r="P25785" s="235"/>
      <c r="AI25785" s="38"/>
    </row>
    <row r="25786" ht="15.75" customHeight="1">
      <c r="A25786" s="35"/>
      <c r="C25786" s="442"/>
      <c r="P25786" s="235"/>
      <c r="AI25786" s="38"/>
    </row>
    <row r="25787" ht="15.75" customHeight="1">
      <c r="A25787" s="35"/>
      <c r="C25787" s="442"/>
      <c r="P25787" s="235"/>
      <c r="AI25787" s="38"/>
    </row>
    <row r="25788" ht="15.75" customHeight="1">
      <c r="A25788" s="35"/>
      <c r="C25788" s="442"/>
      <c r="P25788" s="235"/>
      <c r="AI25788" s="38"/>
    </row>
    <row r="25789" ht="15.75" customHeight="1">
      <c r="A25789" s="35"/>
      <c r="C25789" s="442"/>
      <c r="P25789" s="235"/>
      <c r="AI25789" s="38"/>
    </row>
    <row r="25790" ht="15.75" customHeight="1">
      <c r="A25790" s="35"/>
      <c r="C25790" s="442"/>
      <c r="P25790" s="235"/>
      <c r="AI25790" s="38"/>
    </row>
    <row r="25791" ht="15.75" customHeight="1">
      <c r="A25791" s="35"/>
      <c r="C25791" s="442"/>
      <c r="P25791" s="235"/>
      <c r="AI25791" s="38"/>
    </row>
    <row r="25792" ht="15.75" customHeight="1">
      <c r="A25792" s="35"/>
      <c r="C25792" s="442"/>
      <c r="P25792" s="235"/>
      <c r="AI25792" s="38"/>
    </row>
    <row r="25793" ht="15.75" customHeight="1">
      <c r="A25793" s="35"/>
      <c r="C25793" s="442"/>
      <c r="P25793" s="235"/>
      <c r="AI25793" s="38"/>
    </row>
    <row r="25794" ht="15.75" customHeight="1">
      <c r="A25794" s="35"/>
      <c r="C25794" s="442"/>
      <c r="P25794" s="235"/>
      <c r="AI25794" s="38"/>
    </row>
    <row r="25795" ht="15.75" customHeight="1">
      <c r="A25795" s="35"/>
      <c r="C25795" s="442"/>
      <c r="P25795" s="235"/>
      <c r="AI25795" s="38"/>
    </row>
    <row r="25796" ht="15.75" customHeight="1">
      <c r="A25796" s="35"/>
      <c r="C25796" s="442"/>
      <c r="P25796" s="235"/>
      <c r="AI25796" s="38"/>
    </row>
    <row r="25797" ht="15.75" customHeight="1">
      <c r="A25797" s="35"/>
      <c r="C25797" s="442"/>
      <c r="P25797" s="235"/>
      <c r="AI25797" s="38"/>
    </row>
    <row r="25798" ht="15.75" customHeight="1">
      <c r="A25798" s="35"/>
      <c r="C25798" s="442"/>
      <c r="P25798" s="235"/>
      <c r="AI25798" s="38"/>
    </row>
    <row r="25799" ht="15.75" customHeight="1">
      <c r="A25799" s="35"/>
      <c r="C25799" s="442"/>
      <c r="P25799" s="235"/>
      <c r="AI25799" s="38"/>
    </row>
    <row r="25800" ht="15.75" customHeight="1">
      <c r="A25800" s="35"/>
      <c r="C25800" s="442"/>
      <c r="P25800" s="235"/>
      <c r="AI25800" s="38"/>
    </row>
    <row r="25801" ht="15.75" customHeight="1">
      <c r="A25801" s="35"/>
      <c r="C25801" s="442"/>
      <c r="P25801" s="235"/>
      <c r="AI25801" s="38"/>
    </row>
    <row r="25802" ht="15.75" customHeight="1">
      <c r="A25802" s="35"/>
      <c r="C25802" s="442"/>
      <c r="P25802" s="235"/>
      <c r="AI25802" s="38"/>
    </row>
    <row r="25803" ht="15.75" customHeight="1">
      <c r="A25803" s="35"/>
      <c r="C25803" s="442"/>
      <c r="P25803" s="235"/>
      <c r="AI25803" s="38"/>
    </row>
    <row r="25804" ht="15.75" customHeight="1">
      <c r="A25804" s="35"/>
      <c r="C25804" s="442"/>
      <c r="P25804" s="235"/>
      <c r="AI25804" s="38"/>
    </row>
    <row r="25805" ht="15.75" customHeight="1">
      <c r="A25805" s="35"/>
      <c r="C25805" s="442"/>
      <c r="P25805" s="235"/>
      <c r="AI25805" s="38"/>
    </row>
    <row r="25806" ht="15.75" customHeight="1">
      <c r="A25806" s="35"/>
      <c r="C25806" s="442"/>
      <c r="P25806" s="235"/>
      <c r="AI25806" s="38"/>
    </row>
    <row r="25807" ht="15.75" customHeight="1">
      <c r="A25807" s="35"/>
      <c r="C25807" s="442"/>
      <c r="P25807" s="235"/>
      <c r="AI25807" s="38"/>
    </row>
    <row r="25808" ht="15.75" customHeight="1">
      <c r="A25808" s="35"/>
      <c r="C25808" s="442"/>
      <c r="P25808" s="235"/>
      <c r="AI25808" s="38"/>
    </row>
    <row r="25809" ht="15.75" customHeight="1">
      <c r="A25809" s="35"/>
      <c r="C25809" s="442"/>
      <c r="P25809" s="235"/>
      <c r="AI25809" s="38"/>
    </row>
    <row r="25810" ht="15.75" customHeight="1">
      <c r="A25810" s="35"/>
      <c r="C25810" s="442"/>
      <c r="P25810" s="235"/>
      <c r="AI25810" s="38"/>
    </row>
    <row r="25811" ht="15.75" customHeight="1">
      <c r="A25811" s="35"/>
      <c r="C25811" s="442"/>
      <c r="P25811" s="235"/>
      <c r="AI25811" s="38"/>
    </row>
    <row r="25812" ht="15.75" customHeight="1">
      <c r="A25812" s="35"/>
      <c r="C25812" s="442"/>
      <c r="P25812" s="235"/>
      <c r="AI25812" s="38"/>
    </row>
    <row r="25813" ht="15.75" customHeight="1">
      <c r="A25813" s="35"/>
      <c r="C25813" s="442"/>
      <c r="P25813" s="235"/>
      <c r="AI25813" s="38"/>
    </row>
    <row r="25814" ht="15.75" customHeight="1">
      <c r="A25814" s="35"/>
      <c r="C25814" s="442"/>
      <c r="P25814" s="235"/>
      <c r="AI25814" s="38"/>
    </row>
    <row r="25815" ht="15.75" customHeight="1">
      <c r="A25815" s="35"/>
      <c r="C25815" s="442"/>
      <c r="P25815" s="235"/>
      <c r="AI25815" s="38"/>
    </row>
    <row r="25816" ht="15.75" customHeight="1">
      <c r="A25816" s="35"/>
      <c r="C25816" s="442"/>
      <c r="P25816" s="235"/>
      <c r="AI25816" s="38"/>
    </row>
    <row r="25817" ht="15.75" customHeight="1">
      <c r="A25817" s="35"/>
      <c r="C25817" s="442"/>
      <c r="P25817" s="235"/>
      <c r="AI25817" s="38"/>
    </row>
    <row r="25818" ht="15.75" customHeight="1">
      <c r="A25818" s="35"/>
      <c r="C25818" s="442"/>
      <c r="P25818" s="235"/>
      <c r="AI25818" s="38"/>
    </row>
    <row r="25819" ht="15.75" customHeight="1">
      <c r="A25819" s="35"/>
      <c r="C25819" s="442"/>
      <c r="P25819" s="235"/>
      <c r="AI25819" s="38"/>
    </row>
    <row r="25820" ht="15.75" customHeight="1">
      <c r="A25820" s="35"/>
      <c r="C25820" s="442"/>
      <c r="P25820" s="235"/>
      <c r="AI25820" s="38"/>
    </row>
    <row r="25821" ht="15.75" customHeight="1">
      <c r="A25821" s="35"/>
      <c r="C25821" s="442"/>
      <c r="P25821" s="235"/>
      <c r="AI25821" s="38"/>
    </row>
    <row r="25822" ht="15.75" customHeight="1">
      <c r="A25822" s="35"/>
      <c r="C25822" s="442"/>
      <c r="P25822" s="235"/>
      <c r="AI25822" s="38"/>
    </row>
    <row r="25823" ht="15.75" customHeight="1">
      <c r="A25823" s="35"/>
      <c r="C25823" s="442"/>
      <c r="P25823" s="235"/>
      <c r="AI25823" s="38"/>
    </row>
    <row r="25824" ht="15.75" customHeight="1">
      <c r="A25824" s="35"/>
      <c r="C25824" s="442"/>
      <c r="P25824" s="235"/>
      <c r="AI25824" s="38"/>
    </row>
    <row r="25825" ht="15.75" customHeight="1">
      <c r="A25825" s="35"/>
      <c r="C25825" s="442"/>
      <c r="P25825" s="235"/>
      <c r="AI25825" s="38"/>
    </row>
    <row r="25826" ht="15.75" customHeight="1">
      <c r="A25826" s="35"/>
      <c r="C25826" s="442"/>
      <c r="P25826" s="235"/>
      <c r="AI25826" s="38"/>
    </row>
    <row r="25827" ht="15.75" customHeight="1">
      <c r="A25827" s="35"/>
      <c r="C25827" s="442"/>
      <c r="P25827" s="235"/>
      <c r="AI25827" s="38"/>
    </row>
    <row r="25828" ht="15.75" customHeight="1">
      <c r="A25828" s="35"/>
      <c r="C25828" s="442"/>
      <c r="P25828" s="235"/>
      <c r="AI25828" s="38"/>
    </row>
    <row r="25829" ht="15.75" customHeight="1">
      <c r="A25829" s="35"/>
      <c r="C25829" s="442"/>
      <c r="P25829" s="235"/>
      <c r="AI25829" s="38"/>
    </row>
    <row r="25830" ht="15.75" customHeight="1">
      <c r="A25830" s="35"/>
      <c r="C25830" s="442"/>
      <c r="P25830" s="235"/>
      <c r="AI25830" s="38"/>
    </row>
    <row r="25831" ht="15.75" customHeight="1">
      <c r="A25831" s="35"/>
      <c r="C25831" s="442"/>
      <c r="P25831" s="235"/>
      <c r="AI25831" s="38"/>
    </row>
    <row r="25832" ht="15.75" customHeight="1">
      <c r="A25832" s="35"/>
      <c r="C25832" s="442"/>
      <c r="P25832" s="235"/>
      <c r="AI25832" s="38"/>
    </row>
    <row r="25833" ht="15.75" customHeight="1">
      <c r="A25833" s="35"/>
      <c r="C25833" s="442"/>
      <c r="P25833" s="235"/>
      <c r="AI25833" s="38"/>
    </row>
    <row r="25834" ht="15.75" customHeight="1">
      <c r="A25834" s="35"/>
      <c r="C25834" s="442"/>
      <c r="P25834" s="235"/>
      <c r="AI25834" s="38"/>
    </row>
    <row r="25835" ht="15.75" customHeight="1">
      <c r="A25835" s="35"/>
      <c r="C25835" s="442"/>
      <c r="P25835" s="235"/>
      <c r="AI25835" s="38"/>
    </row>
    <row r="25836" ht="15.75" customHeight="1">
      <c r="A25836" s="35"/>
      <c r="C25836" s="442"/>
      <c r="P25836" s="235"/>
      <c r="AI25836" s="38"/>
    </row>
    <row r="25837" ht="15.75" customHeight="1">
      <c r="A25837" s="35"/>
      <c r="C25837" s="442"/>
      <c r="P25837" s="235"/>
      <c r="AI25837" s="38"/>
    </row>
    <row r="25838" ht="15.75" customHeight="1">
      <c r="A25838" s="35"/>
      <c r="C25838" s="442"/>
      <c r="P25838" s="235"/>
      <c r="AI25838" s="38"/>
    </row>
    <row r="25839" ht="15.75" customHeight="1">
      <c r="A25839" s="35"/>
      <c r="C25839" s="442"/>
      <c r="P25839" s="235"/>
      <c r="AI25839" s="38"/>
    </row>
    <row r="25840" ht="15.75" customHeight="1">
      <c r="A25840" s="35"/>
      <c r="C25840" s="442"/>
      <c r="P25840" s="235"/>
      <c r="AI25840" s="38"/>
    </row>
    <row r="25841" ht="15.75" customHeight="1">
      <c r="A25841" s="35"/>
      <c r="C25841" s="442"/>
      <c r="P25841" s="235"/>
      <c r="AI25841" s="38"/>
    </row>
    <row r="25842" ht="15.75" customHeight="1">
      <c r="A25842" s="35"/>
      <c r="C25842" s="442"/>
      <c r="P25842" s="235"/>
      <c r="AI25842" s="38"/>
    </row>
    <row r="25843" ht="15.75" customHeight="1">
      <c r="A25843" s="35"/>
      <c r="C25843" s="442"/>
      <c r="P25843" s="235"/>
      <c r="AI25843" s="38"/>
    </row>
    <row r="25844" ht="15.75" customHeight="1">
      <c r="A25844" s="35"/>
      <c r="C25844" s="442"/>
      <c r="P25844" s="235"/>
      <c r="AI25844" s="38"/>
    </row>
    <row r="25845" ht="15.75" customHeight="1">
      <c r="A25845" s="35"/>
      <c r="C25845" s="442"/>
      <c r="P25845" s="235"/>
      <c r="AI25845" s="38"/>
    </row>
    <row r="25846" ht="15.75" customHeight="1">
      <c r="A25846" s="35"/>
      <c r="C25846" s="442"/>
      <c r="P25846" s="235"/>
      <c r="AI25846" s="38"/>
    </row>
    <row r="25847" ht="15.75" customHeight="1">
      <c r="A25847" s="35"/>
      <c r="C25847" s="442"/>
      <c r="P25847" s="235"/>
      <c r="AI25847" s="38"/>
    </row>
    <row r="25848" ht="15.75" customHeight="1">
      <c r="A25848" s="35"/>
      <c r="C25848" s="442"/>
      <c r="P25848" s="235"/>
      <c r="AI25848" s="38"/>
    </row>
    <row r="25849" ht="15.75" customHeight="1">
      <c r="A25849" s="35"/>
      <c r="C25849" s="442"/>
      <c r="P25849" s="235"/>
      <c r="AI25849" s="38"/>
    </row>
    <row r="25850" ht="15.75" customHeight="1">
      <c r="A25850" s="35"/>
      <c r="C25850" s="442"/>
      <c r="P25850" s="235"/>
      <c r="AI25850" s="38"/>
    </row>
    <row r="25851" ht="15.75" customHeight="1">
      <c r="A25851" s="35"/>
      <c r="C25851" s="442"/>
      <c r="P25851" s="235"/>
      <c r="AI25851" s="38"/>
    </row>
    <row r="25852" ht="15.75" customHeight="1">
      <c r="A25852" s="35"/>
      <c r="C25852" s="442"/>
      <c r="P25852" s="235"/>
      <c r="AI25852" s="38"/>
    </row>
    <row r="25853" ht="15.75" customHeight="1">
      <c r="A25853" s="35"/>
      <c r="C25853" s="442"/>
      <c r="P25853" s="235"/>
      <c r="AI25853" s="38"/>
    </row>
    <row r="25854" ht="15.75" customHeight="1">
      <c r="A25854" s="35"/>
      <c r="C25854" s="442"/>
      <c r="P25854" s="235"/>
      <c r="AI25854" s="38"/>
    </row>
    <row r="25855" ht="15.75" customHeight="1">
      <c r="A25855" s="35"/>
      <c r="C25855" s="442"/>
      <c r="P25855" s="235"/>
      <c r="AI25855" s="38"/>
    </row>
    <row r="25856" ht="15.75" customHeight="1">
      <c r="A25856" s="35"/>
      <c r="C25856" s="442"/>
      <c r="P25856" s="235"/>
      <c r="AI25856" s="38"/>
    </row>
    <row r="25857" ht="15.75" customHeight="1">
      <c r="A25857" s="35"/>
      <c r="C25857" s="442"/>
      <c r="P25857" s="235"/>
      <c r="AI25857" s="38"/>
    </row>
    <row r="25858" ht="15.75" customHeight="1">
      <c r="A25858" s="35"/>
      <c r="C25858" s="442"/>
      <c r="P25858" s="235"/>
      <c r="AI25858" s="38"/>
    </row>
    <row r="25859" ht="15.75" customHeight="1">
      <c r="A25859" s="35"/>
      <c r="C25859" s="442"/>
      <c r="P25859" s="235"/>
      <c r="AI25859" s="38"/>
    </row>
    <row r="25860" ht="15.75" customHeight="1">
      <c r="A25860" s="35"/>
      <c r="C25860" s="442"/>
      <c r="P25860" s="235"/>
      <c r="AI25860" s="38"/>
    </row>
    <row r="25861" ht="15.75" customHeight="1">
      <c r="A25861" s="35"/>
      <c r="C25861" s="442"/>
      <c r="P25861" s="235"/>
      <c r="AI25861" s="38"/>
    </row>
    <row r="25862" ht="15.75" customHeight="1">
      <c r="A25862" s="35"/>
      <c r="C25862" s="442"/>
      <c r="P25862" s="235"/>
      <c r="AI25862" s="38"/>
    </row>
    <row r="25863" ht="15.75" customHeight="1">
      <c r="A25863" s="35"/>
      <c r="C25863" s="442"/>
      <c r="P25863" s="235"/>
      <c r="AI25863" s="38"/>
    </row>
    <row r="25864" ht="15.75" customHeight="1">
      <c r="A25864" s="35"/>
      <c r="C25864" s="442"/>
      <c r="P25864" s="235"/>
      <c r="AI25864" s="38"/>
    </row>
    <row r="25865" ht="15.75" customHeight="1">
      <c r="A25865" s="35"/>
      <c r="C25865" s="442"/>
      <c r="P25865" s="235"/>
      <c r="AI25865" s="38"/>
    </row>
    <row r="25866" ht="15.75" customHeight="1">
      <c r="A25866" s="35"/>
      <c r="C25866" s="442"/>
      <c r="P25866" s="235"/>
      <c r="AI25866" s="38"/>
    </row>
    <row r="25867" ht="15.75" customHeight="1">
      <c r="A25867" s="35"/>
      <c r="C25867" s="442"/>
      <c r="P25867" s="235"/>
      <c r="AI25867" s="38"/>
    </row>
    <row r="25868" ht="15.75" customHeight="1">
      <c r="A25868" s="35"/>
      <c r="C25868" s="442"/>
      <c r="P25868" s="235"/>
      <c r="AI25868" s="38"/>
    </row>
    <row r="25869" ht="15.75" customHeight="1">
      <c r="A25869" s="35"/>
      <c r="C25869" s="442"/>
      <c r="P25869" s="235"/>
      <c r="AI25869" s="38"/>
    </row>
    <row r="25870" ht="15.75" customHeight="1">
      <c r="A25870" s="35"/>
      <c r="C25870" s="442"/>
      <c r="P25870" s="235"/>
      <c r="AI25870" s="38"/>
    </row>
    <row r="25871" ht="15.75" customHeight="1">
      <c r="A25871" s="35"/>
      <c r="C25871" s="442"/>
      <c r="P25871" s="235"/>
      <c r="AI25871" s="38"/>
    </row>
    <row r="25872" ht="15.75" customHeight="1">
      <c r="A25872" s="35"/>
      <c r="C25872" s="442"/>
      <c r="P25872" s="235"/>
      <c r="AI25872" s="38"/>
    </row>
    <row r="25873" ht="15.75" customHeight="1">
      <c r="A25873" s="35"/>
      <c r="C25873" s="442"/>
      <c r="P25873" s="235"/>
      <c r="AI25873" s="38"/>
    </row>
    <row r="25874" ht="15.75" customHeight="1">
      <c r="A25874" s="35"/>
      <c r="C25874" s="442"/>
      <c r="P25874" s="235"/>
      <c r="AI25874" s="38"/>
    </row>
    <row r="25875" ht="15.75" customHeight="1">
      <c r="A25875" s="35"/>
      <c r="C25875" s="442"/>
      <c r="P25875" s="235"/>
      <c r="AI25875" s="38"/>
    </row>
    <row r="25876" ht="15.75" customHeight="1">
      <c r="A25876" s="35"/>
      <c r="C25876" s="442"/>
      <c r="P25876" s="235"/>
      <c r="AI25876" s="38"/>
    </row>
    <row r="25877" ht="15.75" customHeight="1">
      <c r="A25877" s="35"/>
      <c r="C25877" s="442"/>
      <c r="P25877" s="235"/>
      <c r="AI25877" s="38"/>
    </row>
    <row r="25878" ht="15.75" customHeight="1">
      <c r="A25878" s="35"/>
      <c r="C25878" s="442"/>
      <c r="P25878" s="235"/>
      <c r="AI25878" s="38"/>
    </row>
    <row r="25879" ht="15.75" customHeight="1">
      <c r="A25879" s="35"/>
      <c r="C25879" s="442"/>
      <c r="P25879" s="235"/>
      <c r="AI25879" s="38"/>
    </row>
    <row r="25880" ht="15.75" customHeight="1">
      <c r="A25880" s="35"/>
      <c r="C25880" s="442"/>
      <c r="P25880" s="235"/>
      <c r="AI25880" s="38"/>
    </row>
    <row r="25881" ht="15.75" customHeight="1">
      <c r="A25881" s="35"/>
      <c r="C25881" s="442"/>
      <c r="P25881" s="235"/>
      <c r="AI25881" s="38"/>
    </row>
    <row r="25882" ht="15.75" customHeight="1">
      <c r="A25882" s="35"/>
      <c r="C25882" s="442"/>
      <c r="P25882" s="235"/>
      <c r="AI25882" s="38"/>
    </row>
    <row r="25883" ht="15.75" customHeight="1">
      <c r="A25883" s="35"/>
      <c r="C25883" s="442"/>
      <c r="P25883" s="235"/>
      <c r="AI25883" s="38"/>
    </row>
    <row r="25884" ht="15.75" customHeight="1">
      <c r="A25884" s="35"/>
      <c r="C25884" s="442"/>
      <c r="P25884" s="235"/>
      <c r="AI25884" s="38"/>
    </row>
    <row r="25885" ht="15.75" customHeight="1">
      <c r="A25885" s="35"/>
      <c r="C25885" s="442"/>
      <c r="P25885" s="235"/>
      <c r="AI25885" s="38"/>
    </row>
    <row r="25886" ht="15.75" customHeight="1">
      <c r="A25886" s="35"/>
      <c r="C25886" s="442"/>
      <c r="P25886" s="235"/>
      <c r="AI25886" s="38"/>
    </row>
    <row r="25887" ht="15.75" customHeight="1">
      <c r="A25887" s="35"/>
      <c r="C25887" s="442"/>
      <c r="P25887" s="235"/>
      <c r="AI25887" s="38"/>
    </row>
    <row r="25888" ht="15.75" customHeight="1">
      <c r="A25888" s="35"/>
      <c r="C25888" s="442"/>
      <c r="P25888" s="235"/>
      <c r="AI25888" s="38"/>
    </row>
    <row r="25889" ht="15.75" customHeight="1">
      <c r="A25889" s="35"/>
      <c r="C25889" s="442"/>
      <c r="P25889" s="235"/>
      <c r="AI25889" s="38"/>
    </row>
    <row r="25890" ht="15.75" customHeight="1">
      <c r="A25890" s="35"/>
      <c r="C25890" s="442"/>
      <c r="P25890" s="235"/>
      <c r="AI25890" s="38"/>
    </row>
    <row r="25891" ht="15.75" customHeight="1">
      <c r="A25891" s="35"/>
      <c r="C25891" s="442"/>
      <c r="P25891" s="235"/>
      <c r="AI25891" s="38"/>
    </row>
    <row r="25892" ht="15.75" customHeight="1">
      <c r="A25892" s="35"/>
      <c r="C25892" s="442"/>
      <c r="P25892" s="235"/>
      <c r="AI25892" s="38"/>
    </row>
    <row r="25893" ht="15.75" customHeight="1">
      <c r="A25893" s="35"/>
      <c r="C25893" s="442"/>
      <c r="P25893" s="235"/>
      <c r="AI25893" s="38"/>
    </row>
    <row r="25894" ht="15.75" customHeight="1">
      <c r="A25894" s="35"/>
      <c r="C25894" s="442"/>
      <c r="P25894" s="235"/>
      <c r="AI25894" s="38"/>
    </row>
    <row r="25895" ht="15.75" customHeight="1">
      <c r="A25895" s="35"/>
      <c r="C25895" s="442"/>
      <c r="P25895" s="235"/>
      <c r="AI25895" s="38"/>
    </row>
    <row r="25896" ht="15.75" customHeight="1">
      <c r="A25896" s="35"/>
      <c r="C25896" s="442"/>
      <c r="P25896" s="235"/>
      <c r="AI25896" s="38"/>
    </row>
    <row r="25897" ht="15.75" customHeight="1">
      <c r="A25897" s="35"/>
      <c r="C25897" s="442"/>
      <c r="P25897" s="235"/>
      <c r="AI25897" s="38"/>
    </row>
    <row r="25898" ht="15.75" customHeight="1">
      <c r="A25898" s="35"/>
      <c r="C25898" s="442"/>
      <c r="P25898" s="235"/>
      <c r="AI25898" s="38"/>
    </row>
    <row r="25899" ht="15.75" customHeight="1">
      <c r="A25899" s="35"/>
      <c r="C25899" s="442"/>
      <c r="P25899" s="235"/>
      <c r="AI25899" s="38"/>
    </row>
    <row r="25900" ht="15.75" customHeight="1">
      <c r="A25900" s="35"/>
      <c r="C25900" s="442"/>
      <c r="P25900" s="235"/>
      <c r="AI25900" s="38"/>
    </row>
    <row r="25901" ht="15.75" customHeight="1">
      <c r="A25901" s="35"/>
      <c r="C25901" s="442"/>
      <c r="P25901" s="235"/>
      <c r="AI25901" s="38"/>
    </row>
    <row r="25902" ht="15.75" customHeight="1">
      <c r="A25902" s="35"/>
      <c r="C25902" s="442"/>
      <c r="P25902" s="235"/>
      <c r="AI25902" s="38"/>
    </row>
    <row r="25903" ht="15.75" customHeight="1">
      <c r="A25903" s="35"/>
      <c r="C25903" s="442"/>
      <c r="P25903" s="235"/>
      <c r="AI25903" s="38"/>
    </row>
    <row r="25904" ht="15.75" customHeight="1">
      <c r="A25904" s="35"/>
      <c r="C25904" s="442"/>
      <c r="P25904" s="235"/>
      <c r="AI25904" s="38"/>
    </row>
    <row r="25905" ht="15.75" customHeight="1">
      <c r="A25905" s="35"/>
      <c r="C25905" s="442"/>
      <c r="P25905" s="235"/>
      <c r="AI25905" s="38"/>
    </row>
    <row r="25906" ht="15.75" customHeight="1">
      <c r="A25906" s="35"/>
      <c r="C25906" s="442"/>
      <c r="P25906" s="235"/>
      <c r="AI25906" s="38"/>
    </row>
    <row r="25907" ht="15.75" customHeight="1">
      <c r="A25907" s="35"/>
      <c r="C25907" s="442"/>
      <c r="P25907" s="235"/>
      <c r="AI25907" s="38"/>
    </row>
    <row r="25908" ht="15.75" customHeight="1">
      <c r="A25908" s="35"/>
      <c r="C25908" s="442"/>
      <c r="P25908" s="235"/>
      <c r="AI25908" s="38"/>
    </row>
    <row r="25909" ht="15.75" customHeight="1">
      <c r="A25909" s="35"/>
      <c r="C25909" s="442"/>
      <c r="P25909" s="235"/>
      <c r="AI25909" s="38"/>
    </row>
    <row r="25910" ht="15.75" customHeight="1">
      <c r="A25910" s="35"/>
      <c r="C25910" s="442"/>
      <c r="P25910" s="235"/>
      <c r="AI25910" s="38"/>
    </row>
    <row r="25911" ht="15.75" customHeight="1">
      <c r="A25911" s="35"/>
      <c r="C25911" s="442"/>
      <c r="P25911" s="235"/>
      <c r="AI25911" s="38"/>
    </row>
    <row r="25912" ht="15.75" customHeight="1">
      <c r="A25912" s="35"/>
      <c r="C25912" s="442"/>
      <c r="P25912" s="235"/>
      <c r="AI25912" s="38"/>
    </row>
    <row r="25913" ht="15.75" customHeight="1">
      <c r="A25913" s="35"/>
      <c r="C25913" s="442"/>
      <c r="P25913" s="235"/>
      <c r="AI25913" s="38"/>
    </row>
    <row r="25914" ht="15.75" customHeight="1">
      <c r="A25914" s="35"/>
      <c r="C25914" s="442"/>
      <c r="P25914" s="235"/>
      <c r="AI25914" s="38"/>
    </row>
    <row r="25915" ht="15.75" customHeight="1">
      <c r="A25915" s="35"/>
      <c r="C25915" s="442"/>
      <c r="P25915" s="235"/>
      <c r="AI25915" s="38"/>
    </row>
    <row r="25916" ht="15.75" customHeight="1">
      <c r="A25916" s="35"/>
      <c r="C25916" s="442"/>
      <c r="P25916" s="235"/>
      <c r="AI25916" s="38"/>
    </row>
    <row r="25917" ht="15.75" customHeight="1">
      <c r="A25917" s="35"/>
      <c r="C25917" s="442"/>
      <c r="P25917" s="235"/>
      <c r="AI25917" s="38"/>
    </row>
    <row r="25918" ht="15.75" customHeight="1">
      <c r="A25918" s="35"/>
      <c r="C25918" s="442"/>
      <c r="P25918" s="235"/>
      <c r="AI25918" s="38"/>
    </row>
    <row r="25919" ht="15.75" customHeight="1">
      <c r="A25919" s="35"/>
      <c r="C25919" s="442"/>
      <c r="P25919" s="235"/>
      <c r="AI25919" s="38"/>
    </row>
    <row r="25920" ht="15.75" customHeight="1">
      <c r="A25920" s="35"/>
      <c r="C25920" s="442"/>
      <c r="P25920" s="235"/>
      <c r="AI25920" s="38"/>
    </row>
    <row r="25921" ht="15.75" customHeight="1">
      <c r="A25921" s="35"/>
      <c r="C25921" s="442"/>
      <c r="P25921" s="235"/>
      <c r="AI25921" s="38"/>
    </row>
    <row r="25922" ht="15.75" customHeight="1">
      <c r="A25922" s="35"/>
      <c r="C25922" s="442"/>
      <c r="P25922" s="235"/>
      <c r="AI25922" s="38"/>
    </row>
    <row r="25923" ht="15.75" customHeight="1">
      <c r="A25923" s="35"/>
      <c r="C25923" s="442"/>
      <c r="P25923" s="235"/>
      <c r="AI25923" s="38"/>
    </row>
    <row r="25924" ht="15.75" customHeight="1">
      <c r="A25924" s="35"/>
      <c r="C25924" s="442"/>
      <c r="P25924" s="235"/>
      <c r="AI25924" s="38"/>
    </row>
    <row r="25925" ht="15.75" customHeight="1">
      <c r="A25925" s="35"/>
      <c r="C25925" s="442"/>
      <c r="P25925" s="235"/>
      <c r="AI25925" s="38"/>
    </row>
    <row r="25926" ht="15.75" customHeight="1">
      <c r="A25926" s="35"/>
      <c r="C25926" s="442"/>
      <c r="P25926" s="235"/>
      <c r="AI25926" s="38"/>
    </row>
    <row r="25927" ht="15.75" customHeight="1">
      <c r="A25927" s="35"/>
      <c r="C25927" s="442"/>
      <c r="P25927" s="235"/>
      <c r="AI25927" s="38"/>
    </row>
    <row r="25928" ht="15.75" customHeight="1">
      <c r="A25928" s="35"/>
      <c r="C25928" s="442"/>
      <c r="P25928" s="235"/>
      <c r="AI25928" s="38"/>
    </row>
    <row r="25929" ht="15.75" customHeight="1">
      <c r="A25929" s="35"/>
      <c r="C25929" s="442"/>
      <c r="P25929" s="235"/>
      <c r="AI25929" s="38"/>
    </row>
    <row r="25930" ht="15.75" customHeight="1">
      <c r="A25930" s="35"/>
      <c r="C25930" s="442"/>
      <c r="P25930" s="235"/>
      <c r="AI25930" s="38"/>
    </row>
    <row r="25931" ht="15.75" customHeight="1">
      <c r="A25931" s="35"/>
      <c r="C25931" s="442"/>
      <c r="P25931" s="235"/>
      <c r="AI25931" s="38"/>
    </row>
    <row r="25932" ht="15.75" customHeight="1">
      <c r="A25932" s="35"/>
      <c r="C25932" s="442"/>
      <c r="P25932" s="235"/>
      <c r="AI25932" s="38"/>
    </row>
    <row r="25933" ht="15.75" customHeight="1">
      <c r="A25933" s="35"/>
      <c r="C25933" s="442"/>
      <c r="P25933" s="235"/>
      <c r="AI25933" s="38"/>
    </row>
    <row r="25934" ht="15.75" customHeight="1">
      <c r="A25934" s="35"/>
      <c r="C25934" s="442"/>
      <c r="P25934" s="235"/>
      <c r="AI25934" s="38"/>
    </row>
    <row r="25935" ht="15.75" customHeight="1">
      <c r="A25935" s="35"/>
      <c r="C25935" s="442"/>
      <c r="P25935" s="235"/>
      <c r="AI25935" s="38"/>
    </row>
    <row r="25936" ht="15.75" customHeight="1">
      <c r="A25936" s="35"/>
      <c r="C25936" s="442"/>
      <c r="P25936" s="235"/>
      <c r="AI25936" s="38"/>
    </row>
    <row r="25937" ht="15.75" customHeight="1">
      <c r="A25937" s="35"/>
      <c r="C25937" s="442"/>
      <c r="P25937" s="235"/>
      <c r="AI25937" s="38"/>
    </row>
    <row r="25938" ht="15.75" customHeight="1">
      <c r="A25938" s="35"/>
      <c r="C25938" s="442"/>
      <c r="P25938" s="235"/>
      <c r="AI25938" s="38"/>
    </row>
    <row r="25939" ht="15.75" customHeight="1">
      <c r="A25939" s="35"/>
      <c r="C25939" s="442"/>
      <c r="P25939" s="235"/>
      <c r="AI25939" s="38"/>
    </row>
    <row r="25940" ht="15.75" customHeight="1">
      <c r="A25940" s="35"/>
      <c r="C25940" s="442"/>
      <c r="P25940" s="235"/>
      <c r="AI25940" s="38"/>
    </row>
    <row r="25941" ht="15.75" customHeight="1">
      <c r="A25941" s="35"/>
      <c r="C25941" s="442"/>
      <c r="P25941" s="235"/>
      <c r="AI25941" s="38"/>
    </row>
    <row r="25942" ht="15.75" customHeight="1">
      <c r="A25942" s="35"/>
      <c r="C25942" s="442"/>
      <c r="P25942" s="235"/>
      <c r="AI25942" s="38"/>
    </row>
    <row r="25943" ht="15.75" customHeight="1">
      <c r="A25943" s="35"/>
      <c r="C25943" s="442"/>
      <c r="P25943" s="235"/>
      <c r="AI25943" s="38"/>
    </row>
    <row r="25944" ht="15.75" customHeight="1">
      <c r="A25944" s="35"/>
      <c r="C25944" s="442"/>
      <c r="P25944" s="235"/>
      <c r="AI25944" s="38"/>
    </row>
    <row r="25945" ht="15.75" customHeight="1">
      <c r="A25945" s="35"/>
      <c r="C25945" s="442"/>
      <c r="P25945" s="235"/>
      <c r="AI25945" s="38"/>
    </row>
    <row r="25946" ht="15.75" customHeight="1">
      <c r="A25946" s="35"/>
      <c r="C25946" s="442"/>
      <c r="P25946" s="235"/>
      <c r="AI25946" s="38"/>
    </row>
    <row r="25947" ht="15.75" customHeight="1">
      <c r="A25947" s="35"/>
      <c r="C25947" s="442"/>
      <c r="P25947" s="235"/>
      <c r="AI25947" s="38"/>
    </row>
    <row r="25948" ht="15.75" customHeight="1">
      <c r="A25948" s="35"/>
      <c r="C25948" s="442"/>
      <c r="P25948" s="235"/>
      <c r="AI25948" s="38"/>
    </row>
    <row r="25949" ht="15.75" customHeight="1">
      <c r="A25949" s="35"/>
      <c r="C25949" s="442"/>
      <c r="P25949" s="235"/>
      <c r="AI25949" s="38"/>
    </row>
    <row r="25950" ht="15.75" customHeight="1">
      <c r="A25950" s="35"/>
      <c r="C25950" s="442"/>
      <c r="P25950" s="235"/>
      <c r="AI25950" s="38"/>
    </row>
    <row r="25951" ht="15.75" customHeight="1">
      <c r="A25951" s="35"/>
      <c r="C25951" s="442"/>
      <c r="P25951" s="235"/>
      <c r="AI25951" s="38"/>
    </row>
    <row r="25952" ht="15.75" customHeight="1">
      <c r="A25952" s="35"/>
      <c r="C25952" s="442"/>
      <c r="P25952" s="235"/>
      <c r="AI25952" s="38"/>
    </row>
    <row r="25953" ht="15.75" customHeight="1">
      <c r="A25953" s="35"/>
      <c r="C25953" s="442"/>
      <c r="P25953" s="235"/>
      <c r="AI25953" s="38"/>
    </row>
    <row r="25954" ht="15.75" customHeight="1">
      <c r="A25954" s="35"/>
      <c r="C25954" s="442"/>
      <c r="P25954" s="235"/>
      <c r="AI25954" s="38"/>
    </row>
    <row r="25955" ht="15.75" customHeight="1">
      <c r="A25955" s="35"/>
      <c r="C25955" s="442"/>
      <c r="P25955" s="235"/>
      <c r="AI25955" s="38"/>
    </row>
    <row r="25956" ht="15.75" customHeight="1">
      <c r="A25956" s="35"/>
      <c r="C25956" s="442"/>
      <c r="P25956" s="235"/>
      <c r="AI25956" s="38"/>
    </row>
    <row r="25957" ht="15.75" customHeight="1">
      <c r="A25957" s="35"/>
      <c r="C25957" s="442"/>
      <c r="P25957" s="235"/>
      <c r="AI25957" s="38"/>
    </row>
    <row r="25958" ht="15.75" customHeight="1">
      <c r="A25958" s="35"/>
      <c r="C25958" s="442"/>
      <c r="P25958" s="235"/>
      <c r="AI25958" s="38"/>
    </row>
    <row r="25959" ht="15.75" customHeight="1">
      <c r="A25959" s="35"/>
      <c r="C25959" s="442"/>
      <c r="P25959" s="235"/>
      <c r="AI25959" s="38"/>
    </row>
    <row r="25960" ht="15.75" customHeight="1">
      <c r="A25960" s="35"/>
      <c r="C25960" s="442"/>
      <c r="P25960" s="235"/>
      <c r="AI25960" s="38"/>
    </row>
    <row r="25961" ht="15.75" customHeight="1">
      <c r="A25961" s="35"/>
      <c r="C25961" s="442"/>
      <c r="P25961" s="235"/>
      <c r="AI25961" s="38"/>
    </row>
    <row r="25962" ht="15.75" customHeight="1">
      <c r="A25962" s="35"/>
      <c r="C25962" s="442"/>
      <c r="P25962" s="235"/>
      <c r="AI25962" s="38"/>
    </row>
    <row r="25963" ht="15.75" customHeight="1">
      <c r="A25963" s="35"/>
      <c r="C25963" s="442"/>
      <c r="P25963" s="235"/>
      <c r="AI25963" s="38"/>
    </row>
    <row r="25964" ht="15.75" customHeight="1">
      <c r="A25964" s="35"/>
      <c r="C25964" s="442"/>
      <c r="P25964" s="235"/>
      <c r="AI25964" s="38"/>
    </row>
    <row r="25965" ht="15.75" customHeight="1">
      <c r="A25965" s="35"/>
      <c r="C25965" s="442"/>
      <c r="P25965" s="235"/>
      <c r="AI25965" s="38"/>
    </row>
    <row r="25966" ht="15.75" customHeight="1">
      <c r="A25966" s="35"/>
      <c r="C25966" s="442"/>
      <c r="P25966" s="235"/>
      <c r="AI25966" s="38"/>
    </row>
    <row r="25967" ht="15.75" customHeight="1">
      <c r="A25967" s="35"/>
      <c r="C25967" s="442"/>
      <c r="P25967" s="235"/>
      <c r="AI25967" s="38"/>
    </row>
    <row r="25968" ht="15.75" customHeight="1">
      <c r="A25968" s="35"/>
      <c r="C25968" s="442"/>
      <c r="P25968" s="235"/>
      <c r="AI25968" s="38"/>
    </row>
    <row r="25969" ht="15.75" customHeight="1">
      <c r="A25969" s="35"/>
      <c r="C25969" s="442"/>
      <c r="P25969" s="235"/>
      <c r="AI25969" s="38"/>
    </row>
    <row r="25970" ht="15.75" customHeight="1">
      <c r="A25970" s="35"/>
      <c r="C25970" s="442"/>
      <c r="P25970" s="235"/>
      <c r="AI25970" s="38"/>
    </row>
    <row r="25971" ht="15.75" customHeight="1">
      <c r="A25971" s="35"/>
      <c r="C25971" s="442"/>
      <c r="P25971" s="235"/>
      <c r="AI25971" s="38"/>
    </row>
    <row r="25972" ht="15.75" customHeight="1">
      <c r="A25972" s="35"/>
      <c r="C25972" s="442"/>
      <c r="P25972" s="235"/>
      <c r="AI25972" s="38"/>
    </row>
    <row r="25973" ht="15.75" customHeight="1">
      <c r="A25973" s="35"/>
      <c r="C25973" s="442"/>
      <c r="P25973" s="235"/>
      <c r="AI25973" s="38"/>
    </row>
    <row r="25974" ht="15.75" customHeight="1">
      <c r="A25974" s="35"/>
      <c r="C25974" s="442"/>
      <c r="P25974" s="235"/>
      <c r="AI25974" s="38"/>
    </row>
    <row r="25975" ht="15.75" customHeight="1">
      <c r="A25975" s="35"/>
      <c r="C25975" s="442"/>
      <c r="P25975" s="235"/>
      <c r="AI25975" s="38"/>
    </row>
    <row r="25976" ht="15.75" customHeight="1">
      <c r="A25976" s="35"/>
      <c r="C25976" s="442"/>
      <c r="P25976" s="235"/>
      <c r="AI25976" s="38"/>
    </row>
    <row r="25977" ht="15.75" customHeight="1">
      <c r="A25977" s="35"/>
      <c r="C25977" s="442"/>
      <c r="P25977" s="235"/>
      <c r="AI25977" s="38"/>
    </row>
    <row r="25978" ht="15.75" customHeight="1">
      <c r="A25978" s="35"/>
      <c r="C25978" s="442"/>
      <c r="P25978" s="235"/>
      <c r="AI25978" s="38"/>
    </row>
    <row r="25979" ht="15.75" customHeight="1">
      <c r="A25979" s="35"/>
      <c r="C25979" s="442"/>
      <c r="P25979" s="235"/>
      <c r="AI25979" s="38"/>
    </row>
    <row r="25980" ht="15.75" customHeight="1">
      <c r="A25980" s="35"/>
      <c r="C25980" s="442"/>
      <c r="P25980" s="235"/>
      <c r="AI25980" s="38"/>
    </row>
    <row r="25981" ht="15.75" customHeight="1">
      <c r="A25981" s="35"/>
      <c r="C25981" s="442"/>
      <c r="P25981" s="235"/>
      <c r="AI25981" s="38"/>
    </row>
    <row r="25982" ht="15.75" customHeight="1">
      <c r="A25982" s="35"/>
      <c r="C25982" s="442"/>
      <c r="P25982" s="235"/>
      <c r="AI25982" s="38"/>
    </row>
    <row r="25983" ht="15.75" customHeight="1">
      <c r="A25983" s="35"/>
      <c r="C25983" s="442"/>
      <c r="P25983" s="235"/>
      <c r="AI25983" s="38"/>
    </row>
    <row r="25984" ht="15.75" customHeight="1">
      <c r="A25984" s="35"/>
      <c r="C25984" s="442"/>
      <c r="P25984" s="235"/>
      <c r="AI25984" s="38"/>
    </row>
    <row r="25985" ht="15.75" customHeight="1">
      <c r="A25985" s="35"/>
      <c r="C25985" s="442"/>
      <c r="P25985" s="235"/>
      <c r="AI25985" s="38"/>
    </row>
    <row r="25986" ht="15.75" customHeight="1">
      <c r="A25986" s="35"/>
      <c r="C25986" s="442"/>
      <c r="P25986" s="235"/>
      <c r="AI25986" s="38"/>
    </row>
    <row r="25987" ht="15.75" customHeight="1">
      <c r="A25987" s="35"/>
      <c r="C25987" s="442"/>
      <c r="P25987" s="235"/>
      <c r="AI25987" s="38"/>
    </row>
    <row r="25988" ht="15.75" customHeight="1">
      <c r="A25988" s="35"/>
      <c r="C25988" s="442"/>
      <c r="P25988" s="235"/>
      <c r="AI25988" s="38"/>
    </row>
    <row r="25989" ht="15.75" customHeight="1">
      <c r="A25989" s="35"/>
      <c r="C25989" s="442"/>
      <c r="P25989" s="235"/>
      <c r="AI25989" s="38"/>
    </row>
    <row r="25990" ht="15.75" customHeight="1">
      <c r="A25990" s="35"/>
      <c r="C25990" s="442"/>
      <c r="P25990" s="235"/>
      <c r="AI25990" s="38"/>
    </row>
    <row r="25991" ht="15.75" customHeight="1">
      <c r="A25991" s="35"/>
      <c r="C25991" s="442"/>
      <c r="P25991" s="235"/>
      <c r="AI25991" s="38"/>
    </row>
    <row r="25992" ht="15.75" customHeight="1">
      <c r="A25992" s="35"/>
      <c r="C25992" s="442"/>
      <c r="P25992" s="235"/>
      <c r="AI25992" s="38"/>
    </row>
    <row r="25993" ht="15.75" customHeight="1">
      <c r="A25993" s="35"/>
      <c r="C25993" s="442"/>
      <c r="P25993" s="235"/>
      <c r="AI25993" s="38"/>
    </row>
    <row r="25994" ht="15.75" customHeight="1">
      <c r="A25994" s="35"/>
      <c r="C25994" s="442"/>
      <c r="P25994" s="235"/>
      <c r="AI25994" s="38"/>
    </row>
    <row r="25995" ht="15.75" customHeight="1">
      <c r="A25995" s="35"/>
      <c r="C25995" s="442"/>
      <c r="P25995" s="235"/>
      <c r="AI25995" s="38"/>
    </row>
    <row r="25996" ht="15.75" customHeight="1">
      <c r="A25996" s="35"/>
      <c r="C25996" s="442"/>
      <c r="P25996" s="235"/>
      <c r="AI25996" s="38"/>
    </row>
    <row r="25997" ht="15.75" customHeight="1">
      <c r="A25997" s="35"/>
      <c r="C25997" s="442"/>
      <c r="P25997" s="235"/>
      <c r="AI25997" s="38"/>
    </row>
    <row r="25998" ht="15.75" customHeight="1">
      <c r="A25998" s="35"/>
      <c r="C25998" s="442"/>
      <c r="P25998" s="235"/>
      <c r="AI25998" s="38"/>
    </row>
    <row r="25999" ht="15.75" customHeight="1">
      <c r="A25999" s="35"/>
      <c r="C25999" s="442"/>
      <c r="P25999" s="235"/>
      <c r="AI25999" s="38"/>
    </row>
    <row r="26000" ht="15.75" customHeight="1">
      <c r="A26000" s="35"/>
      <c r="C26000" s="442"/>
      <c r="P26000" s="235"/>
      <c r="AI26000" s="38"/>
    </row>
    <row r="26001" ht="15.75" customHeight="1">
      <c r="A26001" s="35"/>
      <c r="C26001" s="442"/>
      <c r="P26001" s="235"/>
      <c r="AI26001" s="38"/>
    </row>
    <row r="26002" ht="15.75" customHeight="1">
      <c r="A26002" s="35"/>
      <c r="C26002" s="442"/>
      <c r="P26002" s="235"/>
      <c r="AI26002" s="38"/>
    </row>
    <row r="26003" ht="15.75" customHeight="1">
      <c r="A26003" s="35"/>
      <c r="C26003" s="442"/>
      <c r="P26003" s="235"/>
      <c r="AI26003" s="38"/>
    </row>
    <row r="26004" ht="15.75" customHeight="1">
      <c r="A26004" s="35"/>
      <c r="C26004" s="442"/>
      <c r="P26004" s="235"/>
      <c r="AI26004" s="38"/>
    </row>
    <row r="26005" ht="15.75" customHeight="1">
      <c r="A26005" s="35"/>
      <c r="C26005" s="442"/>
      <c r="P26005" s="235"/>
      <c r="AI26005" s="38"/>
    </row>
    <row r="26006" ht="15.75" customHeight="1">
      <c r="A26006" s="35"/>
      <c r="C26006" s="442"/>
      <c r="P26006" s="235"/>
      <c r="AI26006" s="38"/>
    </row>
    <row r="26007" ht="15.75" customHeight="1">
      <c r="A26007" s="35"/>
      <c r="C26007" s="442"/>
      <c r="P26007" s="235"/>
      <c r="AI26007" s="38"/>
    </row>
    <row r="26008" ht="15.75" customHeight="1">
      <c r="A26008" s="35"/>
      <c r="C26008" s="442"/>
      <c r="P26008" s="235"/>
      <c r="AI26008" s="38"/>
    </row>
    <row r="26009" ht="15.75" customHeight="1">
      <c r="A26009" s="35"/>
      <c r="C26009" s="442"/>
      <c r="P26009" s="235"/>
      <c r="AI26009" s="38"/>
    </row>
    <row r="26010" ht="15.75" customHeight="1">
      <c r="A26010" s="35"/>
      <c r="C26010" s="442"/>
      <c r="P26010" s="235"/>
      <c r="AI26010" s="38"/>
    </row>
    <row r="26011" ht="15.75" customHeight="1">
      <c r="A26011" s="35"/>
      <c r="C26011" s="442"/>
      <c r="P26011" s="235"/>
      <c r="AI26011" s="38"/>
    </row>
    <row r="26012" ht="15.75" customHeight="1">
      <c r="A26012" s="35"/>
      <c r="C26012" s="442"/>
      <c r="P26012" s="235"/>
      <c r="AI26012" s="38"/>
    </row>
    <row r="26013" ht="15.75" customHeight="1">
      <c r="A26013" s="35"/>
      <c r="C26013" s="442"/>
      <c r="P26013" s="235"/>
      <c r="AI26013" s="38"/>
    </row>
    <row r="26014" ht="15.75" customHeight="1">
      <c r="A26014" s="35"/>
      <c r="C26014" s="442"/>
      <c r="P26014" s="235"/>
      <c r="AI26014" s="38"/>
    </row>
    <row r="26015" ht="15.75" customHeight="1">
      <c r="A26015" s="35"/>
      <c r="C26015" s="442"/>
      <c r="P26015" s="235"/>
      <c r="AI26015" s="38"/>
    </row>
    <row r="26016" ht="15.75" customHeight="1">
      <c r="A26016" s="35"/>
      <c r="C26016" s="442"/>
      <c r="P26016" s="235"/>
      <c r="AI26016" s="38"/>
    </row>
    <row r="26017" ht="15.75" customHeight="1">
      <c r="A26017" s="35"/>
      <c r="C26017" s="442"/>
      <c r="P26017" s="235"/>
      <c r="AI26017" s="38"/>
    </row>
    <row r="26018" ht="15.75" customHeight="1">
      <c r="A26018" s="35"/>
      <c r="C26018" s="442"/>
      <c r="P26018" s="235"/>
      <c r="AI26018" s="38"/>
    </row>
    <row r="26019" ht="15.75" customHeight="1">
      <c r="A26019" s="35"/>
      <c r="C26019" s="442"/>
      <c r="P26019" s="235"/>
      <c r="AI26019" s="38"/>
    </row>
    <row r="26020" ht="15.75" customHeight="1">
      <c r="A26020" s="35"/>
      <c r="C26020" s="442"/>
      <c r="P26020" s="235"/>
      <c r="AI26020" s="38"/>
    </row>
    <row r="26021" ht="15.75" customHeight="1">
      <c r="A26021" s="35"/>
      <c r="C26021" s="442"/>
      <c r="P26021" s="235"/>
      <c r="AI26021" s="38"/>
    </row>
    <row r="26022" ht="15.75" customHeight="1">
      <c r="A26022" s="35"/>
      <c r="C26022" s="442"/>
      <c r="P26022" s="235"/>
      <c r="AI26022" s="38"/>
    </row>
    <row r="26023" ht="15.75" customHeight="1">
      <c r="A26023" s="35"/>
      <c r="C26023" s="442"/>
      <c r="P26023" s="235"/>
      <c r="AI26023" s="38"/>
    </row>
    <row r="26024" ht="15.75" customHeight="1">
      <c r="A26024" s="35"/>
      <c r="C26024" s="442"/>
      <c r="P26024" s="235"/>
      <c r="AI26024" s="38"/>
    </row>
    <row r="26025" ht="15.75" customHeight="1">
      <c r="A26025" s="35"/>
      <c r="C26025" s="442"/>
      <c r="P26025" s="235"/>
      <c r="AI26025" s="38"/>
    </row>
    <row r="26026" ht="15.75" customHeight="1">
      <c r="A26026" s="35"/>
      <c r="C26026" s="442"/>
      <c r="P26026" s="235"/>
      <c r="AI26026" s="38"/>
    </row>
    <row r="26027" ht="15.75" customHeight="1">
      <c r="A26027" s="35"/>
      <c r="C26027" s="442"/>
      <c r="P26027" s="235"/>
      <c r="AI26027" s="38"/>
    </row>
    <row r="26028" ht="15.75" customHeight="1">
      <c r="A26028" s="35"/>
      <c r="C26028" s="442"/>
      <c r="P26028" s="235"/>
      <c r="AI26028" s="38"/>
    </row>
    <row r="26029" ht="15.75" customHeight="1">
      <c r="A26029" s="35"/>
      <c r="C26029" s="442"/>
      <c r="P26029" s="235"/>
      <c r="AI26029" s="38"/>
    </row>
    <row r="26030" ht="15.75" customHeight="1">
      <c r="A26030" s="35"/>
      <c r="C26030" s="442"/>
      <c r="P26030" s="235"/>
      <c r="AI26030" s="38"/>
    </row>
    <row r="26031" ht="15.75" customHeight="1">
      <c r="A26031" s="35"/>
      <c r="C26031" s="442"/>
      <c r="P26031" s="235"/>
      <c r="AI26031" s="38"/>
    </row>
    <row r="26032" ht="15.75" customHeight="1">
      <c r="A26032" s="35"/>
      <c r="C26032" s="442"/>
      <c r="P26032" s="235"/>
      <c r="AI26032" s="38"/>
    </row>
    <row r="26033" ht="15.75" customHeight="1">
      <c r="A26033" s="35"/>
      <c r="C26033" s="442"/>
      <c r="P26033" s="235"/>
      <c r="AI26033" s="38"/>
    </row>
    <row r="26034" ht="15.75" customHeight="1">
      <c r="A26034" s="35"/>
      <c r="C26034" s="442"/>
      <c r="P26034" s="235"/>
      <c r="AI26034" s="38"/>
    </row>
    <row r="26035" ht="15.75" customHeight="1">
      <c r="A26035" s="35"/>
      <c r="C26035" s="442"/>
      <c r="P26035" s="235"/>
      <c r="AI26035" s="38"/>
    </row>
    <row r="26036" ht="15.75" customHeight="1">
      <c r="A26036" s="35"/>
      <c r="C26036" s="442"/>
      <c r="P26036" s="235"/>
      <c r="AI26036" s="38"/>
    </row>
    <row r="26037" ht="15.75" customHeight="1">
      <c r="A26037" s="35"/>
      <c r="C26037" s="442"/>
      <c r="P26037" s="235"/>
      <c r="AI26037" s="38"/>
    </row>
    <row r="26038" ht="15.75" customHeight="1">
      <c r="A26038" s="35"/>
      <c r="C26038" s="442"/>
      <c r="P26038" s="235"/>
      <c r="AI26038" s="38"/>
    </row>
    <row r="26039" ht="15.75" customHeight="1">
      <c r="A26039" s="35"/>
      <c r="C26039" s="442"/>
      <c r="P26039" s="235"/>
      <c r="AI26039" s="38"/>
    </row>
    <row r="26040" ht="15.75" customHeight="1">
      <c r="A26040" s="35"/>
      <c r="C26040" s="442"/>
      <c r="P26040" s="235"/>
      <c r="AI26040" s="38"/>
    </row>
    <row r="26041" ht="15.75" customHeight="1">
      <c r="A26041" s="35"/>
      <c r="C26041" s="442"/>
      <c r="P26041" s="235"/>
      <c r="AI26041" s="38"/>
    </row>
    <row r="26042" ht="15.75" customHeight="1">
      <c r="A26042" s="35"/>
      <c r="C26042" s="442"/>
      <c r="P26042" s="235"/>
      <c r="AI26042" s="38"/>
    </row>
    <row r="26043" ht="15.75" customHeight="1">
      <c r="A26043" s="35"/>
      <c r="C26043" s="442"/>
      <c r="P26043" s="235"/>
      <c r="AI26043" s="38"/>
    </row>
    <row r="26044" ht="15.75" customHeight="1">
      <c r="A26044" s="35"/>
      <c r="C26044" s="442"/>
      <c r="P26044" s="235"/>
      <c r="AI26044" s="38"/>
    </row>
    <row r="26045" ht="15.75" customHeight="1">
      <c r="A26045" s="35"/>
      <c r="C26045" s="442"/>
      <c r="P26045" s="235"/>
      <c r="AI26045" s="38"/>
    </row>
    <row r="26046" ht="15.75" customHeight="1">
      <c r="A26046" s="35"/>
      <c r="C26046" s="442"/>
      <c r="P26046" s="235"/>
      <c r="AI26046" s="38"/>
    </row>
    <row r="26047" ht="15.75" customHeight="1">
      <c r="A26047" s="35"/>
      <c r="C26047" s="442"/>
      <c r="P26047" s="235"/>
      <c r="AI26047" s="38"/>
    </row>
    <row r="26048" ht="15.75" customHeight="1">
      <c r="A26048" s="35"/>
      <c r="C26048" s="442"/>
      <c r="P26048" s="235"/>
      <c r="AI26048" s="38"/>
    </row>
    <row r="26049" ht="15.75" customHeight="1">
      <c r="A26049" s="35"/>
      <c r="C26049" s="442"/>
      <c r="P26049" s="235"/>
      <c r="AI26049" s="38"/>
    </row>
    <row r="26050" ht="15.75" customHeight="1">
      <c r="A26050" s="35"/>
      <c r="C26050" s="442"/>
      <c r="P26050" s="235"/>
      <c r="AI26050" s="38"/>
    </row>
    <row r="26051" ht="15.75" customHeight="1">
      <c r="A26051" s="35"/>
      <c r="C26051" s="442"/>
      <c r="P26051" s="235"/>
      <c r="AI26051" s="38"/>
    </row>
    <row r="26052" ht="15.75" customHeight="1">
      <c r="A26052" s="35"/>
      <c r="C26052" s="442"/>
      <c r="P26052" s="235"/>
      <c r="AI26052" s="38"/>
    </row>
    <row r="26053" ht="15.75" customHeight="1">
      <c r="A26053" s="35"/>
      <c r="C26053" s="442"/>
      <c r="P26053" s="235"/>
      <c r="AI26053" s="38"/>
    </row>
    <row r="26054" ht="15.75" customHeight="1">
      <c r="A26054" s="35"/>
      <c r="C26054" s="442"/>
      <c r="P26054" s="235"/>
      <c r="AI26054" s="38"/>
    </row>
    <row r="26055" ht="15.75" customHeight="1">
      <c r="A26055" s="35"/>
      <c r="C26055" s="442"/>
      <c r="P26055" s="235"/>
      <c r="AI26055" s="38"/>
    </row>
    <row r="26056" ht="15.75" customHeight="1">
      <c r="A26056" s="35"/>
      <c r="C26056" s="442"/>
      <c r="P26056" s="235"/>
      <c r="AI26056" s="38"/>
    </row>
    <row r="26057" ht="15.75" customHeight="1">
      <c r="A26057" s="35"/>
      <c r="C26057" s="442"/>
      <c r="P26057" s="235"/>
      <c r="AI26057" s="38"/>
    </row>
    <row r="26058" ht="15.75" customHeight="1">
      <c r="A26058" s="35"/>
      <c r="C26058" s="442"/>
      <c r="P26058" s="235"/>
      <c r="AI26058" s="38"/>
    </row>
    <row r="26059" ht="15.75" customHeight="1">
      <c r="A26059" s="35"/>
      <c r="C26059" s="442"/>
      <c r="P26059" s="235"/>
      <c r="AI26059" s="38"/>
    </row>
    <row r="26060" ht="15.75" customHeight="1">
      <c r="A26060" s="35"/>
      <c r="C26060" s="442"/>
      <c r="P26060" s="235"/>
      <c r="AI26060" s="38"/>
    </row>
    <row r="26061" ht="15.75" customHeight="1">
      <c r="A26061" s="35"/>
      <c r="C26061" s="442"/>
      <c r="P26061" s="235"/>
      <c r="AI26061" s="38"/>
    </row>
    <row r="26062" ht="15.75" customHeight="1">
      <c r="A26062" s="35"/>
      <c r="C26062" s="442"/>
      <c r="P26062" s="235"/>
      <c r="AI26062" s="38"/>
    </row>
    <row r="26063" ht="15.75" customHeight="1">
      <c r="A26063" s="35"/>
      <c r="C26063" s="442"/>
      <c r="P26063" s="235"/>
      <c r="AI26063" s="38"/>
    </row>
    <row r="26064" ht="15.75" customHeight="1">
      <c r="A26064" s="35"/>
      <c r="C26064" s="442"/>
      <c r="P26064" s="235"/>
      <c r="AI26064" s="38"/>
    </row>
    <row r="26065" ht="15.75" customHeight="1">
      <c r="A26065" s="35"/>
      <c r="C26065" s="442"/>
      <c r="P26065" s="235"/>
      <c r="AI26065" s="38"/>
    </row>
    <row r="26066" ht="15.75" customHeight="1">
      <c r="A26066" s="35"/>
      <c r="C26066" s="442"/>
      <c r="P26066" s="235"/>
      <c r="AI26066" s="38"/>
    </row>
    <row r="26067" ht="15.75" customHeight="1">
      <c r="A26067" s="35"/>
      <c r="C26067" s="442"/>
      <c r="P26067" s="235"/>
      <c r="AI26067" s="38"/>
    </row>
    <row r="26068" ht="15.75" customHeight="1">
      <c r="A26068" s="35"/>
      <c r="C26068" s="442"/>
      <c r="P26068" s="235"/>
      <c r="AI26068" s="38"/>
    </row>
    <row r="26069" ht="15.75" customHeight="1">
      <c r="A26069" s="35"/>
      <c r="C26069" s="442"/>
      <c r="P26069" s="235"/>
      <c r="AI26069" s="38"/>
    </row>
    <row r="26070" ht="15.75" customHeight="1">
      <c r="A26070" s="35"/>
      <c r="C26070" s="442"/>
      <c r="P26070" s="235"/>
      <c r="AI26070" s="38"/>
    </row>
    <row r="26071" ht="15.75" customHeight="1">
      <c r="A26071" s="35"/>
      <c r="C26071" s="442"/>
      <c r="P26071" s="235"/>
      <c r="AI26071" s="38"/>
    </row>
    <row r="26072" ht="15.75" customHeight="1">
      <c r="A26072" s="35"/>
      <c r="C26072" s="442"/>
      <c r="P26072" s="235"/>
      <c r="AI26072" s="38"/>
    </row>
    <row r="26073" ht="15.75" customHeight="1">
      <c r="A26073" s="35"/>
      <c r="C26073" s="442"/>
      <c r="P26073" s="235"/>
      <c r="AI26073" s="38"/>
    </row>
    <row r="26074" ht="15.75" customHeight="1">
      <c r="A26074" s="35"/>
      <c r="C26074" s="442"/>
      <c r="P26074" s="235"/>
      <c r="AI26074" s="38"/>
    </row>
    <row r="26075" ht="15.75" customHeight="1">
      <c r="A26075" s="35"/>
      <c r="C26075" s="442"/>
      <c r="P26075" s="235"/>
      <c r="AI26075" s="38"/>
    </row>
    <row r="26076" ht="15.75" customHeight="1">
      <c r="A26076" s="35"/>
      <c r="C26076" s="442"/>
      <c r="P26076" s="235"/>
      <c r="AI26076" s="38"/>
    </row>
    <row r="26077" ht="15.75" customHeight="1">
      <c r="A26077" s="35"/>
      <c r="C26077" s="442"/>
      <c r="P26077" s="235"/>
      <c r="AI26077" s="38"/>
    </row>
    <row r="26078" ht="15.75" customHeight="1">
      <c r="A26078" s="35"/>
      <c r="C26078" s="442"/>
      <c r="P26078" s="235"/>
      <c r="AI26078" s="38"/>
    </row>
    <row r="26079" ht="15.75" customHeight="1">
      <c r="A26079" s="35"/>
      <c r="C26079" s="442"/>
      <c r="P26079" s="235"/>
      <c r="AI26079" s="38"/>
    </row>
    <row r="26080" ht="15.75" customHeight="1">
      <c r="A26080" s="35"/>
      <c r="C26080" s="442"/>
      <c r="P26080" s="235"/>
      <c r="AI26080" s="38"/>
    </row>
    <row r="26081" ht="15.75" customHeight="1">
      <c r="A26081" s="35"/>
      <c r="C26081" s="442"/>
      <c r="P26081" s="235"/>
      <c r="AI26081" s="38"/>
    </row>
    <row r="26082" ht="15.75" customHeight="1">
      <c r="A26082" s="35"/>
      <c r="C26082" s="442"/>
      <c r="P26082" s="235"/>
      <c r="AI26082" s="38"/>
    </row>
    <row r="26083" ht="15.75" customHeight="1">
      <c r="A26083" s="35"/>
      <c r="C26083" s="442"/>
      <c r="P26083" s="235"/>
      <c r="AI26083" s="38"/>
    </row>
    <row r="26084" ht="15.75" customHeight="1">
      <c r="A26084" s="35"/>
      <c r="C26084" s="442"/>
      <c r="P26084" s="235"/>
      <c r="AI26084" s="38"/>
    </row>
    <row r="26085" ht="15.75" customHeight="1">
      <c r="A26085" s="35"/>
      <c r="C26085" s="442"/>
      <c r="P26085" s="235"/>
      <c r="AI26085" s="38"/>
    </row>
    <row r="26086" ht="15.75" customHeight="1">
      <c r="A26086" s="35"/>
      <c r="C26086" s="442"/>
      <c r="P26086" s="235"/>
      <c r="AI26086" s="38"/>
    </row>
    <row r="26087" ht="15.75" customHeight="1">
      <c r="A26087" s="35"/>
      <c r="C26087" s="442"/>
      <c r="P26087" s="235"/>
      <c r="AI26087" s="38"/>
    </row>
    <row r="26088" ht="15.75" customHeight="1">
      <c r="A26088" s="35"/>
      <c r="C26088" s="442"/>
      <c r="P26088" s="235"/>
      <c r="AI26088" s="38"/>
    </row>
    <row r="26089" ht="15.75" customHeight="1">
      <c r="A26089" s="35"/>
      <c r="C26089" s="442"/>
      <c r="P26089" s="235"/>
      <c r="AI26089" s="38"/>
    </row>
    <row r="26090" ht="15.75" customHeight="1">
      <c r="A26090" s="35"/>
      <c r="C26090" s="442"/>
      <c r="P26090" s="235"/>
      <c r="AI26090" s="38"/>
    </row>
    <row r="26091" ht="15.75" customHeight="1">
      <c r="A26091" s="35"/>
      <c r="C26091" s="442"/>
      <c r="P26091" s="235"/>
      <c r="AI26091" s="38"/>
    </row>
    <row r="26092" ht="15.75" customHeight="1">
      <c r="A26092" s="35"/>
      <c r="C26092" s="442"/>
      <c r="P26092" s="235"/>
      <c r="AI26092" s="38"/>
    </row>
    <row r="26093" ht="15.75" customHeight="1">
      <c r="A26093" s="35"/>
      <c r="C26093" s="442"/>
      <c r="P26093" s="235"/>
      <c r="AI26093" s="38"/>
    </row>
    <row r="26094" ht="15.75" customHeight="1">
      <c r="A26094" s="35"/>
      <c r="C26094" s="442"/>
      <c r="P26094" s="235"/>
      <c r="AI26094" s="38"/>
    </row>
    <row r="26095" ht="15.75" customHeight="1">
      <c r="A26095" s="35"/>
      <c r="C26095" s="442"/>
      <c r="P26095" s="235"/>
      <c r="AI26095" s="38"/>
    </row>
    <row r="26096" ht="15.75" customHeight="1">
      <c r="A26096" s="35"/>
      <c r="C26096" s="442"/>
      <c r="P26096" s="235"/>
      <c r="AI26096" s="38"/>
    </row>
    <row r="26097" ht="15.75" customHeight="1">
      <c r="A26097" s="35"/>
      <c r="C26097" s="442"/>
      <c r="P26097" s="235"/>
      <c r="AI26097" s="38"/>
    </row>
    <row r="26098" ht="15.75" customHeight="1">
      <c r="A26098" s="35"/>
      <c r="C26098" s="442"/>
      <c r="P26098" s="235"/>
      <c r="AI26098" s="38"/>
    </row>
    <row r="26099" ht="15.75" customHeight="1">
      <c r="A26099" s="35"/>
      <c r="C26099" s="442"/>
      <c r="P26099" s="235"/>
      <c r="AI26099" s="38"/>
    </row>
    <row r="26100" ht="15.75" customHeight="1">
      <c r="A26100" s="35"/>
      <c r="C26100" s="442"/>
      <c r="P26100" s="235"/>
      <c r="AI26100" s="38"/>
    </row>
    <row r="26101" ht="15.75" customHeight="1">
      <c r="A26101" s="35"/>
      <c r="C26101" s="442"/>
      <c r="P26101" s="235"/>
      <c r="AI26101" s="38"/>
    </row>
    <row r="26102" ht="15.75" customHeight="1">
      <c r="A26102" s="35"/>
      <c r="C26102" s="442"/>
      <c r="P26102" s="235"/>
      <c r="AI26102" s="38"/>
    </row>
    <row r="26103" ht="15.75" customHeight="1">
      <c r="A26103" s="35"/>
      <c r="C26103" s="442"/>
      <c r="P26103" s="235"/>
      <c r="AI26103" s="38"/>
    </row>
    <row r="26104" ht="15.75" customHeight="1">
      <c r="A26104" s="35"/>
      <c r="C26104" s="442"/>
      <c r="P26104" s="235"/>
      <c r="AI26104" s="38"/>
    </row>
    <row r="26105" ht="15.75" customHeight="1">
      <c r="A26105" s="35"/>
      <c r="C26105" s="442"/>
      <c r="P26105" s="235"/>
      <c r="AI26105" s="38"/>
    </row>
    <row r="26106" ht="15.75" customHeight="1">
      <c r="A26106" s="35"/>
      <c r="C26106" s="442"/>
      <c r="P26106" s="235"/>
      <c r="AI26106" s="38"/>
    </row>
    <row r="26107" ht="15.75" customHeight="1">
      <c r="A26107" s="35"/>
      <c r="C26107" s="442"/>
      <c r="P26107" s="235"/>
      <c r="AI26107" s="38"/>
    </row>
    <row r="26108" ht="15.75" customHeight="1">
      <c r="A26108" s="35"/>
      <c r="C26108" s="442"/>
      <c r="P26108" s="235"/>
      <c r="AI26108" s="38"/>
    </row>
    <row r="26109" ht="15.75" customHeight="1">
      <c r="A26109" s="35"/>
      <c r="C26109" s="442"/>
      <c r="P26109" s="235"/>
      <c r="AI26109" s="38"/>
    </row>
    <row r="26110" ht="15.75" customHeight="1">
      <c r="A26110" s="35"/>
      <c r="C26110" s="442"/>
      <c r="P26110" s="235"/>
      <c r="AI26110" s="38"/>
    </row>
    <row r="26111" ht="15.75" customHeight="1">
      <c r="A26111" s="35"/>
      <c r="C26111" s="442"/>
      <c r="P26111" s="235"/>
      <c r="AI26111" s="38"/>
    </row>
    <row r="26112" ht="15.75" customHeight="1">
      <c r="A26112" s="35"/>
      <c r="C26112" s="442"/>
      <c r="P26112" s="235"/>
      <c r="AI26112" s="38"/>
    </row>
    <row r="26113" ht="15.75" customHeight="1">
      <c r="A26113" s="35"/>
      <c r="C26113" s="442"/>
      <c r="P26113" s="235"/>
      <c r="AI26113" s="38"/>
    </row>
    <row r="26114" ht="15.75" customHeight="1">
      <c r="A26114" s="35"/>
      <c r="C26114" s="442"/>
      <c r="P26114" s="235"/>
      <c r="AI26114" s="38"/>
    </row>
    <row r="26115" ht="15.75" customHeight="1">
      <c r="A26115" s="35"/>
      <c r="C26115" s="442"/>
      <c r="P26115" s="235"/>
      <c r="AI26115" s="38"/>
    </row>
    <row r="26116" ht="15.75" customHeight="1">
      <c r="A26116" s="35"/>
      <c r="C26116" s="442"/>
      <c r="P26116" s="235"/>
      <c r="AI26116" s="38"/>
    </row>
    <row r="26117" ht="15.75" customHeight="1">
      <c r="A26117" s="35"/>
      <c r="C26117" s="442"/>
      <c r="P26117" s="235"/>
      <c r="AI26117" s="38"/>
    </row>
    <row r="26118" ht="15.75" customHeight="1">
      <c r="A26118" s="35"/>
      <c r="C26118" s="442"/>
      <c r="P26118" s="235"/>
      <c r="AI26118" s="38"/>
    </row>
    <row r="26119" ht="15.75" customHeight="1">
      <c r="A26119" s="35"/>
      <c r="C26119" s="442"/>
      <c r="P26119" s="235"/>
      <c r="AI26119" s="38"/>
    </row>
    <row r="26120" ht="15.75" customHeight="1">
      <c r="A26120" s="35"/>
      <c r="C26120" s="442"/>
      <c r="P26120" s="235"/>
      <c r="AI26120" s="38"/>
    </row>
    <row r="26121" ht="15.75" customHeight="1">
      <c r="A26121" s="35"/>
      <c r="C26121" s="442"/>
      <c r="P26121" s="235"/>
      <c r="AI26121" s="38"/>
    </row>
    <row r="26122" ht="15.75" customHeight="1">
      <c r="A26122" s="35"/>
      <c r="C26122" s="442"/>
      <c r="P26122" s="235"/>
      <c r="AI26122" s="38"/>
    </row>
    <row r="26123" ht="15.75" customHeight="1">
      <c r="A26123" s="35"/>
      <c r="C26123" s="442"/>
      <c r="P26123" s="235"/>
      <c r="AI26123" s="38"/>
    </row>
    <row r="26124" ht="15.75" customHeight="1">
      <c r="A26124" s="35"/>
      <c r="C26124" s="442"/>
      <c r="P26124" s="235"/>
      <c r="AI26124" s="38"/>
    </row>
    <row r="26125" ht="15.75" customHeight="1">
      <c r="A26125" s="35"/>
      <c r="C26125" s="442"/>
      <c r="P26125" s="235"/>
      <c r="AI26125" s="38"/>
    </row>
    <row r="26126" ht="15.75" customHeight="1">
      <c r="A26126" s="35"/>
      <c r="C26126" s="442"/>
      <c r="P26126" s="235"/>
      <c r="AI26126" s="38"/>
    </row>
    <row r="26127" ht="15.75" customHeight="1">
      <c r="A26127" s="35"/>
      <c r="C26127" s="442"/>
      <c r="P26127" s="235"/>
      <c r="AI26127" s="38"/>
    </row>
    <row r="26128" ht="15.75" customHeight="1">
      <c r="A26128" s="35"/>
      <c r="C26128" s="442"/>
      <c r="P26128" s="235"/>
      <c r="AI26128" s="38"/>
    </row>
    <row r="26129" ht="15.75" customHeight="1">
      <c r="A26129" s="35"/>
      <c r="C26129" s="442"/>
      <c r="P26129" s="235"/>
      <c r="AI26129" s="38"/>
    </row>
    <row r="26130" ht="15.75" customHeight="1">
      <c r="A26130" s="35"/>
      <c r="C26130" s="442"/>
      <c r="P26130" s="235"/>
      <c r="AI26130" s="38"/>
    </row>
    <row r="26131" ht="15.75" customHeight="1">
      <c r="A26131" s="35"/>
      <c r="C26131" s="442"/>
      <c r="P26131" s="235"/>
      <c r="AI26131" s="38"/>
    </row>
    <row r="26132" ht="15.75" customHeight="1">
      <c r="A26132" s="35"/>
      <c r="C26132" s="442"/>
      <c r="P26132" s="235"/>
      <c r="AI26132" s="38"/>
    </row>
    <row r="26133" ht="15.75" customHeight="1">
      <c r="A26133" s="35"/>
      <c r="C26133" s="442"/>
      <c r="P26133" s="235"/>
      <c r="AI26133" s="38"/>
    </row>
    <row r="26134" ht="15.75" customHeight="1">
      <c r="A26134" s="35"/>
      <c r="C26134" s="442"/>
      <c r="P26134" s="235"/>
      <c r="AI26134" s="38"/>
    </row>
    <row r="26135" ht="15.75" customHeight="1">
      <c r="A26135" s="35"/>
      <c r="C26135" s="442"/>
      <c r="P26135" s="235"/>
      <c r="AI26135" s="38"/>
    </row>
    <row r="26136" ht="15.75" customHeight="1">
      <c r="A26136" s="35"/>
      <c r="C26136" s="442"/>
      <c r="P26136" s="235"/>
      <c r="AI26136" s="38"/>
    </row>
    <row r="26137" ht="15.75" customHeight="1">
      <c r="A26137" s="35"/>
      <c r="C26137" s="442"/>
      <c r="P26137" s="235"/>
      <c r="AI26137" s="38"/>
    </row>
    <row r="26138" ht="15.75" customHeight="1">
      <c r="A26138" s="35"/>
      <c r="C26138" s="442"/>
      <c r="P26138" s="235"/>
      <c r="AI26138" s="38"/>
    </row>
    <row r="26139" ht="15.75" customHeight="1">
      <c r="A26139" s="35"/>
      <c r="C26139" s="442"/>
      <c r="P26139" s="235"/>
      <c r="AI26139" s="38"/>
    </row>
    <row r="26140" ht="15.75" customHeight="1">
      <c r="A26140" s="35"/>
      <c r="C26140" s="442"/>
      <c r="P26140" s="235"/>
      <c r="AI26140" s="38"/>
    </row>
    <row r="26141" ht="15.75" customHeight="1">
      <c r="A26141" s="35"/>
      <c r="C26141" s="442"/>
      <c r="P26141" s="235"/>
      <c r="AI26141" s="38"/>
    </row>
    <row r="26142" ht="15.75" customHeight="1">
      <c r="A26142" s="35"/>
      <c r="C26142" s="442"/>
      <c r="P26142" s="235"/>
      <c r="AI26142" s="38"/>
    </row>
    <row r="26143" ht="15.75" customHeight="1">
      <c r="A26143" s="35"/>
      <c r="C26143" s="442"/>
      <c r="P26143" s="235"/>
      <c r="AI26143" s="38"/>
    </row>
    <row r="26144" ht="15.75" customHeight="1">
      <c r="A26144" s="35"/>
      <c r="C26144" s="442"/>
      <c r="P26144" s="235"/>
      <c r="AI26144" s="38"/>
    </row>
    <row r="26145" ht="15.75" customHeight="1">
      <c r="A26145" s="35"/>
      <c r="C26145" s="442"/>
      <c r="P26145" s="235"/>
      <c r="AI26145" s="38"/>
    </row>
    <row r="26146" ht="15.75" customHeight="1">
      <c r="A26146" s="35"/>
      <c r="C26146" s="442"/>
      <c r="P26146" s="235"/>
      <c r="AI26146" s="38"/>
    </row>
    <row r="26147" ht="15.75" customHeight="1">
      <c r="A26147" s="35"/>
      <c r="C26147" s="442"/>
      <c r="P26147" s="235"/>
      <c r="AI26147" s="38"/>
    </row>
    <row r="26148" ht="15.75" customHeight="1">
      <c r="A26148" s="35"/>
      <c r="C26148" s="442"/>
      <c r="P26148" s="235"/>
      <c r="AI26148" s="38"/>
    </row>
    <row r="26149" ht="15.75" customHeight="1">
      <c r="A26149" s="35"/>
      <c r="C26149" s="442"/>
      <c r="P26149" s="235"/>
      <c r="AI26149" s="38"/>
    </row>
    <row r="26150" ht="15.75" customHeight="1">
      <c r="A26150" s="35"/>
      <c r="C26150" s="442"/>
      <c r="P26150" s="235"/>
      <c r="AI26150" s="38"/>
    </row>
    <row r="26151" ht="15.75" customHeight="1">
      <c r="A26151" s="35"/>
      <c r="C26151" s="442"/>
      <c r="P26151" s="235"/>
      <c r="AI26151" s="38"/>
    </row>
    <row r="26152" ht="15.75" customHeight="1">
      <c r="A26152" s="35"/>
      <c r="C26152" s="442"/>
      <c r="P26152" s="235"/>
      <c r="AI26152" s="38"/>
    </row>
    <row r="26153" ht="15.75" customHeight="1">
      <c r="A26153" s="35"/>
      <c r="C26153" s="442"/>
      <c r="P26153" s="235"/>
      <c r="AI26153" s="38"/>
    </row>
    <row r="26154" ht="15.75" customHeight="1">
      <c r="A26154" s="35"/>
      <c r="C26154" s="442"/>
      <c r="P26154" s="235"/>
      <c r="AI26154" s="38"/>
    </row>
    <row r="26155" ht="15.75" customHeight="1">
      <c r="A26155" s="35"/>
      <c r="C26155" s="442"/>
      <c r="P26155" s="235"/>
      <c r="AI26155" s="38"/>
    </row>
    <row r="26156" ht="15.75" customHeight="1">
      <c r="A26156" s="35"/>
      <c r="C26156" s="442"/>
      <c r="P26156" s="235"/>
      <c r="AI26156" s="38"/>
    </row>
    <row r="26157" ht="15.75" customHeight="1">
      <c r="A26157" s="35"/>
      <c r="C26157" s="442"/>
      <c r="P26157" s="235"/>
      <c r="AI26157" s="38"/>
    </row>
    <row r="26158" ht="15.75" customHeight="1">
      <c r="A26158" s="35"/>
      <c r="C26158" s="442"/>
      <c r="P26158" s="235"/>
      <c r="AI26158" s="38"/>
    </row>
    <row r="26159" ht="15.75" customHeight="1">
      <c r="A26159" s="35"/>
      <c r="C26159" s="442"/>
      <c r="P26159" s="235"/>
      <c r="AI26159" s="38"/>
    </row>
    <row r="26160" ht="15.75" customHeight="1">
      <c r="A26160" s="35"/>
      <c r="C26160" s="442"/>
      <c r="P26160" s="235"/>
      <c r="AI26160" s="38"/>
    </row>
    <row r="26161" ht="15.75" customHeight="1">
      <c r="A26161" s="35"/>
      <c r="C26161" s="442"/>
      <c r="P26161" s="235"/>
      <c r="AI26161" s="38"/>
    </row>
    <row r="26162" ht="15.75" customHeight="1">
      <c r="A26162" s="35"/>
      <c r="C26162" s="442"/>
      <c r="P26162" s="235"/>
      <c r="AI26162" s="38"/>
    </row>
    <row r="26163" ht="15.75" customHeight="1">
      <c r="A26163" s="35"/>
      <c r="C26163" s="442"/>
      <c r="P26163" s="235"/>
      <c r="AI26163" s="38"/>
    </row>
    <row r="26164" ht="15.75" customHeight="1">
      <c r="A26164" s="35"/>
      <c r="C26164" s="442"/>
      <c r="P26164" s="235"/>
      <c r="AI26164" s="38"/>
    </row>
    <row r="26165" ht="15.75" customHeight="1">
      <c r="A26165" s="35"/>
      <c r="C26165" s="442"/>
      <c r="P26165" s="235"/>
      <c r="AI26165" s="38"/>
    </row>
    <row r="26166" ht="15.75" customHeight="1">
      <c r="A26166" s="35"/>
      <c r="C26166" s="442"/>
      <c r="P26166" s="235"/>
      <c r="AI26166" s="38"/>
    </row>
    <row r="26167" ht="15.75" customHeight="1">
      <c r="A26167" s="35"/>
      <c r="C26167" s="442"/>
      <c r="P26167" s="235"/>
      <c r="AI26167" s="38"/>
    </row>
    <row r="26168" ht="15.75" customHeight="1">
      <c r="A26168" s="35"/>
      <c r="C26168" s="442"/>
      <c r="P26168" s="235"/>
      <c r="AI26168" s="38"/>
    </row>
    <row r="26169" ht="15.75" customHeight="1">
      <c r="A26169" s="35"/>
      <c r="C26169" s="442"/>
      <c r="P26169" s="235"/>
      <c r="AI26169" s="38"/>
    </row>
    <row r="26170" ht="15.75" customHeight="1">
      <c r="A26170" s="35"/>
      <c r="C26170" s="442"/>
      <c r="P26170" s="235"/>
      <c r="AI26170" s="38"/>
    </row>
    <row r="26171" ht="15.75" customHeight="1">
      <c r="A26171" s="35"/>
      <c r="C26171" s="442"/>
      <c r="P26171" s="235"/>
      <c r="AI26171" s="38"/>
    </row>
    <row r="26172" ht="15.75" customHeight="1">
      <c r="A26172" s="35"/>
      <c r="C26172" s="442"/>
      <c r="P26172" s="235"/>
      <c r="AI26172" s="38"/>
    </row>
    <row r="26173" ht="15.75" customHeight="1">
      <c r="A26173" s="35"/>
      <c r="C26173" s="442"/>
      <c r="P26173" s="235"/>
      <c r="AI26173" s="38"/>
    </row>
    <row r="26174" ht="15.75" customHeight="1">
      <c r="A26174" s="35"/>
      <c r="C26174" s="442"/>
      <c r="P26174" s="235"/>
      <c r="AI26174" s="38"/>
    </row>
    <row r="26175" ht="15.75" customHeight="1">
      <c r="A26175" s="35"/>
      <c r="C26175" s="442"/>
      <c r="P26175" s="235"/>
      <c r="AI26175" s="38"/>
    </row>
    <row r="26176" ht="15.75" customHeight="1">
      <c r="A26176" s="35"/>
      <c r="C26176" s="442"/>
      <c r="P26176" s="235"/>
      <c r="AI26176" s="38"/>
    </row>
    <row r="26177" ht="15.75" customHeight="1">
      <c r="A26177" s="35"/>
      <c r="C26177" s="442"/>
      <c r="P26177" s="235"/>
      <c r="AI26177" s="38"/>
    </row>
    <row r="26178" ht="15.75" customHeight="1">
      <c r="A26178" s="35"/>
      <c r="C26178" s="442"/>
      <c r="P26178" s="235"/>
      <c r="AI26178" s="38"/>
    </row>
    <row r="26179" ht="15.75" customHeight="1">
      <c r="A26179" s="35"/>
      <c r="C26179" s="442"/>
      <c r="P26179" s="235"/>
      <c r="AI26179" s="38"/>
    </row>
    <row r="26180" ht="15.75" customHeight="1">
      <c r="A26180" s="35"/>
      <c r="C26180" s="442"/>
      <c r="P26180" s="235"/>
      <c r="AI26180" s="38"/>
    </row>
    <row r="26181" ht="15.75" customHeight="1">
      <c r="A26181" s="35"/>
      <c r="C26181" s="442"/>
      <c r="P26181" s="235"/>
      <c r="AI26181" s="38"/>
    </row>
    <row r="26182" ht="15.75" customHeight="1">
      <c r="A26182" s="35"/>
      <c r="C26182" s="442"/>
      <c r="P26182" s="235"/>
      <c r="AI26182" s="38"/>
    </row>
    <row r="26183" ht="15.75" customHeight="1">
      <c r="A26183" s="35"/>
      <c r="C26183" s="442"/>
      <c r="P26183" s="235"/>
      <c r="AI26183" s="38"/>
    </row>
    <row r="26184" ht="15.75" customHeight="1">
      <c r="A26184" s="35"/>
      <c r="C26184" s="442"/>
      <c r="P26184" s="235"/>
      <c r="AI26184" s="38"/>
    </row>
    <row r="26185" ht="15.75" customHeight="1">
      <c r="A26185" s="35"/>
      <c r="C26185" s="442"/>
      <c r="P26185" s="235"/>
      <c r="AI26185" s="38"/>
    </row>
    <row r="26186" ht="15.75" customHeight="1">
      <c r="A26186" s="35"/>
      <c r="C26186" s="442"/>
      <c r="P26186" s="235"/>
      <c r="AI26186" s="38"/>
    </row>
    <row r="26187" ht="15.75" customHeight="1">
      <c r="A26187" s="35"/>
      <c r="C26187" s="442"/>
      <c r="P26187" s="235"/>
      <c r="AI26187" s="38"/>
    </row>
    <row r="26188" ht="15.75" customHeight="1">
      <c r="A26188" s="35"/>
      <c r="C26188" s="442"/>
      <c r="P26188" s="235"/>
      <c r="AI26188" s="38"/>
    </row>
    <row r="26189" ht="15.75" customHeight="1">
      <c r="A26189" s="35"/>
      <c r="C26189" s="442"/>
      <c r="P26189" s="235"/>
      <c r="AI26189" s="38"/>
    </row>
    <row r="26190" ht="15.75" customHeight="1">
      <c r="A26190" s="35"/>
      <c r="C26190" s="442"/>
      <c r="P26190" s="235"/>
      <c r="AI26190" s="38"/>
    </row>
    <row r="26191" ht="15.75" customHeight="1">
      <c r="A26191" s="35"/>
      <c r="C26191" s="442"/>
      <c r="P26191" s="235"/>
      <c r="AI26191" s="38"/>
    </row>
    <row r="26192" ht="15.75" customHeight="1">
      <c r="A26192" s="35"/>
      <c r="C26192" s="442"/>
      <c r="P26192" s="235"/>
      <c r="AI26192" s="38"/>
    </row>
    <row r="26193" ht="15.75" customHeight="1">
      <c r="A26193" s="35"/>
      <c r="C26193" s="442"/>
      <c r="P26193" s="235"/>
      <c r="AI26193" s="38"/>
    </row>
    <row r="26194" ht="15.75" customHeight="1">
      <c r="A26194" s="35"/>
      <c r="C26194" s="442"/>
      <c r="P26194" s="235"/>
      <c r="AI26194" s="38"/>
    </row>
    <row r="26195" ht="15.75" customHeight="1">
      <c r="A26195" s="35"/>
      <c r="C26195" s="442"/>
      <c r="P26195" s="235"/>
      <c r="AI26195" s="38"/>
    </row>
    <row r="26196" ht="15.75" customHeight="1">
      <c r="A26196" s="35"/>
      <c r="C26196" s="442"/>
      <c r="P26196" s="235"/>
      <c r="AI26196" s="38"/>
    </row>
    <row r="26197" ht="15.75" customHeight="1">
      <c r="A26197" s="35"/>
      <c r="C26197" s="442"/>
      <c r="P26197" s="235"/>
      <c r="AI26197" s="38"/>
    </row>
    <row r="26198" ht="15.75" customHeight="1">
      <c r="A26198" s="35"/>
      <c r="C26198" s="442"/>
      <c r="P26198" s="235"/>
      <c r="AI26198" s="38"/>
    </row>
    <row r="26199" ht="15.75" customHeight="1">
      <c r="A26199" s="35"/>
      <c r="C26199" s="442"/>
      <c r="P26199" s="235"/>
      <c r="AI26199" s="38"/>
    </row>
    <row r="26200" ht="15.75" customHeight="1">
      <c r="A26200" s="35"/>
      <c r="C26200" s="442"/>
      <c r="P26200" s="235"/>
      <c r="AI26200" s="38"/>
    </row>
    <row r="26201" ht="15.75" customHeight="1">
      <c r="A26201" s="35"/>
      <c r="C26201" s="442"/>
      <c r="P26201" s="235"/>
      <c r="AI26201" s="38"/>
    </row>
    <row r="26202" ht="15.75" customHeight="1">
      <c r="A26202" s="35"/>
      <c r="C26202" s="442"/>
      <c r="P26202" s="235"/>
      <c r="AI26202" s="38"/>
    </row>
    <row r="26203" ht="15.75" customHeight="1">
      <c r="A26203" s="35"/>
      <c r="C26203" s="442"/>
      <c r="P26203" s="235"/>
      <c r="AI26203" s="38"/>
    </row>
    <row r="26204" ht="15.75" customHeight="1">
      <c r="A26204" s="35"/>
      <c r="C26204" s="442"/>
      <c r="P26204" s="235"/>
      <c r="AI26204" s="38"/>
    </row>
    <row r="26205" ht="15.75" customHeight="1">
      <c r="A26205" s="35"/>
      <c r="C26205" s="442"/>
      <c r="P26205" s="235"/>
      <c r="AI26205" s="38"/>
    </row>
    <row r="26206" ht="15.75" customHeight="1">
      <c r="A26206" s="35"/>
      <c r="C26206" s="442"/>
      <c r="P26206" s="235"/>
      <c r="AI26206" s="38"/>
    </row>
    <row r="26207" ht="15.75" customHeight="1">
      <c r="A26207" s="35"/>
      <c r="C26207" s="442"/>
      <c r="P26207" s="235"/>
      <c r="AI26207" s="38"/>
    </row>
    <row r="26208" ht="15.75" customHeight="1">
      <c r="A26208" s="35"/>
      <c r="C26208" s="442"/>
      <c r="P26208" s="235"/>
      <c r="AI26208" s="38"/>
    </row>
    <row r="26209" ht="15.75" customHeight="1">
      <c r="A26209" s="35"/>
      <c r="C26209" s="442"/>
      <c r="P26209" s="235"/>
      <c r="AI26209" s="38"/>
    </row>
    <row r="26210" ht="15.75" customHeight="1">
      <c r="A26210" s="35"/>
      <c r="C26210" s="442"/>
      <c r="P26210" s="235"/>
      <c r="AI26210" s="38"/>
    </row>
    <row r="26211" ht="15.75" customHeight="1">
      <c r="A26211" s="35"/>
      <c r="C26211" s="442"/>
      <c r="P26211" s="235"/>
      <c r="AI26211" s="38"/>
    </row>
    <row r="26212" ht="15.75" customHeight="1">
      <c r="A26212" s="35"/>
      <c r="C26212" s="442"/>
      <c r="P26212" s="235"/>
      <c r="AI26212" s="38"/>
    </row>
    <row r="26213" ht="15.75" customHeight="1">
      <c r="A26213" s="35"/>
      <c r="C26213" s="442"/>
      <c r="P26213" s="235"/>
      <c r="AI26213" s="38"/>
    </row>
    <row r="26214" ht="15.75" customHeight="1">
      <c r="A26214" s="35"/>
      <c r="C26214" s="442"/>
      <c r="P26214" s="235"/>
      <c r="AI26214" s="38"/>
    </row>
    <row r="26215" ht="15.75" customHeight="1">
      <c r="A26215" s="35"/>
      <c r="C26215" s="442"/>
      <c r="P26215" s="235"/>
      <c r="AI26215" s="38"/>
    </row>
    <row r="26216" ht="15.75" customHeight="1">
      <c r="A26216" s="35"/>
      <c r="C26216" s="442"/>
      <c r="P26216" s="235"/>
      <c r="AI26216" s="38"/>
    </row>
    <row r="26217" ht="15.75" customHeight="1">
      <c r="A26217" s="35"/>
      <c r="C26217" s="442"/>
      <c r="P26217" s="235"/>
      <c r="AI26217" s="38"/>
    </row>
    <row r="26218" ht="15.75" customHeight="1">
      <c r="A26218" s="35"/>
      <c r="C26218" s="442"/>
      <c r="P26218" s="235"/>
      <c r="AI26218" s="38"/>
    </row>
    <row r="26219" ht="15.75" customHeight="1">
      <c r="A26219" s="35"/>
      <c r="C26219" s="442"/>
      <c r="P26219" s="235"/>
      <c r="AI26219" s="38"/>
    </row>
    <row r="26220" ht="15.75" customHeight="1">
      <c r="A26220" s="35"/>
      <c r="C26220" s="442"/>
      <c r="P26220" s="235"/>
      <c r="AI26220" s="38"/>
    </row>
    <row r="26221" ht="15.75" customHeight="1">
      <c r="A26221" s="35"/>
      <c r="C26221" s="442"/>
      <c r="P26221" s="235"/>
      <c r="AI26221" s="38"/>
    </row>
    <row r="26222" ht="15.75" customHeight="1">
      <c r="A26222" s="35"/>
      <c r="C26222" s="442"/>
      <c r="P26222" s="235"/>
      <c r="AI26222" s="38"/>
    </row>
    <row r="26223" ht="15.75" customHeight="1">
      <c r="A26223" s="35"/>
      <c r="C26223" s="442"/>
      <c r="P26223" s="235"/>
      <c r="AI26223" s="38"/>
    </row>
    <row r="26224" ht="15.75" customHeight="1">
      <c r="A26224" s="35"/>
      <c r="C26224" s="442"/>
      <c r="P26224" s="235"/>
      <c r="AI26224" s="38"/>
    </row>
    <row r="26225" ht="15.75" customHeight="1">
      <c r="A26225" s="35"/>
      <c r="C26225" s="442"/>
      <c r="P26225" s="235"/>
      <c r="AI26225" s="38"/>
    </row>
    <row r="26226" ht="15.75" customHeight="1">
      <c r="A26226" s="35"/>
      <c r="C26226" s="442"/>
      <c r="P26226" s="235"/>
      <c r="AI26226" s="38"/>
    </row>
    <row r="26227" ht="15.75" customHeight="1">
      <c r="A26227" s="35"/>
      <c r="C26227" s="442"/>
      <c r="P26227" s="235"/>
      <c r="AI26227" s="38"/>
    </row>
    <row r="26228" ht="15.75" customHeight="1">
      <c r="A26228" s="35"/>
      <c r="C26228" s="442"/>
      <c r="P26228" s="235"/>
      <c r="AI26228" s="38"/>
    </row>
    <row r="26229" ht="15.75" customHeight="1">
      <c r="A26229" s="35"/>
      <c r="C26229" s="442"/>
      <c r="P26229" s="235"/>
      <c r="AI26229" s="38"/>
    </row>
    <row r="26230" ht="15.75" customHeight="1">
      <c r="A26230" s="35"/>
      <c r="C26230" s="442"/>
      <c r="P26230" s="235"/>
      <c r="AI26230" s="38"/>
    </row>
    <row r="26231" ht="15.75" customHeight="1">
      <c r="A26231" s="35"/>
      <c r="C26231" s="442"/>
      <c r="P26231" s="235"/>
      <c r="AI26231" s="38"/>
    </row>
    <row r="26232" ht="15.75" customHeight="1">
      <c r="A26232" s="35"/>
      <c r="C26232" s="442"/>
      <c r="P26232" s="235"/>
      <c r="AI26232" s="38"/>
    </row>
    <row r="26233" ht="15.75" customHeight="1">
      <c r="A26233" s="35"/>
      <c r="C26233" s="442"/>
      <c r="P26233" s="235"/>
      <c r="AI26233" s="38"/>
    </row>
    <row r="26234" ht="15.75" customHeight="1">
      <c r="A26234" s="35"/>
      <c r="C26234" s="442"/>
      <c r="P26234" s="235"/>
      <c r="AI26234" s="38"/>
    </row>
    <row r="26235" ht="15.75" customHeight="1">
      <c r="A26235" s="35"/>
      <c r="C26235" s="442"/>
      <c r="P26235" s="235"/>
      <c r="AI26235" s="38"/>
    </row>
    <row r="26236" ht="15.75" customHeight="1">
      <c r="A26236" s="35"/>
      <c r="C26236" s="442"/>
      <c r="P26236" s="235"/>
      <c r="AI26236" s="38"/>
    </row>
    <row r="26237" ht="15.75" customHeight="1">
      <c r="A26237" s="35"/>
      <c r="C26237" s="442"/>
      <c r="P26237" s="235"/>
      <c r="AI26237" s="38"/>
    </row>
    <row r="26238" ht="15.75" customHeight="1">
      <c r="A26238" s="35"/>
      <c r="C26238" s="442"/>
      <c r="P26238" s="235"/>
      <c r="AI26238" s="38"/>
    </row>
    <row r="26239" ht="15.75" customHeight="1">
      <c r="A26239" s="35"/>
      <c r="C26239" s="442"/>
      <c r="P26239" s="235"/>
      <c r="AI26239" s="38"/>
    </row>
    <row r="26240" ht="15.75" customHeight="1">
      <c r="A26240" s="35"/>
      <c r="C26240" s="442"/>
      <c r="P26240" s="235"/>
      <c r="AI26240" s="38"/>
    </row>
    <row r="26241" ht="15.75" customHeight="1">
      <c r="A26241" s="35"/>
      <c r="C26241" s="442"/>
      <c r="P26241" s="235"/>
      <c r="AI26241" s="38"/>
    </row>
    <row r="26242" ht="15.75" customHeight="1">
      <c r="A26242" s="35"/>
      <c r="C26242" s="442"/>
      <c r="P26242" s="235"/>
      <c r="AI26242" s="38"/>
    </row>
    <row r="26243" ht="15.75" customHeight="1">
      <c r="A26243" s="35"/>
      <c r="C26243" s="442"/>
      <c r="P26243" s="235"/>
      <c r="AI26243" s="38"/>
    </row>
    <row r="26244" ht="15.75" customHeight="1">
      <c r="A26244" s="35"/>
      <c r="C26244" s="442"/>
      <c r="P26244" s="235"/>
      <c r="AI26244" s="38"/>
    </row>
    <row r="26245" ht="15.75" customHeight="1">
      <c r="A26245" s="35"/>
      <c r="C26245" s="442"/>
      <c r="P26245" s="235"/>
      <c r="AI26245" s="38"/>
    </row>
    <row r="26246" ht="15.75" customHeight="1">
      <c r="A26246" s="35"/>
      <c r="C26246" s="442"/>
      <c r="P26246" s="235"/>
      <c r="AI26246" s="38"/>
    </row>
    <row r="26247" ht="15.75" customHeight="1">
      <c r="A26247" s="35"/>
      <c r="C26247" s="442"/>
      <c r="P26247" s="235"/>
      <c r="AI26247" s="38"/>
    </row>
    <row r="26248" ht="15.75" customHeight="1">
      <c r="A26248" s="35"/>
      <c r="C26248" s="442"/>
      <c r="P26248" s="235"/>
      <c r="AI26248" s="38"/>
    </row>
    <row r="26249" ht="15.75" customHeight="1">
      <c r="A26249" s="35"/>
      <c r="C26249" s="442"/>
      <c r="P26249" s="235"/>
      <c r="AI26249" s="38"/>
    </row>
    <row r="26250" ht="15.75" customHeight="1">
      <c r="A26250" s="35"/>
      <c r="C26250" s="442"/>
      <c r="P26250" s="235"/>
      <c r="AI26250" s="38"/>
    </row>
    <row r="26251" ht="15.75" customHeight="1">
      <c r="A26251" s="35"/>
      <c r="C26251" s="442"/>
      <c r="P26251" s="235"/>
      <c r="AI26251" s="38"/>
    </row>
    <row r="26252" ht="15.75" customHeight="1">
      <c r="A26252" s="35"/>
      <c r="C26252" s="442"/>
      <c r="P26252" s="235"/>
      <c r="AI26252" s="38"/>
    </row>
    <row r="26253" ht="15.75" customHeight="1">
      <c r="A26253" s="35"/>
      <c r="C26253" s="442"/>
      <c r="P26253" s="235"/>
      <c r="AI26253" s="38"/>
    </row>
    <row r="26254" ht="15.75" customHeight="1">
      <c r="A26254" s="35"/>
      <c r="C26254" s="442"/>
      <c r="P26254" s="235"/>
      <c r="AI26254" s="38"/>
    </row>
    <row r="26255" ht="15.75" customHeight="1">
      <c r="A26255" s="35"/>
      <c r="C26255" s="442"/>
      <c r="P26255" s="235"/>
      <c r="AI26255" s="38"/>
    </row>
    <row r="26256" ht="15.75" customHeight="1">
      <c r="A26256" s="35"/>
      <c r="C26256" s="442"/>
      <c r="P26256" s="235"/>
      <c r="AI26256" s="38"/>
    </row>
    <row r="26257" ht="15.75" customHeight="1">
      <c r="A26257" s="35"/>
      <c r="C26257" s="442"/>
      <c r="P26257" s="235"/>
      <c r="AI26257" s="38"/>
    </row>
    <row r="26258" ht="15.75" customHeight="1">
      <c r="A26258" s="35"/>
      <c r="C26258" s="442"/>
      <c r="P26258" s="235"/>
      <c r="AI26258" s="38"/>
    </row>
    <row r="26259" ht="15.75" customHeight="1">
      <c r="A26259" s="35"/>
      <c r="C26259" s="442"/>
      <c r="P26259" s="235"/>
      <c r="AI26259" s="38"/>
    </row>
    <row r="26260" ht="15.75" customHeight="1">
      <c r="A26260" s="35"/>
      <c r="C26260" s="442"/>
      <c r="P26260" s="235"/>
      <c r="AI26260" s="38"/>
    </row>
    <row r="26261" ht="15.75" customHeight="1">
      <c r="A26261" s="35"/>
      <c r="C26261" s="442"/>
      <c r="P26261" s="235"/>
      <c r="AI26261" s="38"/>
    </row>
    <row r="26262" ht="15.75" customHeight="1">
      <c r="A26262" s="35"/>
      <c r="C26262" s="442"/>
      <c r="P26262" s="235"/>
      <c r="AI26262" s="38"/>
    </row>
    <row r="26263" ht="15.75" customHeight="1">
      <c r="A26263" s="35"/>
      <c r="C26263" s="442"/>
      <c r="P26263" s="235"/>
      <c r="AI26263" s="38"/>
    </row>
    <row r="26264" ht="15.75" customHeight="1">
      <c r="A26264" s="35"/>
      <c r="C26264" s="442"/>
      <c r="P26264" s="235"/>
      <c r="AI26264" s="38"/>
    </row>
    <row r="26265" ht="15.75" customHeight="1">
      <c r="A26265" s="35"/>
      <c r="C26265" s="442"/>
      <c r="P26265" s="235"/>
      <c r="AI26265" s="38"/>
    </row>
    <row r="26266" ht="15.75" customHeight="1">
      <c r="A26266" s="35"/>
      <c r="C26266" s="442"/>
      <c r="P26266" s="235"/>
      <c r="AI26266" s="38"/>
    </row>
    <row r="26267" ht="15.75" customHeight="1">
      <c r="A26267" s="35"/>
      <c r="C26267" s="442"/>
      <c r="P26267" s="235"/>
      <c r="AI26267" s="38"/>
    </row>
    <row r="26268" ht="15.75" customHeight="1">
      <c r="A26268" s="35"/>
      <c r="C26268" s="442"/>
      <c r="P26268" s="235"/>
      <c r="AI26268" s="38"/>
    </row>
    <row r="26269" ht="15.75" customHeight="1">
      <c r="A26269" s="35"/>
      <c r="C26269" s="442"/>
      <c r="P26269" s="235"/>
      <c r="AI26269" s="38"/>
    </row>
    <row r="26270" ht="15.75" customHeight="1">
      <c r="A26270" s="35"/>
      <c r="C26270" s="442"/>
      <c r="P26270" s="235"/>
      <c r="AI26270" s="38"/>
    </row>
    <row r="26271" ht="15.75" customHeight="1">
      <c r="A26271" s="35"/>
      <c r="C26271" s="442"/>
      <c r="P26271" s="235"/>
      <c r="AI26271" s="38"/>
    </row>
    <row r="26272" ht="15.75" customHeight="1">
      <c r="A26272" s="35"/>
      <c r="C26272" s="442"/>
      <c r="P26272" s="235"/>
      <c r="AI26272" s="38"/>
    </row>
    <row r="26273" ht="15.75" customHeight="1">
      <c r="A26273" s="35"/>
      <c r="C26273" s="442"/>
      <c r="P26273" s="235"/>
      <c r="AI26273" s="38"/>
    </row>
    <row r="26274" ht="15.75" customHeight="1">
      <c r="A26274" s="35"/>
      <c r="C26274" s="442"/>
      <c r="P26274" s="235"/>
      <c r="AI26274" s="38"/>
    </row>
    <row r="26275" ht="15.75" customHeight="1">
      <c r="A26275" s="35"/>
      <c r="C26275" s="442"/>
      <c r="P26275" s="235"/>
      <c r="AI26275" s="38"/>
    </row>
    <row r="26276" ht="15.75" customHeight="1">
      <c r="A26276" s="35"/>
      <c r="C26276" s="442"/>
      <c r="P26276" s="235"/>
      <c r="AI26276" s="38"/>
    </row>
    <row r="26277" ht="15.75" customHeight="1">
      <c r="A26277" s="35"/>
      <c r="C26277" s="442"/>
      <c r="P26277" s="235"/>
      <c r="AI26277" s="38"/>
    </row>
    <row r="26278" ht="15.75" customHeight="1">
      <c r="A26278" s="35"/>
      <c r="C26278" s="442"/>
      <c r="P26278" s="235"/>
      <c r="AI26278" s="38"/>
    </row>
    <row r="26279" ht="15.75" customHeight="1">
      <c r="A26279" s="35"/>
      <c r="C26279" s="442"/>
      <c r="P26279" s="235"/>
      <c r="AI26279" s="38"/>
    </row>
    <row r="26280" ht="15.75" customHeight="1">
      <c r="A26280" s="35"/>
      <c r="C26280" s="442"/>
      <c r="P26280" s="235"/>
      <c r="AI26280" s="38"/>
    </row>
    <row r="26281" ht="15.75" customHeight="1">
      <c r="A26281" s="35"/>
      <c r="C26281" s="442"/>
      <c r="P26281" s="235"/>
      <c r="AI26281" s="38"/>
    </row>
    <row r="26282" ht="15.75" customHeight="1">
      <c r="A26282" s="35"/>
      <c r="C26282" s="442"/>
      <c r="P26282" s="235"/>
      <c r="AI26282" s="38"/>
    </row>
    <row r="26283" ht="15.75" customHeight="1">
      <c r="A26283" s="35"/>
      <c r="C26283" s="442"/>
      <c r="P26283" s="235"/>
      <c r="AI26283" s="38"/>
    </row>
    <row r="26284" ht="15.75" customHeight="1">
      <c r="A26284" s="35"/>
      <c r="C26284" s="442"/>
      <c r="P26284" s="235"/>
      <c r="AI26284" s="38"/>
    </row>
    <row r="26285" ht="15.75" customHeight="1">
      <c r="A26285" s="35"/>
      <c r="C26285" s="442"/>
      <c r="P26285" s="235"/>
      <c r="AI26285" s="38"/>
    </row>
    <row r="26286" ht="15.75" customHeight="1">
      <c r="A26286" s="35"/>
      <c r="C26286" s="442"/>
      <c r="P26286" s="235"/>
      <c r="AI26286" s="38"/>
    </row>
    <row r="26287" ht="15.75" customHeight="1">
      <c r="A26287" s="35"/>
      <c r="C26287" s="442"/>
      <c r="P26287" s="235"/>
      <c r="AI26287" s="38"/>
    </row>
    <row r="26288" ht="15.75" customHeight="1">
      <c r="A26288" s="35"/>
      <c r="C26288" s="442"/>
      <c r="P26288" s="235"/>
      <c r="AI26288" s="38"/>
    </row>
    <row r="26289" ht="15.75" customHeight="1">
      <c r="A26289" s="35"/>
      <c r="C26289" s="442"/>
      <c r="P26289" s="235"/>
      <c r="AI26289" s="38"/>
    </row>
    <row r="26290" ht="15.75" customHeight="1">
      <c r="A26290" s="35"/>
      <c r="C26290" s="442"/>
      <c r="P26290" s="235"/>
      <c r="AI26290" s="38"/>
    </row>
    <row r="26291" ht="15.75" customHeight="1">
      <c r="A26291" s="35"/>
      <c r="C26291" s="442"/>
      <c r="P26291" s="235"/>
      <c r="AI26291" s="38"/>
    </row>
    <row r="26292" ht="15.75" customHeight="1">
      <c r="A26292" s="35"/>
      <c r="C26292" s="442"/>
      <c r="P26292" s="235"/>
      <c r="AI26292" s="38"/>
    </row>
    <row r="26293" ht="15.75" customHeight="1">
      <c r="A26293" s="35"/>
      <c r="C26293" s="442"/>
      <c r="P26293" s="235"/>
      <c r="AI26293" s="38"/>
    </row>
    <row r="26294" ht="15.75" customHeight="1">
      <c r="A26294" s="35"/>
      <c r="C26294" s="442"/>
      <c r="P26294" s="235"/>
      <c r="AI26294" s="38"/>
    </row>
    <row r="26295" ht="15.75" customHeight="1">
      <c r="A26295" s="35"/>
      <c r="C26295" s="442"/>
      <c r="P26295" s="235"/>
      <c r="AI26295" s="38"/>
    </row>
    <row r="26296" ht="15.75" customHeight="1">
      <c r="A26296" s="35"/>
      <c r="C26296" s="442"/>
      <c r="P26296" s="235"/>
      <c r="AI26296" s="38"/>
    </row>
    <row r="26297" ht="15.75" customHeight="1">
      <c r="A26297" s="35"/>
      <c r="C26297" s="442"/>
      <c r="P26297" s="235"/>
      <c r="AI26297" s="38"/>
    </row>
    <row r="26298" ht="15.75" customHeight="1">
      <c r="A26298" s="35"/>
      <c r="C26298" s="442"/>
      <c r="P26298" s="235"/>
      <c r="AI26298" s="38"/>
    </row>
    <row r="26299" ht="15.75" customHeight="1">
      <c r="A26299" s="35"/>
      <c r="C26299" s="442"/>
      <c r="P26299" s="235"/>
      <c r="AI26299" s="38"/>
    </row>
    <row r="26300" ht="15.75" customHeight="1">
      <c r="A26300" s="35"/>
      <c r="C26300" s="442"/>
      <c r="P26300" s="235"/>
      <c r="AI26300" s="38"/>
    </row>
    <row r="26301" ht="15.75" customHeight="1">
      <c r="A26301" s="35"/>
      <c r="C26301" s="442"/>
      <c r="P26301" s="235"/>
      <c r="AI26301" s="38"/>
    </row>
    <row r="26302" ht="15.75" customHeight="1">
      <c r="A26302" s="35"/>
      <c r="C26302" s="442"/>
      <c r="P26302" s="235"/>
      <c r="AI26302" s="38"/>
    </row>
    <row r="26303" ht="15.75" customHeight="1">
      <c r="A26303" s="35"/>
      <c r="C26303" s="442"/>
      <c r="P26303" s="235"/>
      <c r="AI26303" s="38"/>
    </row>
    <row r="26304" ht="15.75" customHeight="1">
      <c r="A26304" s="35"/>
      <c r="C26304" s="442"/>
      <c r="P26304" s="235"/>
      <c r="AI26304" s="38"/>
    </row>
    <row r="26305" ht="15.75" customHeight="1">
      <c r="A26305" s="35"/>
      <c r="C26305" s="442"/>
      <c r="P26305" s="235"/>
      <c r="AI26305" s="38"/>
    </row>
    <row r="26306" ht="15.75" customHeight="1">
      <c r="A26306" s="35"/>
      <c r="C26306" s="442"/>
      <c r="P26306" s="235"/>
      <c r="AI26306" s="38"/>
    </row>
    <row r="26307" ht="15.75" customHeight="1">
      <c r="A26307" s="35"/>
      <c r="C26307" s="442"/>
      <c r="P26307" s="235"/>
      <c r="AI26307" s="38"/>
    </row>
    <row r="26308" ht="15.75" customHeight="1">
      <c r="A26308" s="35"/>
      <c r="C26308" s="442"/>
      <c r="P26308" s="235"/>
      <c r="AI26308" s="38"/>
    </row>
    <row r="26309" ht="15.75" customHeight="1">
      <c r="A26309" s="35"/>
      <c r="C26309" s="442"/>
      <c r="P26309" s="235"/>
      <c r="AI26309" s="38"/>
    </row>
    <row r="26310" ht="15.75" customHeight="1">
      <c r="A26310" s="35"/>
      <c r="C26310" s="442"/>
      <c r="P26310" s="235"/>
      <c r="AI26310" s="38"/>
    </row>
    <row r="26311" ht="15.75" customHeight="1">
      <c r="A26311" s="35"/>
      <c r="C26311" s="442"/>
      <c r="P26311" s="235"/>
      <c r="AI26311" s="38"/>
    </row>
    <row r="26312" ht="15.75" customHeight="1">
      <c r="A26312" s="35"/>
      <c r="C26312" s="442"/>
      <c r="P26312" s="235"/>
      <c r="AI26312" s="38"/>
    </row>
    <row r="26313" ht="15.75" customHeight="1">
      <c r="A26313" s="35"/>
      <c r="C26313" s="442"/>
      <c r="P26313" s="235"/>
      <c r="AI26313" s="38"/>
    </row>
    <row r="26314" ht="15.75" customHeight="1">
      <c r="A26314" s="35"/>
      <c r="C26314" s="442"/>
      <c r="P26314" s="235"/>
      <c r="AI26314" s="38"/>
    </row>
    <row r="26315" ht="15.75" customHeight="1">
      <c r="A26315" s="35"/>
      <c r="C26315" s="442"/>
      <c r="P26315" s="235"/>
      <c r="AI26315" s="38"/>
    </row>
    <row r="26316" ht="15.75" customHeight="1">
      <c r="A26316" s="35"/>
      <c r="C26316" s="442"/>
      <c r="P26316" s="235"/>
      <c r="AI26316" s="38"/>
    </row>
    <row r="26317" ht="15.75" customHeight="1">
      <c r="A26317" s="35"/>
      <c r="C26317" s="442"/>
      <c r="P26317" s="235"/>
      <c r="AI26317" s="38"/>
    </row>
    <row r="26318" ht="15.75" customHeight="1">
      <c r="A26318" s="35"/>
      <c r="C26318" s="442"/>
      <c r="P26318" s="235"/>
      <c r="AI26318" s="38"/>
    </row>
    <row r="26319" ht="15.75" customHeight="1">
      <c r="A26319" s="35"/>
      <c r="C26319" s="442"/>
      <c r="P26319" s="235"/>
      <c r="AI26319" s="38"/>
    </row>
    <row r="26320" ht="15.75" customHeight="1">
      <c r="A26320" s="35"/>
      <c r="C26320" s="442"/>
      <c r="P26320" s="235"/>
      <c r="AI26320" s="38"/>
    </row>
    <row r="26321" ht="15.75" customHeight="1">
      <c r="A26321" s="35"/>
      <c r="C26321" s="442"/>
      <c r="P26321" s="235"/>
      <c r="AI26321" s="38"/>
    </row>
    <row r="26322" ht="15.75" customHeight="1">
      <c r="A26322" s="35"/>
      <c r="C26322" s="442"/>
      <c r="P26322" s="235"/>
      <c r="AI26322" s="38"/>
    </row>
    <row r="26323" ht="15.75" customHeight="1">
      <c r="A26323" s="35"/>
      <c r="C26323" s="442"/>
      <c r="P26323" s="235"/>
      <c r="AI26323" s="38"/>
    </row>
    <row r="26324" ht="15.75" customHeight="1">
      <c r="A26324" s="35"/>
      <c r="C26324" s="442"/>
      <c r="P26324" s="235"/>
      <c r="AI26324" s="38"/>
    </row>
    <row r="26325" ht="15.75" customHeight="1">
      <c r="A26325" s="35"/>
      <c r="C26325" s="442"/>
      <c r="P26325" s="235"/>
      <c r="AI26325" s="38"/>
    </row>
    <row r="26326" ht="15.75" customHeight="1">
      <c r="A26326" s="35"/>
      <c r="C26326" s="442"/>
      <c r="P26326" s="235"/>
      <c r="AI26326" s="38"/>
    </row>
    <row r="26327" ht="15.75" customHeight="1">
      <c r="A26327" s="35"/>
      <c r="C26327" s="442"/>
      <c r="P26327" s="235"/>
      <c r="AI26327" s="38"/>
    </row>
    <row r="26328" ht="15.75" customHeight="1">
      <c r="A26328" s="35"/>
      <c r="C26328" s="442"/>
      <c r="P26328" s="235"/>
      <c r="AI26328" s="38"/>
    </row>
    <row r="26329" ht="15.75" customHeight="1">
      <c r="A26329" s="35"/>
      <c r="C26329" s="442"/>
      <c r="P26329" s="235"/>
      <c r="AI26329" s="38"/>
    </row>
    <row r="26330" ht="15.75" customHeight="1">
      <c r="A26330" s="35"/>
      <c r="C26330" s="442"/>
      <c r="P26330" s="235"/>
      <c r="AI26330" s="38"/>
    </row>
    <row r="26331" ht="15.75" customHeight="1">
      <c r="A26331" s="35"/>
      <c r="C26331" s="442"/>
      <c r="P26331" s="235"/>
      <c r="AI26331" s="38"/>
    </row>
    <row r="26332" ht="15.75" customHeight="1">
      <c r="A26332" s="35"/>
      <c r="C26332" s="442"/>
      <c r="P26332" s="235"/>
      <c r="AI26332" s="38"/>
    </row>
    <row r="26333" ht="15.75" customHeight="1">
      <c r="A26333" s="35"/>
      <c r="C26333" s="442"/>
      <c r="P26333" s="235"/>
      <c r="AI26333" s="38"/>
    </row>
    <row r="26334" ht="15.75" customHeight="1">
      <c r="A26334" s="35"/>
      <c r="C26334" s="442"/>
      <c r="P26334" s="235"/>
      <c r="AI26334" s="38"/>
    </row>
    <row r="26335" ht="15.75" customHeight="1">
      <c r="A26335" s="35"/>
      <c r="C26335" s="442"/>
      <c r="P26335" s="235"/>
      <c r="AI26335" s="38"/>
    </row>
    <row r="26336" ht="15.75" customHeight="1">
      <c r="A26336" s="35"/>
      <c r="C26336" s="442"/>
      <c r="P26336" s="235"/>
      <c r="AI26336" s="38"/>
    </row>
    <row r="26337" ht="15.75" customHeight="1">
      <c r="A26337" s="35"/>
      <c r="C26337" s="442"/>
      <c r="P26337" s="235"/>
      <c r="AI26337" s="38"/>
    </row>
    <row r="26338" ht="15.75" customHeight="1">
      <c r="A26338" s="35"/>
      <c r="C26338" s="442"/>
      <c r="P26338" s="235"/>
      <c r="AI26338" s="38"/>
    </row>
    <row r="26339" ht="15.75" customHeight="1">
      <c r="A26339" s="35"/>
      <c r="C26339" s="442"/>
      <c r="P26339" s="235"/>
      <c r="AI26339" s="38"/>
    </row>
    <row r="26340" ht="15.75" customHeight="1">
      <c r="A26340" s="35"/>
      <c r="C26340" s="442"/>
      <c r="P26340" s="235"/>
      <c r="AI26340" s="38"/>
    </row>
    <row r="26341" ht="15.75" customHeight="1">
      <c r="A26341" s="35"/>
      <c r="C26341" s="442"/>
      <c r="P26341" s="235"/>
      <c r="AI26341" s="38"/>
    </row>
    <row r="26342" ht="15.75" customHeight="1">
      <c r="A26342" s="35"/>
      <c r="C26342" s="442"/>
      <c r="P26342" s="235"/>
      <c r="AI26342" s="38"/>
    </row>
    <row r="26343" ht="15.75" customHeight="1">
      <c r="A26343" s="35"/>
      <c r="C26343" s="442"/>
      <c r="P26343" s="235"/>
      <c r="AI26343" s="38"/>
    </row>
    <row r="26344" ht="15.75" customHeight="1">
      <c r="A26344" s="35"/>
      <c r="C26344" s="442"/>
      <c r="P26344" s="235"/>
      <c r="AI26344" s="38"/>
    </row>
    <row r="26345" ht="15.75" customHeight="1">
      <c r="A26345" s="35"/>
      <c r="C26345" s="442"/>
      <c r="P26345" s="235"/>
      <c r="AI26345" s="38"/>
    </row>
    <row r="26346" ht="15.75" customHeight="1">
      <c r="A26346" s="35"/>
      <c r="C26346" s="442"/>
      <c r="P26346" s="235"/>
      <c r="AI26346" s="38"/>
    </row>
    <row r="26347" ht="15.75" customHeight="1">
      <c r="A26347" s="35"/>
      <c r="C26347" s="442"/>
      <c r="P26347" s="235"/>
      <c r="AI26347" s="38"/>
    </row>
    <row r="26348" ht="15.75" customHeight="1">
      <c r="A26348" s="35"/>
      <c r="C26348" s="442"/>
      <c r="P26348" s="235"/>
      <c r="AI26348" s="38"/>
    </row>
    <row r="26349" ht="15.75" customHeight="1">
      <c r="A26349" s="35"/>
      <c r="C26349" s="442"/>
      <c r="P26349" s="235"/>
      <c r="AI26349" s="38"/>
    </row>
    <row r="26350" ht="15.75" customHeight="1">
      <c r="A26350" s="35"/>
      <c r="C26350" s="442"/>
      <c r="P26350" s="235"/>
      <c r="AI26350" s="38"/>
    </row>
    <row r="26351" ht="15.75" customHeight="1">
      <c r="A26351" s="35"/>
      <c r="C26351" s="442"/>
      <c r="P26351" s="235"/>
      <c r="AI26351" s="38"/>
    </row>
    <row r="26352" ht="15.75" customHeight="1">
      <c r="A26352" s="35"/>
      <c r="C26352" s="442"/>
      <c r="P26352" s="235"/>
      <c r="AI26352" s="38"/>
    </row>
    <row r="26353" ht="15.75" customHeight="1">
      <c r="A26353" s="35"/>
      <c r="C26353" s="442"/>
      <c r="P26353" s="235"/>
      <c r="AI26353" s="38"/>
    </row>
    <row r="26354" ht="15.75" customHeight="1">
      <c r="A26354" s="35"/>
      <c r="C26354" s="442"/>
      <c r="P26354" s="235"/>
      <c r="AI26354" s="38"/>
    </row>
    <row r="26355" ht="15.75" customHeight="1">
      <c r="A26355" s="35"/>
      <c r="C26355" s="442"/>
      <c r="P26355" s="235"/>
      <c r="AI26355" s="38"/>
    </row>
    <row r="26356" ht="15.75" customHeight="1">
      <c r="A26356" s="35"/>
      <c r="C26356" s="442"/>
      <c r="P26356" s="235"/>
      <c r="AI26356" s="38"/>
    </row>
    <row r="26357" ht="15.75" customHeight="1">
      <c r="A26357" s="35"/>
      <c r="C26357" s="442"/>
      <c r="P26357" s="235"/>
      <c r="AI26357" s="38"/>
    </row>
    <row r="26358" ht="15.75" customHeight="1">
      <c r="A26358" s="35"/>
      <c r="C26358" s="442"/>
      <c r="P26358" s="235"/>
      <c r="AI26358" s="38"/>
    </row>
    <row r="26359" ht="15.75" customHeight="1">
      <c r="A26359" s="35"/>
      <c r="C26359" s="442"/>
      <c r="P26359" s="235"/>
      <c r="AI26359" s="38"/>
    </row>
    <row r="26360" ht="15.75" customHeight="1">
      <c r="A26360" s="35"/>
      <c r="C26360" s="442"/>
      <c r="P26360" s="235"/>
      <c r="AI26360" s="38"/>
    </row>
    <row r="26361" ht="15.75" customHeight="1">
      <c r="A26361" s="35"/>
      <c r="C26361" s="442"/>
      <c r="P26361" s="235"/>
      <c r="AI26361" s="38"/>
    </row>
    <row r="26362" ht="15.75" customHeight="1">
      <c r="A26362" s="35"/>
      <c r="C26362" s="442"/>
      <c r="P26362" s="235"/>
      <c r="AI26362" s="38"/>
    </row>
    <row r="26363" ht="15.75" customHeight="1">
      <c r="A26363" s="35"/>
      <c r="C26363" s="442"/>
      <c r="P26363" s="235"/>
      <c r="AI26363" s="38"/>
    </row>
    <row r="26364" ht="15.75" customHeight="1">
      <c r="A26364" s="35"/>
      <c r="C26364" s="442"/>
      <c r="P26364" s="235"/>
      <c r="AI26364" s="38"/>
    </row>
    <row r="26365" ht="15.75" customHeight="1">
      <c r="A26365" s="35"/>
      <c r="C26365" s="442"/>
      <c r="P26365" s="235"/>
      <c r="AI26365" s="38"/>
    </row>
    <row r="26366" ht="15.75" customHeight="1">
      <c r="A26366" s="35"/>
      <c r="C26366" s="442"/>
      <c r="P26366" s="235"/>
      <c r="AI26366" s="38"/>
    </row>
    <row r="26367" ht="15.75" customHeight="1">
      <c r="A26367" s="35"/>
      <c r="C26367" s="442"/>
      <c r="P26367" s="235"/>
      <c r="AI26367" s="38"/>
    </row>
    <row r="26368" ht="15.75" customHeight="1">
      <c r="A26368" s="35"/>
      <c r="C26368" s="442"/>
      <c r="P26368" s="235"/>
      <c r="AI26368" s="38"/>
    </row>
    <row r="26369" ht="15.75" customHeight="1">
      <c r="A26369" s="35"/>
      <c r="C26369" s="442"/>
      <c r="P26369" s="235"/>
      <c r="AI26369" s="38"/>
    </row>
    <row r="26370" ht="15.75" customHeight="1">
      <c r="A26370" s="35"/>
      <c r="C26370" s="442"/>
      <c r="P26370" s="235"/>
      <c r="AI26370" s="38"/>
    </row>
    <row r="26371" ht="15.75" customHeight="1">
      <c r="A26371" s="35"/>
      <c r="C26371" s="442"/>
      <c r="P26371" s="235"/>
      <c r="AI26371" s="38"/>
    </row>
    <row r="26372" ht="15.75" customHeight="1">
      <c r="A26372" s="35"/>
      <c r="C26372" s="442"/>
      <c r="P26372" s="235"/>
      <c r="AI26372" s="38"/>
    </row>
    <row r="26373" ht="15.75" customHeight="1">
      <c r="A26373" s="35"/>
      <c r="C26373" s="442"/>
      <c r="P26373" s="235"/>
      <c r="AI26373" s="38"/>
    </row>
    <row r="26374" ht="15.75" customHeight="1">
      <c r="A26374" s="35"/>
      <c r="C26374" s="442"/>
      <c r="P26374" s="235"/>
      <c r="AI26374" s="38"/>
    </row>
    <row r="26375" ht="15.75" customHeight="1">
      <c r="A26375" s="35"/>
      <c r="C26375" s="442"/>
      <c r="P26375" s="235"/>
      <c r="AI26375" s="38"/>
    </row>
    <row r="26376" ht="15.75" customHeight="1">
      <c r="A26376" s="35"/>
      <c r="C26376" s="442"/>
      <c r="P26376" s="235"/>
      <c r="AI26376" s="38"/>
    </row>
    <row r="26377" ht="15.75" customHeight="1">
      <c r="A26377" s="35"/>
      <c r="C26377" s="442"/>
      <c r="P26377" s="235"/>
      <c r="AI26377" s="38"/>
    </row>
    <row r="26378" ht="15.75" customHeight="1">
      <c r="A26378" s="35"/>
      <c r="C26378" s="442"/>
      <c r="P26378" s="235"/>
      <c r="AI26378" s="38"/>
    </row>
    <row r="26379" ht="15.75" customHeight="1">
      <c r="A26379" s="35"/>
      <c r="C26379" s="442"/>
      <c r="P26379" s="235"/>
      <c r="AI26379" s="38"/>
    </row>
    <row r="26380" ht="15.75" customHeight="1">
      <c r="A26380" s="35"/>
      <c r="C26380" s="442"/>
      <c r="P26380" s="235"/>
      <c r="AI26380" s="38"/>
    </row>
    <row r="26381" ht="15.75" customHeight="1">
      <c r="A26381" s="35"/>
      <c r="C26381" s="442"/>
      <c r="P26381" s="235"/>
      <c r="AI26381" s="38"/>
    </row>
    <row r="26382" ht="15.75" customHeight="1">
      <c r="A26382" s="35"/>
      <c r="C26382" s="442"/>
      <c r="P26382" s="235"/>
      <c r="AI26382" s="38"/>
    </row>
    <row r="26383" ht="15.75" customHeight="1">
      <c r="A26383" s="35"/>
      <c r="C26383" s="442"/>
      <c r="P26383" s="235"/>
      <c r="AI26383" s="38"/>
    </row>
    <row r="26384" ht="15.75" customHeight="1">
      <c r="A26384" s="35"/>
      <c r="C26384" s="442"/>
      <c r="P26384" s="235"/>
      <c r="AI26384" s="38"/>
    </row>
    <row r="26385" ht="15.75" customHeight="1">
      <c r="A26385" s="35"/>
      <c r="C26385" s="442"/>
      <c r="P26385" s="235"/>
      <c r="AI26385" s="38"/>
    </row>
    <row r="26386" ht="15.75" customHeight="1">
      <c r="A26386" s="35"/>
      <c r="C26386" s="442"/>
      <c r="P26386" s="235"/>
      <c r="AI26386" s="38"/>
    </row>
    <row r="26387" ht="15.75" customHeight="1">
      <c r="A26387" s="35"/>
      <c r="C26387" s="442"/>
      <c r="P26387" s="235"/>
      <c r="AI26387" s="38"/>
    </row>
    <row r="26388" ht="15.75" customHeight="1">
      <c r="A26388" s="35"/>
      <c r="C26388" s="442"/>
      <c r="P26388" s="235"/>
      <c r="AI26388" s="38"/>
    </row>
    <row r="26389" ht="15.75" customHeight="1">
      <c r="A26389" s="35"/>
      <c r="C26389" s="442"/>
      <c r="P26389" s="235"/>
      <c r="AI26389" s="38"/>
    </row>
    <row r="26390" ht="15.75" customHeight="1">
      <c r="A26390" s="35"/>
      <c r="C26390" s="442"/>
      <c r="P26390" s="235"/>
      <c r="AI26390" s="38"/>
    </row>
    <row r="26391" ht="15.75" customHeight="1">
      <c r="A26391" s="35"/>
      <c r="C26391" s="442"/>
      <c r="P26391" s="235"/>
      <c r="AI26391" s="38"/>
    </row>
    <row r="26392" ht="15.75" customHeight="1">
      <c r="A26392" s="35"/>
      <c r="C26392" s="442"/>
      <c r="P26392" s="235"/>
      <c r="AI26392" s="38"/>
    </row>
    <row r="26393" ht="15.75" customHeight="1">
      <c r="A26393" s="35"/>
      <c r="C26393" s="442"/>
      <c r="P26393" s="235"/>
      <c r="AI26393" s="38"/>
    </row>
    <row r="26394" ht="15.75" customHeight="1">
      <c r="A26394" s="35"/>
      <c r="C26394" s="442"/>
      <c r="P26394" s="235"/>
      <c r="AI26394" s="38"/>
    </row>
    <row r="26395" ht="15.75" customHeight="1">
      <c r="A26395" s="35"/>
      <c r="C26395" s="442"/>
      <c r="P26395" s="235"/>
      <c r="AI26395" s="38"/>
    </row>
    <row r="26396" ht="15.75" customHeight="1">
      <c r="A26396" s="35"/>
      <c r="C26396" s="442"/>
      <c r="P26396" s="235"/>
      <c r="AI26396" s="38"/>
    </row>
    <row r="26397" ht="15.75" customHeight="1">
      <c r="A26397" s="35"/>
      <c r="C26397" s="442"/>
      <c r="P26397" s="235"/>
      <c r="AI26397" s="38"/>
    </row>
    <row r="26398" ht="15.75" customHeight="1">
      <c r="A26398" s="35"/>
      <c r="C26398" s="442"/>
      <c r="P26398" s="235"/>
      <c r="AI26398" s="38"/>
    </row>
    <row r="26399" ht="15.75" customHeight="1">
      <c r="A26399" s="35"/>
      <c r="C26399" s="442"/>
      <c r="P26399" s="235"/>
      <c r="AI26399" s="38"/>
    </row>
    <row r="26400" ht="15.75" customHeight="1">
      <c r="A26400" s="35"/>
      <c r="C26400" s="442"/>
      <c r="P26400" s="235"/>
      <c r="AI26400" s="38"/>
    </row>
    <row r="26401" ht="15.75" customHeight="1">
      <c r="A26401" s="35"/>
      <c r="C26401" s="442"/>
      <c r="P26401" s="235"/>
      <c r="AI26401" s="38"/>
    </row>
    <row r="26402" ht="15.75" customHeight="1">
      <c r="A26402" s="35"/>
      <c r="C26402" s="442"/>
      <c r="P26402" s="235"/>
      <c r="AI26402" s="38"/>
    </row>
    <row r="26403" ht="15.75" customHeight="1">
      <c r="A26403" s="35"/>
      <c r="C26403" s="442"/>
      <c r="P26403" s="235"/>
      <c r="AI26403" s="38"/>
    </row>
    <row r="26404" ht="15.75" customHeight="1">
      <c r="A26404" s="35"/>
      <c r="C26404" s="442"/>
      <c r="P26404" s="235"/>
      <c r="AI26404" s="38"/>
    </row>
    <row r="26405" ht="15.75" customHeight="1">
      <c r="A26405" s="35"/>
      <c r="C26405" s="442"/>
      <c r="P26405" s="235"/>
      <c r="AI26405" s="38"/>
    </row>
    <row r="26406" ht="15.75" customHeight="1">
      <c r="A26406" s="35"/>
      <c r="C26406" s="442"/>
      <c r="P26406" s="235"/>
      <c r="AI26406" s="38"/>
    </row>
    <row r="26407" ht="15.75" customHeight="1">
      <c r="A26407" s="35"/>
      <c r="C26407" s="442"/>
      <c r="P26407" s="235"/>
      <c r="AI26407" s="38"/>
    </row>
    <row r="26408" ht="15.75" customHeight="1">
      <c r="A26408" s="35"/>
      <c r="C26408" s="442"/>
      <c r="P26408" s="235"/>
      <c r="AI26408" s="38"/>
    </row>
    <row r="26409" ht="15.75" customHeight="1">
      <c r="A26409" s="35"/>
      <c r="C26409" s="442"/>
      <c r="P26409" s="235"/>
      <c r="AI26409" s="38"/>
    </row>
    <row r="26410" ht="15.75" customHeight="1">
      <c r="A26410" s="35"/>
      <c r="C26410" s="442"/>
      <c r="P26410" s="235"/>
      <c r="AI26410" s="38"/>
    </row>
    <row r="26411" ht="15.75" customHeight="1">
      <c r="A26411" s="35"/>
      <c r="C26411" s="442"/>
      <c r="P26411" s="235"/>
      <c r="AI26411" s="38"/>
    </row>
    <row r="26412" ht="15.75" customHeight="1">
      <c r="A26412" s="35"/>
      <c r="C26412" s="442"/>
      <c r="P26412" s="235"/>
      <c r="AI26412" s="38"/>
    </row>
    <row r="26413" ht="15.75" customHeight="1">
      <c r="A26413" s="35"/>
      <c r="C26413" s="442"/>
      <c r="P26413" s="235"/>
      <c r="AI26413" s="38"/>
    </row>
    <row r="26414" ht="15.75" customHeight="1">
      <c r="A26414" s="35"/>
      <c r="C26414" s="442"/>
      <c r="P26414" s="235"/>
      <c r="AI26414" s="38"/>
    </row>
    <row r="26415" ht="15.75" customHeight="1">
      <c r="A26415" s="35"/>
      <c r="C26415" s="442"/>
      <c r="P26415" s="235"/>
      <c r="AI26415" s="38"/>
    </row>
    <row r="26416" ht="15.75" customHeight="1">
      <c r="A26416" s="35"/>
      <c r="C26416" s="442"/>
      <c r="P26416" s="235"/>
      <c r="AI26416" s="38"/>
    </row>
    <row r="26417" ht="15.75" customHeight="1">
      <c r="A26417" s="35"/>
      <c r="C26417" s="442"/>
      <c r="P26417" s="235"/>
      <c r="AI26417" s="38"/>
    </row>
    <row r="26418" ht="15.75" customHeight="1">
      <c r="A26418" s="35"/>
      <c r="C26418" s="442"/>
      <c r="P26418" s="235"/>
      <c r="AI26418" s="38"/>
    </row>
    <row r="26419" ht="15.75" customHeight="1">
      <c r="A26419" s="35"/>
      <c r="C26419" s="442"/>
      <c r="P26419" s="235"/>
      <c r="AI26419" s="38"/>
    </row>
    <row r="26420" ht="15.75" customHeight="1">
      <c r="A26420" s="35"/>
      <c r="C26420" s="442"/>
      <c r="P26420" s="235"/>
      <c r="AI26420" s="38"/>
    </row>
    <row r="26421" ht="15.75" customHeight="1">
      <c r="A26421" s="35"/>
      <c r="C26421" s="442"/>
      <c r="P26421" s="235"/>
      <c r="AI26421" s="38"/>
    </row>
    <row r="26422" ht="15.75" customHeight="1">
      <c r="A26422" s="35"/>
      <c r="C26422" s="442"/>
      <c r="P26422" s="235"/>
      <c r="AI26422" s="38"/>
    </row>
    <row r="26423" ht="15.75" customHeight="1">
      <c r="A26423" s="35"/>
      <c r="C26423" s="442"/>
      <c r="P26423" s="235"/>
      <c r="AI26423" s="38"/>
    </row>
    <row r="26424" ht="15.75" customHeight="1">
      <c r="A26424" s="35"/>
      <c r="C26424" s="442"/>
      <c r="P26424" s="235"/>
      <c r="AI26424" s="38"/>
    </row>
    <row r="26425" ht="15.75" customHeight="1">
      <c r="A26425" s="35"/>
      <c r="C26425" s="442"/>
      <c r="P26425" s="235"/>
      <c r="AI26425" s="38"/>
    </row>
    <row r="26426" ht="15.75" customHeight="1">
      <c r="A26426" s="35"/>
      <c r="C26426" s="442"/>
      <c r="P26426" s="235"/>
      <c r="AI26426" s="38"/>
    </row>
    <row r="26427" ht="15.75" customHeight="1">
      <c r="A26427" s="35"/>
      <c r="C26427" s="442"/>
      <c r="P26427" s="235"/>
      <c r="AI26427" s="38"/>
    </row>
    <row r="26428" ht="15.75" customHeight="1">
      <c r="A26428" s="35"/>
      <c r="C26428" s="442"/>
      <c r="P26428" s="235"/>
      <c r="AI26428" s="38"/>
    </row>
    <row r="26429" ht="15.75" customHeight="1">
      <c r="A26429" s="35"/>
      <c r="C26429" s="442"/>
      <c r="P26429" s="235"/>
      <c r="AI26429" s="38"/>
    </row>
    <row r="26430" ht="15.75" customHeight="1">
      <c r="A26430" s="35"/>
      <c r="C26430" s="442"/>
      <c r="P26430" s="235"/>
      <c r="AI26430" s="38"/>
    </row>
    <row r="26431" ht="15.75" customHeight="1">
      <c r="A26431" s="35"/>
      <c r="C26431" s="442"/>
      <c r="P26431" s="235"/>
      <c r="AI26431" s="38"/>
    </row>
    <row r="26432" ht="15.75" customHeight="1">
      <c r="A26432" s="35"/>
      <c r="C26432" s="442"/>
      <c r="P26432" s="235"/>
      <c r="AI26432" s="38"/>
    </row>
    <row r="26433" ht="15.75" customHeight="1">
      <c r="A26433" s="35"/>
      <c r="C26433" s="442"/>
      <c r="P26433" s="235"/>
      <c r="AI26433" s="38"/>
    </row>
    <row r="26434" ht="15.75" customHeight="1">
      <c r="A26434" s="35"/>
      <c r="C26434" s="442"/>
      <c r="P26434" s="235"/>
      <c r="AI26434" s="38"/>
    </row>
    <row r="26435" ht="15.75" customHeight="1">
      <c r="A26435" s="35"/>
      <c r="C26435" s="442"/>
      <c r="P26435" s="235"/>
      <c r="AI26435" s="38"/>
    </row>
    <row r="26436" ht="15.75" customHeight="1">
      <c r="A26436" s="35"/>
      <c r="C26436" s="442"/>
      <c r="P26436" s="235"/>
      <c r="AI26436" s="38"/>
    </row>
    <row r="26437" ht="15.75" customHeight="1">
      <c r="A26437" s="35"/>
      <c r="C26437" s="442"/>
      <c r="P26437" s="235"/>
      <c r="AI26437" s="38"/>
    </row>
    <row r="26438" ht="15.75" customHeight="1">
      <c r="A26438" s="35"/>
      <c r="C26438" s="442"/>
      <c r="P26438" s="235"/>
      <c r="AI26438" s="38"/>
    </row>
    <row r="26439" ht="15.75" customHeight="1">
      <c r="A26439" s="35"/>
      <c r="C26439" s="442"/>
      <c r="P26439" s="235"/>
      <c r="AI26439" s="38"/>
    </row>
    <row r="26440" ht="15.75" customHeight="1">
      <c r="A26440" s="35"/>
      <c r="C26440" s="442"/>
      <c r="P26440" s="235"/>
      <c r="AI26440" s="38"/>
    </row>
    <row r="26441" ht="15.75" customHeight="1">
      <c r="A26441" s="35"/>
      <c r="C26441" s="442"/>
      <c r="P26441" s="235"/>
      <c r="AI26441" s="38"/>
    </row>
    <row r="26442" ht="15.75" customHeight="1">
      <c r="A26442" s="35"/>
      <c r="C26442" s="442"/>
      <c r="P26442" s="235"/>
      <c r="AI26442" s="38"/>
    </row>
    <row r="26443" ht="15.75" customHeight="1">
      <c r="A26443" s="35"/>
      <c r="C26443" s="442"/>
      <c r="P26443" s="235"/>
      <c r="AI26443" s="38"/>
    </row>
    <row r="26444" ht="15.75" customHeight="1">
      <c r="A26444" s="35"/>
      <c r="C26444" s="442"/>
      <c r="P26444" s="235"/>
      <c r="AI26444" s="38"/>
    </row>
    <row r="26445" ht="15.75" customHeight="1">
      <c r="A26445" s="35"/>
      <c r="C26445" s="442"/>
      <c r="P26445" s="235"/>
      <c r="AI26445" s="38"/>
    </row>
    <row r="26446" ht="15.75" customHeight="1">
      <c r="A26446" s="35"/>
      <c r="C26446" s="442"/>
      <c r="P26446" s="235"/>
      <c r="AI26446" s="38"/>
    </row>
    <row r="26447" ht="15.75" customHeight="1">
      <c r="A26447" s="35"/>
      <c r="C26447" s="442"/>
      <c r="P26447" s="235"/>
      <c r="AI26447" s="38"/>
    </row>
    <row r="26448" ht="15.75" customHeight="1">
      <c r="A26448" s="35"/>
      <c r="C26448" s="442"/>
      <c r="P26448" s="235"/>
      <c r="AI26448" s="38"/>
    </row>
    <row r="26449" ht="15.75" customHeight="1">
      <c r="A26449" s="35"/>
      <c r="C26449" s="442"/>
      <c r="P26449" s="235"/>
      <c r="AI26449" s="38"/>
    </row>
    <row r="26450" ht="15.75" customHeight="1">
      <c r="A26450" s="35"/>
      <c r="C26450" s="442"/>
      <c r="P26450" s="235"/>
      <c r="AI26450" s="38"/>
    </row>
    <row r="26451" ht="15.75" customHeight="1">
      <c r="A26451" s="35"/>
      <c r="C26451" s="442"/>
      <c r="P26451" s="235"/>
      <c r="AI26451" s="38"/>
    </row>
    <row r="26452" ht="15.75" customHeight="1">
      <c r="A26452" s="35"/>
      <c r="C26452" s="442"/>
      <c r="P26452" s="235"/>
      <c r="AI26452" s="38"/>
    </row>
    <row r="26453" ht="15.75" customHeight="1">
      <c r="A26453" s="35"/>
      <c r="C26453" s="442"/>
      <c r="P26453" s="235"/>
      <c r="AI26453" s="38"/>
    </row>
    <row r="26454" ht="15.75" customHeight="1">
      <c r="A26454" s="35"/>
      <c r="C26454" s="442"/>
      <c r="P26454" s="235"/>
      <c r="AI26454" s="38"/>
    </row>
    <row r="26455" ht="15.75" customHeight="1">
      <c r="A26455" s="35"/>
      <c r="C26455" s="442"/>
      <c r="P26455" s="235"/>
      <c r="AI26455" s="38"/>
    </row>
    <row r="26456" ht="15.75" customHeight="1">
      <c r="A26456" s="35"/>
      <c r="C26456" s="442"/>
      <c r="P26456" s="235"/>
      <c r="AI26456" s="38"/>
    </row>
    <row r="26457" ht="15.75" customHeight="1">
      <c r="A26457" s="35"/>
      <c r="C26457" s="442"/>
      <c r="P26457" s="235"/>
      <c r="AI26457" s="38"/>
    </row>
    <row r="26458" ht="15.75" customHeight="1">
      <c r="A26458" s="35"/>
      <c r="C26458" s="442"/>
      <c r="P26458" s="235"/>
      <c r="AI26458" s="38"/>
    </row>
    <row r="26459" ht="15.75" customHeight="1">
      <c r="A26459" s="35"/>
      <c r="C26459" s="442"/>
      <c r="P26459" s="235"/>
      <c r="AI26459" s="38"/>
    </row>
    <row r="26460" ht="15.75" customHeight="1">
      <c r="A26460" s="35"/>
      <c r="C26460" s="442"/>
      <c r="P26460" s="235"/>
      <c r="AI26460" s="38"/>
    </row>
    <row r="26461" ht="15.75" customHeight="1">
      <c r="A26461" s="35"/>
      <c r="C26461" s="442"/>
      <c r="P26461" s="235"/>
      <c r="AI26461" s="38"/>
    </row>
    <row r="26462" ht="15.75" customHeight="1">
      <c r="A26462" s="35"/>
      <c r="C26462" s="442"/>
      <c r="P26462" s="235"/>
      <c r="AI26462" s="38"/>
    </row>
    <row r="26463" ht="15.75" customHeight="1">
      <c r="A26463" s="35"/>
      <c r="C26463" s="442"/>
      <c r="P26463" s="235"/>
      <c r="AI26463" s="38"/>
    </row>
    <row r="26464" ht="15.75" customHeight="1">
      <c r="A26464" s="35"/>
      <c r="C26464" s="442"/>
      <c r="P26464" s="235"/>
      <c r="AI26464" s="38"/>
    </row>
    <row r="26465" ht="15.75" customHeight="1">
      <c r="A26465" s="35"/>
      <c r="C26465" s="442"/>
      <c r="P26465" s="235"/>
      <c r="AI26465" s="38"/>
    </row>
    <row r="26466" ht="15.75" customHeight="1">
      <c r="A26466" s="35"/>
      <c r="C26466" s="442"/>
      <c r="P26466" s="235"/>
      <c r="AI26466" s="38"/>
    </row>
    <row r="26467" ht="15.75" customHeight="1">
      <c r="A26467" s="35"/>
      <c r="C26467" s="442"/>
      <c r="P26467" s="235"/>
      <c r="AI26467" s="38"/>
    </row>
    <row r="26468" ht="15.75" customHeight="1">
      <c r="A26468" s="35"/>
      <c r="C26468" s="442"/>
      <c r="P26468" s="235"/>
      <c r="AI26468" s="38"/>
    </row>
    <row r="26469" ht="15.75" customHeight="1">
      <c r="A26469" s="35"/>
      <c r="C26469" s="442"/>
      <c r="P26469" s="235"/>
      <c r="AI26469" s="38"/>
    </row>
    <row r="26470" ht="15.75" customHeight="1">
      <c r="A26470" s="35"/>
      <c r="C26470" s="442"/>
      <c r="P26470" s="235"/>
      <c r="AI26470" s="38"/>
    </row>
    <row r="26471" ht="15.75" customHeight="1">
      <c r="A26471" s="35"/>
      <c r="C26471" s="442"/>
      <c r="P26471" s="235"/>
      <c r="AI26471" s="38"/>
    </row>
    <row r="26472" ht="15.75" customHeight="1">
      <c r="A26472" s="35"/>
      <c r="C26472" s="442"/>
      <c r="P26472" s="235"/>
      <c r="AI26472" s="38"/>
    </row>
    <row r="26473" ht="15.75" customHeight="1">
      <c r="A26473" s="35"/>
      <c r="C26473" s="442"/>
      <c r="P26473" s="235"/>
      <c r="AI26473" s="38"/>
    </row>
    <row r="26474" ht="15.75" customHeight="1">
      <c r="A26474" s="35"/>
      <c r="C26474" s="442"/>
      <c r="P26474" s="235"/>
      <c r="AI26474" s="38"/>
    </row>
    <row r="26475" ht="15.75" customHeight="1">
      <c r="A26475" s="35"/>
      <c r="C26475" s="442"/>
      <c r="P26475" s="235"/>
      <c r="AI26475" s="38"/>
    </row>
    <row r="26476" ht="15.75" customHeight="1">
      <c r="A26476" s="35"/>
      <c r="C26476" s="442"/>
      <c r="P26476" s="235"/>
      <c r="AI26476" s="38"/>
    </row>
    <row r="26477" ht="15.75" customHeight="1">
      <c r="A26477" s="35"/>
      <c r="C26477" s="442"/>
      <c r="P26477" s="235"/>
      <c r="AI26477" s="38"/>
    </row>
    <row r="26478" ht="15.75" customHeight="1">
      <c r="A26478" s="35"/>
      <c r="C26478" s="442"/>
      <c r="P26478" s="235"/>
      <c r="AI26478" s="38"/>
    </row>
    <row r="26479" ht="15.75" customHeight="1">
      <c r="A26479" s="35"/>
      <c r="C26479" s="442"/>
      <c r="P26479" s="235"/>
      <c r="AI26479" s="38"/>
    </row>
    <row r="26480" ht="15.75" customHeight="1">
      <c r="A26480" s="35"/>
      <c r="C26480" s="442"/>
      <c r="P26480" s="235"/>
      <c r="AI26480" s="38"/>
    </row>
    <row r="26481" ht="15.75" customHeight="1">
      <c r="A26481" s="35"/>
      <c r="C26481" s="442"/>
      <c r="P26481" s="235"/>
      <c r="AI26481" s="38"/>
    </row>
    <row r="26482" ht="15.75" customHeight="1">
      <c r="A26482" s="35"/>
      <c r="C26482" s="442"/>
      <c r="P26482" s="235"/>
      <c r="AI26482" s="38"/>
    </row>
    <row r="26483" ht="15.75" customHeight="1">
      <c r="A26483" s="35"/>
      <c r="C26483" s="442"/>
      <c r="P26483" s="235"/>
      <c r="AI26483" s="38"/>
    </row>
    <row r="26484" ht="15.75" customHeight="1">
      <c r="A26484" s="35"/>
      <c r="C26484" s="442"/>
      <c r="P26484" s="235"/>
      <c r="AI26484" s="38"/>
    </row>
    <row r="26485" ht="15.75" customHeight="1">
      <c r="A26485" s="35"/>
      <c r="C26485" s="442"/>
      <c r="P26485" s="235"/>
      <c r="AI26485" s="38"/>
    </row>
    <row r="26486" ht="15.75" customHeight="1">
      <c r="A26486" s="35"/>
      <c r="C26486" s="442"/>
      <c r="P26486" s="235"/>
      <c r="AI26486" s="38"/>
    </row>
    <row r="26487" ht="15.75" customHeight="1">
      <c r="A26487" s="35"/>
      <c r="C26487" s="442"/>
      <c r="P26487" s="235"/>
      <c r="AI26487" s="38"/>
    </row>
    <row r="26488" ht="15.75" customHeight="1">
      <c r="A26488" s="35"/>
      <c r="C26488" s="442"/>
      <c r="P26488" s="235"/>
      <c r="AI26488" s="38"/>
    </row>
    <row r="26489" ht="15.75" customHeight="1">
      <c r="A26489" s="35"/>
      <c r="C26489" s="442"/>
      <c r="P26489" s="235"/>
      <c r="AI26489" s="38"/>
    </row>
    <row r="26490" ht="15.75" customHeight="1">
      <c r="A26490" s="35"/>
      <c r="C26490" s="442"/>
      <c r="P26490" s="235"/>
      <c r="AI26490" s="38"/>
    </row>
    <row r="26491" ht="15.75" customHeight="1">
      <c r="A26491" s="35"/>
      <c r="C26491" s="442"/>
      <c r="P26491" s="235"/>
      <c r="AI26491" s="38"/>
    </row>
    <row r="26492" ht="15.75" customHeight="1">
      <c r="A26492" s="35"/>
      <c r="C26492" s="442"/>
      <c r="P26492" s="235"/>
      <c r="AI26492" s="38"/>
    </row>
    <row r="26493" ht="15.75" customHeight="1">
      <c r="A26493" s="35"/>
      <c r="C26493" s="442"/>
      <c r="P26493" s="235"/>
      <c r="AI26493" s="38"/>
    </row>
    <row r="26494" ht="15.75" customHeight="1">
      <c r="A26494" s="35"/>
      <c r="C26494" s="442"/>
      <c r="P26494" s="235"/>
      <c r="AI26494" s="38"/>
    </row>
    <row r="26495" ht="15.75" customHeight="1">
      <c r="A26495" s="35"/>
      <c r="C26495" s="442"/>
      <c r="P26495" s="235"/>
      <c r="AI26495" s="38"/>
    </row>
    <row r="26496" ht="15.75" customHeight="1">
      <c r="A26496" s="35"/>
      <c r="C26496" s="442"/>
      <c r="P26496" s="235"/>
      <c r="AI26496" s="38"/>
    </row>
    <row r="26497" ht="15.75" customHeight="1">
      <c r="A26497" s="35"/>
      <c r="C26497" s="442"/>
      <c r="P26497" s="235"/>
      <c r="AI26497" s="38"/>
    </row>
    <row r="26498" ht="15.75" customHeight="1">
      <c r="A26498" s="35"/>
      <c r="C26498" s="442"/>
      <c r="P26498" s="235"/>
      <c r="AI26498" s="38"/>
    </row>
    <row r="26499" ht="15.75" customHeight="1">
      <c r="A26499" s="35"/>
      <c r="C26499" s="442"/>
      <c r="P26499" s="235"/>
      <c r="AI26499" s="38"/>
    </row>
    <row r="26500" ht="15.75" customHeight="1">
      <c r="A26500" s="35"/>
      <c r="C26500" s="442"/>
      <c r="P26500" s="235"/>
      <c r="AI26500" s="38"/>
    </row>
    <row r="26501" ht="15.75" customHeight="1">
      <c r="A26501" s="35"/>
      <c r="C26501" s="442"/>
      <c r="P26501" s="235"/>
      <c r="AI26501" s="38"/>
    </row>
    <row r="26502" ht="15.75" customHeight="1">
      <c r="A26502" s="35"/>
      <c r="C26502" s="442"/>
      <c r="P26502" s="235"/>
      <c r="AI26502" s="38"/>
    </row>
    <row r="26503" ht="15.75" customHeight="1">
      <c r="A26503" s="35"/>
      <c r="C26503" s="442"/>
      <c r="P26503" s="235"/>
      <c r="AI26503" s="38"/>
    </row>
    <row r="26504" ht="15.75" customHeight="1">
      <c r="A26504" s="35"/>
      <c r="C26504" s="442"/>
      <c r="P26504" s="235"/>
      <c r="AI26504" s="38"/>
    </row>
    <row r="26505" ht="15.75" customHeight="1">
      <c r="A26505" s="35"/>
      <c r="C26505" s="442"/>
      <c r="P26505" s="235"/>
      <c r="AI26505" s="38"/>
    </row>
    <row r="26506" ht="15.75" customHeight="1">
      <c r="A26506" s="35"/>
      <c r="C26506" s="442"/>
      <c r="P26506" s="235"/>
      <c r="AI26506" s="38"/>
    </row>
    <row r="26507" ht="15.75" customHeight="1">
      <c r="A26507" s="35"/>
      <c r="C26507" s="442"/>
      <c r="P26507" s="235"/>
      <c r="AI26507" s="38"/>
    </row>
    <row r="26508" ht="15.75" customHeight="1">
      <c r="A26508" s="35"/>
      <c r="C26508" s="442"/>
      <c r="P26508" s="235"/>
      <c r="AI26508" s="38"/>
    </row>
    <row r="26509" ht="15.75" customHeight="1">
      <c r="A26509" s="35"/>
      <c r="C26509" s="442"/>
      <c r="P26509" s="235"/>
      <c r="AI26509" s="38"/>
    </row>
    <row r="26510" ht="15.75" customHeight="1">
      <c r="A26510" s="35"/>
      <c r="C26510" s="442"/>
      <c r="P26510" s="235"/>
      <c r="AI26510" s="38"/>
    </row>
    <row r="26511" ht="15.75" customHeight="1">
      <c r="A26511" s="35"/>
      <c r="C26511" s="442"/>
      <c r="P26511" s="235"/>
      <c r="AI26511" s="38"/>
    </row>
    <row r="26512" ht="15.75" customHeight="1">
      <c r="A26512" s="35"/>
      <c r="C26512" s="442"/>
      <c r="P26512" s="235"/>
      <c r="AI26512" s="38"/>
    </row>
    <row r="26513" ht="15.75" customHeight="1">
      <c r="A26513" s="35"/>
      <c r="C26513" s="442"/>
      <c r="P26513" s="235"/>
      <c r="AI26513" s="38"/>
    </row>
    <row r="26514" ht="15.75" customHeight="1">
      <c r="A26514" s="35"/>
      <c r="C26514" s="442"/>
      <c r="P26514" s="235"/>
      <c r="AI26514" s="38"/>
    </row>
    <row r="26515" ht="15.75" customHeight="1">
      <c r="A26515" s="35"/>
      <c r="C26515" s="442"/>
      <c r="P26515" s="235"/>
      <c r="AI26515" s="38"/>
    </row>
    <row r="26516" ht="15.75" customHeight="1">
      <c r="A26516" s="35"/>
      <c r="C26516" s="442"/>
      <c r="P26516" s="235"/>
      <c r="AI26516" s="38"/>
    </row>
    <row r="26517" ht="15.75" customHeight="1">
      <c r="A26517" s="35"/>
      <c r="C26517" s="442"/>
      <c r="P26517" s="235"/>
      <c r="AI26517" s="38"/>
    </row>
    <row r="26518" ht="15.75" customHeight="1">
      <c r="A26518" s="35"/>
      <c r="C26518" s="442"/>
      <c r="P26518" s="235"/>
      <c r="AI26518" s="38"/>
    </row>
    <row r="26519" ht="15.75" customHeight="1">
      <c r="A26519" s="35"/>
      <c r="C26519" s="442"/>
      <c r="P26519" s="235"/>
      <c r="AI26519" s="38"/>
    </row>
    <row r="26520" ht="15.75" customHeight="1">
      <c r="A26520" s="35"/>
      <c r="C26520" s="442"/>
      <c r="P26520" s="235"/>
      <c r="AI26520" s="38"/>
    </row>
    <row r="26521" ht="15.75" customHeight="1">
      <c r="A26521" s="35"/>
      <c r="C26521" s="442"/>
      <c r="P26521" s="235"/>
      <c r="AI26521" s="38"/>
    </row>
    <row r="26522" ht="15.75" customHeight="1">
      <c r="A26522" s="35"/>
      <c r="C26522" s="442"/>
      <c r="P26522" s="235"/>
      <c r="AI26522" s="38"/>
    </row>
    <row r="26523" ht="15.75" customHeight="1">
      <c r="A26523" s="35"/>
      <c r="C26523" s="442"/>
      <c r="P26523" s="235"/>
      <c r="AI26523" s="38"/>
    </row>
    <row r="26524" ht="15.75" customHeight="1">
      <c r="A26524" s="35"/>
      <c r="C26524" s="442"/>
      <c r="P26524" s="235"/>
      <c r="AI26524" s="38"/>
    </row>
    <row r="26525" ht="15.75" customHeight="1">
      <c r="A26525" s="35"/>
      <c r="C26525" s="442"/>
      <c r="P26525" s="235"/>
      <c r="AI26525" s="38"/>
    </row>
    <row r="26526" ht="15.75" customHeight="1">
      <c r="A26526" s="35"/>
      <c r="C26526" s="442"/>
      <c r="P26526" s="235"/>
      <c r="AI26526" s="38"/>
    </row>
    <row r="26527" ht="15.75" customHeight="1">
      <c r="A26527" s="35"/>
      <c r="C26527" s="442"/>
      <c r="P26527" s="235"/>
      <c r="AI26527" s="38"/>
    </row>
    <row r="26528" ht="15.75" customHeight="1">
      <c r="A26528" s="35"/>
      <c r="C26528" s="442"/>
      <c r="P26528" s="235"/>
      <c r="AI26528" s="38"/>
    </row>
    <row r="26529" ht="15.75" customHeight="1">
      <c r="A26529" s="35"/>
      <c r="C26529" s="442"/>
      <c r="P26529" s="235"/>
      <c r="AI26529" s="38"/>
    </row>
    <row r="26530" ht="15.75" customHeight="1">
      <c r="A26530" s="35"/>
      <c r="C26530" s="442"/>
      <c r="P26530" s="235"/>
      <c r="AI26530" s="38"/>
    </row>
    <row r="26531" ht="15.75" customHeight="1">
      <c r="A26531" s="35"/>
      <c r="C26531" s="442"/>
      <c r="P26531" s="235"/>
      <c r="AI26531" s="38"/>
    </row>
    <row r="26532" ht="15.75" customHeight="1">
      <c r="A26532" s="35"/>
      <c r="C26532" s="442"/>
      <c r="P26532" s="235"/>
      <c r="AI26532" s="38"/>
    </row>
    <row r="26533" ht="15.75" customHeight="1">
      <c r="A26533" s="35"/>
      <c r="C26533" s="442"/>
      <c r="P26533" s="235"/>
      <c r="AI26533" s="38"/>
    </row>
    <row r="26534" ht="15.75" customHeight="1">
      <c r="A26534" s="35"/>
      <c r="C26534" s="442"/>
      <c r="P26534" s="235"/>
      <c r="AI26534" s="38"/>
    </row>
    <row r="26535" ht="15.75" customHeight="1">
      <c r="A26535" s="35"/>
      <c r="C26535" s="442"/>
      <c r="P26535" s="235"/>
      <c r="AI26535" s="38"/>
    </row>
    <row r="26536" ht="15.75" customHeight="1">
      <c r="A26536" s="35"/>
      <c r="C26536" s="442"/>
      <c r="P26536" s="235"/>
      <c r="AI26536" s="38"/>
    </row>
    <row r="26537" ht="15.75" customHeight="1">
      <c r="A26537" s="35"/>
      <c r="C26537" s="442"/>
      <c r="P26537" s="235"/>
      <c r="AI26537" s="38"/>
    </row>
    <row r="26538" ht="15.75" customHeight="1">
      <c r="A26538" s="35"/>
      <c r="C26538" s="442"/>
      <c r="P26538" s="235"/>
      <c r="AI26538" s="38"/>
    </row>
    <row r="26539" ht="15.75" customHeight="1">
      <c r="A26539" s="35"/>
      <c r="C26539" s="442"/>
      <c r="P26539" s="235"/>
      <c r="AI26539" s="38"/>
    </row>
    <row r="26540" ht="15.75" customHeight="1">
      <c r="A26540" s="35"/>
      <c r="C26540" s="442"/>
      <c r="P26540" s="235"/>
      <c r="AI26540" s="38"/>
    </row>
    <row r="26541" ht="15.75" customHeight="1">
      <c r="A26541" s="35"/>
      <c r="C26541" s="442"/>
      <c r="P26541" s="235"/>
      <c r="AI26541" s="38"/>
    </row>
    <row r="26542" ht="15.75" customHeight="1">
      <c r="A26542" s="35"/>
      <c r="C26542" s="442"/>
      <c r="P26542" s="235"/>
      <c r="AI26542" s="38"/>
    </row>
    <row r="26543" ht="15.75" customHeight="1">
      <c r="A26543" s="35"/>
      <c r="C26543" s="442"/>
      <c r="P26543" s="235"/>
      <c r="AI26543" s="38"/>
    </row>
    <row r="26544" ht="15.75" customHeight="1">
      <c r="A26544" s="35"/>
      <c r="C26544" s="442"/>
      <c r="P26544" s="235"/>
      <c r="AI26544" s="38"/>
    </row>
    <row r="26545" ht="15.75" customHeight="1">
      <c r="A26545" s="35"/>
      <c r="C26545" s="442"/>
      <c r="P26545" s="235"/>
      <c r="AI26545" s="38"/>
    </row>
    <row r="26546" ht="15.75" customHeight="1">
      <c r="A26546" s="35"/>
      <c r="C26546" s="442"/>
      <c r="P26546" s="235"/>
      <c r="AI26546" s="38"/>
    </row>
    <row r="26547" ht="15.75" customHeight="1">
      <c r="A26547" s="35"/>
      <c r="C26547" s="442"/>
      <c r="P26547" s="235"/>
      <c r="AI26547" s="38"/>
    </row>
    <row r="26548" ht="15.75" customHeight="1">
      <c r="A26548" s="35"/>
      <c r="C26548" s="442"/>
      <c r="P26548" s="235"/>
      <c r="AI26548" s="38"/>
    </row>
    <row r="26549" ht="15.75" customHeight="1">
      <c r="A26549" s="35"/>
      <c r="C26549" s="442"/>
      <c r="P26549" s="235"/>
      <c r="AI26549" s="38"/>
    </row>
    <row r="26550" ht="15.75" customHeight="1">
      <c r="A26550" s="35"/>
      <c r="C26550" s="442"/>
      <c r="P26550" s="235"/>
      <c r="AI26550" s="38"/>
    </row>
    <row r="26551" ht="15.75" customHeight="1">
      <c r="A26551" s="35"/>
      <c r="C26551" s="442"/>
      <c r="P26551" s="235"/>
      <c r="AI26551" s="38"/>
    </row>
    <row r="26552" ht="15.75" customHeight="1">
      <c r="A26552" s="35"/>
      <c r="C26552" s="442"/>
      <c r="P26552" s="235"/>
      <c r="AI26552" s="38"/>
    </row>
    <row r="26553" ht="15.75" customHeight="1">
      <c r="A26553" s="35"/>
      <c r="C26553" s="442"/>
      <c r="P26553" s="235"/>
      <c r="AI26553" s="38"/>
    </row>
    <row r="26554" ht="15.75" customHeight="1">
      <c r="A26554" s="35"/>
      <c r="C26554" s="442"/>
      <c r="P26554" s="235"/>
      <c r="AI26554" s="38"/>
    </row>
    <row r="26555" ht="15.75" customHeight="1">
      <c r="A26555" s="35"/>
      <c r="C26555" s="442"/>
      <c r="P26555" s="235"/>
      <c r="AI26555" s="38"/>
    </row>
    <row r="26556" ht="15.75" customHeight="1">
      <c r="A26556" s="35"/>
      <c r="C26556" s="442"/>
      <c r="P26556" s="235"/>
      <c r="AI26556" s="38"/>
    </row>
    <row r="26557" ht="15.75" customHeight="1">
      <c r="A26557" s="35"/>
      <c r="C26557" s="442"/>
      <c r="P26557" s="235"/>
      <c r="AI26557" s="38"/>
    </row>
    <row r="26558" ht="15.75" customHeight="1">
      <c r="A26558" s="35"/>
      <c r="C26558" s="442"/>
      <c r="P26558" s="235"/>
      <c r="AI26558" s="38"/>
    </row>
    <row r="26559" ht="15.75" customHeight="1">
      <c r="A26559" s="35"/>
      <c r="C26559" s="442"/>
      <c r="P26559" s="235"/>
      <c r="AI26559" s="38"/>
    </row>
    <row r="26560" ht="15.75" customHeight="1">
      <c r="A26560" s="35"/>
      <c r="C26560" s="442"/>
      <c r="P26560" s="235"/>
      <c r="AI26560" s="38"/>
    </row>
    <row r="26561" ht="15.75" customHeight="1">
      <c r="A26561" s="35"/>
      <c r="C26561" s="442"/>
      <c r="P26561" s="235"/>
      <c r="AI26561" s="38"/>
    </row>
    <row r="26562" ht="15.75" customHeight="1">
      <c r="A26562" s="35"/>
      <c r="C26562" s="442"/>
      <c r="P26562" s="235"/>
      <c r="AI26562" s="38"/>
    </row>
    <row r="26563" ht="15.75" customHeight="1">
      <c r="A26563" s="35"/>
      <c r="C26563" s="442"/>
      <c r="P26563" s="235"/>
      <c r="AI26563" s="38"/>
    </row>
    <row r="26564" ht="15.75" customHeight="1">
      <c r="A26564" s="35"/>
      <c r="C26564" s="442"/>
      <c r="P26564" s="235"/>
      <c r="AI26564" s="38"/>
    </row>
    <row r="26565" ht="15.75" customHeight="1">
      <c r="A26565" s="35"/>
      <c r="C26565" s="442"/>
      <c r="P26565" s="235"/>
      <c r="AI26565" s="38"/>
    </row>
    <row r="26566" ht="15.75" customHeight="1">
      <c r="A26566" s="35"/>
      <c r="C26566" s="442"/>
      <c r="P26566" s="235"/>
      <c r="AI26566" s="38"/>
    </row>
    <row r="26567" ht="15.75" customHeight="1">
      <c r="A26567" s="35"/>
      <c r="C26567" s="442"/>
      <c r="P26567" s="235"/>
      <c r="AI26567" s="38"/>
    </row>
    <row r="26568" ht="15.75" customHeight="1">
      <c r="A26568" s="35"/>
      <c r="C26568" s="442"/>
      <c r="P26568" s="235"/>
      <c r="AI26568" s="38"/>
    </row>
    <row r="26569" ht="15.75" customHeight="1">
      <c r="A26569" s="35"/>
      <c r="C26569" s="442"/>
      <c r="P26569" s="235"/>
      <c r="AI26569" s="38"/>
    </row>
    <row r="26570" ht="15.75" customHeight="1">
      <c r="A26570" s="35"/>
      <c r="C26570" s="442"/>
      <c r="P26570" s="235"/>
      <c r="AI26570" s="38"/>
    </row>
    <row r="26571" ht="15.75" customHeight="1">
      <c r="A26571" s="35"/>
      <c r="C26571" s="442"/>
      <c r="P26571" s="235"/>
      <c r="AI26571" s="38"/>
    </row>
    <row r="26572" ht="15.75" customHeight="1">
      <c r="A26572" s="35"/>
      <c r="C26572" s="442"/>
      <c r="P26572" s="235"/>
      <c r="AI26572" s="38"/>
    </row>
    <row r="26573" ht="15.75" customHeight="1">
      <c r="A26573" s="35"/>
      <c r="C26573" s="442"/>
      <c r="P26573" s="235"/>
      <c r="AI26573" s="38"/>
    </row>
    <row r="26574" ht="15.75" customHeight="1">
      <c r="A26574" s="35"/>
      <c r="C26574" s="442"/>
      <c r="P26574" s="235"/>
      <c r="AI26574" s="38"/>
    </row>
    <row r="26575" ht="15.75" customHeight="1">
      <c r="A26575" s="35"/>
      <c r="C26575" s="442"/>
      <c r="P26575" s="235"/>
      <c r="AI26575" s="38"/>
    </row>
    <row r="26576" ht="15.75" customHeight="1">
      <c r="A26576" s="35"/>
      <c r="C26576" s="442"/>
      <c r="P26576" s="235"/>
      <c r="AI26576" s="38"/>
    </row>
    <row r="26577" ht="15.75" customHeight="1">
      <c r="A26577" s="35"/>
      <c r="C26577" s="442"/>
      <c r="P26577" s="235"/>
      <c r="AI26577" s="38"/>
    </row>
    <row r="26578" ht="15.75" customHeight="1">
      <c r="A26578" s="35"/>
      <c r="C26578" s="442"/>
      <c r="P26578" s="235"/>
      <c r="AI26578" s="38"/>
    </row>
    <row r="26579" ht="15.75" customHeight="1">
      <c r="A26579" s="35"/>
      <c r="C26579" s="442"/>
      <c r="P26579" s="235"/>
      <c r="AI26579" s="38"/>
    </row>
    <row r="26580" ht="15.75" customHeight="1">
      <c r="A26580" s="35"/>
      <c r="C26580" s="442"/>
      <c r="P26580" s="235"/>
      <c r="AI26580" s="38"/>
    </row>
    <row r="26581" ht="15.75" customHeight="1">
      <c r="A26581" s="35"/>
      <c r="C26581" s="442"/>
      <c r="P26581" s="235"/>
      <c r="AI26581" s="38"/>
    </row>
    <row r="26582" ht="15.75" customHeight="1">
      <c r="A26582" s="35"/>
      <c r="C26582" s="442"/>
      <c r="P26582" s="235"/>
      <c r="AI26582" s="38"/>
    </row>
    <row r="26583" ht="15.75" customHeight="1">
      <c r="A26583" s="35"/>
      <c r="C26583" s="442"/>
      <c r="P26583" s="235"/>
      <c r="AI26583" s="38"/>
    </row>
    <row r="26584" ht="15.75" customHeight="1">
      <c r="A26584" s="35"/>
      <c r="C26584" s="442"/>
      <c r="P26584" s="235"/>
      <c r="AI26584" s="38"/>
    </row>
    <row r="26585" ht="15.75" customHeight="1">
      <c r="A26585" s="35"/>
      <c r="C26585" s="442"/>
      <c r="P26585" s="235"/>
      <c r="AI26585" s="38"/>
    </row>
    <row r="26586" ht="15.75" customHeight="1">
      <c r="A26586" s="35"/>
      <c r="C26586" s="442"/>
      <c r="P26586" s="235"/>
      <c r="AI26586" s="38"/>
    </row>
    <row r="26587" ht="15.75" customHeight="1">
      <c r="A26587" s="35"/>
      <c r="C26587" s="442"/>
      <c r="P26587" s="235"/>
      <c r="AI26587" s="38"/>
    </row>
    <row r="26588" ht="15.75" customHeight="1">
      <c r="A26588" s="35"/>
      <c r="C26588" s="442"/>
      <c r="P26588" s="235"/>
      <c r="AI26588" s="38"/>
    </row>
    <row r="26589" ht="15.75" customHeight="1">
      <c r="A26589" s="35"/>
      <c r="C26589" s="442"/>
      <c r="P26589" s="235"/>
      <c r="AI26589" s="38"/>
    </row>
    <row r="26590" ht="15.75" customHeight="1">
      <c r="A26590" s="35"/>
      <c r="C26590" s="442"/>
      <c r="P26590" s="235"/>
      <c r="AI26590" s="38"/>
    </row>
    <row r="26591" ht="15.75" customHeight="1">
      <c r="A26591" s="35"/>
      <c r="C26591" s="442"/>
      <c r="P26591" s="235"/>
      <c r="AI26591" s="38"/>
    </row>
    <row r="26592" ht="15.75" customHeight="1">
      <c r="A26592" s="35"/>
      <c r="C26592" s="442"/>
      <c r="P26592" s="235"/>
      <c r="AI26592" s="38"/>
    </row>
    <row r="26593" ht="15.75" customHeight="1">
      <c r="A26593" s="35"/>
      <c r="C26593" s="442"/>
      <c r="P26593" s="235"/>
      <c r="AI26593" s="38"/>
    </row>
    <row r="26594" ht="15.75" customHeight="1">
      <c r="A26594" s="35"/>
      <c r="C26594" s="442"/>
      <c r="P26594" s="235"/>
      <c r="AI26594" s="38"/>
    </row>
    <row r="26595" ht="15.75" customHeight="1">
      <c r="A26595" s="35"/>
      <c r="C26595" s="442"/>
      <c r="P26595" s="235"/>
      <c r="AI26595" s="38"/>
    </row>
    <row r="26596" ht="15.75" customHeight="1">
      <c r="A26596" s="35"/>
      <c r="C26596" s="442"/>
      <c r="P26596" s="235"/>
      <c r="AI26596" s="38"/>
    </row>
    <row r="26597" ht="15.75" customHeight="1">
      <c r="A26597" s="35"/>
      <c r="C26597" s="442"/>
      <c r="P26597" s="235"/>
      <c r="AI26597" s="38"/>
    </row>
    <row r="26598" ht="15.75" customHeight="1">
      <c r="A26598" s="35"/>
      <c r="C26598" s="442"/>
      <c r="P26598" s="235"/>
      <c r="AI26598" s="38"/>
    </row>
    <row r="26599" ht="15.75" customHeight="1">
      <c r="A26599" s="35"/>
      <c r="C26599" s="442"/>
      <c r="P26599" s="235"/>
      <c r="AI26599" s="38"/>
    </row>
    <row r="26600" ht="15.75" customHeight="1">
      <c r="A26600" s="35"/>
      <c r="C26600" s="442"/>
      <c r="P26600" s="235"/>
      <c r="AI26600" s="38"/>
    </row>
    <row r="26601" ht="15.75" customHeight="1">
      <c r="A26601" s="35"/>
      <c r="C26601" s="442"/>
      <c r="P26601" s="235"/>
      <c r="AI26601" s="38"/>
    </row>
    <row r="26602" ht="15.75" customHeight="1">
      <c r="A26602" s="35"/>
      <c r="C26602" s="442"/>
      <c r="P26602" s="235"/>
      <c r="AI26602" s="38"/>
    </row>
    <row r="26603" ht="15.75" customHeight="1">
      <c r="A26603" s="35"/>
      <c r="C26603" s="442"/>
      <c r="P26603" s="235"/>
      <c r="AI26603" s="38"/>
    </row>
    <row r="26604" ht="15.75" customHeight="1">
      <c r="A26604" s="35"/>
      <c r="C26604" s="442"/>
      <c r="P26604" s="235"/>
      <c r="AI26604" s="38"/>
    </row>
    <row r="26605" ht="15.75" customHeight="1">
      <c r="A26605" s="35"/>
      <c r="C26605" s="442"/>
      <c r="P26605" s="235"/>
      <c r="AI26605" s="38"/>
    </row>
    <row r="26606" ht="15.75" customHeight="1">
      <c r="A26606" s="35"/>
      <c r="C26606" s="442"/>
      <c r="P26606" s="235"/>
      <c r="AI26606" s="38"/>
    </row>
    <row r="26607" ht="15.75" customHeight="1">
      <c r="A26607" s="35"/>
      <c r="C26607" s="442"/>
      <c r="P26607" s="235"/>
      <c r="AI26607" s="38"/>
    </row>
    <row r="26608" ht="15.75" customHeight="1">
      <c r="A26608" s="35"/>
      <c r="C26608" s="442"/>
      <c r="P26608" s="235"/>
      <c r="AI26608" s="38"/>
    </row>
    <row r="26609" ht="15.75" customHeight="1">
      <c r="A26609" s="35"/>
      <c r="C26609" s="442"/>
      <c r="P26609" s="235"/>
      <c r="AI26609" s="38"/>
    </row>
    <row r="26610" ht="15.75" customHeight="1">
      <c r="A26610" s="35"/>
      <c r="C26610" s="442"/>
      <c r="P26610" s="235"/>
      <c r="AI26610" s="38"/>
    </row>
    <row r="26611" ht="15.75" customHeight="1">
      <c r="A26611" s="35"/>
      <c r="C26611" s="442"/>
      <c r="P26611" s="235"/>
      <c r="AI26611" s="38"/>
    </row>
    <row r="26612" ht="15.75" customHeight="1">
      <c r="A26612" s="35"/>
      <c r="C26612" s="442"/>
      <c r="P26612" s="235"/>
      <c r="AI26612" s="38"/>
    </row>
    <row r="26613" ht="15.75" customHeight="1">
      <c r="A26613" s="35"/>
      <c r="C26613" s="442"/>
      <c r="P26613" s="235"/>
      <c r="AI26613" s="38"/>
    </row>
    <row r="26614" ht="15.75" customHeight="1">
      <c r="A26614" s="35"/>
      <c r="C26614" s="442"/>
      <c r="P26614" s="235"/>
      <c r="AI26614" s="38"/>
    </row>
    <row r="26615" ht="15.75" customHeight="1">
      <c r="A26615" s="35"/>
      <c r="C26615" s="442"/>
      <c r="P26615" s="235"/>
      <c r="AI26615" s="38"/>
    </row>
    <row r="26616" ht="15.75" customHeight="1">
      <c r="A26616" s="35"/>
      <c r="C26616" s="442"/>
      <c r="P26616" s="235"/>
      <c r="AI26616" s="38"/>
    </row>
    <row r="26617" ht="15.75" customHeight="1">
      <c r="A26617" s="35"/>
      <c r="C26617" s="442"/>
      <c r="P26617" s="235"/>
      <c r="AI26617" s="38"/>
    </row>
    <row r="26618" ht="15.75" customHeight="1">
      <c r="A26618" s="35"/>
      <c r="C26618" s="442"/>
      <c r="P26618" s="235"/>
      <c r="AI26618" s="38"/>
    </row>
    <row r="26619" ht="15.75" customHeight="1">
      <c r="A26619" s="35"/>
      <c r="C26619" s="442"/>
      <c r="P26619" s="235"/>
      <c r="AI26619" s="38"/>
    </row>
    <row r="26620" ht="15.75" customHeight="1">
      <c r="A26620" s="35"/>
      <c r="C26620" s="442"/>
      <c r="P26620" s="235"/>
      <c r="AI26620" s="38"/>
    </row>
    <row r="26621" ht="15.75" customHeight="1">
      <c r="A26621" s="35"/>
      <c r="C26621" s="442"/>
      <c r="P26621" s="235"/>
      <c r="AI26621" s="38"/>
    </row>
    <row r="26622" ht="15.75" customHeight="1">
      <c r="A26622" s="35"/>
      <c r="C26622" s="442"/>
      <c r="P26622" s="235"/>
      <c r="AI26622" s="38"/>
    </row>
    <row r="26623" ht="15.75" customHeight="1">
      <c r="A26623" s="35"/>
      <c r="C26623" s="442"/>
      <c r="P26623" s="235"/>
      <c r="AI26623" s="38"/>
    </row>
    <row r="26624" ht="15.75" customHeight="1">
      <c r="A26624" s="35"/>
      <c r="C26624" s="442"/>
      <c r="P26624" s="235"/>
      <c r="AI26624" s="38"/>
    </row>
    <row r="26625" ht="15.75" customHeight="1">
      <c r="A26625" s="35"/>
      <c r="C26625" s="442"/>
      <c r="P26625" s="235"/>
      <c r="AI26625" s="38"/>
    </row>
    <row r="26626" ht="15.75" customHeight="1">
      <c r="A26626" s="35"/>
      <c r="C26626" s="442"/>
      <c r="P26626" s="235"/>
      <c r="AI26626" s="38"/>
    </row>
    <row r="26627" ht="15.75" customHeight="1">
      <c r="A26627" s="35"/>
      <c r="C26627" s="442"/>
      <c r="P26627" s="235"/>
      <c r="AI26627" s="38"/>
    </row>
    <row r="26628" ht="15.75" customHeight="1">
      <c r="A26628" s="35"/>
      <c r="C26628" s="442"/>
      <c r="P26628" s="235"/>
      <c r="AI26628" s="38"/>
    </row>
    <row r="26629" ht="15.75" customHeight="1">
      <c r="A26629" s="35"/>
      <c r="C26629" s="442"/>
      <c r="P26629" s="235"/>
      <c r="AI26629" s="38"/>
    </row>
    <row r="26630" ht="15.75" customHeight="1">
      <c r="A26630" s="35"/>
      <c r="C26630" s="442"/>
      <c r="P26630" s="235"/>
      <c r="AI26630" s="38"/>
    </row>
    <row r="26631" ht="15.75" customHeight="1">
      <c r="A26631" s="35"/>
      <c r="C26631" s="442"/>
      <c r="P26631" s="235"/>
      <c r="AI26631" s="38"/>
    </row>
    <row r="26632" ht="15.75" customHeight="1">
      <c r="A26632" s="35"/>
      <c r="C26632" s="442"/>
      <c r="P26632" s="235"/>
      <c r="AI26632" s="38"/>
    </row>
    <row r="26633" ht="15.75" customHeight="1">
      <c r="A26633" s="35"/>
      <c r="C26633" s="442"/>
      <c r="P26633" s="235"/>
      <c r="AI26633" s="38"/>
    </row>
    <row r="26634" ht="15.75" customHeight="1">
      <c r="A26634" s="35"/>
      <c r="C26634" s="442"/>
      <c r="P26634" s="235"/>
      <c r="AI26634" s="38"/>
    </row>
    <row r="26635" ht="15.75" customHeight="1">
      <c r="A26635" s="35"/>
      <c r="C26635" s="442"/>
      <c r="P26635" s="235"/>
      <c r="AI26635" s="38"/>
    </row>
    <row r="26636" ht="15.75" customHeight="1">
      <c r="A26636" s="35"/>
      <c r="C26636" s="442"/>
      <c r="P26636" s="235"/>
      <c r="AI26636" s="38"/>
    </row>
    <row r="26637" ht="15.75" customHeight="1">
      <c r="A26637" s="35"/>
      <c r="C26637" s="442"/>
      <c r="P26637" s="235"/>
      <c r="AI26637" s="38"/>
    </row>
    <row r="26638" ht="15.75" customHeight="1">
      <c r="A26638" s="35"/>
      <c r="C26638" s="442"/>
      <c r="P26638" s="235"/>
      <c r="AI26638" s="38"/>
    </row>
    <row r="26639" ht="15.75" customHeight="1">
      <c r="A26639" s="35"/>
      <c r="C26639" s="442"/>
      <c r="P26639" s="235"/>
      <c r="AI26639" s="38"/>
    </row>
    <row r="26640" ht="15.75" customHeight="1">
      <c r="A26640" s="35"/>
      <c r="C26640" s="442"/>
      <c r="P26640" s="235"/>
      <c r="AI26640" s="38"/>
    </row>
    <row r="26641" ht="15.75" customHeight="1">
      <c r="A26641" s="35"/>
      <c r="C26641" s="442"/>
      <c r="P26641" s="235"/>
      <c r="AI26641" s="38"/>
    </row>
    <row r="26642" ht="15.75" customHeight="1">
      <c r="A26642" s="35"/>
      <c r="C26642" s="442"/>
      <c r="P26642" s="235"/>
      <c r="AI26642" s="38"/>
    </row>
    <row r="26643" ht="15.75" customHeight="1">
      <c r="A26643" s="35"/>
      <c r="C26643" s="442"/>
      <c r="P26643" s="235"/>
      <c r="AI26643" s="38"/>
    </row>
    <row r="26644" ht="15.75" customHeight="1">
      <c r="A26644" s="35"/>
      <c r="C26644" s="442"/>
      <c r="P26644" s="235"/>
      <c r="AI26644" s="38"/>
    </row>
    <row r="26645" ht="15.75" customHeight="1">
      <c r="A26645" s="35"/>
      <c r="C26645" s="442"/>
      <c r="P26645" s="235"/>
      <c r="AI26645" s="38"/>
    </row>
    <row r="26646" ht="15.75" customHeight="1">
      <c r="A26646" s="35"/>
      <c r="C26646" s="442"/>
      <c r="P26646" s="235"/>
      <c r="AI26646" s="38"/>
    </row>
    <row r="26647" ht="15.75" customHeight="1">
      <c r="A26647" s="35"/>
      <c r="C26647" s="442"/>
      <c r="P26647" s="235"/>
      <c r="AI26647" s="38"/>
    </row>
    <row r="26648" ht="15.75" customHeight="1">
      <c r="A26648" s="35"/>
      <c r="C26648" s="442"/>
      <c r="P26648" s="235"/>
      <c r="AI26648" s="38"/>
    </row>
    <row r="26649" ht="15.75" customHeight="1">
      <c r="A26649" s="35"/>
      <c r="C26649" s="442"/>
      <c r="P26649" s="235"/>
      <c r="AI26649" s="38"/>
    </row>
    <row r="26650" ht="15.75" customHeight="1">
      <c r="A26650" s="35"/>
      <c r="C26650" s="442"/>
      <c r="P26650" s="235"/>
      <c r="AI26650" s="38"/>
    </row>
    <row r="26651" ht="15.75" customHeight="1">
      <c r="A26651" s="35"/>
      <c r="C26651" s="442"/>
      <c r="P26651" s="235"/>
      <c r="AI26651" s="38"/>
    </row>
    <row r="26652" ht="15.75" customHeight="1">
      <c r="A26652" s="35"/>
      <c r="C26652" s="442"/>
      <c r="P26652" s="235"/>
      <c r="AI26652" s="38"/>
    </row>
    <row r="26653" ht="15.75" customHeight="1">
      <c r="A26653" s="35"/>
      <c r="C26653" s="442"/>
      <c r="P26653" s="235"/>
      <c r="AI26653" s="38"/>
    </row>
    <row r="26654" ht="15.75" customHeight="1">
      <c r="A26654" s="35"/>
      <c r="C26654" s="442"/>
      <c r="P26654" s="235"/>
      <c r="AI26654" s="38"/>
    </row>
    <row r="26655" ht="15.75" customHeight="1">
      <c r="A26655" s="35"/>
      <c r="C26655" s="442"/>
      <c r="P26655" s="235"/>
      <c r="AI26655" s="38"/>
    </row>
    <row r="26656" ht="15.75" customHeight="1">
      <c r="A26656" s="35"/>
      <c r="C26656" s="442"/>
      <c r="P26656" s="235"/>
      <c r="AI26656" s="38"/>
    </row>
    <row r="26657" ht="15.75" customHeight="1">
      <c r="A26657" s="35"/>
      <c r="C26657" s="442"/>
      <c r="P26657" s="235"/>
      <c r="AI26657" s="38"/>
    </row>
    <row r="26658" ht="15.75" customHeight="1">
      <c r="A26658" s="35"/>
      <c r="C26658" s="442"/>
      <c r="P26658" s="235"/>
      <c r="AI26658" s="38"/>
    </row>
    <row r="26659" ht="15.75" customHeight="1">
      <c r="A26659" s="35"/>
      <c r="C26659" s="442"/>
      <c r="P26659" s="235"/>
      <c r="AI26659" s="38"/>
    </row>
    <row r="26660" ht="15.75" customHeight="1">
      <c r="A26660" s="35"/>
      <c r="C26660" s="442"/>
      <c r="P26660" s="235"/>
      <c r="AI26660" s="38"/>
    </row>
    <row r="26661" ht="15.75" customHeight="1">
      <c r="A26661" s="35"/>
      <c r="C26661" s="442"/>
      <c r="P26661" s="235"/>
      <c r="AI26661" s="38"/>
    </row>
    <row r="26662" ht="15.75" customHeight="1">
      <c r="A26662" s="35"/>
      <c r="C26662" s="442"/>
      <c r="P26662" s="235"/>
      <c r="AI26662" s="38"/>
    </row>
    <row r="26663" ht="15.75" customHeight="1">
      <c r="A26663" s="35"/>
      <c r="C26663" s="442"/>
      <c r="P26663" s="235"/>
      <c r="AI26663" s="38"/>
    </row>
    <row r="26664" ht="15.75" customHeight="1">
      <c r="A26664" s="35"/>
      <c r="C26664" s="442"/>
      <c r="P26664" s="235"/>
      <c r="AI26664" s="38"/>
    </row>
    <row r="26665" ht="15.75" customHeight="1">
      <c r="A26665" s="35"/>
      <c r="C26665" s="442"/>
      <c r="P26665" s="235"/>
      <c r="AI26665" s="38"/>
    </row>
    <row r="26666" ht="15.75" customHeight="1">
      <c r="A26666" s="35"/>
      <c r="C26666" s="442"/>
      <c r="P26666" s="235"/>
      <c r="AI26666" s="38"/>
    </row>
    <row r="26667" ht="15.75" customHeight="1">
      <c r="A26667" s="35"/>
      <c r="C26667" s="442"/>
      <c r="P26667" s="235"/>
      <c r="AI26667" s="38"/>
    </row>
    <row r="26668" ht="15.75" customHeight="1">
      <c r="A26668" s="35"/>
      <c r="C26668" s="442"/>
      <c r="P26668" s="235"/>
      <c r="AI26668" s="38"/>
    </row>
    <row r="26669" ht="15.75" customHeight="1">
      <c r="A26669" s="35"/>
      <c r="C26669" s="442"/>
      <c r="P26669" s="235"/>
      <c r="AI26669" s="38"/>
    </row>
    <row r="26670" ht="15.75" customHeight="1">
      <c r="A26670" s="35"/>
      <c r="C26670" s="442"/>
      <c r="P26670" s="235"/>
      <c r="AI26670" s="38"/>
    </row>
    <row r="26671" ht="15.75" customHeight="1">
      <c r="A26671" s="35"/>
      <c r="C26671" s="442"/>
      <c r="P26671" s="235"/>
      <c r="AI26671" s="38"/>
    </row>
    <row r="26672" ht="15.75" customHeight="1">
      <c r="A26672" s="35"/>
      <c r="C26672" s="442"/>
      <c r="P26672" s="235"/>
      <c r="AI26672" s="38"/>
    </row>
    <row r="26673" ht="15.75" customHeight="1">
      <c r="A26673" s="35"/>
      <c r="C26673" s="442"/>
      <c r="P26673" s="235"/>
      <c r="AI26673" s="38"/>
    </row>
    <row r="26674" ht="15.75" customHeight="1">
      <c r="A26674" s="35"/>
      <c r="C26674" s="442"/>
      <c r="P26674" s="235"/>
      <c r="AI26674" s="38"/>
    </row>
    <row r="26675" ht="15.75" customHeight="1">
      <c r="A26675" s="35"/>
      <c r="C26675" s="442"/>
      <c r="P26675" s="235"/>
      <c r="AI26675" s="38"/>
    </row>
    <row r="26676" ht="15.75" customHeight="1">
      <c r="A26676" s="35"/>
      <c r="C26676" s="442"/>
      <c r="P26676" s="235"/>
      <c r="AI26676" s="38"/>
    </row>
    <row r="26677" ht="15.75" customHeight="1">
      <c r="A26677" s="35"/>
      <c r="C26677" s="442"/>
      <c r="P26677" s="235"/>
      <c r="AI26677" s="38"/>
    </row>
    <row r="26678" ht="15.75" customHeight="1">
      <c r="A26678" s="35"/>
      <c r="C26678" s="442"/>
      <c r="P26678" s="235"/>
      <c r="AI26678" s="38"/>
    </row>
    <row r="26679" ht="15.75" customHeight="1">
      <c r="A26679" s="35"/>
      <c r="C26679" s="442"/>
      <c r="P26679" s="235"/>
      <c r="AI26679" s="38"/>
    </row>
    <row r="26680" ht="15.75" customHeight="1">
      <c r="A26680" s="35"/>
      <c r="C26680" s="442"/>
      <c r="P26680" s="235"/>
      <c r="AI26680" s="38"/>
    </row>
    <row r="26681" ht="15.75" customHeight="1">
      <c r="A26681" s="35"/>
      <c r="C26681" s="442"/>
      <c r="P26681" s="235"/>
      <c r="AI26681" s="38"/>
    </row>
    <row r="26682" ht="15.75" customHeight="1">
      <c r="A26682" s="35"/>
      <c r="C26682" s="442"/>
      <c r="P26682" s="235"/>
      <c r="AI26682" s="38"/>
    </row>
    <row r="26683" ht="15.75" customHeight="1">
      <c r="A26683" s="35"/>
      <c r="C26683" s="442"/>
      <c r="P26683" s="235"/>
      <c r="AI26683" s="38"/>
    </row>
    <row r="26684" ht="15.75" customHeight="1">
      <c r="A26684" s="35"/>
      <c r="C26684" s="442"/>
      <c r="P26684" s="235"/>
      <c r="AI26684" s="38"/>
    </row>
    <row r="26685" ht="15.75" customHeight="1">
      <c r="A26685" s="35"/>
      <c r="C26685" s="442"/>
      <c r="P26685" s="235"/>
      <c r="AI26685" s="38"/>
    </row>
    <row r="26686" ht="15.75" customHeight="1">
      <c r="A26686" s="35"/>
      <c r="C26686" s="442"/>
      <c r="P26686" s="235"/>
      <c r="AI26686" s="38"/>
    </row>
    <row r="26687" ht="15.75" customHeight="1">
      <c r="A26687" s="35"/>
      <c r="C26687" s="442"/>
      <c r="P26687" s="235"/>
      <c r="AI26687" s="38"/>
    </row>
    <row r="26688" ht="15.75" customHeight="1">
      <c r="A26688" s="35"/>
      <c r="C26688" s="442"/>
      <c r="P26688" s="235"/>
      <c r="AI26688" s="38"/>
    </row>
    <row r="26689" ht="15.75" customHeight="1">
      <c r="A26689" s="35"/>
      <c r="C26689" s="442"/>
      <c r="P26689" s="235"/>
      <c r="AI26689" s="38"/>
    </row>
    <row r="26690" ht="15.75" customHeight="1">
      <c r="A26690" s="35"/>
      <c r="C26690" s="442"/>
      <c r="P26690" s="235"/>
      <c r="AI26690" s="38"/>
    </row>
    <row r="26691" ht="15.75" customHeight="1">
      <c r="A26691" s="35"/>
      <c r="C26691" s="442"/>
      <c r="P26691" s="235"/>
      <c r="AI26691" s="38"/>
    </row>
    <row r="26692" ht="15.75" customHeight="1">
      <c r="A26692" s="35"/>
      <c r="C26692" s="442"/>
      <c r="P26692" s="235"/>
      <c r="AI26692" s="38"/>
    </row>
    <row r="26693" ht="15.75" customHeight="1">
      <c r="A26693" s="35"/>
      <c r="C26693" s="442"/>
      <c r="P26693" s="235"/>
      <c r="AI26693" s="38"/>
    </row>
    <row r="26694" ht="15.75" customHeight="1">
      <c r="A26694" s="35"/>
      <c r="C26694" s="442"/>
      <c r="P26694" s="235"/>
      <c r="AI26694" s="38"/>
    </row>
    <row r="26695" ht="15.75" customHeight="1">
      <c r="A26695" s="35"/>
      <c r="C26695" s="442"/>
      <c r="P26695" s="235"/>
      <c r="AI26695" s="38"/>
    </row>
    <row r="26696" ht="15.75" customHeight="1">
      <c r="A26696" s="35"/>
      <c r="C26696" s="442"/>
      <c r="P26696" s="235"/>
      <c r="AI26696" s="38"/>
    </row>
    <row r="26697" ht="15.75" customHeight="1">
      <c r="A26697" s="35"/>
      <c r="C26697" s="442"/>
      <c r="P26697" s="235"/>
      <c r="AI26697" s="38"/>
    </row>
    <row r="26698" ht="15.75" customHeight="1">
      <c r="A26698" s="35"/>
      <c r="C26698" s="442"/>
      <c r="P26698" s="235"/>
      <c r="AI26698" s="38"/>
    </row>
    <row r="26699" ht="15.75" customHeight="1">
      <c r="A26699" s="35"/>
      <c r="C26699" s="442"/>
      <c r="P26699" s="235"/>
      <c r="AI26699" s="38"/>
    </row>
    <row r="26700" ht="15.75" customHeight="1">
      <c r="A26700" s="35"/>
      <c r="C26700" s="442"/>
      <c r="P26700" s="235"/>
      <c r="AI26700" s="38"/>
    </row>
    <row r="26701" ht="15.75" customHeight="1">
      <c r="A26701" s="35"/>
      <c r="C26701" s="442"/>
      <c r="P26701" s="235"/>
      <c r="AI26701" s="38"/>
    </row>
    <row r="26702" ht="15.75" customHeight="1">
      <c r="A26702" s="35"/>
      <c r="C26702" s="442"/>
      <c r="P26702" s="235"/>
      <c r="AI26702" s="38"/>
    </row>
    <row r="26703" ht="15.75" customHeight="1">
      <c r="A26703" s="35"/>
      <c r="C26703" s="442"/>
      <c r="P26703" s="235"/>
      <c r="AI26703" s="38"/>
    </row>
    <row r="26704" ht="15.75" customHeight="1">
      <c r="A26704" s="35"/>
      <c r="C26704" s="442"/>
      <c r="P26704" s="235"/>
      <c r="AI26704" s="38"/>
    </row>
    <row r="26705" ht="15.75" customHeight="1">
      <c r="A26705" s="35"/>
      <c r="C26705" s="442"/>
      <c r="P26705" s="235"/>
      <c r="AI26705" s="38"/>
    </row>
    <row r="26706" ht="15.75" customHeight="1">
      <c r="A26706" s="35"/>
      <c r="C26706" s="442"/>
      <c r="P26706" s="235"/>
      <c r="AI26706" s="38"/>
    </row>
    <row r="26707" ht="15.75" customHeight="1">
      <c r="A26707" s="35"/>
      <c r="C26707" s="442"/>
      <c r="P26707" s="235"/>
      <c r="AI26707" s="38"/>
    </row>
    <row r="26708" ht="15.75" customHeight="1">
      <c r="A26708" s="35"/>
      <c r="C26708" s="442"/>
      <c r="P26708" s="235"/>
      <c r="AI26708" s="38"/>
    </row>
    <row r="26709" ht="15.75" customHeight="1">
      <c r="A26709" s="35"/>
      <c r="C26709" s="442"/>
      <c r="P26709" s="235"/>
      <c r="AI26709" s="38"/>
    </row>
    <row r="26710" ht="15.75" customHeight="1">
      <c r="A26710" s="35"/>
      <c r="C26710" s="442"/>
      <c r="P26710" s="235"/>
      <c r="AI26710" s="38"/>
    </row>
    <row r="26711" ht="15.75" customHeight="1">
      <c r="A26711" s="35"/>
      <c r="C26711" s="442"/>
      <c r="P26711" s="235"/>
      <c r="AI26711" s="38"/>
    </row>
    <row r="26712" ht="15.75" customHeight="1">
      <c r="A26712" s="35"/>
      <c r="C26712" s="442"/>
      <c r="P26712" s="235"/>
      <c r="AI26712" s="38"/>
    </row>
    <row r="26713" ht="15.75" customHeight="1">
      <c r="A26713" s="35"/>
      <c r="C26713" s="442"/>
      <c r="P26713" s="235"/>
      <c r="AI26713" s="38"/>
    </row>
    <row r="26714" ht="15.75" customHeight="1">
      <c r="A26714" s="35"/>
      <c r="C26714" s="442"/>
      <c r="P26714" s="235"/>
      <c r="AI26714" s="38"/>
    </row>
    <row r="26715" ht="15.75" customHeight="1">
      <c r="A26715" s="35"/>
      <c r="C26715" s="442"/>
      <c r="P26715" s="235"/>
      <c r="AI26715" s="38"/>
    </row>
    <row r="26716" ht="15.75" customHeight="1">
      <c r="A26716" s="35"/>
      <c r="C26716" s="442"/>
      <c r="P26716" s="235"/>
      <c r="AI26716" s="38"/>
    </row>
    <row r="26717" ht="15.75" customHeight="1">
      <c r="A26717" s="35"/>
      <c r="C26717" s="442"/>
      <c r="P26717" s="235"/>
      <c r="AI26717" s="38"/>
    </row>
    <row r="26718" ht="15.75" customHeight="1">
      <c r="A26718" s="35"/>
      <c r="C26718" s="442"/>
      <c r="P26718" s="235"/>
      <c r="AI26718" s="38"/>
    </row>
    <row r="26719" ht="15.75" customHeight="1">
      <c r="A26719" s="35"/>
      <c r="C26719" s="442"/>
      <c r="P26719" s="235"/>
      <c r="AI26719" s="38"/>
    </row>
    <row r="26720" ht="15.75" customHeight="1">
      <c r="A26720" s="35"/>
      <c r="C26720" s="442"/>
      <c r="P26720" s="235"/>
      <c r="AI26720" s="38"/>
    </row>
    <row r="26721" ht="15.75" customHeight="1">
      <c r="A26721" s="35"/>
      <c r="C26721" s="442"/>
      <c r="P26721" s="235"/>
      <c r="AI26721" s="38"/>
    </row>
    <row r="26722" ht="15.75" customHeight="1">
      <c r="A26722" s="35"/>
      <c r="C26722" s="442"/>
      <c r="P26722" s="235"/>
      <c r="AI26722" s="38"/>
    </row>
    <row r="26723" ht="15.75" customHeight="1">
      <c r="A26723" s="35"/>
      <c r="C26723" s="442"/>
      <c r="P26723" s="235"/>
      <c r="AI26723" s="38"/>
    </row>
    <row r="26724" ht="15.75" customHeight="1">
      <c r="A26724" s="35"/>
      <c r="C26724" s="442"/>
      <c r="P26724" s="235"/>
      <c r="AI26724" s="38"/>
    </row>
    <row r="26725" ht="15.75" customHeight="1">
      <c r="A26725" s="35"/>
      <c r="C26725" s="442"/>
      <c r="P26725" s="235"/>
      <c r="AI26725" s="38"/>
    </row>
    <row r="26726" ht="15.75" customHeight="1">
      <c r="A26726" s="35"/>
      <c r="C26726" s="442"/>
      <c r="P26726" s="235"/>
      <c r="AI26726" s="38"/>
    </row>
    <row r="26727" ht="15.75" customHeight="1">
      <c r="A26727" s="35"/>
      <c r="C26727" s="442"/>
      <c r="P26727" s="235"/>
      <c r="AI26727" s="38"/>
    </row>
    <row r="26728" ht="15.75" customHeight="1">
      <c r="A26728" s="35"/>
      <c r="C26728" s="442"/>
      <c r="P26728" s="235"/>
      <c r="AI26728" s="38"/>
    </row>
    <row r="26729" ht="15.75" customHeight="1">
      <c r="A26729" s="35"/>
      <c r="C26729" s="442"/>
      <c r="P26729" s="235"/>
      <c r="AI26729" s="38"/>
    </row>
    <row r="26730" ht="15.75" customHeight="1">
      <c r="A26730" s="35"/>
      <c r="C26730" s="442"/>
      <c r="P26730" s="235"/>
      <c r="AI26730" s="38"/>
    </row>
    <row r="26731" ht="15.75" customHeight="1">
      <c r="A26731" s="35"/>
      <c r="C26731" s="442"/>
      <c r="P26731" s="235"/>
      <c r="AI26731" s="38"/>
    </row>
    <row r="26732" ht="15.75" customHeight="1">
      <c r="A26732" s="35"/>
      <c r="C26732" s="442"/>
      <c r="P26732" s="235"/>
      <c r="AI26732" s="38"/>
    </row>
    <row r="26733" ht="15.75" customHeight="1">
      <c r="A26733" s="35"/>
      <c r="C26733" s="442"/>
      <c r="P26733" s="235"/>
      <c r="AI26733" s="38"/>
    </row>
    <row r="26734" ht="15.75" customHeight="1">
      <c r="A26734" s="35"/>
      <c r="C26734" s="442"/>
      <c r="P26734" s="235"/>
      <c r="AI26734" s="38"/>
    </row>
    <row r="26735" ht="15.75" customHeight="1">
      <c r="A26735" s="35"/>
      <c r="C26735" s="442"/>
      <c r="P26735" s="235"/>
      <c r="AI26735" s="38"/>
    </row>
    <row r="26736" ht="15.75" customHeight="1">
      <c r="A26736" s="35"/>
      <c r="C26736" s="442"/>
      <c r="P26736" s="235"/>
      <c r="AI26736" s="38"/>
    </row>
    <row r="26737" ht="15.75" customHeight="1">
      <c r="A26737" s="35"/>
      <c r="C26737" s="442"/>
      <c r="P26737" s="235"/>
      <c r="AI26737" s="38"/>
    </row>
    <row r="26738" ht="15.75" customHeight="1">
      <c r="A26738" s="35"/>
      <c r="C26738" s="442"/>
      <c r="P26738" s="235"/>
      <c r="AI26738" s="38"/>
    </row>
    <row r="26739" ht="15.75" customHeight="1">
      <c r="A26739" s="35"/>
      <c r="C26739" s="442"/>
      <c r="P26739" s="235"/>
      <c r="AI26739" s="38"/>
    </row>
    <row r="26740" ht="15.75" customHeight="1">
      <c r="A26740" s="35"/>
      <c r="C26740" s="442"/>
      <c r="P26740" s="235"/>
      <c r="AI26740" s="38"/>
    </row>
    <row r="26741" ht="15.75" customHeight="1">
      <c r="A26741" s="35"/>
      <c r="C26741" s="442"/>
      <c r="P26741" s="235"/>
      <c r="AI26741" s="38"/>
    </row>
    <row r="26742" ht="15.75" customHeight="1">
      <c r="A26742" s="35"/>
      <c r="C26742" s="442"/>
      <c r="P26742" s="235"/>
      <c r="AI26742" s="38"/>
    </row>
    <row r="26743" ht="15.75" customHeight="1">
      <c r="A26743" s="35"/>
      <c r="C26743" s="442"/>
      <c r="P26743" s="235"/>
      <c r="AI26743" s="38"/>
    </row>
    <row r="26744" ht="15.75" customHeight="1">
      <c r="A26744" s="35"/>
      <c r="C26744" s="442"/>
      <c r="P26744" s="235"/>
      <c r="AI26744" s="38"/>
    </row>
    <row r="26745" ht="15.75" customHeight="1">
      <c r="A26745" s="35"/>
      <c r="C26745" s="442"/>
      <c r="P26745" s="235"/>
      <c r="AI26745" s="38"/>
    </row>
    <row r="26746" ht="15.75" customHeight="1">
      <c r="A26746" s="35"/>
      <c r="C26746" s="442"/>
      <c r="P26746" s="235"/>
      <c r="AI26746" s="38"/>
    </row>
    <row r="26747" ht="15.75" customHeight="1">
      <c r="A26747" s="35"/>
      <c r="C26747" s="442"/>
      <c r="P26747" s="235"/>
      <c r="AI26747" s="38"/>
    </row>
    <row r="26748" ht="15.75" customHeight="1">
      <c r="A26748" s="35"/>
      <c r="C26748" s="442"/>
      <c r="P26748" s="235"/>
      <c r="AI26748" s="38"/>
    </row>
    <row r="26749" ht="15.75" customHeight="1">
      <c r="A26749" s="35"/>
      <c r="C26749" s="442"/>
      <c r="P26749" s="235"/>
      <c r="AI26749" s="38"/>
    </row>
    <row r="26750" ht="15.75" customHeight="1">
      <c r="A26750" s="35"/>
      <c r="C26750" s="442"/>
      <c r="P26750" s="235"/>
      <c r="AI26750" s="38"/>
    </row>
    <row r="26751" ht="15.75" customHeight="1">
      <c r="A26751" s="35"/>
      <c r="C26751" s="442"/>
      <c r="P26751" s="235"/>
      <c r="AI26751" s="38"/>
    </row>
    <row r="26752" ht="15.75" customHeight="1">
      <c r="A26752" s="35"/>
      <c r="C26752" s="442"/>
      <c r="P26752" s="235"/>
      <c r="AI26752" s="38"/>
    </row>
    <row r="26753" ht="15.75" customHeight="1">
      <c r="A26753" s="35"/>
      <c r="C26753" s="442"/>
      <c r="P26753" s="235"/>
      <c r="AI26753" s="38"/>
    </row>
    <row r="26754" ht="15.75" customHeight="1">
      <c r="A26754" s="35"/>
      <c r="C26754" s="442"/>
      <c r="P26754" s="235"/>
      <c r="AI26754" s="38"/>
    </row>
    <row r="26755" ht="15.75" customHeight="1">
      <c r="A26755" s="35"/>
      <c r="C26755" s="442"/>
      <c r="P26755" s="235"/>
      <c r="AI26755" s="38"/>
    </row>
    <row r="26756" ht="15.75" customHeight="1">
      <c r="A26756" s="35"/>
      <c r="C26756" s="442"/>
      <c r="P26756" s="235"/>
      <c r="AI26756" s="38"/>
    </row>
    <row r="26757" ht="15.75" customHeight="1">
      <c r="A26757" s="35"/>
      <c r="C26757" s="442"/>
      <c r="P26757" s="235"/>
      <c r="AI26757" s="38"/>
    </row>
    <row r="26758" ht="15.75" customHeight="1">
      <c r="A26758" s="35"/>
      <c r="C26758" s="442"/>
      <c r="P26758" s="235"/>
      <c r="AI26758" s="38"/>
    </row>
    <row r="26759" ht="15.75" customHeight="1">
      <c r="A26759" s="35"/>
      <c r="C26759" s="442"/>
      <c r="P26759" s="235"/>
      <c r="AI26759" s="38"/>
    </row>
    <row r="26760" ht="15.75" customHeight="1">
      <c r="A26760" s="35"/>
      <c r="C26760" s="442"/>
      <c r="P26760" s="235"/>
      <c r="AI26760" s="38"/>
    </row>
    <row r="26761" ht="15.75" customHeight="1">
      <c r="A26761" s="35"/>
      <c r="C26761" s="442"/>
      <c r="P26761" s="235"/>
      <c r="AI26761" s="38"/>
    </row>
    <row r="26762" ht="15.75" customHeight="1">
      <c r="A26762" s="35"/>
      <c r="C26762" s="442"/>
      <c r="P26762" s="235"/>
      <c r="AI26762" s="38"/>
    </row>
    <row r="26763" ht="15.75" customHeight="1">
      <c r="A26763" s="35"/>
      <c r="C26763" s="442"/>
      <c r="P26763" s="235"/>
      <c r="AI26763" s="38"/>
    </row>
    <row r="26764" ht="15.75" customHeight="1">
      <c r="A26764" s="35"/>
      <c r="C26764" s="442"/>
      <c r="P26764" s="235"/>
      <c r="AI26764" s="38"/>
    </row>
    <row r="26765" ht="15.75" customHeight="1">
      <c r="A26765" s="35"/>
      <c r="C26765" s="442"/>
      <c r="P26765" s="235"/>
      <c r="AI26765" s="38"/>
    </row>
    <row r="26766" ht="15.75" customHeight="1">
      <c r="A26766" s="35"/>
      <c r="C26766" s="442"/>
      <c r="P26766" s="235"/>
      <c r="AI26766" s="38"/>
    </row>
    <row r="26767" ht="15.75" customHeight="1">
      <c r="A26767" s="35"/>
      <c r="C26767" s="442"/>
      <c r="P26767" s="235"/>
      <c r="AI26767" s="38"/>
    </row>
    <row r="26768" ht="15.75" customHeight="1">
      <c r="A26768" s="35"/>
      <c r="C26768" s="442"/>
      <c r="P26768" s="235"/>
      <c r="AI26768" s="38"/>
    </row>
    <row r="26769" ht="15.75" customHeight="1">
      <c r="A26769" s="35"/>
      <c r="C26769" s="442"/>
      <c r="P26769" s="235"/>
      <c r="AI26769" s="38"/>
    </row>
    <row r="26770" ht="15.75" customHeight="1">
      <c r="A26770" s="35"/>
      <c r="C26770" s="442"/>
      <c r="P26770" s="235"/>
      <c r="AI26770" s="38"/>
    </row>
    <row r="26771" ht="15.75" customHeight="1">
      <c r="A26771" s="35"/>
      <c r="C26771" s="442"/>
      <c r="P26771" s="235"/>
      <c r="AI26771" s="38"/>
    </row>
    <row r="26772" ht="15.75" customHeight="1">
      <c r="A26772" s="35"/>
      <c r="C26772" s="442"/>
      <c r="P26772" s="235"/>
      <c r="AI26772" s="38"/>
    </row>
    <row r="26773" ht="15.75" customHeight="1">
      <c r="A26773" s="35"/>
      <c r="C26773" s="442"/>
      <c r="P26773" s="235"/>
      <c r="AI26773" s="38"/>
    </row>
    <row r="26774" ht="15.75" customHeight="1">
      <c r="A26774" s="35"/>
      <c r="C26774" s="442"/>
      <c r="P26774" s="235"/>
      <c r="AI26774" s="38"/>
    </row>
    <row r="26775" ht="15.75" customHeight="1">
      <c r="A26775" s="35"/>
      <c r="C26775" s="442"/>
      <c r="P26775" s="235"/>
      <c r="AI26775" s="38"/>
    </row>
    <row r="26776" ht="15.75" customHeight="1">
      <c r="A26776" s="35"/>
      <c r="C26776" s="442"/>
      <c r="P26776" s="235"/>
      <c r="AI26776" s="38"/>
    </row>
    <row r="26777" ht="15.75" customHeight="1">
      <c r="A26777" s="35"/>
      <c r="C26777" s="442"/>
      <c r="P26777" s="235"/>
      <c r="AI26777" s="38"/>
    </row>
    <row r="26778" ht="15.75" customHeight="1">
      <c r="A26778" s="35"/>
      <c r="C26778" s="442"/>
      <c r="P26778" s="235"/>
      <c r="AI26778" s="38"/>
    </row>
    <row r="26779" ht="15.75" customHeight="1">
      <c r="A26779" s="35"/>
      <c r="C26779" s="442"/>
      <c r="P26779" s="235"/>
      <c r="AI26779" s="38"/>
    </row>
    <row r="26780" ht="15.75" customHeight="1">
      <c r="A26780" s="35"/>
      <c r="C26780" s="442"/>
      <c r="P26780" s="235"/>
      <c r="AI26780" s="38"/>
    </row>
    <row r="26781" ht="15.75" customHeight="1">
      <c r="A26781" s="35"/>
      <c r="C26781" s="442"/>
      <c r="P26781" s="235"/>
      <c r="AI26781" s="38"/>
    </row>
    <row r="26782" ht="15.75" customHeight="1">
      <c r="A26782" s="35"/>
      <c r="C26782" s="442"/>
      <c r="P26782" s="235"/>
      <c r="AI26782" s="38"/>
    </row>
    <row r="26783" ht="15.75" customHeight="1">
      <c r="A26783" s="35"/>
      <c r="C26783" s="442"/>
      <c r="P26783" s="235"/>
      <c r="AI26783" s="38"/>
    </row>
    <row r="26784" ht="15.75" customHeight="1">
      <c r="A26784" s="35"/>
      <c r="C26784" s="442"/>
      <c r="P26784" s="235"/>
      <c r="AI26784" s="38"/>
    </row>
    <row r="26785" ht="15.75" customHeight="1">
      <c r="A26785" s="35"/>
      <c r="C26785" s="442"/>
      <c r="P26785" s="235"/>
      <c r="AI26785" s="38"/>
    </row>
    <row r="26786" ht="15.75" customHeight="1">
      <c r="A26786" s="35"/>
      <c r="C26786" s="442"/>
      <c r="P26786" s="235"/>
      <c r="AI26786" s="38"/>
    </row>
    <row r="26787" ht="15.75" customHeight="1">
      <c r="A26787" s="35"/>
      <c r="C26787" s="442"/>
      <c r="P26787" s="235"/>
      <c r="AI26787" s="38"/>
    </row>
    <row r="26788" ht="15.75" customHeight="1">
      <c r="A26788" s="35"/>
      <c r="C26788" s="442"/>
      <c r="P26788" s="235"/>
      <c r="AI26788" s="38"/>
    </row>
    <row r="26789" ht="15.75" customHeight="1">
      <c r="A26789" s="35"/>
      <c r="C26789" s="442"/>
      <c r="P26789" s="235"/>
      <c r="AI26789" s="38"/>
    </row>
    <row r="26790" ht="15.75" customHeight="1">
      <c r="A26790" s="35"/>
      <c r="C26790" s="442"/>
      <c r="P26790" s="235"/>
      <c r="AI26790" s="38"/>
    </row>
    <row r="26791" ht="15.75" customHeight="1">
      <c r="A26791" s="35"/>
      <c r="C26791" s="442"/>
      <c r="P26791" s="235"/>
      <c r="AI26791" s="38"/>
    </row>
    <row r="26792" ht="15.75" customHeight="1">
      <c r="A26792" s="35"/>
      <c r="C26792" s="442"/>
      <c r="P26792" s="235"/>
      <c r="AI26792" s="38"/>
    </row>
    <row r="26793" ht="15.75" customHeight="1">
      <c r="A26793" s="35"/>
      <c r="C26793" s="442"/>
      <c r="P26793" s="235"/>
      <c r="AI26793" s="38"/>
    </row>
    <row r="26794" ht="15.75" customHeight="1">
      <c r="A26794" s="35"/>
      <c r="C26794" s="442"/>
      <c r="P26794" s="235"/>
      <c r="AI26794" s="38"/>
    </row>
    <row r="26795" ht="15.75" customHeight="1">
      <c r="A26795" s="35"/>
      <c r="C26795" s="442"/>
      <c r="P26795" s="235"/>
      <c r="AI26795" s="38"/>
    </row>
    <row r="26796" ht="15.75" customHeight="1">
      <c r="A26796" s="35"/>
      <c r="C26796" s="442"/>
      <c r="P26796" s="235"/>
      <c r="AI26796" s="38"/>
    </row>
    <row r="26797" ht="15.75" customHeight="1">
      <c r="A26797" s="35"/>
      <c r="C26797" s="442"/>
      <c r="P26797" s="235"/>
      <c r="AI26797" s="38"/>
    </row>
    <row r="26798" ht="15.75" customHeight="1">
      <c r="A26798" s="35"/>
      <c r="C26798" s="442"/>
      <c r="P26798" s="235"/>
      <c r="AI26798" s="38"/>
    </row>
    <row r="26799" ht="15.75" customHeight="1">
      <c r="A26799" s="35"/>
      <c r="C26799" s="442"/>
      <c r="P26799" s="235"/>
      <c r="AI26799" s="38"/>
    </row>
    <row r="26800" ht="15.75" customHeight="1">
      <c r="A26800" s="35"/>
      <c r="C26800" s="442"/>
      <c r="P26800" s="235"/>
      <c r="AI26800" s="38"/>
    </row>
    <row r="26801" ht="15.75" customHeight="1">
      <c r="A26801" s="35"/>
      <c r="C26801" s="442"/>
      <c r="P26801" s="235"/>
      <c r="AI26801" s="38"/>
    </row>
    <row r="26802" ht="15.75" customHeight="1">
      <c r="A26802" s="35"/>
      <c r="C26802" s="442"/>
      <c r="P26802" s="235"/>
      <c r="AI26802" s="38"/>
    </row>
    <row r="26803" ht="15.75" customHeight="1">
      <c r="A26803" s="35"/>
      <c r="C26803" s="442"/>
      <c r="P26803" s="235"/>
      <c r="AI26803" s="38"/>
    </row>
    <row r="26804" ht="15.75" customHeight="1">
      <c r="A26804" s="35"/>
      <c r="C26804" s="442"/>
      <c r="P26804" s="235"/>
      <c r="AI26804" s="38"/>
    </row>
    <row r="26805" ht="15.75" customHeight="1">
      <c r="A26805" s="35"/>
      <c r="C26805" s="442"/>
      <c r="P26805" s="235"/>
      <c r="AI26805" s="38"/>
    </row>
    <row r="26806" ht="15.75" customHeight="1">
      <c r="A26806" s="35"/>
      <c r="C26806" s="442"/>
      <c r="P26806" s="235"/>
      <c r="AI26806" s="38"/>
    </row>
    <row r="26807" ht="15.75" customHeight="1">
      <c r="A26807" s="35"/>
      <c r="C26807" s="442"/>
      <c r="P26807" s="235"/>
      <c r="AI26807" s="38"/>
    </row>
    <row r="26808" ht="15.75" customHeight="1">
      <c r="A26808" s="35"/>
      <c r="C26808" s="442"/>
      <c r="P26808" s="235"/>
      <c r="AI26808" s="38"/>
    </row>
    <row r="26809" ht="15.75" customHeight="1">
      <c r="A26809" s="35"/>
      <c r="C26809" s="442"/>
      <c r="P26809" s="235"/>
      <c r="AI26809" s="38"/>
    </row>
    <row r="26810" ht="15.75" customHeight="1">
      <c r="A26810" s="35"/>
      <c r="C26810" s="442"/>
      <c r="P26810" s="235"/>
      <c r="AI26810" s="38"/>
    </row>
    <row r="26811" ht="15.75" customHeight="1">
      <c r="A26811" s="35"/>
      <c r="C26811" s="442"/>
      <c r="P26811" s="235"/>
      <c r="AI26811" s="38"/>
    </row>
    <row r="26812" ht="15.75" customHeight="1">
      <c r="A26812" s="35"/>
      <c r="C26812" s="442"/>
      <c r="P26812" s="235"/>
      <c r="AI26812" s="38"/>
    </row>
    <row r="26813" ht="15.75" customHeight="1">
      <c r="A26813" s="35"/>
      <c r="C26813" s="442"/>
      <c r="P26813" s="235"/>
      <c r="AI26813" s="38"/>
    </row>
    <row r="26814" ht="15.75" customHeight="1">
      <c r="A26814" s="35"/>
      <c r="C26814" s="442"/>
      <c r="P26814" s="235"/>
      <c r="AI26814" s="38"/>
    </row>
    <row r="26815" ht="15.75" customHeight="1">
      <c r="A26815" s="35"/>
      <c r="C26815" s="442"/>
      <c r="P26815" s="235"/>
      <c r="AI26815" s="38"/>
    </row>
    <row r="26816" ht="15.75" customHeight="1">
      <c r="A26816" s="35"/>
      <c r="C26816" s="442"/>
      <c r="P26816" s="235"/>
      <c r="AI26816" s="38"/>
    </row>
    <row r="26817" ht="15.75" customHeight="1">
      <c r="A26817" s="35"/>
      <c r="C26817" s="442"/>
      <c r="P26817" s="235"/>
      <c r="AI26817" s="38"/>
    </row>
    <row r="26818" ht="15.75" customHeight="1">
      <c r="A26818" s="35"/>
      <c r="C26818" s="442"/>
      <c r="P26818" s="235"/>
      <c r="AI26818" s="38"/>
    </row>
    <row r="26819" ht="15.75" customHeight="1">
      <c r="A26819" s="35"/>
      <c r="C26819" s="442"/>
      <c r="P26819" s="235"/>
      <c r="AI26819" s="38"/>
    </row>
    <row r="26820" ht="15.75" customHeight="1">
      <c r="A26820" s="35"/>
      <c r="C26820" s="442"/>
      <c r="P26820" s="235"/>
      <c r="AI26820" s="38"/>
    </row>
    <row r="26821" ht="15.75" customHeight="1">
      <c r="A26821" s="35"/>
      <c r="C26821" s="442"/>
      <c r="P26821" s="235"/>
      <c r="AI26821" s="38"/>
    </row>
    <row r="26822" ht="15.75" customHeight="1">
      <c r="A26822" s="35"/>
      <c r="C26822" s="442"/>
      <c r="P26822" s="235"/>
      <c r="AI26822" s="38"/>
    </row>
    <row r="26823" ht="15.75" customHeight="1">
      <c r="A26823" s="35"/>
      <c r="C26823" s="442"/>
      <c r="P26823" s="235"/>
      <c r="AI26823" s="38"/>
    </row>
    <row r="26824" ht="15.75" customHeight="1">
      <c r="A26824" s="35"/>
      <c r="C26824" s="442"/>
      <c r="P26824" s="235"/>
      <c r="AI26824" s="38"/>
    </row>
    <row r="26825" ht="15.75" customHeight="1">
      <c r="A26825" s="35"/>
      <c r="C26825" s="442"/>
      <c r="P26825" s="235"/>
      <c r="AI26825" s="38"/>
    </row>
    <row r="26826" ht="15.75" customHeight="1">
      <c r="A26826" s="35"/>
      <c r="C26826" s="442"/>
      <c r="P26826" s="235"/>
      <c r="AI26826" s="38"/>
    </row>
    <row r="26827" ht="15.75" customHeight="1">
      <c r="A26827" s="35"/>
      <c r="C26827" s="442"/>
      <c r="P26827" s="235"/>
      <c r="AI26827" s="38"/>
    </row>
    <row r="26828" ht="15.75" customHeight="1">
      <c r="A26828" s="35"/>
      <c r="C26828" s="442"/>
      <c r="P26828" s="235"/>
      <c r="AI26828" s="38"/>
    </row>
    <row r="26829" ht="15.75" customHeight="1">
      <c r="A26829" s="35"/>
      <c r="C26829" s="442"/>
      <c r="P26829" s="235"/>
      <c r="AI26829" s="38"/>
    </row>
    <row r="26830" ht="15.75" customHeight="1">
      <c r="A26830" s="35"/>
      <c r="C26830" s="442"/>
      <c r="P26830" s="235"/>
      <c r="AI26830" s="38"/>
    </row>
    <row r="26831" ht="15.75" customHeight="1">
      <c r="A26831" s="35"/>
      <c r="C26831" s="442"/>
      <c r="P26831" s="235"/>
      <c r="AI26831" s="38"/>
    </row>
    <row r="26832" ht="15.75" customHeight="1">
      <c r="A26832" s="35"/>
      <c r="C26832" s="442"/>
      <c r="P26832" s="235"/>
      <c r="AI26832" s="38"/>
    </row>
    <row r="26833" ht="15.75" customHeight="1">
      <c r="A26833" s="35"/>
      <c r="C26833" s="442"/>
      <c r="P26833" s="235"/>
      <c r="AI26833" s="38"/>
    </row>
    <row r="26834" ht="15.75" customHeight="1">
      <c r="A26834" s="35"/>
      <c r="C26834" s="442"/>
      <c r="P26834" s="235"/>
      <c r="AI26834" s="38"/>
    </row>
    <row r="26835" ht="15.75" customHeight="1">
      <c r="A26835" s="35"/>
      <c r="C26835" s="442"/>
      <c r="P26835" s="235"/>
      <c r="AI26835" s="38"/>
    </row>
    <row r="26836" ht="15.75" customHeight="1">
      <c r="A26836" s="35"/>
      <c r="C26836" s="442"/>
      <c r="P26836" s="235"/>
      <c r="AI26836" s="38"/>
    </row>
    <row r="26837" ht="15.75" customHeight="1">
      <c r="A26837" s="35"/>
      <c r="C26837" s="442"/>
      <c r="P26837" s="235"/>
      <c r="AI26837" s="38"/>
    </row>
    <row r="26838" ht="15.75" customHeight="1">
      <c r="A26838" s="35"/>
      <c r="C26838" s="442"/>
      <c r="P26838" s="235"/>
      <c r="AI26838" s="38"/>
    </row>
    <row r="26839" ht="15.75" customHeight="1">
      <c r="A26839" s="35"/>
      <c r="C26839" s="442"/>
      <c r="P26839" s="235"/>
      <c r="AI26839" s="38"/>
    </row>
    <row r="26840" ht="15.75" customHeight="1">
      <c r="A26840" s="35"/>
      <c r="C26840" s="442"/>
      <c r="P26840" s="235"/>
      <c r="AI26840" s="38"/>
    </row>
    <row r="26841" ht="15.75" customHeight="1">
      <c r="A26841" s="35"/>
      <c r="C26841" s="442"/>
      <c r="P26841" s="235"/>
      <c r="AI26841" s="38"/>
    </row>
    <row r="26842" ht="15.75" customHeight="1">
      <c r="A26842" s="35"/>
      <c r="C26842" s="442"/>
      <c r="P26842" s="235"/>
      <c r="AI26842" s="38"/>
    </row>
    <row r="26843" ht="15.75" customHeight="1">
      <c r="A26843" s="35"/>
      <c r="C26843" s="442"/>
      <c r="P26843" s="235"/>
      <c r="AI26843" s="38"/>
    </row>
    <row r="26844" ht="15.75" customHeight="1">
      <c r="A26844" s="35"/>
      <c r="C26844" s="442"/>
      <c r="P26844" s="235"/>
      <c r="AI26844" s="38"/>
    </row>
    <row r="26845" ht="15.75" customHeight="1">
      <c r="A26845" s="35"/>
      <c r="C26845" s="442"/>
      <c r="P26845" s="235"/>
      <c r="AI26845" s="38"/>
    </row>
    <row r="26846" ht="15.75" customHeight="1">
      <c r="A26846" s="35"/>
      <c r="C26846" s="442"/>
      <c r="P26846" s="235"/>
      <c r="AI26846" s="38"/>
    </row>
    <row r="26847" ht="15.75" customHeight="1">
      <c r="A26847" s="35"/>
      <c r="C26847" s="442"/>
      <c r="P26847" s="235"/>
      <c r="AI26847" s="38"/>
    </row>
    <row r="26848" ht="15.75" customHeight="1">
      <c r="A26848" s="35"/>
      <c r="C26848" s="442"/>
      <c r="P26848" s="235"/>
      <c r="AI26848" s="38"/>
    </row>
    <row r="26849" ht="15.75" customHeight="1">
      <c r="A26849" s="35"/>
      <c r="C26849" s="442"/>
      <c r="P26849" s="235"/>
      <c r="AI26849" s="38"/>
    </row>
    <row r="26850" ht="15.75" customHeight="1">
      <c r="A26850" s="35"/>
      <c r="C26850" s="442"/>
      <c r="P26850" s="235"/>
      <c r="AI26850" s="38"/>
    </row>
    <row r="26851" ht="15.75" customHeight="1">
      <c r="A26851" s="35"/>
      <c r="C26851" s="442"/>
      <c r="P26851" s="235"/>
      <c r="AI26851" s="38"/>
    </row>
    <row r="26852" ht="15.75" customHeight="1">
      <c r="A26852" s="35"/>
      <c r="C26852" s="442"/>
      <c r="P26852" s="235"/>
      <c r="AI26852" s="38"/>
    </row>
    <row r="26853" ht="15.75" customHeight="1">
      <c r="A26853" s="35"/>
      <c r="C26853" s="442"/>
      <c r="P26853" s="235"/>
      <c r="AI26853" s="38"/>
    </row>
    <row r="26854" ht="15.75" customHeight="1">
      <c r="A26854" s="35"/>
      <c r="C26854" s="442"/>
      <c r="P26854" s="235"/>
      <c r="AI26854" s="38"/>
    </row>
    <row r="26855" ht="15.75" customHeight="1">
      <c r="A26855" s="35"/>
      <c r="C26855" s="442"/>
      <c r="P26855" s="235"/>
      <c r="AI26855" s="38"/>
    </row>
    <row r="26856" ht="15.75" customHeight="1">
      <c r="A26856" s="35"/>
      <c r="C26856" s="442"/>
      <c r="P26856" s="235"/>
      <c r="AI26856" s="38"/>
    </row>
    <row r="26857" ht="15.75" customHeight="1">
      <c r="A26857" s="35"/>
      <c r="C26857" s="442"/>
      <c r="P26857" s="235"/>
      <c r="AI26857" s="38"/>
    </row>
    <row r="26858" ht="15.75" customHeight="1">
      <c r="A26858" s="35"/>
      <c r="C26858" s="442"/>
      <c r="P26858" s="235"/>
      <c r="AI26858" s="38"/>
    </row>
    <row r="26859" ht="15.75" customHeight="1">
      <c r="A26859" s="35"/>
      <c r="C26859" s="442"/>
      <c r="P26859" s="235"/>
      <c r="AI26859" s="38"/>
    </row>
    <row r="26860" ht="15.75" customHeight="1">
      <c r="A26860" s="35"/>
      <c r="C26860" s="442"/>
      <c r="P26860" s="235"/>
      <c r="AI26860" s="38"/>
    </row>
    <row r="26861" ht="15.75" customHeight="1">
      <c r="A26861" s="35"/>
      <c r="C26861" s="442"/>
      <c r="P26861" s="235"/>
      <c r="AI26861" s="38"/>
    </row>
    <row r="26862" ht="15.75" customHeight="1">
      <c r="A26862" s="35"/>
      <c r="C26862" s="442"/>
      <c r="P26862" s="235"/>
      <c r="AI26862" s="38"/>
    </row>
    <row r="26863" ht="15.75" customHeight="1">
      <c r="A26863" s="35"/>
      <c r="C26863" s="442"/>
      <c r="P26863" s="235"/>
      <c r="AI26863" s="38"/>
    </row>
    <row r="26864" ht="15.75" customHeight="1">
      <c r="A26864" s="35"/>
      <c r="C26864" s="442"/>
      <c r="P26864" s="235"/>
      <c r="AI26864" s="38"/>
    </row>
    <row r="26865" ht="15.75" customHeight="1">
      <c r="A26865" s="35"/>
      <c r="C26865" s="442"/>
      <c r="P26865" s="235"/>
      <c r="AI26865" s="38"/>
    </row>
    <row r="26866" ht="15.75" customHeight="1">
      <c r="A26866" s="35"/>
      <c r="C26866" s="442"/>
      <c r="P26866" s="235"/>
      <c r="AI26866" s="38"/>
    </row>
    <row r="26867" ht="15.75" customHeight="1">
      <c r="A26867" s="35"/>
      <c r="C26867" s="442"/>
      <c r="P26867" s="235"/>
      <c r="AI26867" s="38"/>
    </row>
    <row r="26868" ht="15.75" customHeight="1">
      <c r="A26868" s="35"/>
      <c r="C26868" s="442"/>
      <c r="P26868" s="235"/>
      <c r="AI26868" s="38"/>
    </row>
    <row r="26869" ht="15.75" customHeight="1">
      <c r="A26869" s="35"/>
      <c r="C26869" s="442"/>
      <c r="P26869" s="235"/>
      <c r="AI26869" s="38"/>
    </row>
    <row r="26870" ht="15.75" customHeight="1">
      <c r="A26870" s="35"/>
      <c r="C26870" s="442"/>
      <c r="P26870" s="235"/>
      <c r="AI26870" s="38"/>
    </row>
    <row r="26871" ht="15.75" customHeight="1">
      <c r="A26871" s="35"/>
      <c r="C26871" s="442"/>
      <c r="P26871" s="235"/>
      <c r="AI26871" s="38"/>
    </row>
    <row r="26872" ht="15.75" customHeight="1">
      <c r="A26872" s="35"/>
      <c r="C26872" s="442"/>
      <c r="P26872" s="235"/>
      <c r="AI26872" s="38"/>
    </row>
    <row r="26873" ht="15.75" customHeight="1">
      <c r="A26873" s="35"/>
      <c r="C26873" s="442"/>
      <c r="P26873" s="235"/>
      <c r="AI26873" s="38"/>
    </row>
    <row r="26874" ht="15.75" customHeight="1">
      <c r="A26874" s="35"/>
      <c r="C26874" s="442"/>
      <c r="P26874" s="235"/>
      <c r="AI26874" s="38"/>
    </row>
    <row r="26875" ht="15.75" customHeight="1">
      <c r="A26875" s="35"/>
      <c r="C26875" s="442"/>
      <c r="P26875" s="235"/>
      <c r="AI26875" s="38"/>
    </row>
    <row r="26876" ht="15.75" customHeight="1">
      <c r="A26876" s="35"/>
      <c r="C26876" s="442"/>
      <c r="P26876" s="235"/>
      <c r="AI26876" s="38"/>
    </row>
    <row r="26877" ht="15.75" customHeight="1">
      <c r="A26877" s="35"/>
      <c r="C26877" s="442"/>
      <c r="P26877" s="235"/>
      <c r="AI26877" s="38"/>
    </row>
    <row r="26878" ht="15.75" customHeight="1">
      <c r="A26878" s="35"/>
      <c r="C26878" s="442"/>
      <c r="P26878" s="235"/>
      <c r="AI26878" s="38"/>
    </row>
    <row r="26879" ht="15.75" customHeight="1">
      <c r="A26879" s="35"/>
      <c r="C26879" s="442"/>
      <c r="P26879" s="235"/>
      <c r="AI26879" s="38"/>
    </row>
    <row r="26880" ht="15.75" customHeight="1">
      <c r="A26880" s="35"/>
      <c r="C26880" s="442"/>
      <c r="P26880" s="235"/>
      <c r="AI26880" s="38"/>
    </row>
    <row r="26881" ht="15.75" customHeight="1">
      <c r="A26881" s="35"/>
      <c r="C26881" s="442"/>
      <c r="P26881" s="235"/>
      <c r="AI26881" s="38"/>
    </row>
    <row r="26882" ht="15.75" customHeight="1">
      <c r="A26882" s="35"/>
      <c r="C26882" s="442"/>
      <c r="P26882" s="235"/>
      <c r="AI26882" s="38"/>
    </row>
    <row r="26883" ht="15.75" customHeight="1">
      <c r="A26883" s="35"/>
      <c r="C26883" s="442"/>
      <c r="P26883" s="235"/>
      <c r="AI26883" s="38"/>
    </row>
    <row r="26884" ht="15.75" customHeight="1">
      <c r="A26884" s="35"/>
      <c r="C26884" s="442"/>
      <c r="P26884" s="235"/>
      <c r="AI26884" s="38"/>
    </row>
    <row r="26885" ht="15.75" customHeight="1">
      <c r="A26885" s="35"/>
      <c r="C26885" s="442"/>
      <c r="P26885" s="235"/>
      <c r="AI26885" s="38"/>
    </row>
    <row r="26886" ht="15.75" customHeight="1">
      <c r="A26886" s="35"/>
      <c r="C26886" s="442"/>
      <c r="P26886" s="235"/>
      <c r="AI26886" s="38"/>
    </row>
    <row r="26887" ht="15.75" customHeight="1">
      <c r="A26887" s="35"/>
      <c r="C26887" s="442"/>
      <c r="P26887" s="235"/>
      <c r="AI26887" s="38"/>
    </row>
    <row r="26888" ht="15.75" customHeight="1">
      <c r="A26888" s="35"/>
      <c r="C26888" s="442"/>
      <c r="P26888" s="235"/>
      <c r="AI26888" s="38"/>
    </row>
    <row r="26889" ht="15.75" customHeight="1">
      <c r="A26889" s="35"/>
      <c r="C26889" s="442"/>
      <c r="P26889" s="235"/>
      <c r="AI26889" s="38"/>
    </row>
    <row r="26890" ht="15.75" customHeight="1">
      <c r="A26890" s="35"/>
      <c r="C26890" s="442"/>
      <c r="P26890" s="235"/>
      <c r="AI26890" s="38"/>
    </row>
    <row r="26891" ht="15.75" customHeight="1">
      <c r="A26891" s="35"/>
      <c r="C26891" s="442"/>
      <c r="P26891" s="235"/>
      <c r="AI26891" s="38"/>
    </row>
    <row r="26892" ht="15.75" customHeight="1">
      <c r="A26892" s="35"/>
      <c r="C26892" s="442"/>
      <c r="P26892" s="235"/>
      <c r="AI26892" s="38"/>
    </row>
    <row r="26893" ht="15.75" customHeight="1">
      <c r="A26893" s="35"/>
      <c r="C26893" s="442"/>
      <c r="P26893" s="235"/>
      <c r="AI26893" s="38"/>
    </row>
    <row r="26894" ht="15.75" customHeight="1">
      <c r="A26894" s="35"/>
      <c r="C26894" s="442"/>
      <c r="P26894" s="235"/>
      <c r="AI26894" s="38"/>
    </row>
    <row r="26895" ht="15.75" customHeight="1">
      <c r="A26895" s="35"/>
      <c r="C26895" s="442"/>
      <c r="P26895" s="235"/>
      <c r="AI26895" s="38"/>
    </row>
    <row r="26896" ht="15.75" customHeight="1">
      <c r="A26896" s="35"/>
      <c r="C26896" s="442"/>
      <c r="P26896" s="235"/>
      <c r="AI26896" s="38"/>
    </row>
    <row r="26897" ht="15.75" customHeight="1">
      <c r="A26897" s="35"/>
      <c r="C26897" s="442"/>
      <c r="P26897" s="235"/>
      <c r="AI26897" s="38"/>
    </row>
    <row r="26898" ht="15.75" customHeight="1">
      <c r="A26898" s="35"/>
      <c r="C26898" s="442"/>
      <c r="P26898" s="235"/>
      <c r="AI26898" s="38"/>
    </row>
    <row r="26899" ht="15.75" customHeight="1">
      <c r="A26899" s="35"/>
      <c r="C26899" s="442"/>
      <c r="P26899" s="235"/>
      <c r="AI26899" s="38"/>
    </row>
    <row r="26900" ht="15.75" customHeight="1">
      <c r="A26900" s="35"/>
      <c r="C26900" s="442"/>
      <c r="P26900" s="235"/>
      <c r="AI26900" s="38"/>
    </row>
    <row r="26901" ht="15.75" customHeight="1">
      <c r="A26901" s="35"/>
      <c r="C26901" s="442"/>
      <c r="P26901" s="235"/>
      <c r="AI26901" s="38"/>
    </row>
    <row r="26902" ht="15.75" customHeight="1">
      <c r="A26902" s="35"/>
      <c r="C26902" s="442"/>
      <c r="P26902" s="235"/>
      <c r="AI26902" s="38"/>
    </row>
    <row r="26903" ht="15.75" customHeight="1">
      <c r="A26903" s="35"/>
      <c r="C26903" s="442"/>
      <c r="P26903" s="235"/>
      <c r="AI26903" s="38"/>
    </row>
    <row r="26904" ht="15.75" customHeight="1">
      <c r="A26904" s="35"/>
      <c r="C26904" s="442"/>
      <c r="P26904" s="235"/>
      <c r="AI26904" s="38"/>
    </row>
    <row r="26905" ht="15.75" customHeight="1">
      <c r="A26905" s="35"/>
      <c r="C26905" s="442"/>
      <c r="P26905" s="235"/>
      <c r="AI26905" s="38"/>
    </row>
    <row r="26906" ht="15.75" customHeight="1">
      <c r="A26906" s="35"/>
      <c r="C26906" s="442"/>
      <c r="P26906" s="235"/>
      <c r="AI26906" s="38"/>
    </row>
    <row r="26907" ht="15.75" customHeight="1">
      <c r="A26907" s="35"/>
      <c r="C26907" s="442"/>
      <c r="P26907" s="235"/>
      <c r="AI26907" s="38"/>
    </row>
    <row r="26908" ht="15.75" customHeight="1">
      <c r="A26908" s="35"/>
      <c r="C26908" s="442"/>
      <c r="P26908" s="235"/>
      <c r="AI26908" s="38"/>
    </row>
    <row r="26909" ht="15.75" customHeight="1">
      <c r="A26909" s="35"/>
      <c r="C26909" s="442"/>
      <c r="P26909" s="235"/>
      <c r="AI26909" s="38"/>
    </row>
    <row r="26910" ht="15.75" customHeight="1">
      <c r="A26910" s="35"/>
      <c r="C26910" s="442"/>
      <c r="P26910" s="235"/>
      <c r="AI26910" s="38"/>
    </row>
    <row r="26911" ht="15.75" customHeight="1">
      <c r="A26911" s="35"/>
      <c r="C26911" s="442"/>
      <c r="P26911" s="235"/>
      <c r="AI26911" s="38"/>
    </row>
    <row r="26912" ht="15.75" customHeight="1">
      <c r="A26912" s="35"/>
      <c r="C26912" s="442"/>
      <c r="P26912" s="235"/>
      <c r="AI26912" s="38"/>
    </row>
    <row r="26913" ht="15.75" customHeight="1">
      <c r="A26913" s="35"/>
      <c r="C26913" s="442"/>
      <c r="P26913" s="235"/>
      <c r="AI26913" s="38"/>
    </row>
    <row r="26914" ht="15.75" customHeight="1">
      <c r="A26914" s="35"/>
      <c r="C26914" s="442"/>
      <c r="P26914" s="235"/>
      <c r="AI26914" s="38"/>
    </row>
    <row r="26915" ht="15.75" customHeight="1">
      <c r="A26915" s="35"/>
      <c r="C26915" s="442"/>
      <c r="P26915" s="235"/>
      <c r="AI26915" s="38"/>
    </row>
    <row r="26916" ht="15.75" customHeight="1">
      <c r="A26916" s="35"/>
      <c r="C26916" s="442"/>
      <c r="P26916" s="235"/>
      <c r="AI26916" s="38"/>
    </row>
    <row r="26917" ht="15.75" customHeight="1">
      <c r="A26917" s="35"/>
      <c r="C26917" s="442"/>
      <c r="P26917" s="235"/>
      <c r="AI26917" s="38"/>
    </row>
    <row r="26918" ht="15.75" customHeight="1">
      <c r="A26918" s="35"/>
      <c r="C26918" s="442"/>
      <c r="P26918" s="235"/>
      <c r="AI26918" s="38"/>
    </row>
    <row r="26919" ht="15.75" customHeight="1">
      <c r="A26919" s="35"/>
      <c r="C26919" s="442"/>
      <c r="P26919" s="235"/>
      <c r="AI26919" s="38"/>
    </row>
    <row r="26920" ht="15.75" customHeight="1">
      <c r="A26920" s="35"/>
      <c r="C26920" s="442"/>
      <c r="P26920" s="235"/>
      <c r="AI26920" s="38"/>
    </row>
    <row r="26921" ht="15.75" customHeight="1">
      <c r="A26921" s="35"/>
      <c r="C26921" s="442"/>
      <c r="P26921" s="235"/>
      <c r="AI26921" s="38"/>
    </row>
    <row r="26922" ht="15.75" customHeight="1">
      <c r="A26922" s="35"/>
      <c r="C26922" s="442"/>
      <c r="P26922" s="235"/>
      <c r="AI26922" s="38"/>
    </row>
    <row r="26923" ht="15.75" customHeight="1">
      <c r="A26923" s="35"/>
      <c r="C26923" s="442"/>
      <c r="P26923" s="235"/>
      <c r="AI26923" s="38"/>
    </row>
    <row r="26924" ht="15.75" customHeight="1">
      <c r="A26924" s="35"/>
      <c r="C26924" s="442"/>
      <c r="P26924" s="235"/>
      <c r="AI26924" s="38"/>
    </row>
    <row r="26925" ht="15.75" customHeight="1">
      <c r="A26925" s="35"/>
      <c r="C26925" s="442"/>
      <c r="P26925" s="235"/>
      <c r="AI26925" s="38"/>
    </row>
    <row r="26926" ht="15.75" customHeight="1">
      <c r="A26926" s="35"/>
      <c r="C26926" s="442"/>
      <c r="P26926" s="235"/>
      <c r="AI26926" s="38"/>
    </row>
    <row r="26927" ht="15.75" customHeight="1">
      <c r="A26927" s="35"/>
      <c r="C26927" s="442"/>
      <c r="P26927" s="235"/>
      <c r="AI26927" s="38"/>
    </row>
    <row r="26928" ht="15.75" customHeight="1">
      <c r="A26928" s="35"/>
      <c r="C26928" s="442"/>
      <c r="P26928" s="235"/>
      <c r="AI26928" s="38"/>
    </row>
    <row r="26929" ht="15.75" customHeight="1">
      <c r="A26929" s="35"/>
      <c r="C26929" s="442"/>
      <c r="P26929" s="235"/>
      <c r="AI26929" s="38"/>
    </row>
    <row r="26930" ht="15.75" customHeight="1">
      <c r="A26930" s="35"/>
      <c r="C26930" s="442"/>
      <c r="P26930" s="235"/>
      <c r="AI26930" s="38"/>
    </row>
    <row r="26931" ht="15.75" customHeight="1">
      <c r="A26931" s="35"/>
      <c r="C26931" s="442"/>
      <c r="P26931" s="235"/>
      <c r="AI26931" s="38"/>
    </row>
    <row r="26932" ht="15.75" customHeight="1">
      <c r="A26932" s="35"/>
      <c r="C26932" s="442"/>
      <c r="P26932" s="235"/>
      <c r="AI26932" s="38"/>
    </row>
    <row r="26933" ht="15.75" customHeight="1">
      <c r="A26933" s="35"/>
      <c r="C26933" s="442"/>
      <c r="P26933" s="235"/>
      <c r="AI26933" s="38"/>
    </row>
    <row r="26934" ht="15.75" customHeight="1">
      <c r="A26934" s="35"/>
      <c r="C26934" s="442"/>
      <c r="P26934" s="235"/>
      <c r="AI26934" s="38"/>
    </row>
    <row r="26935" ht="15.75" customHeight="1">
      <c r="A26935" s="35"/>
      <c r="C26935" s="442"/>
      <c r="P26935" s="235"/>
      <c r="AI26935" s="38"/>
    </row>
    <row r="26936" ht="15.75" customHeight="1">
      <c r="A26936" s="35"/>
      <c r="C26936" s="442"/>
      <c r="P26936" s="235"/>
      <c r="AI26936" s="38"/>
    </row>
    <row r="26937" ht="15.75" customHeight="1">
      <c r="A26937" s="35"/>
      <c r="C26937" s="442"/>
      <c r="P26937" s="235"/>
      <c r="AI26937" s="38"/>
    </row>
    <row r="26938" ht="15.75" customHeight="1">
      <c r="A26938" s="35"/>
      <c r="C26938" s="442"/>
      <c r="P26938" s="235"/>
      <c r="AI26938" s="38"/>
    </row>
    <row r="26939" ht="15.75" customHeight="1">
      <c r="A26939" s="35"/>
      <c r="C26939" s="442"/>
      <c r="P26939" s="235"/>
      <c r="AI26939" s="38"/>
    </row>
    <row r="26940" ht="15.75" customHeight="1">
      <c r="A26940" s="35"/>
      <c r="C26940" s="442"/>
      <c r="P26940" s="235"/>
      <c r="AI26940" s="38"/>
    </row>
    <row r="26941" ht="15.75" customHeight="1">
      <c r="A26941" s="35"/>
      <c r="C26941" s="442"/>
      <c r="P26941" s="235"/>
      <c r="AI26941" s="38"/>
    </row>
    <row r="26942" ht="15.75" customHeight="1">
      <c r="A26942" s="35"/>
      <c r="C26942" s="442"/>
      <c r="P26942" s="235"/>
      <c r="AI26942" s="38"/>
    </row>
    <row r="26943" ht="15.75" customHeight="1">
      <c r="A26943" s="35"/>
      <c r="C26943" s="442"/>
      <c r="P26943" s="235"/>
      <c r="AI26943" s="38"/>
    </row>
    <row r="26944" ht="15.75" customHeight="1">
      <c r="A26944" s="35"/>
      <c r="C26944" s="442"/>
      <c r="P26944" s="235"/>
      <c r="AI26944" s="38"/>
    </row>
    <row r="26945" ht="15.75" customHeight="1">
      <c r="A26945" s="35"/>
      <c r="C26945" s="442"/>
      <c r="P26945" s="235"/>
      <c r="AI26945" s="38"/>
    </row>
    <row r="26946" ht="15.75" customHeight="1">
      <c r="A26946" s="35"/>
      <c r="C26946" s="442"/>
      <c r="P26946" s="235"/>
      <c r="AI26946" s="38"/>
    </row>
    <row r="26947" ht="15.75" customHeight="1">
      <c r="A26947" s="35"/>
      <c r="C26947" s="442"/>
      <c r="P26947" s="235"/>
      <c r="AI26947" s="38"/>
    </row>
    <row r="26948" ht="15.75" customHeight="1">
      <c r="A26948" s="35"/>
      <c r="C26948" s="442"/>
      <c r="P26948" s="235"/>
      <c r="AI26948" s="38"/>
    </row>
    <row r="26949" ht="15.75" customHeight="1">
      <c r="A26949" s="35"/>
      <c r="C26949" s="442"/>
      <c r="P26949" s="235"/>
      <c r="AI26949" s="38"/>
    </row>
    <row r="26950" ht="15.75" customHeight="1">
      <c r="A26950" s="35"/>
      <c r="C26950" s="442"/>
      <c r="P26950" s="235"/>
      <c r="AI26950" s="38"/>
    </row>
    <row r="26951" ht="15.75" customHeight="1">
      <c r="A26951" s="35"/>
      <c r="C26951" s="442"/>
      <c r="P26951" s="235"/>
      <c r="AI26951" s="38"/>
    </row>
    <row r="26952" ht="15.75" customHeight="1">
      <c r="A26952" s="35"/>
      <c r="C26952" s="442"/>
      <c r="P26952" s="235"/>
      <c r="AI26952" s="38"/>
    </row>
    <row r="26953" ht="15.75" customHeight="1">
      <c r="A26953" s="35"/>
      <c r="C26953" s="442"/>
      <c r="P26953" s="235"/>
      <c r="AI26953" s="38"/>
    </row>
    <row r="26954" ht="15.75" customHeight="1">
      <c r="A26954" s="35"/>
      <c r="C26954" s="442"/>
      <c r="P26954" s="235"/>
      <c r="AI26954" s="38"/>
    </row>
    <row r="26955" ht="15.75" customHeight="1">
      <c r="A26955" s="35"/>
      <c r="C26955" s="442"/>
      <c r="P26955" s="235"/>
      <c r="AI26955" s="38"/>
    </row>
    <row r="26956" ht="15.75" customHeight="1">
      <c r="A26956" s="35"/>
      <c r="C26956" s="442"/>
      <c r="P26956" s="235"/>
      <c r="AI26956" s="38"/>
    </row>
    <row r="26957" ht="15.75" customHeight="1">
      <c r="A26957" s="35"/>
      <c r="C26957" s="442"/>
      <c r="P26957" s="235"/>
      <c r="AI26957" s="38"/>
    </row>
    <row r="26958" ht="15.75" customHeight="1">
      <c r="A26958" s="35"/>
      <c r="C26958" s="442"/>
      <c r="P26958" s="235"/>
      <c r="AI26958" s="38"/>
    </row>
    <row r="26959" ht="15.75" customHeight="1">
      <c r="A26959" s="35"/>
      <c r="C26959" s="442"/>
      <c r="P26959" s="235"/>
      <c r="AI26959" s="38"/>
    </row>
    <row r="26960" ht="15.75" customHeight="1">
      <c r="A26960" s="35"/>
      <c r="C26960" s="442"/>
      <c r="P26960" s="235"/>
      <c r="AI26960" s="38"/>
    </row>
    <row r="26961" ht="15.75" customHeight="1">
      <c r="A26961" s="35"/>
      <c r="C26961" s="442"/>
      <c r="P26961" s="235"/>
      <c r="AI26961" s="38"/>
    </row>
    <row r="26962" ht="15.75" customHeight="1">
      <c r="A26962" s="35"/>
      <c r="C26962" s="442"/>
      <c r="P26962" s="235"/>
      <c r="AI26962" s="38"/>
    </row>
    <row r="26963" ht="15.75" customHeight="1">
      <c r="A26963" s="35"/>
      <c r="C26963" s="442"/>
      <c r="P26963" s="235"/>
      <c r="AI26963" s="38"/>
    </row>
    <row r="26964" ht="15.75" customHeight="1">
      <c r="A26964" s="35"/>
      <c r="C26964" s="442"/>
      <c r="P26964" s="235"/>
      <c r="AI26964" s="38"/>
    </row>
    <row r="26965" ht="15.75" customHeight="1">
      <c r="A26965" s="35"/>
      <c r="C26965" s="442"/>
      <c r="P26965" s="235"/>
      <c r="AI26965" s="38"/>
    </row>
    <row r="26966" ht="15.75" customHeight="1">
      <c r="A26966" s="35"/>
      <c r="C26966" s="442"/>
      <c r="P26966" s="235"/>
      <c r="AI26966" s="38"/>
    </row>
    <row r="26967" ht="15.75" customHeight="1">
      <c r="A26967" s="35"/>
      <c r="C26967" s="442"/>
      <c r="P26967" s="235"/>
      <c r="AI26967" s="38"/>
    </row>
    <row r="26968" ht="15.75" customHeight="1">
      <c r="A26968" s="35"/>
      <c r="C26968" s="442"/>
      <c r="P26968" s="235"/>
      <c r="AI26968" s="38"/>
    </row>
    <row r="26969" ht="15.75" customHeight="1">
      <c r="A26969" s="35"/>
      <c r="C26969" s="442"/>
      <c r="P26969" s="235"/>
      <c r="AI26969" s="38"/>
    </row>
    <row r="26970" ht="15.75" customHeight="1">
      <c r="A26970" s="35"/>
      <c r="C26970" s="442"/>
      <c r="P26970" s="235"/>
      <c r="AI26970" s="38"/>
    </row>
    <row r="26971" ht="15.75" customHeight="1">
      <c r="A26971" s="35"/>
      <c r="C26971" s="442"/>
      <c r="P26971" s="235"/>
      <c r="AI26971" s="38"/>
    </row>
    <row r="26972" ht="15.75" customHeight="1">
      <c r="A26972" s="35"/>
      <c r="C26972" s="442"/>
      <c r="P26972" s="235"/>
      <c r="AI26972" s="38"/>
    </row>
    <row r="26973" ht="15.75" customHeight="1">
      <c r="A26973" s="35"/>
      <c r="C26973" s="442"/>
      <c r="P26973" s="235"/>
      <c r="AI26973" s="38"/>
    </row>
    <row r="26974" ht="15.75" customHeight="1">
      <c r="A26974" s="35"/>
      <c r="C26974" s="442"/>
      <c r="P26974" s="235"/>
      <c r="AI26974" s="38"/>
    </row>
    <row r="26975" ht="15.75" customHeight="1">
      <c r="A26975" s="35"/>
      <c r="C26975" s="442"/>
      <c r="P26975" s="235"/>
      <c r="AI26975" s="38"/>
    </row>
    <row r="26976" ht="15.75" customHeight="1">
      <c r="A26976" s="35"/>
      <c r="C26976" s="442"/>
      <c r="P26976" s="235"/>
      <c r="AI26976" s="38"/>
    </row>
    <row r="26977" ht="15.75" customHeight="1">
      <c r="A26977" s="35"/>
      <c r="C26977" s="442"/>
      <c r="P26977" s="235"/>
      <c r="AI26977" s="38"/>
    </row>
    <row r="26978" ht="15.75" customHeight="1">
      <c r="A26978" s="35"/>
      <c r="C26978" s="442"/>
      <c r="P26978" s="235"/>
      <c r="AI26978" s="38"/>
    </row>
    <row r="26979" ht="15.75" customHeight="1">
      <c r="A26979" s="35"/>
      <c r="C26979" s="442"/>
      <c r="P26979" s="235"/>
      <c r="AI26979" s="38"/>
    </row>
    <row r="26980" ht="15.75" customHeight="1">
      <c r="A26980" s="35"/>
      <c r="C26980" s="442"/>
      <c r="P26980" s="235"/>
      <c r="AI26980" s="38"/>
    </row>
    <row r="26981" ht="15.75" customHeight="1">
      <c r="A26981" s="35"/>
      <c r="C26981" s="442"/>
      <c r="P26981" s="235"/>
      <c r="AI26981" s="38"/>
    </row>
    <row r="26982" ht="15.75" customHeight="1">
      <c r="A26982" s="35"/>
      <c r="C26982" s="442"/>
      <c r="P26982" s="235"/>
      <c r="AI26982" s="38"/>
    </row>
    <row r="26983" ht="15.75" customHeight="1">
      <c r="A26983" s="35"/>
      <c r="C26983" s="442"/>
      <c r="P26983" s="235"/>
      <c r="AI26983" s="38"/>
    </row>
    <row r="26984" ht="15.75" customHeight="1">
      <c r="A26984" s="35"/>
      <c r="C26984" s="442"/>
      <c r="P26984" s="235"/>
      <c r="AI26984" s="38"/>
    </row>
    <row r="26985" ht="15.75" customHeight="1">
      <c r="A26985" s="35"/>
      <c r="C26985" s="442"/>
      <c r="P26985" s="235"/>
      <c r="AI26985" s="38"/>
    </row>
    <row r="26986" ht="15.75" customHeight="1">
      <c r="A26986" s="35"/>
      <c r="C26986" s="442"/>
      <c r="P26986" s="235"/>
      <c r="AI26986" s="38"/>
    </row>
    <row r="26987" ht="15.75" customHeight="1">
      <c r="A26987" s="35"/>
      <c r="C26987" s="442"/>
      <c r="P26987" s="235"/>
      <c r="AI26987" s="38"/>
    </row>
    <row r="26988" ht="15.75" customHeight="1">
      <c r="A26988" s="35"/>
      <c r="C26988" s="442"/>
      <c r="P26988" s="235"/>
      <c r="AI26988" s="38"/>
    </row>
    <row r="26989" ht="15.75" customHeight="1">
      <c r="A26989" s="35"/>
      <c r="C26989" s="442"/>
      <c r="P26989" s="235"/>
      <c r="AI26989" s="38"/>
    </row>
    <row r="26990" ht="15.75" customHeight="1">
      <c r="A26990" s="35"/>
      <c r="C26990" s="442"/>
      <c r="P26990" s="235"/>
      <c r="AI26990" s="38"/>
    </row>
    <row r="26991" ht="15.75" customHeight="1">
      <c r="A26991" s="35"/>
      <c r="C26991" s="442"/>
      <c r="P26991" s="235"/>
      <c r="AI26991" s="38"/>
    </row>
    <row r="26992" ht="15.75" customHeight="1">
      <c r="A26992" s="35"/>
      <c r="C26992" s="442"/>
      <c r="P26992" s="235"/>
      <c r="AI26992" s="38"/>
    </row>
    <row r="26993" ht="15.75" customHeight="1">
      <c r="A26993" s="35"/>
      <c r="C26993" s="442"/>
      <c r="P26993" s="235"/>
      <c r="AI26993" s="38"/>
    </row>
    <row r="26994" ht="15.75" customHeight="1">
      <c r="A26994" s="35"/>
      <c r="C26994" s="442"/>
      <c r="P26994" s="235"/>
      <c r="AI26994" s="38"/>
    </row>
    <row r="26995" ht="15.75" customHeight="1">
      <c r="A26995" s="35"/>
      <c r="C26995" s="442"/>
      <c r="P26995" s="235"/>
      <c r="AI26995" s="38"/>
    </row>
    <row r="26996" ht="15.75" customHeight="1">
      <c r="A26996" s="35"/>
      <c r="C26996" s="442"/>
      <c r="P26996" s="235"/>
      <c r="AI26996" s="38"/>
    </row>
    <row r="26997" ht="15.75" customHeight="1">
      <c r="A26997" s="35"/>
      <c r="C26997" s="442"/>
      <c r="P26997" s="235"/>
      <c r="AI26997" s="38"/>
    </row>
    <row r="26998" ht="15.75" customHeight="1">
      <c r="A26998" s="35"/>
      <c r="C26998" s="442"/>
      <c r="P26998" s="235"/>
      <c r="AI26998" s="38"/>
    </row>
    <row r="26999" ht="15.75" customHeight="1">
      <c r="A26999" s="35"/>
      <c r="C26999" s="442"/>
      <c r="P26999" s="235"/>
      <c r="AI26999" s="38"/>
    </row>
    <row r="27000" ht="15.75" customHeight="1">
      <c r="A27000" s="35"/>
      <c r="C27000" s="442"/>
      <c r="P27000" s="235"/>
      <c r="AI27000" s="38"/>
    </row>
    <row r="27001" ht="15.75" customHeight="1">
      <c r="A27001" s="35"/>
      <c r="C27001" s="442"/>
      <c r="P27001" s="235"/>
      <c r="AI27001" s="38"/>
    </row>
    <row r="27002" ht="15.75" customHeight="1">
      <c r="A27002" s="35"/>
      <c r="C27002" s="442"/>
      <c r="P27002" s="235"/>
      <c r="AI27002" s="38"/>
    </row>
    <row r="27003" ht="15.75" customHeight="1">
      <c r="A27003" s="35"/>
      <c r="C27003" s="442"/>
      <c r="P27003" s="235"/>
      <c r="AI27003" s="38"/>
    </row>
    <row r="27004" ht="15.75" customHeight="1">
      <c r="A27004" s="35"/>
      <c r="C27004" s="442"/>
      <c r="P27004" s="235"/>
      <c r="AI27004" s="38"/>
    </row>
    <row r="27005" ht="15.75" customHeight="1">
      <c r="A27005" s="35"/>
      <c r="C27005" s="442"/>
      <c r="P27005" s="235"/>
      <c r="AI27005" s="38"/>
    </row>
    <row r="27006" ht="15.75" customHeight="1">
      <c r="A27006" s="35"/>
      <c r="C27006" s="442"/>
      <c r="P27006" s="235"/>
      <c r="AI27006" s="38"/>
    </row>
    <row r="27007" ht="15.75" customHeight="1">
      <c r="A27007" s="35"/>
      <c r="C27007" s="442"/>
      <c r="P27007" s="235"/>
      <c r="AI27007" s="38"/>
    </row>
    <row r="27008" ht="15.75" customHeight="1">
      <c r="A27008" s="35"/>
      <c r="C27008" s="442"/>
      <c r="P27008" s="235"/>
      <c r="AI27008" s="38"/>
    </row>
    <row r="27009" ht="15.75" customHeight="1">
      <c r="A27009" s="35"/>
      <c r="C27009" s="442"/>
      <c r="P27009" s="235"/>
      <c r="AI27009" s="38"/>
    </row>
    <row r="27010" ht="15.75" customHeight="1">
      <c r="A27010" s="35"/>
      <c r="C27010" s="442"/>
      <c r="P27010" s="235"/>
      <c r="AI27010" s="38"/>
    </row>
    <row r="27011" ht="15.75" customHeight="1">
      <c r="A27011" s="35"/>
      <c r="C27011" s="442"/>
      <c r="P27011" s="235"/>
      <c r="AI27011" s="38"/>
    </row>
    <row r="27012" ht="15.75" customHeight="1">
      <c r="A27012" s="35"/>
      <c r="C27012" s="442"/>
      <c r="P27012" s="235"/>
      <c r="AI27012" s="38"/>
    </row>
    <row r="27013" ht="15.75" customHeight="1">
      <c r="A27013" s="35"/>
      <c r="C27013" s="442"/>
      <c r="P27013" s="235"/>
      <c r="AI27013" s="38"/>
    </row>
    <row r="27014" ht="15.75" customHeight="1">
      <c r="A27014" s="35"/>
      <c r="C27014" s="442"/>
      <c r="P27014" s="235"/>
      <c r="AI27014" s="38"/>
    </row>
    <row r="27015" ht="15.75" customHeight="1">
      <c r="A27015" s="35"/>
      <c r="C27015" s="442"/>
      <c r="P27015" s="235"/>
      <c r="AI27015" s="38"/>
    </row>
    <row r="27016" ht="15.75" customHeight="1">
      <c r="A27016" s="35"/>
      <c r="C27016" s="442"/>
      <c r="P27016" s="235"/>
      <c r="AI27016" s="38"/>
    </row>
    <row r="27017" ht="15.75" customHeight="1">
      <c r="A27017" s="35"/>
      <c r="C27017" s="442"/>
      <c r="P27017" s="235"/>
      <c r="AI27017" s="38"/>
    </row>
    <row r="27018" ht="15.75" customHeight="1">
      <c r="A27018" s="35"/>
      <c r="C27018" s="442"/>
      <c r="P27018" s="235"/>
      <c r="AI27018" s="38"/>
    </row>
    <row r="27019" ht="15.75" customHeight="1">
      <c r="A27019" s="35"/>
      <c r="C27019" s="442"/>
      <c r="P27019" s="235"/>
      <c r="AI27019" s="38"/>
    </row>
    <row r="27020" ht="15.75" customHeight="1">
      <c r="A27020" s="35"/>
      <c r="C27020" s="442"/>
      <c r="P27020" s="235"/>
      <c r="AI27020" s="38"/>
    </row>
    <row r="27021" ht="15.75" customHeight="1">
      <c r="A27021" s="35"/>
      <c r="C27021" s="442"/>
      <c r="P27021" s="235"/>
      <c r="AI27021" s="38"/>
    </row>
    <row r="27022" ht="15.75" customHeight="1">
      <c r="A27022" s="35"/>
      <c r="C27022" s="442"/>
      <c r="P27022" s="235"/>
      <c r="AI27022" s="38"/>
    </row>
    <row r="27023" ht="15.75" customHeight="1">
      <c r="A27023" s="35"/>
      <c r="C27023" s="442"/>
      <c r="P27023" s="235"/>
      <c r="AI27023" s="38"/>
    </row>
    <row r="27024" ht="15.75" customHeight="1">
      <c r="A27024" s="35"/>
      <c r="C27024" s="442"/>
      <c r="P27024" s="235"/>
      <c r="AI27024" s="38"/>
    </row>
    <row r="27025" ht="15.75" customHeight="1">
      <c r="A27025" s="35"/>
      <c r="C27025" s="442"/>
      <c r="P27025" s="235"/>
      <c r="AI27025" s="38"/>
    </row>
    <row r="27026" ht="15.75" customHeight="1">
      <c r="A27026" s="35"/>
      <c r="C27026" s="442"/>
      <c r="P27026" s="235"/>
      <c r="AI27026" s="38"/>
    </row>
    <row r="27027" ht="15.75" customHeight="1">
      <c r="A27027" s="35"/>
      <c r="C27027" s="442"/>
      <c r="P27027" s="235"/>
      <c r="AI27027" s="38"/>
    </row>
    <row r="27028" ht="15.75" customHeight="1">
      <c r="A27028" s="35"/>
      <c r="C27028" s="442"/>
      <c r="P27028" s="235"/>
      <c r="AI27028" s="38"/>
    </row>
    <row r="27029" ht="15.75" customHeight="1">
      <c r="A27029" s="35"/>
      <c r="C27029" s="442"/>
      <c r="P27029" s="235"/>
      <c r="AI27029" s="38"/>
    </row>
    <row r="27030" ht="15.75" customHeight="1">
      <c r="A27030" s="35"/>
      <c r="C27030" s="442"/>
      <c r="P27030" s="235"/>
      <c r="AI27030" s="38"/>
    </row>
    <row r="27031" ht="15.75" customHeight="1">
      <c r="A27031" s="35"/>
      <c r="C27031" s="442"/>
      <c r="P27031" s="235"/>
      <c r="AI27031" s="38"/>
    </row>
    <row r="27032" ht="15.75" customHeight="1">
      <c r="A27032" s="35"/>
      <c r="C27032" s="442"/>
      <c r="P27032" s="235"/>
      <c r="AI27032" s="38"/>
    </row>
    <row r="27033" ht="15.75" customHeight="1">
      <c r="A27033" s="35"/>
      <c r="C27033" s="442"/>
      <c r="P27033" s="235"/>
      <c r="AI27033" s="38"/>
    </row>
    <row r="27034" ht="15.75" customHeight="1">
      <c r="A27034" s="35"/>
      <c r="C27034" s="442"/>
      <c r="P27034" s="235"/>
      <c r="AI27034" s="38"/>
    </row>
    <row r="27035" ht="15.75" customHeight="1">
      <c r="A27035" s="35"/>
      <c r="C27035" s="442"/>
      <c r="P27035" s="235"/>
      <c r="AI27035" s="38"/>
    </row>
    <row r="27036" ht="15.75" customHeight="1">
      <c r="A27036" s="35"/>
      <c r="C27036" s="442"/>
      <c r="P27036" s="235"/>
      <c r="AI27036" s="38"/>
    </row>
    <row r="27037" ht="15.75" customHeight="1">
      <c r="A27037" s="35"/>
      <c r="C27037" s="442"/>
      <c r="P27037" s="235"/>
      <c r="AI27037" s="38"/>
    </row>
    <row r="27038" ht="15.75" customHeight="1">
      <c r="A27038" s="35"/>
      <c r="C27038" s="442"/>
      <c r="P27038" s="235"/>
      <c r="AI27038" s="38"/>
    </row>
    <row r="27039" ht="15.75" customHeight="1">
      <c r="A27039" s="35"/>
      <c r="C27039" s="442"/>
      <c r="P27039" s="235"/>
      <c r="AI27039" s="38"/>
    </row>
    <row r="27040" ht="15.75" customHeight="1">
      <c r="A27040" s="35"/>
      <c r="C27040" s="442"/>
      <c r="P27040" s="235"/>
      <c r="AI27040" s="38"/>
    </row>
    <row r="27041" ht="15.75" customHeight="1">
      <c r="A27041" s="35"/>
      <c r="C27041" s="442"/>
      <c r="P27041" s="235"/>
      <c r="AI27041" s="38"/>
    </row>
    <row r="27042" ht="15.75" customHeight="1">
      <c r="A27042" s="35"/>
      <c r="C27042" s="442"/>
      <c r="P27042" s="235"/>
      <c r="AI27042" s="38"/>
    </row>
    <row r="27043" ht="15.75" customHeight="1">
      <c r="A27043" s="35"/>
      <c r="C27043" s="442"/>
      <c r="P27043" s="235"/>
      <c r="AI27043" s="38"/>
    </row>
    <row r="27044" ht="15.75" customHeight="1">
      <c r="A27044" s="35"/>
      <c r="C27044" s="442"/>
      <c r="P27044" s="235"/>
      <c r="AI27044" s="38"/>
    </row>
    <row r="27045" ht="15.75" customHeight="1">
      <c r="A27045" s="35"/>
      <c r="C27045" s="442"/>
      <c r="P27045" s="235"/>
      <c r="AI27045" s="38"/>
    </row>
    <row r="27046" ht="15.75" customHeight="1">
      <c r="A27046" s="35"/>
      <c r="C27046" s="442"/>
      <c r="P27046" s="235"/>
      <c r="AI27046" s="38"/>
    </row>
    <row r="27047" ht="15.75" customHeight="1">
      <c r="A27047" s="35"/>
      <c r="C27047" s="442"/>
      <c r="P27047" s="235"/>
      <c r="AI27047" s="38"/>
    </row>
    <row r="27048" ht="15.75" customHeight="1">
      <c r="A27048" s="35"/>
      <c r="C27048" s="442"/>
      <c r="P27048" s="235"/>
      <c r="AI27048" s="38"/>
    </row>
    <row r="27049" ht="15.75" customHeight="1">
      <c r="A27049" s="35"/>
      <c r="C27049" s="442"/>
      <c r="P27049" s="235"/>
      <c r="AI27049" s="38"/>
    </row>
    <row r="27050" ht="15.75" customHeight="1">
      <c r="A27050" s="35"/>
      <c r="C27050" s="442"/>
      <c r="P27050" s="235"/>
      <c r="AI27050" s="38"/>
    </row>
    <row r="27051" ht="15.75" customHeight="1">
      <c r="A27051" s="35"/>
      <c r="C27051" s="442"/>
      <c r="P27051" s="235"/>
      <c r="AI27051" s="38"/>
    </row>
    <row r="27052" ht="15.75" customHeight="1">
      <c r="A27052" s="35"/>
      <c r="C27052" s="442"/>
      <c r="P27052" s="235"/>
      <c r="AI27052" s="38"/>
    </row>
    <row r="27053" ht="15.75" customHeight="1">
      <c r="A27053" s="35"/>
      <c r="C27053" s="442"/>
      <c r="P27053" s="235"/>
      <c r="AI27053" s="38"/>
    </row>
    <row r="27054" ht="15.75" customHeight="1">
      <c r="A27054" s="35"/>
      <c r="C27054" s="442"/>
      <c r="P27054" s="235"/>
      <c r="AI27054" s="38"/>
    </row>
    <row r="27055" ht="15.75" customHeight="1">
      <c r="A27055" s="35"/>
      <c r="C27055" s="442"/>
      <c r="P27055" s="235"/>
      <c r="AI27055" s="38"/>
    </row>
    <row r="27056" ht="15.75" customHeight="1">
      <c r="A27056" s="35"/>
      <c r="C27056" s="442"/>
      <c r="P27056" s="235"/>
      <c r="AI27056" s="38"/>
    </row>
    <row r="27057" ht="15.75" customHeight="1">
      <c r="A27057" s="35"/>
      <c r="C27057" s="442"/>
      <c r="P27057" s="235"/>
      <c r="AI27057" s="38"/>
    </row>
    <row r="27058" ht="15.75" customHeight="1">
      <c r="A27058" s="35"/>
      <c r="C27058" s="442"/>
      <c r="P27058" s="235"/>
      <c r="AI27058" s="38"/>
    </row>
    <row r="27059" ht="15.75" customHeight="1">
      <c r="A27059" s="35"/>
      <c r="C27059" s="442"/>
      <c r="P27059" s="235"/>
      <c r="AI27059" s="38"/>
    </row>
    <row r="27060" ht="15.75" customHeight="1">
      <c r="A27060" s="35"/>
      <c r="C27060" s="442"/>
      <c r="P27060" s="235"/>
      <c r="AI27060" s="38"/>
    </row>
    <row r="27061" ht="15.75" customHeight="1">
      <c r="A27061" s="35"/>
      <c r="C27061" s="442"/>
      <c r="P27061" s="235"/>
      <c r="AI27061" s="38"/>
    </row>
    <row r="27062" ht="15.75" customHeight="1">
      <c r="A27062" s="35"/>
      <c r="C27062" s="442"/>
      <c r="P27062" s="235"/>
      <c r="AI27062" s="38"/>
    </row>
    <row r="27063" ht="15.75" customHeight="1">
      <c r="A27063" s="35"/>
      <c r="C27063" s="442"/>
      <c r="P27063" s="235"/>
      <c r="AI27063" s="38"/>
    </row>
    <row r="27064" ht="15.75" customHeight="1">
      <c r="A27064" s="35"/>
      <c r="C27064" s="442"/>
      <c r="P27064" s="235"/>
      <c r="AI27064" s="38"/>
    </row>
    <row r="27065" ht="15.75" customHeight="1">
      <c r="A27065" s="35"/>
      <c r="C27065" s="442"/>
      <c r="P27065" s="235"/>
      <c r="AI27065" s="38"/>
    </row>
    <row r="27066" ht="15.75" customHeight="1">
      <c r="A27066" s="35"/>
      <c r="C27066" s="442"/>
      <c r="P27066" s="235"/>
      <c r="AI27066" s="38"/>
    </row>
    <row r="27067" ht="15.75" customHeight="1">
      <c r="A27067" s="35"/>
      <c r="C27067" s="442"/>
      <c r="P27067" s="235"/>
      <c r="AI27067" s="38"/>
    </row>
    <row r="27068" ht="15.75" customHeight="1">
      <c r="A27068" s="35"/>
      <c r="C27068" s="442"/>
      <c r="P27068" s="235"/>
      <c r="AI27068" s="38"/>
    </row>
    <row r="27069" ht="15.75" customHeight="1">
      <c r="A27069" s="35"/>
      <c r="C27069" s="442"/>
      <c r="P27069" s="235"/>
      <c r="AI27069" s="38"/>
    </row>
    <row r="27070" ht="15.75" customHeight="1">
      <c r="A27070" s="35"/>
      <c r="C27070" s="442"/>
      <c r="P27070" s="235"/>
      <c r="AI27070" s="38"/>
    </row>
    <row r="27071" ht="15.75" customHeight="1">
      <c r="A27071" s="35"/>
      <c r="C27071" s="442"/>
      <c r="P27071" s="235"/>
      <c r="AI27071" s="38"/>
    </row>
    <row r="27072" ht="15.75" customHeight="1">
      <c r="A27072" s="35"/>
      <c r="C27072" s="442"/>
      <c r="P27072" s="235"/>
      <c r="AI27072" s="38"/>
    </row>
    <row r="27073" ht="15.75" customHeight="1">
      <c r="A27073" s="35"/>
      <c r="C27073" s="442"/>
      <c r="P27073" s="235"/>
      <c r="AI27073" s="38"/>
    </row>
    <row r="27074" ht="15.75" customHeight="1">
      <c r="A27074" s="35"/>
      <c r="C27074" s="442"/>
      <c r="P27074" s="235"/>
      <c r="AI27074" s="38"/>
    </row>
    <row r="27075" ht="15.75" customHeight="1">
      <c r="A27075" s="35"/>
      <c r="C27075" s="442"/>
      <c r="P27075" s="235"/>
      <c r="AI27075" s="38"/>
    </row>
    <row r="27076" ht="15.75" customHeight="1">
      <c r="A27076" s="35"/>
      <c r="C27076" s="442"/>
      <c r="P27076" s="235"/>
      <c r="AI27076" s="38"/>
    </row>
    <row r="27077" ht="15.75" customHeight="1">
      <c r="A27077" s="35"/>
      <c r="C27077" s="442"/>
      <c r="P27077" s="235"/>
      <c r="AI27077" s="38"/>
    </row>
    <row r="27078" ht="15.75" customHeight="1">
      <c r="A27078" s="35"/>
      <c r="C27078" s="442"/>
      <c r="P27078" s="235"/>
      <c r="AI27078" s="38"/>
    </row>
    <row r="27079" ht="15.75" customHeight="1">
      <c r="A27079" s="35"/>
      <c r="C27079" s="442"/>
      <c r="P27079" s="235"/>
      <c r="AI27079" s="38"/>
    </row>
    <row r="27080" ht="15.75" customHeight="1">
      <c r="A27080" s="35"/>
      <c r="C27080" s="442"/>
      <c r="P27080" s="235"/>
      <c r="AI27080" s="38"/>
    </row>
    <row r="27081" ht="15.75" customHeight="1">
      <c r="A27081" s="35"/>
      <c r="C27081" s="442"/>
      <c r="P27081" s="235"/>
      <c r="AI27081" s="38"/>
    </row>
    <row r="27082" ht="15.75" customHeight="1">
      <c r="A27082" s="35"/>
      <c r="C27082" s="442"/>
      <c r="P27082" s="235"/>
      <c r="AI27082" s="38"/>
    </row>
    <row r="27083" ht="15.75" customHeight="1">
      <c r="A27083" s="35"/>
      <c r="C27083" s="442"/>
      <c r="P27083" s="235"/>
      <c r="AI27083" s="38"/>
    </row>
    <row r="27084" ht="15.75" customHeight="1">
      <c r="A27084" s="35"/>
      <c r="C27084" s="442"/>
      <c r="P27084" s="235"/>
      <c r="AI27084" s="38"/>
    </row>
    <row r="27085" ht="15.75" customHeight="1">
      <c r="A27085" s="35"/>
      <c r="C27085" s="442"/>
      <c r="P27085" s="235"/>
      <c r="AI27085" s="38"/>
    </row>
    <row r="27086" ht="15.75" customHeight="1">
      <c r="A27086" s="35"/>
      <c r="C27086" s="442"/>
      <c r="P27086" s="235"/>
      <c r="AI27086" s="38"/>
    </row>
    <row r="27087" ht="15.75" customHeight="1">
      <c r="A27087" s="35"/>
      <c r="C27087" s="442"/>
      <c r="P27087" s="235"/>
      <c r="AI27087" s="38"/>
    </row>
    <row r="27088" ht="15.75" customHeight="1">
      <c r="A27088" s="35"/>
      <c r="C27088" s="442"/>
      <c r="P27088" s="235"/>
      <c r="AI27088" s="38"/>
    </row>
    <row r="27089" ht="15.75" customHeight="1">
      <c r="A27089" s="35"/>
      <c r="C27089" s="442"/>
      <c r="P27089" s="235"/>
      <c r="AI27089" s="38"/>
    </row>
    <row r="27090" ht="15.75" customHeight="1">
      <c r="A27090" s="35"/>
      <c r="C27090" s="442"/>
      <c r="P27090" s="235"/>
      <c r="AI27090" s="38"/>
    </row>
    <row r="27091" ht="15.75" customHeight="1">
      <c r="A27091" s="35"/>
      <c r="C27091" s="442"/>
      <c r="P27091" s="235"/>
      <c r="AI27091" s="38"/>
    </row>
    <row r="27092" ht="15.75" customHeight="1">
      <c r="A27092" s="35"/>
      <c r="C27092" s="442"/>
      <c r="P27092" s="235"/>
      <c r="AI27092" s="38"/>
    </row>
    <row r="27093" ht="15.75" customHeight="1">
      <c r="A27093" s="35"/>
      <c r="C27093" s="442"/>
      <c r="P27093" s="235"/>
      <c r="AI27093" s="38"/>
    </row>
    <row r="27094" ht="15.75" customHeight="1">
      <c r="A27094" s="35"/>
      <c r="C27094" s="442"/>
      <c r="P27094" s="235"/>
      <c r="AI27094" s="38"/>
    </row>
    <row r="27095" ht="15.75" customHeight="1">
      <c r="A27095" s="35"/>
      <c r="C27095" s="442"/>
      <c r="P27095" s="235"/>
      <c r="AI27095" s="38"/>
    </row>
    <row r="27096" ht="15.75" customHeight="1">
      <c r="A27096" s="35"/>
      <c r="C27096" s="442"/>
      <c r="P27096" s="235"/>
      <c r="AI27096" s="38"/>
    </row>
    <row r="27097" ht="15.75" customHeight="1">
      <c r="A27097" s="35"/>
      <c r="C27097" s="442"/>
      <c r="P27097" s="235"/>
      <c r="AI27097" s="38"/>
    </row>
    <row r="27098" ht="15.75" customHeight="1">
      <c r="A27098" s="35"/>
      <c r="C27098" s="442"/>
      <c r="P27098" s="235"/>
      <c r="AI27098" s="38"/>
    </row>
    <row r="27099" ht="15.75" customHeight="1">
      <c r="A27099" s="35"/>
      <c r="C27099" s="442"/>
      <c r="P27099" s="235"/>
      <c r="AI27099" s="38"/>
    </row>
    <row r="27100" ht="15.75" customHeight="1">
      <c r="A27100" s="35"/>
      <c r="C27100" s="442"/>
      <c r="P27100" s="235"/>
      <c r="AI27100" s="38"/>
    </row>
    <row r="27101" ht="15.75" customHeight="1">
      <c r="A27101" s="35"/>
      <c r="C27101" s="442"/>
      <c r="P27101" s="235"/>
      <c r="AI27101" s="38"/>
    </row>
    <row r="27102" ht="15.75" customHeight="1">
      <c r="A27102" s="35"/>
      <c r="C27102" s="442"/>
      <c r="P27102" s="235"/>
      <c r="AI27102" s="38"/>
    </row>
    <row r="27103" ht="15.75" customHeight="1">
      <c r="A27103" s="35"/>
      <c r="C27103" s="442"/>
      <c r="P27103" s="235"/>
      <c r="AI27103" s="38"/>
    </row>
    <row r="27104" ht="15.75" customHeight="1">
      <c r="A27104" s="35"/>
      <c r="C27104" s="442"/>
      <c r="P27104" s="235"/>
      <c r="AI27104" s="38"/>
    </row>
    <row r="27105" ht="15.75" customHeight="1">
      <c r="A27105" s="35"/>
      <c r="C27105" s="442"/>
      <c r="P27105" s="235"/>
      <c r="AI27105" s="38"/>
    </row>
    <row r="27106" ht="15.75" customHeight="1">
      <c r="A27106" s="35"/>
      <c r="C27106" s="442"/>
      <c r="P27106" s="235"/>
      <c r="AI27106" s="38"/>
    </row>
    <row r="27107" ht="15.75" customHeight="1">
      <c r="A27107" s="35"/>
      <c r="C27107" s="442"/>
      <c r="P27107" s="235"/>
      <c r="AI27107" s="38"/>
    </row>
    <row r="27108" ht="15.75" customHeight="1">
      <c r="A27108" s="35"/>
      <c r="C27108" s="442"/>
      <c r="P27108" s="235"/>
      <c r="AI27108" s="38"/>
    </row>
    <row r="27109" ht="15.75" customHeight="1">
      <c r="A27109" s="35"/>
      <c r="C27109" s="442"/>
      <c r="P27109" s="235"/>
      <c r="AI27109" s="38"/>
    </row>
    <row r="27110" ht="15.75" customHeight="1">
      <c r="A27110" s="35"/>
      <c r="C27110" s="442"/>
      <c r="P27110" s="235"/>
      <c r="AI27110" s="38"/>
    </row>
    <row r="27111" ht="15.75" customHeight="1">
      <c r="A27111" s="35"/>
      <c r="C27111" s="442"/>
      <c r="P27111" s="235"/>
      <c r="AI27111" s="38"/>
    </row>
    <row r="27112" ht="15.75" customHeight="1">
      <c r="A27112" s="35"/>
      <c r="C27112" s="442"/>
      <c r="P27112" s="235"/>
      <c r="AI27112" s="38"/>
    </row>
    <row r="27113" ht="15.75" customHeight="1">
      <c r="A27113" s="35"/>
      <c r="C27113" s="442"/>
      <c r="P27113" s="235"/>
      <c r="AI27113" s="38"/>
    </row>
    <row r="27114" ht="15.75" customHeight="1">
      <c r="A27114" s="35"/>
      <c r="C27114" s="442"/>
      <c r="P27114" s="235"/>
      <c r="AI27114" s="38"/>
    </row>
    <row r="27115" ht="15.75" customHeight="1">
      <c r="A27115" s="35"/>
      <c r="C27115" s="442"/>
      <c r="P27115" s="235"/>
      <c r="AI27115" s="38"/>
    </row>
    <row r="27116" ht="15.75" customHeight="1">
      <c r="A27116" s="35"/>
      <c r="C27116" s="442"/>
      <c r="P27116" s="235"/>
      <c r="AI27116" s="38"/>
    </row>
    <row r="27117" ht="15.75" customHeight="1">
      <c r="A27117" s="35"/>
      <c r="C27117" s="442"/>
      <c r="P27117" s="235"/>
      <c r="AI27117" s="38"/>
    </row>
    <row r="27118" ht="15.75" customHeight="1">
      <c r="A27118" s="35"/>
      <c r="C27118" s="442"/>
      <c r="P27118" s="235"/>
      <c r="AI27118" s="38"/>
    </row>
    <row r="27119" ht="15.75" customHeight="1">
      <c r="A27119" s="35"/>
      <c r="C27119" s="442"/>
      <c r="P27119" s="235"/>
      <c r="AI27119" s="38"/>
    </row>
    <row r="27120" ht="15.75" customHeight="1">
      <c r="A27120" s="35"/>
      <c r="C27120" s="442"/>
      <c r="P27120" s="235"/>
      <c r="AI27120" s="38"/>
    </row>
    <row r="27121" ht="15.75" customHeight="1">
      <c r="A27121" s="35"/>
      <c r="C27121" s="442"/>
      <c r="P27121" s="235"/>
      <c r="AI27121" s="38"/>
    </row>
    <row r="27122" ht="15.75" customHeight="1">
      <c r="A27122" s="35"/>
      <c r="C27122" s="442"/>
      <c r="P27122" s="235"/>
      <c r="AI27122" s="38"/>
    </row>
    <row r="27123" ht="15.75" customHeight="1">
      <c r="A27123" s="35"/>
      <c r="C27123" s="442"/>
      <c r="P27123" s="235"/>
      <c r="AI27123" s="38"/>
    </row>
    <row r="27124" ht="15.75" customHeight="1">
      <c r="A27124" s="35"/>
      <c r="C27124" s="442"/>
      <c r="P27124" s="235"/>
      <c r="AI27124" s="38"/>
    </row>
    <row r="27125" ht="15.75" customHeight="1">
      <c r="A27125" s="35"/>
      <c r="C27125" s="442"/>
      <c r="P27125" s="235"/>
      <c r="AI27125" s="38"/>
    </row>
    <row r="27126" ht="15.75" customHeight="1">
      <c r="A27126" s="35"/>
      <c r="C27126" s="442"/>
      <c r="P27126" s="235"/>
      <c r="AI27126" s="38"/>
    </row>
    <row r="27127" ht="15.75" customHeight="1">
      <c r="A27127" s="35"/>
      <c r="C27127" s="442"/>
      <c r="P27127" s="235"/>
      <c r="AI27127" s="38"/>
    </row>
    <row r="27128" ht="15.75" customHeight="1">
      <c r="A27128" s="35"/>
      <c r="C27128" s="442"/>
      <c r="P27128" s="235"/>
      <c r="AI27128" s="38"/>
    </row>
    <row r="27129" ht="15.75" customHeight="1">
      <c r="A27129" s="35"/>
      <c r="C27129" s="442"/>
      <c r="P27129" s="235"/>
      <c r="AI27129" s="38"/>
    </row>
    <row r="27130" ht="15.75" customHeight="1">
      <c r="A27130" s="35"/>
      <c r="C27130" s="442"/>
      <c r="P27130" s="235"/>
      <c r="AI27130" s="38"/>
    </row>
    <row r="27131" ht="15.75" customHeight="1">
      <c r="A27131" s="35"/>
      <c r="C27131" s="442"/>
      <c r="P27131" s="235"/>
      <c r="AI27131" s="38"/>
    </row>
    <row r="27132" ht="15.75" customHeight="1">
      <c r="A27132" s="35"/>
      <c r="C27132" s="442"/>
      <c r="P27132" s="235"/>
      <c r="AI27132" s="38"/>
    </row>
    <row r="27133" ht="15.75" customHeight="1">
      <c r="A27133" s="35"/>
      <c r="C27133" s="442"/>
      <c r="P27133" s="235"/>
      <c r="AI27133" s="38"/>
    </row>
    <row r="27134" ht="15.75" customHeight="1">
      <c r="A27134" s="35"/>
      <c r="C27134" s="442"/>
      <c r="P27134" s="235"/>
      <c r="AI27134" s="38"/>
    </row>
    <row r="27135" ht="15.75" customHeight="1">
      <c r="A27135" s="35"/>
      <c r="C27135" s="442"/>
      <c r="P27135" s="235"/>
      <c r="AI27135" s="38"/>
    </row>
    <row r="27136" ht="15.75" customHeight="1">
      <c r="A27136" s="35"/>
      <c r="C27136" s="442"/>
      <c r="P27136" s="235"/>
      <c r="AI27136" s="38"/>
    </row>
    <row r="27137" ht="15.75" customHeight="1">
      <c r="A27137" s="35"/>
      <c r="C27137" s="442"/>
      <c r="P27137" s="235"/>
      <c r="AI27137" s="38"/>
    </row>
    <row r="27138" ht="15.75" customHeight="1">
      <c r="A27138" s="35"/>
      <c r="C27138" s="442"/>
      <c r="P27138" s="235"/>
      <c r="AI27138" s="38"/>
    </row>
    <row r="27139" ht="15.75" customHeight="1">
      <c r="A27139" s="35"/>
      <c r="C27139" s="442"/>
      <c r="P27139" s="235"/>
      <c r="AI27139" s="38"/>
    </row>
    <row r="27140" ht="15.75" customHeight="1">
      <c r="A27140" s="35"/>
      <c r="C27140" s="442"/>
      <c r="P27140" s="235"/>
      <c r="AI27140" s="38"/>
    </row>
    <row r="27141" ht="15.75" customHeight="1">
      <c r="A27141" s="35"/>
      <c r="C27141" s="442"/>
      <c r="P27141" s="235"/>
      <c r="AI27141" s="38"/>
    </row>
    <row r="27142" ht="15.75" customHeight="1">
      <c r="A27142" s="35"/>
      <c r="C27142" s="442"/>
      <c r="P27142" s="235"/>
      <c r="AI27142" s="38"/>
    </row>
    <row r="27143" ht="15.75" customHeight="1">
      <c r="A27143" s="35"/>
      <c r="C27143" s="442"/>
      <c r="P27143" s="235"/>
      <c r="AI27143" s="38"/>
    </row>
    <row r="27144" ht="15.75" customHeight="1">
      <c r="A27144" s="35"/>
      <c r="C27144" s="442"/>
      <c r="P27144" s="235"/>
      <c r="AI27144" s="38"/>
    </row>
    <row r="27145" ht="15.75" customHeight="1">
      <c r="A27145" s="35"/>
      <c r="C27145" s="442"/>
      <c r="P27145" s="235"/>
      <c r="AI27145" s="38"/>
    </row>
    <row r="27146" ht="15.75" customHeight="1">
      <c r="A27146" s="35"/>
      <c r="C27146" s="442"/>
      <c r="P27146" s="235"/>
      <c r="AI27146" s="38"/>
    </row>
    <row r="27147" ht="15.75" customHeight="1">
      <c r="A27147" s="35"/>
      <c r="C27147" s="442"/>
      <c r="P27147" s="235"/>
      <c r="AI27147" s="38"/>
    </row>
    <row r="27148" ht="15.75" customHeight="1">
      <c r="A27148" s="35"/>
      <c r="C27148" s="442"/>
      <c r="P27148" s="235"/>
      <c r="AI27148" s="38"/>
    </row>
    <row r="27149" ht="15.75" customHeight="1">
      <c r="A27149" s="35"/>
      <c r="C27149" s="442"/>
      <c r="P27149" s="235"/>
      <c r="AI27149" s="38"/>
    </row>
    <row r="27150" ht="15.75" customHeight="1">
      <c r="A27150" s="35"/>
      <c r="C27150" s="442"/>
      <c r="P27150" s="235"/>
      <c r="AI27150" s="38"/>
    </row>
    <row r="27151" ht="15.75" customHeight="1">
      <c r="A27151" s="35"/>
      <c r="C27151" s="442"/>
      <c r="P27151" s="235"/>
      <c r="AI27151" s="38"/>
    </row>
    <row r="27152" ht="15.75" customHeight="1">
      <c r="A27152" s="35"/>
      <c r="C27152" s="442"/>
      <c r="P27152" s="235"/>
      <c r="AI27152" s="38"/>
    </row>
    <row r="27153" ht="15.75" customHeight="1">
      <c r="A27153" s="35"/>
      <c r="C27153" s="442"/>
      <c r="P27153" s="235"/>
      <c r="AI27153" s="38"/>
    </row>
    <row r="27154" ht="15.75" customHeight="1">
      <c r="A27154" s="35"/>
      <c r="C27154" s="442"/>
      <c r="P27154" s="235"/>
      <c r="AI27154" s="38"/>
    </row>
    <row r="27155" ht="15.75" customHeight="1">
      <c r="A27155" s="35"/>
      <c r="C27155" s="442"/>
      <c r="P27155" s="235"/>
      <c r="AI27155" s="38"/>
    </row>
    <row r="27156" ht="15.75" customHeight="1">
      <c r="A27156" s="35"/>
      <c r="C27156" s="442"/>
      <c r="P27156" s="235"/>
      <c r="AI27156" s="38"/>
    </row>
    <row r="27157" ht="15.75" customHeight="1">
      <c r="A27157" s="35"/>
      <c r="C27157" s="442"/>
      <c r="P27157" s="235"/>
      <c r="AI27157" s="38"/>
    </row>
    <row r="27158" ht="15.75" customHeight="1">
      <c r="A27158" s="35"/>
      <c r="C27158" s="442"/>
      <c r="P27158" s="235"/>
      <c r="AI27158" s="38"/>
    </row>
    <row r="27159" ht="15.75" customHeight="1">
      <c r="A27159" s="35"/>
      <c r="C27159" s="442"/>
      <c r="P27159" s="235"/>
      <c r="AI27159" s="38"/>
    </row>
    <row r="27160" ht="15.75" customHeight="1">
      <c r="A27160" s="35"/>
      <c r="C27160" s="442"/>
      <c r="P27160" s="235"/>
      <c r="AI27160" s="38"/>
    </row>
    <row r="27161" ht="15.75" customHeight="1">
      <c r="A27161" s="35"/>
      <c r="C27161" s="442"/>
      <c r="P27161" s="235"/>
      <c r="AI27161" s="38"/>
    </row>
    <row r="27162" ht="15.75" customHeight="1">
      <c r="A27162" s="35"/>
      <c r="C27162" s="442"/>
      <c r="P27162" s="235"/>
      <c r="AI27162" s="38"/>
    </row>
    <row r="27163" ht="15.75" customHeight="1">
      <c r="A27163" s="35"/>
      <c r="C27163" s="442"/>
      <c r="P27163" s="235"/>
      <c r="AI27163" s="38"/>
    </row>
    <row r="27164" ht="15.75" customHeight="1">
      <c r="A27164" s="35"/>
      <c r="C27164" s="442"/>
      <c r="P27164" s="235"/>
      <c r="AI27164" s="38"/>
    </row>
    <row r="27165" ht="15.75" customHeight="1">
      <c r="A27165" s="35"/>
      <c r="C27165" s="442"/>
      <c r="P27165" s="235"/>
      <c r="AI27165" s="38"/>
    </row>
    <row r="27166" ht="15.75" customHeight="1">
      <c r="A27166" s="35"/>
      <c r="C27166" s="442"/>
      <c r="P27166" s="235"/>
      <c r="AI27166" s="38"/>
    </row>
    <row r="27167" ht="15.75" customHeight="1">
      <c r="A27167" s="35"/>
      <c r="C27167" s="442"/>
      <c r="P27167" s="235"/>
      <c r="AI27167" s="38"/>
    </row>
    <row r="27168" ht="15.75" customHeight="1">
      <c r="A27168" s="35"/>
      <c r="C27168" s="442"/>
      <c r="P27168" s="235"/>
      <c r="AI27168" s="38"/>
    </row>
    <row r="27169" ht="15.75" customHeight="1">
      <c r="A27169" s="35"/>
      <c r="C27169" s="442"/>
      <c r="P27169" s="235"/>
      <c r="AI27169" s="38"/>
    </row>
    <row r="27170" ht="15.75" customHeight="1">
      <c r="A27170" s="35"/>
      <c r="C27170" s="442"/>
      <c r="P27170" s="235"/>
      <c r="AI27170" s="38"/>
    </row>
    <row r="27171" ht="15.75" customHeight="1">
      <c r="A27171" s="35"/>
      <c r="C27171" s="442"/>
      <c r="P27171" s="235"/>
      <c r="AI27171" s="38"/>
    </row>
    <row r="27172" ht="15.75" customHeight="1">
      <c r="A27172" s="35"/>
      <c r="C27172" s="442"/>
      <c r="P27172" s="235"/>
      <c r="AI27172" s="38"/>
    </row>
    <row r="27173" ht="15.75" customHeight="1">
      <c r="A27173" s="35"/>
      <c r="C27173" s="442"/>
      <c r="P27173" s="235"/>
      <c r="AI27173" s="38"/>
    </row>
    <row r="27174" ht="15.75" customHeight="1">
      <c r="A27174" s="35"/>
      <c r="C27174" s="442"/>
      <c r="P27174" s="235"/>
      <c r="AI27174" s="38"/>
    </row>
    <row r="27175" ht="15.75" customHeight="1">
      <c r="A27175" s="35"/>
      <c r="C27175" s="442"/>
      <c r="P27175" s="235"/>
      <c r="AI27175" s="38"/>
    </row>
    <row r="27176" ht="15.75" customHeight="1">
      <c r="A27176" s="35"/>
      <c r="C27176" s="442"/>
      <c r="P27176" s="235"/>
      <c r="AI27176" s="38"/>
    </row>
    <row r="27177" ht="15.75" customHeight="1">
      <c r="A27177" s="35"/>
      <c r="C27177" s="442"/>
      <c r="P27177" s="235"/>
      <c r="AI27177" s="38"/>
    </row>
    <row r="27178" ht="15.75" customHeight="1">
      <c r="A27178" s="35"/>
      <c r="C27178" s="442"/>
      <c r="P27178" s="235"/>
      <c r="AI27178" s="38"/>
    </row>
    <row r="27179" ht="15.75" customHeight="1">
      <c r="A27179" s="35"/>
      <c r="C27179" s="442"/>
      <c r="P27179" s="235"/>
      <c r="AI27179" s="38"/>
    </row>
    <row r="27180" ht="15.75" customHeight="1">
      <c r="A27180" s="35"/>
      <c r="C27180" s="442"/>
      <c r="P27180" s="235"/>
      <c r="AI27180" s="38"/>
    </row>
    <row r="27181" ht="15.75" customHeight="1">
      <c r="A27181" s="35"/>
      <c r="C27181" s="442"/>
      <c r="P27181" s="235"/>
      <c r="AI27181" s="38"/>
    </row>
    <row r="27182" ht="15.75" customHeight="1">
      <c r="A27182" s="35"/>
      <c r="C27182" s="442"/>
      <c r="P27182" s="235"/>
      <c r="AI27182" s="38"/>
    </row>
    <row r="27183" ht="15.75" customHeight="1">
      <c r="A27183" s="35"/>
      <c r="C27183" s="442"/>
      <c r="P27183" s="235"/>
      <c r="AI27183" s="38"/>
    </row>
    <row r="27184" ht="15.75" customHeight="1">
      <c r="A27184" s="35"/>
      <c r="C27184" s="442"/>
      <c r="P27184" s="235"/>
      <c r="AI27184" s="38"/>
    </row>
    <row r="27185" ht="15.75" customHeight="1">
      <c r="A27185" s="35"/>
      <c r="C27185" s="442"/>
      <c r="P27185" s="235"/>
      <c r="AI27185" s="38"/>
    </row>
    <row r="27186" ht="15.75" customHeight="1">
      <c r="A27186" s="35"/>
      <c r="C27186" s="442"/>
      <c r="P27186" s="235"/>
      <c r="AI27186" s="38"/>
    </row>
    <row r="27187" ht="15.75" customHeight="1">
      <c r="A27187" s="35"/>
      <c r="C27187" s="442"/>
      <c r="P27187" s="235"/>
      <c r="AI27187" s="38"/>
    </row>
    <row r="27188" ht="15.75" customHeight="1">
      <c r="A27188" s="35"/>
      <c r="C27188" s="442"/>
      <c r="P27188" s="235"/>
      <c r="AI27188" s="38"/>
    </row>
    <row r="27189" ht="15.75" customHeight="1">
      <c r="A27189" s="35"/>
      <c r="C27189" s="442"/>
      <c r="P27189" s="235"/>
      <c r="AI27189" s="38"/>
    </row>
    <row r="27190" ht="15.75" customHeight="1">
      <c r="A27190" s="35"/>
      <c r="C27190" s="442"/>
      <c r="P27190" s="235"/>
      <c r="AI27190" s="38"/>
    </row>
    <row r="27191" ht="15.75" customHeight="1">
      <c r="A27191" s="35"/>
      <c r="C27191" s="442"/>
      <c r="P27191" s="235"/>
      <c r="AI27191" s="38"/>
    </row>
    <row r="27192" ht="15.75" customHeight="1">
      <c r="A27192" s="35"/>
      <c r="C27192" s="442"/>
      <c r="P27192" s="235"/>
      <c r="AI27192" s="38"/>
    </row>
    <row r="27193" ht="15.75" customHeight="1">
      <c r="A27193" s="35"/>
      <c r="C27193" s="442"/>
      <c r="P27193" s="235"/>
      <c r="AI27193" s="38"/>
    </row>
    <row r="27194" ht="15.75" customHeight="1">
      <c r="A27194" s="35"/>
      <c r="C27194" s="442"/>
      <c r="P27194" s="235"/>
      <c r="AI27194" s="38"/>
    </row>
    <row r="27195" ht="15.75" customHeight="1">
      <c r="A27195" s="35"/>
      <c r="C27195" s="442"/>
      <c r="P27195" s="235"/>
      <c r="AI27195" s="38"/>
    </row>
    <row r="27196" ht="15.75" customHeight="1">
      <c r="A27196" s="35"/>
      <c r="C27196" s="442"/>
      <c r="P27196" s="235"/>
      <c r="AI27196" s="38"/>
    </row>
    <row r="27197" ht="15.75" customHeight="1">
      <c r="A27197" s="35"/>
      <c r="C27197" s="442"/>
      <c r="P27197" s="235"/>
      <c r="AI27197" s="38"/>
    </row>
    <row r="27198" ht="15.75" customHeight="1">
      <c r="A27198" s="35"/>
      <c r="C27198" s="442"/>
      <c r="P27198" s="235"/>
      <c r="AI27198" s="38"/>
    </row>
    <row r="27199" ht="15.75" customHeight="1">
      <c r="A27199" s="35"/>
      <c r="C27199" s="442"/>
      <c r="P27199" s="235"/>
      <c r="AI27199" s="38"/>
    </row>
    <row r="27200" ht="15.75" customHeight="1">
      <c r="A27200" s="35"/>
      <c r="C27200" s="442"/>
      <c r="P27200" s="235"/>
      <c r="AI27200" s="38"/>
    </row>
    <row r="27201" ht="15.75" customHeight="1">
      <c r="A27201" s="35"/>
      <c r="C27201" s="442"/>
      <c r="P27201" s="235"/>
      <c r="AI27201" s="38"/>
    </row>
    <row r="27202" ht="15.75" customHeight="1">
      <c r="A27202" s="35"/>
      <c r="C27202" s="442"/>
      <c r="P27202" s="235"/>
      <c r="AI27202" s="38"/>
    </row>
    <row r="27203" ht="15.75" customHeight="1">
      <c r="A27203" s="35"/>
      <c r="C27203" s="442"/>
      <c r="P27203" s="235"/>
      <c r="AI27203" s="38"/>
    </row>
    <row r="27204" ht="15.75" customHeight="1">
      <c r="A27204" s="35"/>
      <c r="C27204" s="442"/>
      <c r="P27204" s="235"/>
      <c r="AI27204" s="38"/>
    </row>
    <row r="27205" ht="15.75" customHeight="1">
      <c r="A27205" s="35"/>
      <c r="C27205" s="442"/>
      <c r="P27205" s="235"/>
      <c r="AI27205" s="38"/>
    </row>
    <row r="27206" ht="15.75" customHeight="1">
      <c r="A27206" s="35"/>
      <c r="C27206" s="442"/>
      <c r="P27206" s="235"/>
      <c r="AI27206" s="38"/>
    </row>
    <row r="27207" ht="15.75" customHeight="1">
      <c r="A27207" s="35"/>
      <c r="C27207" s="442"/>
      <c r="P27207" s="235"/>
      <c r="AI27207" s="38"/>
    </row>
    <row r="27208" ht="15.75" customHeight="1">
      <c r="A27208" s="35"/>
      <c r="C27208" s="442"/>
      <c r="P27208" s="235"/>
      <c r="AI27208" s="38"/>
    </row>
    <row r="27209" ht="15.75" customHeight="1">
      <c r="A27209" s="35"/>
      <c r="C27209" s="442"/>
      <c r="P27209" s="235"/>
      <c r="AI27209" s="38"/>
    </row>
    <row r="27210" ht="15.75" customHeight="1">
      <c r="A27210" s="35"/>
      <c r="C27210" s="442"/>
      <c r="P27210" s="235"/>
      <c r="AI27210" s="38"/>
    </row>
    <row r="27211" ht="15.75" customHeight="1">
      <c r="A27211" s="35"/>
      <c r="C27211" s="442"/>
      <c r="P27211" s="235"/>
      <c r="AI27211" s="38"/>
    </row>
    <row r="27212" ht="15.75" customHeight="1">
      <c r="A27212" s="35"/>
      <c r="C27212" s="442"/>
      <c r="P27212" s="235"/>
      <c r="AI27212" s="38"/>
    </row>
    <row r="27213" ht="15.75" customHeight="1">
      <c r="A27213" s="35"/>
      <c r="C27213" s="442"/>
      <c r="P27213" s="235"/>
      <c r="AI27213" s="38"/>
    </row>
    <row r="27214" ht="15.75" customHeight="1">
      <c r="A27214" s="35"/>
      <c r="C27214" s="442"/>
      <c r="P27214" s="235"/>
      <c r="AI27214" s="38"/>
    </row>
    <row r="27215" ht="15.75" customHeight="1">
      <c r="A27215" s="35"/>
      <c r="C27215" s="442"/>
      <c r="P27215" s="235"/>
      <c r="AI27215" s="38"/>
    </row>
    <row r="27216" ht="15.75" customHeight="1">
      <c r="A27216" s="35"/>
      <c r="C27216" s="442"/>
      <c r="P27216" s="235"/>
      <c r="AI27216" s="38"/>
    </row>
    <row r="27217" ht="15.75" customHeight="1">
      <c r="A27217" s="35"/>
      <c r="C27217" s="442"/>
      <c r="P27217" s="235"/>
      <c r="AI27217" s="38"/>
    </row>
    <row r="27218" ht="15.75" customHeight="1">
      <c r="A27218" s="35"/>
      <c r="C27218" s="442"/>
      <c r="P27218" s="235"/>
      <c r="AI27218" s="38"/>
    </row>
    <row r="27219" ht="15.75" customHeight="1">
      <c r="A27219" s="35"/>
      <c r="C27219" s="442"/>
      <c r="P27219" s="235"/>
      <c r="AI27219" s="38"/>
    </row>
    <row r="27220" ht="15.75" customHeight="1">
      <c r="A27220" s="35"/>
      <c r="C27220" s="442"/>
      <c r="P27220" s="235"/>
      <c r="AI27220" s="38"/>
    </row>
    <row r="27221" ht="15.75" customHeight="1">
      <c r="A27221" s="35"/>
      <c r="C27221" s="442"/>
      <c r="P27221" s="235"/>
      <c r="AI27221" s="38"/>
    </row>
    <row r="27222" ht="15.75" customHeight="1">
      <c r="A27222" s="35"/>
      <c r="C27222" s="442"/>
      <c r="P27222" s="235"/>
      <c r="AI27222" s="38"/>
    </row>
    <row r="27223" ht="15.75" customHeight="1">
      <c r="A27223" s="35"/>
      <c r="C27223" s="442"/>
      <c r="P27223" s="235"/>
      <c r="AI27223" s="38"/>
    </row>
    <row r="27224" ht="15.75" customHeight="1">
      <c r="A27224" s="35"/>
      <c r="C27224" s="442"/>
      <c r="P27224" s="235"/>
      <c r="AI27224" s="38"/>
    </row>
    <row r="27225" ht="15.75" customHeight="1">
      <c r="A27225" s="35"/>
      <c r="C27225" s="442"/>
      <c r="P27225" s="235"/>
      <c r="AI27225" s="38"/>
    </row>
    <row r="27226" ht="15.75" customHeight="1">
      <c r="A27226" s="35"/>
      <c r="C27226" s="442"/>
      <c r="P27226" s="235"/>
      <c r="AI27226" s="38"/>
    </row>
    <row r="27227" ht="15.75" customHeight="1">
      <c r="A27227" s="35"/>
      <c r="C27227" s="442"/>
      <c r="P27227" s="235"/>
      <c r="AI27227" s="38"/>
    </row>
    <row r="27228" ht="15.75" customHeight="1">
      <c r="A27228" s="35"/>
      <c r="C27228" s="442"/>
      <c r="P27228" s="235"/>
      <c r="AI27228" s="38"/>
    </row>
    <row r="27229" ht="15.75" customHeight="1">
      <c r="A27229" s="35"/>
      <c r="C27229" s="442"/>
      <c r="P27229" s="235"/>
      <c r="AI27229" s="38"/>
    </row>
    <row r="27230" ht="15.75" customHeight="1">
      <c r="A27230" s="35"/>
      <c r="C27230" s="442"/>
      <c r="P27230" s="235"/>
      <c r="AI27230" s="38"/>
    </row>
    <row r="27231" ht="15.75" customHeight="1">
      <c r="A27231" s="35"/>
      <c r="C27231" s="442"/>
      <c r="P27231" s="235"/>
      <c r="AI27231" s="38"/>
    </row>
    <row r="27232" ht="15.75" customHeight="1">
      <c r="A27232" s="35"/>
      <c r="C27232" s="442"/>
      <c r="P27232" s="235"/>
      <c r="AI27232" s="38"/>
    </row>
    <row r="27233" ht="15.75" customHeight="1">
      <c r="A27233" s="35"/>
      <c r="C27233" s="442"/>
      <c r="P27233" s="235"/>
      <c r="AI27233" s="38"/>
    </row>
    <row r="27234" ht="15.75" customHeight="1">
      <c r="A27234" s="35"/>
      <c r="C27234" s="442"/>
      <c r="P27234" s="235"/>
      <c r="AI27234" s="38"/>
    </row>
    <row r="27235" ht="15.75" customHeight="1">
      <c r="A27235" s="35"/>
      <c r="C27235" s="442"/>
      <c r="P27235" s="235"/>
      <c r="AI27235" s="38"/>
    </row>
    <row r="27236" ht="15.75" customHeight="1">
      <c r="A27236" s="35"/>
      <c r="C27236" s="442"/>
      <c r="P27236" s="235"/>
      <c r="AI27236" s="38"/>
    </row>
    <row r="27237" ht="15.75" customHeight="1">
      <c r="A27237" s="35"/>
      <c r="C27237" s="442"/>
      <c r="P27237" s="235"/>
      <c r="AI27237" s="38"/>
    </row>
    <row r="27238" ht="15.75" customHeight="1">
      <c r="A27238" s="35"/>
      <c r="C27238" s="442"/>
      <c r="P27238" s="235"/>
      <c r="AI27238" s="38"/>
    </row>
    <row r="27239" ht="15.75" customHeight="1">
      <c r="A27239" s="35"/>
      <c r="C27239" s="442"/>
      <c r="P27239" s="235"/>
      <c r="AI27239" s="38"/>
    </row>
    <row r="27240" ht="15.75" customHeight="1">
      <c r="A27240" s="35"/>
      <c r="C27240" s="442"/>
      <c r="P27240" s="235"/>
      <c r="AI27240" s="38"/>
    </row>
    <row r="27241" ht="15.75" customHeight="1">
      <c r="A27241" s="35"/>
      <c r="C27241" s="442"/>
      <c r="P27241" s="235"/>
      <c r="AI27241" s="38"/>
    </row>
    <row r="27242" ht="15.75" customHeight="1">
      <c r="A27242" s="35"/>
      <c r="C27242" s="442"/>
      <c r="P27242" s="235"/>
      <c r="AI27242" s="38"/>
    </row>
    <row r="27243" ht="15.75" customHeight="1">
      <c r="A27243" s="35"/>
      <c r="C27243" s="442"/>
      <c r="P27243" s="235"/>
      <c r="AI27243" s="38"/>
    </row>
    <row r="27244" ht="15.75" customHeight="1">
      <c r="A27244" s="35"/>
      <c r="C27244" s="442"/>
      <c r="P27244" s="235"/>
      <c r="AI27244" s="38"/>
    </row>
    <row r="27245" ht="15.75" customHeight="1">
      <c r="A27245" s="35"/>
      <c r="C27245" s="442"/>
      <c r="P27245" s="235"/>
      <c r="AI27245" s="38"/>
    </row>
    <row r="27246" ht="15.75" customHeight="1">
      <c r="A27246" s="35"/>
      <c r="C27246" s="442"/>
      <c r="P27246" s="235"/>
      <c r="AI27246" s="38"/>
    </row>
    <row r="27247" ht="15.75" customHeight="1">
      <c r="A27247" s="35"/>
      <c r="C27247" s="442"/>
      <c r="P27247" s="235"/>
      <c r="AI27247" s="38"/>
    </row>
    <row r="27248" ht="15.75" customHeight="1">
      <c r="A27248" s="35"/>
      <c r="C27248" s="442"/>
      <c r="P27248" s="235"/>
      <c r="AI27248" s="38"/>
    </row>
    <row r="27249" ht="15.75" customHeight="1">
      <c r="A27249" s="35"/>
      <c r="C27249" s="442"/>
      <c r="P27249" s="235"/>
      <c r="AI27249" s="38"/>
    </row>
    <row r="27250" ht="15.75" customHeight="1">
      <c r="A27250" s="35"/>
      <c r="C27250" s="442"/>
      <c r="P27250" s="235"/>
      <c r="AI27250" s="38"/>
    </row>
    <row r="27251" ht="15.75" customHeight="1">
      <c r="A27251" s="35"/>
      <c r="C27251" s="442"/>
      <c r="P27251" s="235"/>
      <c r="AI27251" s="38"/>
    </row>
    <row r="27252" ht="15.75" customHeight="1">
      <c r="A27252" s="35"/>
      <c r="C27252" s="442"/>
      <c r="P27252" s="235"/>
      <c r="AI27252" s="38"/>
    </row>
    <row r="27253" ht="15.75" customHeight="1">
      <c r="A27253" s="35"/>
      <c r="C27253" s="442"/>
      <c r="P27253" s="235"/>
      <c r="AI27253" s="38"/>
    </row>
    <row r="27254" ht="15.75" customHeight="1">
      <c r="A27254" s="35"/>
      <c r="C27254" s="442"/>
      <c r="P27254" s="235"/>
      <c r="AI27254" s="38"/>
    </row>
    <row r="27255" ht="15.75" customHeight="1">
      <c r="A27255" s="35"/>
      <c r="C27255" s="442"/>
      <c r="P27255" s="235"/>
      <c r="AI27255" s="38"/>
    </row>
    <row r="27256" ht="15.75" customHeight="1">
      <c r="A27256" s="35"/>
      <c r="C27256" s="442"/>
      <c r="P27256" s="235"/>
      <c r="AI27256" s="38"/>
    </row>
    <row r="27257" ht="15.75" customHeight="1">
      <c r="A27257" s="35"/>
      <c r="C27257" s="442"/>
      <c r="P27257" s="235"/>
      <c r="AI27257" s="38"/>
    </row>
    <row r="27258" ht="15.75" customHeight="1">
      <c r="A27258" s="35"/>
      <c r="C27258" s="442"/>
      <c r="P27258" s="235"/>
      <c r="AI27258" s="38"/>
    </row>
    <row r="27259" ht="15.75" customHeight="1">
      <c r="A27259" s="35"/>
      <c r="C27259" s="442"/>
      <c r="P27259" s="235"/>
      <c r="AI27259" s="38"/>
    </row>
    <row r="27260" ht="15.75" customHeight="1">
      <c r="A27260" s="35"/>
      <c r="C27260" s="442"/>
      <c r="P27260" s="235"/>
      <c r="AI27260" s="38"/>
    </row>
    <row r="27261" ht="15.75" customHeight="1">
      <c r="A27261" s="35"/>
      <c r="C27261" s="442"/>
      <c r="P27261" s="235"/>
      <c r="AI27261" s="38"/>
    </row>
    <row r="27262" ht="15.75" customHeight="1">
      <c r="A27262" s="35"/>
      <c r="C27262" s="442"/>
      <c r="P27262" s="235"/>
      <c r="AI27262" s="38"/>
    </row>
    <row r="27263" ht="15.75" customHeight="1">
      <c r="A27263" s="35"/>
      <c r="C27263" s="442"/>
      <c r="P27263" s="235"/>
      <c r="AI27263" s="38"/>
    </row>
    <row r="27264" ht="15.75" customHeight="1">
      <c r="A27264" s="35"/>
      <c r="C27264" s="442"/>
      <c r="P27264" s="235"/>
      <c r="AI27264" s="38"/>
    </row>
    <row r="27265" ht="15.75" customHeight="1">
      <c r="A27265" s="35"/>
      <c r="C27265" s="442"/>
      <c r="P27265" s="235"/>
      <c r="AI27265" s="38"/>
    </row>
    <row r="27266" ht="15.75" customHeight="1">
      <c r="A27266" s="35"/>
      <c r="C27266" s="442"/>
      <c r="P27266" s="235"/>
      <c r="AI27266" s="38"/>
    </row>
    <row r="27267" ht="15.75" customHeight="1">
      <c r="A27267" s="35"/>
      <c r="C27267" s="442"/>
      <c r="P27267" s="235"/>
      <c r="AI27267" s="38"/>
    </row>
    <row r="27268" ht="15.75" customHeight="1">
      <c r="A27268" s="35"/>
      <c r="C27268" s="442"/>
      <c r="P27268" s="235"/>
      <c r="AI27268" s="38"/>
    </row>
    <row r="27269" ht="15.75" customHeight="1">
      <c r="A27269" s="35"/>
      <c r="C27269" s="442"/>
      <c r="P27269" s="235"/>
      <c r="AI27269" s="38"/>
    </row>
    <row r="27270" ht="15.75" customHeight="1">
      <c r="A27270" s="35"/>
      <c r="C27270" s="442"/>
      <c r="P27270" s="235"/>
      <c r="AI27270" s="38"/>
    </row>
    <row r="27271" ht="15.75" customHeight="1">
      <c r="A27271" s="35"/>
      <c r="C27271" s="442"/>
      <c r="P27271" s="235"/>
      <c r="AI27271" s="38"/>
    </row>
    <row r="27272" ht="15.75" customHeight="1">
      <c r="A27272" s="35"/>
      <c r="C27272" s="442"/>
      <c r="P27272" s="235"/>
      <c r="AI27272" s="38"/>
    </row>
    <row r="27273" ht="15.75" customHeight="1">
      <c r="A27273" s="35"/>
      <c r="C27273" s="442"/>
      <c r="P27273" s="235"/>
      <c r="AI27273" s="38"/>
    </row>
    <row r="27274" ht="15.75" customHeight="1">
      <c r="A27274" s="35"/>
      <c r="C27274" s="442"/>
      <c r="P27274" s="235"/>
      <c r="AI27274" s="38"/>
    </row>
    <row r="27275" ht="15.75" customHeight="1">
      <c r="A27275" s="35"/>
      <c r="C27275" s="442"/>
      <c r="P27275" s="235"/>
      <c r="AI27275" s="38"/>
    </row>
    <row r="27276" ht="15.75" customHeight="1">
      <c r="A27276" s="35"/>
      <c r="C27276" s="442"/>
      <c r="P27276" s="235"/>
      <c r="AI27276" s="38"/>
    </row>
    <row r="27277" ht="15.75" customHeight="1">
      <c r="A27277" s="35"/>
      <c r="C27277" s="442"/>
      <c r="P27277" s="235"/>
      <c r="AI27277" s="38"/>
    </row>
    <row r="27278" ht="15.75" customHeight="1">
      <c r="A27278" s="35"/>
      <c r="C27278" s="442"/>
      <c r="P27278" s="235"/>
      <c r="AI27278" s="38"/>
    </row>
    <row r="27279" ht="15.75" customHeight="1">
      <c r="A27279" s="35"/>
      <c r="C27279" s="442"/>
      <c r="P27279" s="235"/>
      <c r="AI27279" s="38"/>
    </row>
    <row r="27280" ht="15.75" customHeight="1">
      <c r="A27280" s="35"/>
      <c r="C27280" s="442"/>
      <c r="P27280" s="235"/>
      <c r="AI27280" s="38"/>
    </row>
    <row r="27281" ht="15.75" customHeight="1">
      <c r="A27281" s="35"/>
      <c r="C27281" s="442"/>
      <c r="P27281" s="235"/>
      <c r="AI27281" s="38"/>
    </row>
    <row r="27282" ht="15.75" customHeight="1">
      <c r="A27282" s="35"/>
      <c r="C27282" s="442"/>
      <c r="P27282" s="235"/>
      <c r="AI27282" s="38"/>
    </row>
    <row r="27283" ht="15.75" customHeight="1">
      <c r="A27283" s="35"/>
      <c r="C27283" s="442"/>
      <c r="P27283" s="235"/>
      <c r="AI27283" s="38"/>
    </row>
    <row r="27284" ht="15.75" customHeight="1">
      <c r="A27284" s="35"/>
      <c r="C27284" s="442"/>
      <c r="P27284" s="235"/>
      <c r="AI27284" s="38"/>
    </row>
    <row r="27285" ht="15.75" customHeight="1">
      <c r="A27285" s="35"/>
      <c r="C27285" s="442"/>
      <c r="P27285" s="235"/>
      <c r="AI27285" s="38"/>
    </row>
    <row r="27286" ht="15.75" customHeight="1">
      <c r="A27286" s="35"/>
      <c r="C27286" s="442"/>
      <c r="P27286" s="235"/>
      <c r="AI27286" s="38"/>
    </row>
    <row r="27287" ht="15.75" customHeight="1">
      <c r="A27287" s="35"/>
      <c r="C27287" s="442"/>
      <c r="P27287" s="235"/>
      <c r="AI27287" s="38"/>
    </row>
    <row r="27288" ht="15.75" customHeight="1">
      <c r="A27288" s="35"/>
      <c r="C27288" s="442"/>
      <c r="P27288" s="235"/>
      <c r="AI27288" s="38"/>
    </row>
    <row r="27289" ht="15.75" customHeight="1">
      <c r="A27289" s="35"/>
      <c r="C27289" s="442"/>
      <c r="P27289" s="235"/>
      <c r="AI27289" s="38"/>
    </row>
    <row r="27290" ht="15.75" customHeight="1">
      <c r="A27290" s="35"/>
      <c r="C27290" s="442"/>
      <c r="P27290" s="235"/>
      <c r="AI27290" s="38"/>
    </row>
    <row r="27291" ht="15.75" customHeight="1">
      <c r="A27291" s="35"/>
      <c r="C27291" s="442"/>
      <c r="P27291" s="235"/>
      <c r="AI27291" s="38"/>
    </row>
    <row r="27292" ht="15.75" customHeight="1">
      <c r="A27292" s="35"/>
      <c r="C27292" s="442"/>
      <c r="P27292" s="235"/>
      <c r="AI27292" s="38"/>
    </row>
    <row r="27293" ht="15.75" customHeight="1">
      <c r="A27293" s="35"/>
      <c r="C27293" s="442"/>
      <c r="P27293" s="235"/>
      <c r="AI27293" s="38"/>
    </row>
    <row r="27294" ht="15.75" customHeight="1">
      <c r="A27294" s="35"/>
      <c r="C27294" s="442"/>
      <c r="P27294" s="235"/>
      <c r="AI27294" s="38"/>
    </row>
    <row r="27295" ht="15.75" customHeight="1">
      <c r="A27295" s="35"/>
      <c r="C27295" s="442"/>
      <c r="P27295" s="235"/>
      <c r="AI27295" s="38"/>
    </row>
    <row r="27296" ht="15.75" customHeight="1">
      <c r="A27296" s="35"/>
      <c r="C27296" s="442"/>
      <c r="P27296" s="235"/>
      <c r="AI27296" s="38"/>
    </row>
    <row r="27297" ht="15.75" customHeight="1">
      <c r="A27297" s="35"/>
      <c r="C27297" s="442"/>
      <c r="P27297" s="235"/>
      <c r="AI27297" s="38"/>
    </row>
    <row r="27298" ht="15.75" customHeight="1">
      <c r="A27298" s="35"/>
      <c r="C27298" s="442"/>
      <c r="P27298" s="235"/>
      <c r="AI27298" s="38"/>
    </row>
    <row r="27299" ht="15.75" customHeight="1">
      <c r="A27299" s="35"/>
      <c r="C27299" s="442"/>
      <c r="P27299" s="235"/>
      <c r="AI27299" s="38"/>
    </row>
    <row r="27300" ht="15.75" customHeight="1">
      <c r="A27300" s="35"/>
      <c r="C27300" s="442"/>
      <c r="P27300" s="235"/>
      <c r="AI27300" s="38"/>
    </row>
    <row r="27301" ht="15.75" customHeight="1">
      <c r="A27301" s="35"/>
      <c r="C27301" s="442"/>
      <c r="P27301" s="235"/>
      <c r="AI27301" s="38"/>
    </row>
    <row r="27302" ht="15.75" customHeight="1">
      <c r="A27302" s="35"/>
      <c r="C27302" s="442"/>
      <c r="P27302" s="235"/>
      <c r="AI27302" s="38"/>
    </row>
    <row r="27303" ht="15.75" customHeight="1">
      <c r="A27303" s="35"/>
      <c r="C27303" s="442"/>
      <c r="P27303" s="235"/>
      <c r="AI27303" s="38"/>
    </row>
    <row r="27304" ht="15.75" customHeight="1">
      <c r="A27304" s="35"/>
      <c r="C27304" s="442"/>
      <c r="P27304" s="235"/>
      <c r="AI27304" s="38"/>
    </row>
    <row r="27305" ht="15.75" customHeight="1">
      <c r="A27305" s="35"/>
      <c r="C27305" s="442"/>
      <c r="P27305" s="235"/>
      <c r="AI27305" s="38"/>
    </row>
    <row r="27306" ht="15.75" customHeight="1">
      <c r="A27306" s="35"/>
      <c r="C27306" s="442"/>
      <c r="P27306" s="235"/>
      <c r="AI27306" s="38"/>
    </row>
    <row r="27307" ht="15.75" customHeight="1">
      <c r="A27307" s="35"/>
      <c r="C27307" s="442"/>
      <c r="P27307" s="235"/>
      <c r="AI27307" s="38"/>
    </row>
    <row r="27308" ht="15.75" customHeight="1">
      <c r="A27308" s="35"/>
      <c r="C27308" s="442"/>
      <c r="P27308" s="235"/>
      <c r="AI27308" s="38"/>
    </row>
    <row r="27309" ht="15.75" customHeight="1">
      <c r="A27309" s="35"/>
      <c r="C27309" s="442"/>
      <c r="P27309" s="235"/>
      <c r="AI27309" s="38"/>
    </row>
    <row r="27310" ht="15.75" customHeight="1">
      <c r="A27310" s="35"/>
      <c r="C27310" s="442"/>
      <c r="P27310" s="235"/>
      <c r="AI27310" s="38"/>
    </row>
    <row r="27311" ht="15.75" customHeight="1">
      <c r="A27311" s="35"/>
      <c r="C27311" s="442"/>
      <c r="P27311" s="235"/>
      <c r="AI27311" s="38"/>
    </row>
    <row r="27312" ht="15.75" customHeight="1">
      <c r="A27312" s="35"/>
      <c r="C27312" s="442"/>
      <c r="P27312" s="235"/>
      <c r="AI27312" s="38"/>
    </row>
    <row r="27313" ht="15.75" customHeight="1">
      <c r="A27313" s="35"/>
      <c r="C27313" s="442"/>
      <c r="P27313" s="235"/>
      <c r="AI27313" s="38"/>
    </row>
    <row r="27314" ht="15.75" customHeight="1">
      <c r="A27314" s="35"/>
      <c r="C27314" s="442"/>
      <c r="P27314" s="235"/>
      <c r="AI27314" s="38"/>
    </row>
    <row r="27315" ht="15.75" customHeight="1">
      <c r="A27315" s="35"/>
      <c r="C27315" s="442"/>
      <c r="P27315" s="235"/>
      <c r="AI27315" s="38"/>
    </row>
    <row r="27316" ht="15.75" customHeight="1">
      <c r="A27316" s="35"/>
      <c r="C27316" s="442"/>
      <c r="P27316" s="235"/>
      <c r="AI27316" s="38"/>
    </row>
    <row r="27317" ht="15.75" customHeight="1">
      <c r="A27317" s="35"/>
      <c r="C27317" s="442"/>
      <c r="P27317" s="235"/>
      <c r="AI27317" s="38"/>
    </row>
    <row r="27318" ht="15.75" customHeight="1">
      <c r="A27318" s="35"/>
      <c r="C27318" s="442"/>
      <c r="P27318" s="235"/>
      <c r="AI27318" s="38"/>
    </row>
    <row r="27319" ht="15.75" customHeight="1">
      <c r="A27319" s="35"/>
      <c r="C27319" s="442"/>
      <c r="P27319" s="235"/>
      <c r="AI27319" s="38"/>
    </row>
    <row r="27320" ht="15.75" customHeight="1">
      <c r="A27320" s="35"/>
      <c r="C27320" s="442"/>
      <c r="P27320" s="235"/>
      <c r="AI27320" s="38"/>
    </row>
    <row r="27321" ht="15.75" customHeight="1">
      <c r="A27321" s="35"/>
      <c r="C27321" s="442"/>
      <c r="P27321" s="235"/>
      <c r="AI27321" s="38"/>
    </row>
    <row r="27322" ht="15.75" customHeight="1">
      <c r="A27322" s="35"/>
      <c r="C27322" s="442"/>
      <c r="P27322" s="235"/>
      <c r="AI27322" s="38"/>
    </row>
    <row r="27323" ht="15.75" customHeight="1">
      <c r="A27323" s="35"/>
      <c r="C27323" s="442"/>
      <c r="P27323" s="235"/>
      <c r="AI27323" s="38"/>
    </row>
    <row r="27324" ht="15.75" customHeight="1">
      <c r="A27324" s="35"/>
      <c r="C27324" s="442"/>
      <c r="P27324" s="235"/>
      <c r="AI27324" s="38"/>
    </row>
    <row r="27325" ht="15.75" customHeight="1">
      <c r="A27325" s="35"/>
      <c r="C27325" s="442"/>
      <c r="P27325" s="235"/>
      <c r="AI27325" s="38"/>
    </row>
    <row r="27326" ht="15.75" customHeight="1">
      <c r="A27326" s="35"/>
      <c r="C27326" s="442"/>
      <c r="P27326" s="235"/>
      <c r="AI27326" s="38"/>
    </row>
    <row r="27327" ht="15.75" customHeight="1">
      <c r="A27327" s="35"/>
      <c r="C27327" s="442"/>
      <c r="P27327" s="235"/>
      <c r="AI27327" s="38"/>
    </row>
    <row r="27328" ht="15.75" customHeight="1">
      <c r="A27328" s="35"/>
      <c r="C27328" s="442"/>
      <c r="P27328" s="235"/>
      <c r="AI27328" s="38"/>
    </row>
    <row r="27329" ht="15.75" customHeight="1">
      <c r="A27329" s="35"/>
      <c r="C27329" s="442"/>
      <c r="P27329" s="235"/>
      <c r="AI27329" s="38"/>
    </row>
    <row r="27330" ht="15.75" customHeight="1">
      <c r="A27330" s="35"/>
      <c r="C27330" s="442"/>
      <c r="P27330" s="235"/>
      <c r="AI27330" s="38"/>
    </row>
    <row r="27331" ht="15.75" customHeight="1">
      <c r="A27331" s="35"/>
      <c r="C27331" s="442"/>
      <c r="P27331" s="235"/>
      <c r="AI27331" s="38"/>
    </row>
    <row r="27332" ht="15.75" customHeight="1">
      <c r="A27332" s="35"/>
      <c r="C27332" s="442"/>
      <c r="P27332" s="235"/>
      <c r="AI27332" s="38"/>
    </row>
    <row r="27333" ht="15.75" customHeight="1">
      <c r="A27333" s="35"/>
      <c r="C27333" s="442"/>
      <c r="P27333" s="235"/>
      <c r="AI27333" s="38"/>
    </row>
    <row r="27334" ht="15.75" customHeight="1">
      <c r="A27334" s="35"/>
      <c r="C27334" s="442"/>
      <c r="P27334" s="235"/>
      <c r="AI27334" s="38"/>
    </row>
    <row r="27335" ht="15.75" customHeight="1">
      <c r="A27335" s="35"/>
      <c r="C27335" s="442"/>
      <c r="P27335" s="235"/>
      <c r="AI27335" s="38"/>
    </row>
    <row r="27336" ht="15.75" customHeight="1">
      <c r="A27336" s="35"/>
      <c r="C27336" s="442"/>
      <c r="P27336" s="235"/>
      <c r="AI27336" s="38"/>
    </row>
    <row r="27337" ht="15.75" customHeight="1">
      <c r="A27337" s="35"/>
      <c r="C27337" s="442"/>
      <c r="P27337" s="235"/>
      <c r="AI27337" s="38"/>
    </row>
    <row r="27338" ht="15.75" customHeight="1">
      <c r="A27338" s="35"/>
      <c r="C27338" s="442"/>
      <c r="P27338" s="235"/>
      <c r="AI27338" s="38"/>
    </row>
    <row r="27339" ht="15.75" customHeight="1">
      <c r="A27339" s="35"/>
      <c r="C27339" s="442"/>
      <c r="P27339" s="235"/>
      <c r="AI27339" s="38"/>
    </row>
    <row r="27340" ht="15.75" customHeight="1">
      <c r="A27340" s="35"/>
      <c r="C27340" s="442"/>
      <c r="P27340" s="235"/>
      <c r="AI27340" s="38"/>
    </row>
    <row r="27341" ht="15.75" customHeight="1">
      <c r="A27341" s="35"/>
      <c r="C27341" s="442"/>
      <c r="P27341" s="235"/>
      <c r="AI27341" s="38"/>
    </row>
    <row r="27342" ht="15.75" customHeight="1">
      <c r="A27342" s="35"/>
      <c r="C27342" s="442"/>
      <c r="P27342" s="235"/>
      <c r="AI27342" s="38"/>
    </row>
    <row r="27343" ht="15.75" customHeight="1">
      <c r="A27343" s="35"/>
      <c r="C27343" s="442"/>
      <c r="P27343" s="235"/>
      <c r="AI27343" s="38"/>
    </row>
    <row r="27344" ht="15.75" customHeight="1">
      <c r="A27344" s="35"/>
      <c r="C27344" s="442"/>
      <c r="P27344" s="235"/>
      <c r="AI27344" s="38"/>
    </row>
    <row r="27345" ht="15.75" customHeight="1">
      <c r="A27345" s="35"/>
      <c r="C27345" s="442"/>
      <c r="P27345" s="235"/>
      <c r="AI27345" s="38"/>
    </row>
    <row r="27346" ht="15.75" customHeight="1">
      <c r="A27346" s="35"/>
      <c r="C27346" s="442"/>
      <c r="P27346" s="235"/>
      <c r="AI27346" s="38"/>
    </row>
    <row r="27347" ht="15.75" customHeight="1">
      <c r="A27347" s="35"/>
      <c r="C27347" s="442"/>
      <c r="P27347" s="235"/>
      <c r="AI27347" s="38"/>
    </row>
    <row r="27348" ht="15.75" customHeight="1">
      <c r="A27348" s="35"/>
      <c r="C27348" s="442"/>
      <c r="P27348" s="235"/>
      <c r="AI27348" s="38"/>
    </row>
    <row r="27349" ht="15.75" customHeight="1">
      <c r="A27349" s="35"/>
      <c r="C27349" s="442"/>
      <c r="P27349" s="235"/>
      <c r="AI27349" s="38"/>
    </row>
    <row r="27350" ht="15.75" customHeight="1">
      <c r="A27350" s="35"/>
      <c r="C27350" s="442"/>
      <c r="P27350" s="235"/>
      <c r="AI27350" s="38"/>
    </row>
    <row r="27351" ht="15.75" customHeight="1">
      <c r="A27351" s="35"/>
      <c r="C27351" s="442"/>
      <c r="P27351" s="235"/>
      <c r="AI27351" s="38"/>
    </row>
    <row r="27352" ht="15.75" customHeight="1">
      <c r="A27352" s="35"/>
      <c r="C27352" s="442"/>
      <c r="P27352" s="235"/>
      <c r="AI27352" s="38"/>
    </row>
    <row r="27353" ht="15.75" customHeight="1">
      <c r="A27353" s="35"/>
      <c r="C27353" s="442"/>
      <c r="P27353" s="235"/>
      <c r="AI27353" s="38"/>
    </row>
    <row r="27354" ht="15.75" customHeight="1">
      <c r="A27354" s="35"/>
      <c r="C27354" s="442"/>
      <c r="P27354" s="235"/>
      <c r="AI27354" s="38"/>
    </row>
    <row r="27355" ht="15.75" customHeight="1">
      <c r="A27355" s="35"/>
      <c r="C27355" s="442"/>
      <c r="P27355" s="235"/>
      <c r="AI27355" s="38"/>
    </row>
    <row r="27356" ht="15.75" customHeight="1">
      <c r="A27356" s="35"/>
      <c r="C27356" s="442"/>
      <c r="P27356" s="235"/>
      <c r="AI27356" s="38"/>
    </row>
    <row r="27357" ht="15.75" customHeight="1">
      <c r="A27357" s="35"/>
      <c r="C27357" s="442"/>
      <c r="P27357" s="235"/>
      <c r="AI27357" s="38"/>
    </row>
    <row r="27358" ht="15.75" customHeight="1">
      <c r="A27358" s="35"/>
      <c r="C27358" s="442"/>
      <c r="P27358" s="235"/>
      <c r="AI27358" s="38"/>
    </row>
    <row r="27359" ht="15.75" customHeight="1">
      <c r="A27359" s="35"/>
      <c r="C27359" s="442"/>
      <c r="P27359" s="235"/>
      <c r="AI27359" s="38"/>
    </row>
    <row r="27360" ht="15.75" customHeight="1">
      <c r="A27360" s="35"/>
      <c r="C27360" s="442"/>
      <c r="P27360" s="235"/>
      <c r="AI27360" s="38"/>
    </row>
    <row r="27361" ht="15.75" customHeight="1">
      <c r="A27361" s="35"/>
      <c r="C27361" s="442"/>
      <c r="P27361" s="235"/>
      <c r="AI27361" s="38"/>
    </row>
    <row r="27362" ht="15.75" customHeight="1">
      <c r="A27362" s="35"/>
      <c r="C27362" s="442"/>
      <c r="P27362" s="235"/>
      <c r="AI27362" s="38"/>
    </row>
    <row r="27363" ht="15.75" customHeight="1">
      <c r="A27363" s="35"/>
      <c r="C27363" s="442"/>
      <c r="P27363" s="235"/>
      <c r="AI27363" s="38"/>
    </row>
    <row r="27364" ht="15.75" customHeight="1">
      <c r="A27364" s="35"/>
      <c r="C27364" s="442"/>
      <c r="P27364" s="235"/>
      <c r="AI27364" s="38"/>
    </row>
    <row r="27365" ht="15.75" customHeight="1">
      <c r="A27365" s="35"/>
      <c r="C27365" s="442"/>
      <c r="P27365" s="235"/>
      <c r="AI27365" s="38"/>
    </row>
    <row r="27366" ht="15.75" customHeight="1">
      <c r="A27366" s="35"/>
      <c r="C27366" s="442"/>
      <c r="P27366" s="235"/>
      <c r="AI27366" s="38"/>
    </row>
    <row r="27367" ht="15.75" customHeight="1">
      <c r="A27367" s="35"/>
      <c r="C27367" s="442"/>
      <c r="P27367" s="235"/>
      <c r="AI27367" s="38"/>
    </row>
    <row r="27368" ht="15.75" customHeight="1">
      <c r="A27368" s="35"/>
      <c r="C27368" s="442"/>
      <c r="P27368" s="235"/>
      <c r="AI27368" s="38"/>
    </row>
    <row r="27369" ht="15.75" customHeight="1">
      <c r="A27369" s="35"/>
      <c r="C27369" s="442"/>
      <c r="P27369" s="235"/>
      <c r="AI27369" s="38"/>
    </row>
    <row r="27370" ht="15.75" customHeight="1">
      <c r="A27370" s="35"/>
      <c r="C27370" s="442"/>
      <c r="P27370" s="235"/>
      <c r="AI27370" s="38"/>
    </row>
    <row r="27371" ht="15.75" customHeight="1">
      <c r="A27371" s="35"/>
      <c r="C27371" s="442"/>
      <c r="P27371" s="235"/>
      <c r="AI27371" s="38"/>
    </row>
    <row r="27372" ht="15.75" customHeight="1">
      <c r="A27372" s="35"/>
      <c r="C27372" s="442"/>
      <c r="P27372" s="235"/>
      <c r="AI27372" s="38"/>
    </row>
    <row r="27373" ht="15.75" customHeight="1">
      <c r="A27373" s="35"/>
      <c r="C27373" s="442"/>
      <c r="P27373" s="235"/>
      <c r="AI27373" s="38"/>
    </row>
    <row r="27374" ht="15.75" customHeight="1">
      <c r="A27374" s="35"/>
      <c r="C27374" s="442"/>
      <c r="P27374" s="235"/>
      <c r="AI27374" s="38"/>
    </row>
    <row r="27375" ht="15.75" customHeight="1">
      <c r="A27375" s="35"/>
      <c r="C27375" s="442"/>
      <c r="P27375" s="235"/>
      <c r="AI27375" s="38"/>
    </row>
    <row r="27376" ht="15.75" customHeight="1">
      <c r="A27376" s="35"/>
      <c r="C27376" s="442"/>
      <c r="P27376" s="235"/>
      <c r="AI27376" s="38"/>
    </row>
    <row r="27377" ht="15.75" customHeight="1">
      <c r="A27377" s="35"/>
      <c r="C27377" s="442"/>
      <c r="P27377" s="235"/>
      <c r="AI27377" s="38"/>
    </row>
    <row r="27378" ht="15.75" customHeight="1">
      <c r="A27378" s="35"/>
      <c r="C27378" s="442"/>
      <c r="P27378" s="235"/>
      <c r="AI27378" s="38"/>
    </row>
    <row r="27379" ht="15.75" customHeight="1">
      <c r="A27379" s="35"/>
      <c r="C27379" s="442"/>
      <c r="P27379" s="235"/>
      <c r="AI27379" s="38"/>
    </row>
    <row r="27380" ht="15.75" customHeight="1">
      <c r="A27380" s="35"/>
      <c r="C27380" s="442"/>
      <c r="P27380" s="235"/>
      <c r="AI27380" s="38"/>
    </row>
    <row r="27381" ht="15.75" customHeight="1">
      <c r="A27381" s="35"/>
      <c r="C27381" s="442"/>
      <c r="P27381" s="235"/>
      <c r="AI27381" s="38"/>
    </row>
    <row r="27382" ht="15.75" customHeight="1">
      <c r="A27382" s="35"/>
      <c r="C27382" s="442"/>
      <c r="P27382" s="235"/>
      <c r="AI27382" s="38"/>
    </row>
    <row r="27383" ht="15.75" customHeight="1">
      <c r="A27383" s="35"/>
      <c r="C27383" s="442"/>
      <c r="P27383" s="235"/>
      <c r="AI27383" s="38"/>
    </row>
    <row r="27384" ht="15.75" customHeight="1">
      <c r="A27384" s="35"/>
      <c r="C27384" s="442"/>
      <c r="P27384" s="235"/>
      <c r="AI27384" s="38"/>
    </row>
    <row r="27385" ht="15.75" customHeight="1">
      <c r="A27385" s="35"/>
      <c r="C27385" s="442"/>
      <c r="P27385" s="235"/>
      <c r="AI27385" s="38"/>
    </row>
    <row r="27386" ht="15.75" customHeight="1">
      <c r="A27386" s="35"/>
      <c r="C27386" s="442"/>
      <c r="P27386" s="235"/>
      <c r="AI27386" s="38"/>
    </row>
    <row r="27387" ht="15.75" customHeight="1">
      <c r="A27387" s="35"/>
      <c r="C27387" s="442"/>
      <c r="P27387" s="235"/>
      <c r="AI27387" s="38"/>
    </row>
    <row r="27388" ht="15.75" customHeight="1">
      <c r="A27388" s="35"/>
      <c r="C27388" s="442"/>
      <c r="P27388" s="235"/>
      <c r="AI27388" s="38"/>
    </row>
    <row r="27389" ht="15.75" customHeight="1">
      <c r="A27389" s="35"/>
      <c r="C27389" s="442"/>
      <c r="P27389" s="235"/>
      <c r="AI27389" s="38"/>
    </row>
    <row r="27390" ht="15.75" customHeight="1">
      <c r="A27390" s="35"/>
      <c r="C27390" s="442"/>
      <c r="P27390" s="235"/>
      <c r="AI27390" s="38"/>
    </row>
    <row r="27391" ht="15.75" customHeight="1">
      <c r="A27391" s="35"/>
      <c r="C27391" s="442"/>
      <c r="P27391" s="235"/>
      <c r="AI27391" s="38"/>
    </row>
    <row r="27392" ht="15.75" customHeight="1">
      <c r="A27392" s="35"/>
      <c r="C27392" s="442"/>
      <c r="P27392" s="235"/>
      <c r="AI27392" s="38"/>
    </row>
    <row r="27393" ht="15.75" customHeight="1">
      <c r="A27393" s="35"/>
      <c r="C27393" s="442"/>
      <c r="P27393" s="235"/>
      <c r="AI27393" s="38"/>
    </row>
    <row r="27394" ht="15.75" customHeight="1">
      <c r="A27394" s="35"/>
      <c r="C27394" s="442"/>
      <c r="P27394" s="235"/>
      <c r="AI27394" s="38"/>
    </row>
    <row r="27395" ht="15.75" customHeight="1">
      <c r="A27395" s="35"/>
      <c r="C27395" s="442"/>
      <c r="P27395" s="235"/>
      <c r="AI27395" s="38"/>
    </row>
    <row r="27396" ht="15.75" customHeight="1">
      <c r="A27396" s="35"/>
      <c r="C27396" s="442"/>
      <c r="P27396" s="235"/>
      <c r="AI27396" s="38"/>
    </row>
    <row r="27397" ht="15.75" customHeight="1">
      <c r="A27397" s="35"/>
      <c r="C27397" s="442"/>
      <c r="P27397" s="235"/>
      <c r="AI27397" s="38"/>
    </row>
    <row r="27398" ht="15.75" customHeight="1">
      <c r="A27398" s="35"/>
      <c r="C27398" s="442"/>
      <c r="P27398" s="235"/>
      <c r="AI27398" s="38"/>
    </row>
    <row r="27399" ht="15.75" customHeight="1">
      <c r="A27399" s="35"/>
      <c r="C27399" s="442"/>
      <c r="P27399" s="235"/>
      <c r="AI27399" s="38"/>
    </row>
    <row r="27400" ht="15.75" customHeight="1">
      <c r="A27400" s="35"/>
      <c r="C27400" s="442"/>
      <c r="P27400" s="235"/>
      <c r="AI27400" s="38"/>
    </row>
    <row r="27401" ht="15.75" customHeight="1">
      <c r="A27401" s="35"/>
      <c r="C27401" s="442"/>
      <c r="P27401" s="235"/>
      <c r="AI27401" s="38"/>
    </row>
    <row r="27402" ht="15.75" customHeight="1">
      <c r="A27402" s="35"/>
      <c r="C27402" s="442"/>
      <c r="P27402" s="235"/>
      <c r="AI27402" s="38"/>
    </row>
    <row r="27403" ht="15.75" customHeight="1">
      <c r="A27403" s="35"/>
      <c r="C27403" s="442"/>
      <c r="P27403" s="235"/>
      <c r="AI27403" s="38"/>
    </row>
    <row r="27404" ht="15.75" customHeight="1">
      <c r="A27404" s="35"/>
      <c r="C27404" s="442"/>
      <c r="P27404" s="235"/>
      <c r="AI27404" s="38"/>
    </row>
    <row r="27405" ht="15.75" customHeight="1">
      <c r="A27405" s="35"/>
      <c r="C27405" s="442"/>
      <c r="P27405" s="235"/>
      <c r="AI27405" s="38"/>
    </row>
    <row r="27406" ht="15.75" customHeight="1">
      <c r="A27406" s="35"/>
      <c r="C27406" s="442"/>
      <c r="P27406" s="235"/>
      <c r="AI27406" s="38"/>
    </row>
    <row r="27407" ht="15.75" customHeight="1">
      <c r="A27407" s="35"/>
      <c r="C27407" s="442"/>
      <c r="P27407" s="235"/>
      <c r="AI27407" s="38"/>
    </row>
    <row r="27408" ht="15.75" customHeight="1">
      <c r="A27408" s="35"/>
      <c r="C27408" s="442"/>
      <c r="P27408" s="235"/>
      <c r="AI27408" s="38"/>
    </row>
    <row r="27409" ht="15.75" customHeight="1">
      <c r="A27409" s="35"/>
      <c r="C27409" s="442"/>
      <c r="P27409" s="235"/>
      <c r="AI27409" s="38"/>
    </row>
    <row r="27410" ht="15.75" customHeight="1">
      <c r="A27410" s="35"/>
      <c r="C27410" s="442"/>
      <c r="P27410" s="235"/>
      <c r="AI27410" s="38"/>
    </row>
    <row r="27411" ht="15.75" customHeight="1">
      <c r="A27411" s="35"/>
      <c r="C27411" s="442"/>
      <c r="P27411" s="235"/>
      <c r="AI27411" s="38"/>
    </row>
    <row r="27412" ht="15.75" customHeight="1">
      <c r="A27412" s="35"/>
      <c r="C27412" s="442"/>
      <c r="P27412" s="235"/>
      <c r="AI27412" s="38"/>
    </row>
    <row r="27413" ht="15.75" customHeight="1">
      <c r="A27413" s="35"/>
      <c r="C27413" s="442"/>
      <c r="P27413" s="235"/>
      <c r="AI27413" s="38"/>
    </row>
    <row r="27414" ht="15.75" customHeight="1">
      <c r="A27414" s="35"/>
      <c r="C27414" s="442"/>
      <c r="P27414" s="235"/>
      <c r="AI27414" s="38"/>
    </row>
    <row r="27415" ht="15.75" customHeight="1">
      <c r="A27415" s="35"/>
      <c r="C27415" s="442"/>
      <c r="P27415" s="235"/>
      <c r="AI27415" s="38"/>
    </row>
    <row r="27416" ht="15.75" customHeight="1">
      <c r="A27416" s="35"/>
      <c r="C27416" s="442"/>
      <c r="P27416" s="235"/>
      <c r="AI27416" s="38"/>
    </row>
    <row r="27417" ht="15.75" customHeight="1">
      <c r="A27417" s="35"/>
      <c r="C27417" s="442"/>
      <c r="P27417" s="235"/>
      <c r="AI27417" s="38"/>
    </row>
    <row r="27418" ht="15.75" customHeight="1">
      <c r="A27418" s="35"/>
      <c r="C27418" s="442"/>
      <c r="P27418" s="235"/>
      <c r="AI27418" s="38"/>
    </row>
    <row r="27419" ht="15.75" customHeight="1">
      <c r="A27419" s="35"/>
      <c r="C27419" s="442"/>
      <c r="P27419" s="235"/>
      <c r="AI27419" s="38"/>
    </row>
    <row r="27420" ht="15.75" customHeight="1">
      <c r="A27420" s="35"/>
      <c r="C27420" s="442"/>
      <c r="P27420" s="235"/>
      <c r="AI27420" s="38"/>
    </row>
    <row r="27421" ht="15.75" customHeight="1">
      <c r="A27421" s="35"/>
      <c r="C27421" s="442"/>
      <c r="P27421" s="235"/>
      <c r="AI27421" s="38"/>
    </row>
    <row r="27422" ht="15.75" customHeight="1">
      <c r="A27422" s="35"/>
      <c r="C27422" s="442"/>
      <c r="P27422" s="235"/>
      <c r="AI27422" s="38"/>
    </row>
    <row r="27423" ht="15.75" customHeight="1">
      <c r="A27423" s="35"/>
      <c r="C27423" s="442"/>
      <c r="P27423" s="235"/>
      <c r="AI27423" s="38"/>
    </row>
    <row r="27424" ht="15.75" customHeight="1">
      <c r="A27424" s="35"/>
      <c r="C27424" s="442"/>
      <c r="P27424" s="235"/>
      <c r="AI27424" s="38"/>
    </row>
    <row r="27425" ht="15.75" customHeight="1">
      <c r="A27425" s="35"/>
      <c r="C27425" s="442"/>
      <c r="P27425" s="235"/>
      <c r="AI27425" s="38"/>
    </row>
    <row r="27426" ht="15.75" customHeight="1">
      <c r="A27426" s="35"/>
      <c r="C27426" s="442"/>
      <c r="P27426" s="235"/>
      <c r="AI27426" s="38"/>
    </row>
    <row r="27427" ht="15.75" customHeight="1">
      <c r="A27427" s="35"/>
      <c r="C27427" s="442"/>
      <c r="P27427" s="235"/>
      <c r="AI27427" s="38"/>
    </row>
    <row r="27428" ht="15.75" customHeight="1">
      <c r="A27428" s="35"/>
      <c r="C27428" s="442"/>
      <c r="P27428" s="235"/>
      <c r="AI27428" s="38"/>
    </row>
    <row r="27429" ht="15.75" customHeight="1">
      <c r="A27429" s="35"/>
      <c r="C27429" s="442"/>
      <c r="P27429" s="235"/>
      <c r="AI27429" s="38"/>
    </row>
    <row r="27430" ht="15.75" customHeight="1">
      <c r="A27430" s="35"/>
      <c r="C27430" s="442"/>
      <c r="P27430" s="235"/>
      <c r="AI27430" s="38"/>
    </row>
    <row r="27431" ht="15.75" customHeight="1">
      <c r="A27431" s="35"/>
      <c r="C27431" s="442"/>
      <c r="P27431" s="235"/>
      <c r="AI27431" s="38"/>
    </row>
    <row r="27432" ht="15.75" customHeight="1">
      <c r="A27432" s="35"/>
      <c r="C27432" s="442"/>
      <c r="P27432" s="235"/>
      <c r="AI27432" s="38"/>
    </row>
    <row r="27433" ht="15.75" customHeight="1">
      <c r="A27433" s="35"/>
      <c r="C27433" s="442"/>
      <c r="P27433" s="235"/>
      <c r="AI27433" s="38"/>
    </row>
    <row r="27434" ht="15.75" customHeight="1">
      <c r="A27434" s="35"/>
      <c r="C27434" s="442"/>
      <c r="P27434" s="235"/>
      <c r="AI27434" s="38"/>
    </row>
    <row r="27435" ht="15.75" customHeight="1">
      <c r="A27435" s="35"/>
      <c r="C27435" s="442"/>
      <c r="P27435" s="235"/>
      <c r="AI27435" s="38"/>
    </row>
    <row r="27436" ht="15.75" customHeight="1">
      <c r="A27436" s="35"/>
      <c r="C27436" s="442"/>
      <c r="P27436" s="235"/>
      <c r="AI27436" s="38"/>
    </row>
    <row r="27437" ht="15.75" customHeight="1">
      <c r="A27437" s="35"/>
      <c r="C27437" s="442"/>
      <c r="P27437" s="235"/>
      <c r="AI27437" s="38"/>
    </row>
    <row r="27438" ht="15.75" customHeight="1">
      <c r="A27438" s="35"/>
      <c r="C27438" s="442"/>
      <c r="P27438" s="235"/>
      <c r="AI27438" s="38"/>
    </row>
    <row r="27439" ht="15.75" customHeight="1">
      <c r="A27439" s="35"/>
      <c r="C27439" s="442"/>
      <c r="P27439" s="235"/>
      <c r="AI27439" s="38"/>
    </row>
    <row r="27440" ht="15.75" customHeight="1">
      <c r="A27440" s="35"/>
      <c r="C27440" s="442"/>
      <c r="P27440" s="235"/>
      <c r="AI27440" s="38"/>
    </row>
    <row r="27441" ht="15.75" customHeight="1">
      <c r="A27441" s="35"/>
      <c r="C27441" s="442"/>
      <c r="P27441" s="235"/>
      <c r="AI27441" s="38"/>
    </row>
    <row r="27442" ht="15.75" customHeight="1">
      <c r="A27442" s="35"/>
      <c r="C27442" s="442"/>
      <c r="P27442" s="235"/>
      <c r="AI27442" s="38"/>
    </row>
    <row r="27443" ht="15.75" customHeight="1">
      <c r="A27443" s="35"/>
      <c r="C27443" s="442"/>
      <c r="P27443" s="235"/>
      <c r="AI27443" s="38"/>
    </row>
    <row r="27444" ht="15.75" customHeight="1">
      <c r="A27444" s="35"/>
      <c r="C27444" s="442"/>
      <c r="P27444" s="235"/>
      <c r="AI27444" s="38"/>
    </row>
    <row r="27445" ht="15.75" customHeight="1">
      <c r="A27445" s="35"/>
      <c r="C27445" s="442"/>
      <c r="P27445" s="235"/>
      <c r="AI27445" s="38"/>
    </row>
    <row r="27446" ht="15.75" customHeight="1">
      <c r="A27446" s="35"/>
      <c r="C27446" s="442"/>
      <c r="P27446" s="235"/>
      <c r="AI27446" s="38"/>
    </row>
    <row r="27447" ht="15.75" customHeight="1">
      <c r="A27447" s="35"/>
      <c r="C27447" s="442"/>
      <c r="P27447" s="235"/>
      <c r="AI27447" s="38"/>
    </row>
    <row r="27448" ht="15.75" customHeight="1">
      <c r="A27448" s="35"/>
      <c r="C27448" s="442"/>
      <c r="P27448" s="235"/>
      <c r="AI27448" s="38"/>
    </row>
    <row r="27449" ht="15.75" customHeight="1">
      <c r="A27449" s="35"/>
      <c r="C27449" s="442"/>
      <c r="P27449" s="235"/>
      <c r="AI27449" s="38"/>
    </row>
    <row r="27450" ht="15.75" customHeight="1">
      <c r="A27450" s="35"/>
      <c r="C27450" s="442"/>
      <c r="P27450" s="235"/>
      <c r="AI27450" s="38"/>
    </row>
    <row r="27451" ht="15.75" customHeight="1">
      <c r="A27451" s="35"/>
      <c r="C27451" s="442"/>
      <c r="P27451" s="235"/>
      <c r="AI27451" s="38"/>
    </row>
    <row r="27452" ht="15.75" customHeight="1">
      <c r="A27452" s="35"/>
      <c r="C27452" s="442"/>
      <c r="P27452" s="235"/>
      <c r="AI27452" s="38"/>
    </row>
    <row r="27453" ht="15.75" customHeight="1">
      <c r="A27453" s="35"/>
      <c r="C27453" s="442"/>
      <c r="P27453" s="235"/>
      <c r="AI27453" s="38"/>
    </row>
    <row r="27454" ht="15.75" customHeight="1">
      <c r="A27454" s="35"/>
      <c r="C27454" s="442"/>
      <c r="P27454" s="235"/>
      <c r="AI27454" s="38"/>
    </row>
    <row r="27455" ht="15.75" customHeight="1">
      <c r="A27455" s="35"/>
      <c r="C27455" s="442"/>
      <c r="P27455" s="235"/>
      <c r="AI27455" s="38"/>
    </row>
    <row r="27456" ht="15.75" customHeight="1">
      <c r="A27456" s="35"/>
      <c r="C27456" s="442"/>
      <c r="P27456" s="235"/>
      <c r="AI27456" s="38"/>
    </row>
    <row r="27457" ht="15.75" customHeight="1">
      <c r="A27457" s="35"/>
      <c r="C27457" s="442"/>
      <c r="P27457" s="235"/>
      <c r="AI27457" s="38"/>
    </row>
    <row r="27458" ht="15.75" customHeight="1">
      <c r="A27458" s="35"/>
      <c r="C27458" s="442"/>
      <c r="P27458" s="235"/>
      <c r="AI27458" s="38"/>
    </row>
    <row r="27459" ht="15.75" customHeight="1">
      <c r="A27459" s="35"/>
      <c r="C27459" s="442"/>
      <c r="P27459" s="235"/>
      <c r="AI27459" s="38"/>
    </row>
    <row r="27460" ht="15.75" customHeight="1">
      <c r="A27460" s="35"/>
      <c r="C27460" s="442"/>
      <c r="P27460" s="235"/>
      <c r="AI27460" s="38"/>
    </row>
    <row r="27461" ht="15.75" customHeight="1">
      <c r="A27461" s="35"/>
      <c r="C27461" s="442"/>
      <c r="P27461" s="235"/>
      <c r="AI27461" s="38"/>
    </row>
    <row r="27462" ht="15.75" customHeight="1">
      <c r="A27462" s="35"/>
      <c r="C27462" s="442"/>
      <c r="P27462" s="235"/>
      <c r="AI27462" s="38"/>
    </row>
    <row r="27463" ht="15.75" customHeight="1">
      <c r="A27463" s="35"/>
      <c r="C27463" s="442"/>
      <c r="P27463" s="235"/>
      <c r="AI27463" s="38"/>
    </row>
    <row r="27464" ht="15.75" customHeight="1">
      <c r="A27464" s="35"/>
      <c r="C27464" s="442"/>
      <c r="P27464" s="235"/>
      <c r="AI27464" s="38"/>
    </row>
    <row r="27465" ht="15.75" customHeight="1">
      <c r="A27465" s="35"/>
      <c r="C27465" s="442"/>
      <c r="P27465" s="235"/>
      <c r="AI27465" s="38"/>
    </row>
    <row r="27466" ht="15.75" customHeight="1">
      <c r="A27466" s="35"/>
      <c r="C27466" s="442"/>
      <c r="P27466" s="235"/>
      <c r="AI27466" s="38"/>
    </row>
    <row r="27467" ht="15.75" customHeight="1">
      <c r="A27467" s="35"/>
      <c r="C27467" s="442"/>
      <c r="P27467" s="235"/>
      <c r="AI27467" s="38"/>
    </row>
    <row r="27468" ht="15.75" customHeight="1">
      <c r="A27468" s="35"/>
      <c r="C27468" s="442"/>
      <c r="P27468" s="235"/>
      <c r="AI27468" s="38"/>
    </row>
    <row r="27469" ht="15.75" customHeight="1">
      <c r="A27469" s="35"/>
      <c r="C27469" s="442"/>
      <c r="P27469" s="235"/>
      <c r="AI27469" s="38"/>
    </row>
    <row r="27470" ht="15.75" customHeight="1">
      <c r="A27470" s="35"/>
      <c r="C27470" s="442"/>
      <c r="P27470" s="235"/>
      <c r="AI27470" s="38"/>
    </row>
    <row r="27471" ht="15.75" customHeight="1">
      <c r="A27471" s="35"/>
      <c r="C27471" s="442"/>
      <c r="P27471" s="235"/>
      <c r="AI27471" s="38"/>
    </row>
    <row r="27472" ht="15.75" customHeight="1">
      <c r="A27472" s="35"/>
      <c r="C27472" s="442"/>
      <c r="P27472" s="235"/>
      <c r="AI27472" s="38"/>
    </row>
    <row r="27473" ht="15.75" customHeight="1">
      <c r="A27473" s="35"/>
      <c r="C27473" s="442"/>
      <c r="P27473" s="235"/>
      <c r="AI27473" s="38"/>
    </row>
    <row r="27474" ht="15.75" customHeight="1">
      <c r="A27474" s="35"/>
      <c r="C27474" s="442"/>
      <c r="P27474" s="235"/>
      <c r="AI27474" s="38"/>
    </row>
    <row r="27475" ht="15.75" customHeight="1">
      <c r="A27475" s="35"/>
      <c r="C27475" s="442"/>
      <c r="P27475" s="235"/>
      <c r="AI27475" s="38"/>
    </row>
    <row r="27476" ht="15.75" customHeight="1">
      <c r="A27476" s="35"/>
      <c r="C27476" s="442"/>
      <c r="P27476" s="235"/>
      <c r="AI27476" s="38"/>
    </row>
    <row r="27477" ht="15.75" customHeight="1">
      <c r="A27477" s="35"/>
      <c r="C27477" s="442"/>
      <c r="P27477" s="235"/>
      <c r="AI27477" s="38"/>
    </row>
    <row r="27478" ht="15.75" customHeight="1">
      <c r="A27478" s="35"/>
      <c r="C27478" s="442"/>
      <c r="P27478" s="235"/>
      <c r="AI27478" s="38"/>
    </row>
    <row r="27479" ht="15.75" customHeight="1">
      <c r="A27479" s="35"/>
      <c r="C27479" s="442"/>
      <c r="P27479" s="235"/>
      <c r="AI27479" s="38"/>
    </row>
    <row r="27480" ht="15.75" customHeight="1">
      <c r="A27480" s="35"/>
      <c r="C27480" s="442"/>
      <c r="P27480" s="235"/>
      <c r="AI27480" s="38"/>
    </row>
    <row r="27481" ht="15.75" customHeight="1">
      <c r="A27481" s="35"/>
      <c r="C27481" s="442"/>
      <c r="P27481" s="235"/>
      <c r="AI27481" s="38"/>
    </row>
    <row r="27482" ht="15.75" customHeight="1">
      <c r="A27482" s="35"/>
      <c r="C27482" s="442"/>
      <c r="P27482" s="235"/>
      <c r="AI27482" s="38"/>
    </row>
    <row r="27483" ht="15.75" customHeight="1">
      <c r="A27483" s="35"/>
      <c r="C27483" s="442"/>
      <c r="P27483" s="235"/>
      <c r="AI27483" s="38"/>
    </row>
    <row r="27484" ht="15.75" customHeight="1">
      <c r="A27484" s="35"/>
      <c r="C27484" s="442"/>
      <c r="P27484" s="235"/>
      <c r="AI27484" s="38"/>
    </row>
    <row r="27485" ht="15.75" customHeight="1">
      <c r="A27485" s="35"/>
      <c r="C27485" s="442"/>
      <c r="P27485" s="235"/>
      <c r="AI27485" s="38"/>
    </row>
    <row r="27486" ht="15.75" customHeight="1">
      <c r="A27486" s="35"/>
      <c r="C27486" s="442"/>
      <c r="P27486" s="235"/>
      <c r="AI27486" s="38"/>
    </row>
    <row r="27487" ht="15.75" customHeight="1">
      <c r="A27487" s="35"/>
      <c r="C27487" s="442"/>
      <c r="P27487" s="235"/>
      <c r="AI27487" s="38"/>
    </row>
    <row r="27488" ht="15.75" customHeight="1">
      <c r="A27488" s="35"/>
      <c r="C27488" s="442"/>
      <c r="P27488" s="235"/>
      <c r="AI27488" s="38"/>
    </row>
    <row r="27489" ht="15.75" customHeight="1">
      <c r="A27489" s="35"/>
      <c r="C27489" s="442"/>
      <c r="P27489" s="235"/>
      <c r="AI27489" s="38"/>
    </row>
    <row r="27490" ht="15.75" customHeight="1">
      <c r="A27490" s="35"/>
      <c r="C27490" s="442"/>
      <c r="P27490" s="235"/>
      <c r="AI27490" s="38"/>
    </row>
    <row r="27491" ht="15.75" customHeight="1">
      <c r="A27491" s="35"/>
      <c r="C27491" s="442"/>
      <c r="P27491" s="235"/>
      <c r="AI27491" s="38"/>
    </row>
    <row r="27492" ht="15.75" customHeight="1">
      <c r="A27492" s="35"/>
      <c r="C27492" s="442"/>
      <c r="P27492" s="235"/>
      <c r="AI27492" s="38"/>
    </row>
    <row r="27493" ht="15.75" customHeight="1">
      <c r="A27493" s="35"/>
      <c r="C27493" s="442"/>
      <c r="P27493" s="235"/>
      <c r="AI27493" s="38"/>
    </row>
    <row r="27494" ht="15.75" customHeight="1">
      <c r="A27494" s="35"/>
      <c r="C27494" s="442"/>
      <c r="P27494" s="235"/>
      <c r="AI27494" s="38"/>
    </row>
    <row r="27495" ht="15.75" customHeight="1">
      <c r="A27495" s="35"/>
      <c r="C27495" s="442"/>
      <c r="P27495" s="235"/>
      <c r="AI27495" s="38"/>
    </row>
    <row r="27496" ht="15.75" customHeight="1">
      <c r="A27496" s="35"/>
      <c r="C27496" s="442"/>
      <c r="P27496" s="235"/>
      <c r="AI27496" s="38"/>
    </row>
    <row r="27497" ht="15.75" customHeight="1">
      <c r="A27497" s="35"/>
      <c r="C27497" s="442"/>
      <c r="P27497" s="235"/>
      <c r="AI27497" s="38"/>
    </row>
    <row r="27498" ht="15.75" customHeight="1">
      <c r="A27498" s="35"/>
      <c r="C27498" s="442"/>
      <c r="P27498" s="235"/>
      <c r="AI27498" s="38"/>
    </row>
    <row r="27499" ht="15.75" customHeight="1">
      <c r="A27499" s="35"/>
      <c r="C27499" s="442"/>
      <c r="P27499" s="235"/>
      <c r="AI27499" s="38"/>
    </row>
    <row r="27500" ht="15.75" customHeight="1">
      <c r="A27500" s="35"/>
      <c r="C27500" s="442"/>
      <c r="P27500" s="235"/>
      <c r="AI27500" s="38"/>
    </row>
    <row r="27501" ht="15.75" customHeight="1">
      <c r="A27501" s="35"/>
      <c r="C27501" s="442"/>
      <c r="P27501" s="235"/>
      <c r="AI27501" s="38"/>
    </row>
    <row r="27502" ht="15.75" customHeight="1">
      <c r="A27502" s="35"/>
      <c r="C27502" s="442"/>
      <c r="P27502" s="235"/>
      <c r="AI27502" s="38"/>
    </row>
    <row r="27503" ht="15.75" customHeight="1">
      <c r="A27503" s="35"/>
      <c r="C27503" s="442"/>
      <c r="P27503" s="235"/>
      <c r="AI27503" s="38"/>
    </row>
    <row r="27504" ht="15.75" customHeight="1">
      <c r="A27504" s="35"/>
      <c r="C27504" s="442"/>
      <c r="P27504" s="235"/>
      <c r="AI27504" s="38"/>
    </row>
    <row r="27505" ht="15.75" customHeight="1">
      <c r="A27505" s="35"/>
      <c r="C27505" s="442"/>
      <c r="P27505" s="235"/>
      <c r="AI27505" s="38"/>
    </row>
    <row r="27506" ht="15.75" customHeight="1">
      <c r="A27506" s="35"/>
      <c r="C27506" s="442"/>
      <c r="P27506" s="235"/>
      <c r="AI27506" s="38"/>
    </row>
    <row r="27507" ht="15.75" customHeight="1">
      <c r="A27507" s="35"/>
      <c r="C27507" s="442"/>
      <c r="P27507" s="235"/>
      <c r="AI27507" s="38"/>
    </row>
    <row r="27508" ht="15.75" customHeight="1">
      <c r="A27508" s="35"/>
      <c r="C27508" s="442"/>
      <c r="P27508" s="235"/>
      <c r="AI27508" s="38"/>
    </row>
    <row r="27509" ht="15.75" customHeight="1">
      <c r="A27509" s="35"/>
      <c r="C27509" s="442"/>
      <c r="P27509" s="235"/>
      <c r="AI27509" s="38"/>
    </row>
    <row r="27510" ht="15.75" customHeight="1">
      <c r="A27510" s="35"/>
      <c r="C27510" s="442"/>
      <c r="P27510" s="235"/>
      <c r="AI27510" s="38"/>
    </row>
    <row r="27511" ht="15.75" customHeight="1">
      <c r="A27511" s="35"/>
      <c r="C27511" s="442"/>
      <c r="P27511" s="235"/>
      <c r="AI27511" s="38"/>
    </row>
    <row r="27512" ht="15.75" customHeight="1">
      <c r="A27512" s="35"/>
      <c r="C27512" s="442"/>
      <c r="P27512" s="235"/>
      <c r="AI27512" s="38"/>
    </row>
    <row r="27513" ht="15.75" customHeight="1">
      <c r="A27513" s="35"/>
      <c r="C27513" s="442"/>
      <c r="P27513" s="235"/>
      <c r="AI27513" s="38"/>
    </row>
    <row r="27514" ht="15.75" customHeight="1">
      <c r="A27514" s="35"/>
      <c r="C27514" s="442"/>
      <c r="P27514" s="235"/>
      <c r="AI27514" s="38"/>
    </row>
    <row r="27515" ht="15.75" customHeight="1">
      <c r="A27515" s="35"/>
      <c r="C27515" s="442"/>
      <c r="P27515" s="235"/>
      <c r="AI27515" s="38"/>
    </row>
    <row r="27516" ht="15.75" customHeight="1">
      <c r="A27516" s="35"/>
      <c r="C27516" s="442"/>
      <c r="P27516" s="235"/>
      <c r="AI27516" s="38"/>
    </row>
    <row r="27517" ht="15.75" customHeight="1">
      <c r="A27517" s="35"/>
      <c r="C27517" s="442"/>
      <c r="P27517" s="235"/>
      <c r="AI27517" s="38"/>
    </row>
    <row r="27518" ht="15.75" customHeight="1">
      <c r="A27518" s="35"/>
      <c r="C27518" s="442"/>
      <c r="P27518" s="235"/>
      <c r="AI27518" s="38"/>
    </row>
    <row r="27519" ht="15.75" customHeight="1">
      <c r="A27519" s="35"/>
      <c r="C27519" s="442"/>
      <c r="P27519" s="235"/>
      <c r="AI27519" s="38"/>
    </row>
    <row r="27520" ht="15.75" customHeight="1">
      <c r="A27520" s="35"/>
      <c r="C27520" s="442"/>
      <c r="P27520" s="235"/>
      <c r="AI27520" s="38"/>
    </row>
    <row r="27521" ht="15.75" customHeight="1">
      <c r="A27521" s="35"/>
      <c r="C27521" s="442"/>
      <c r="P27521" s="235"/>
      <c r="AI27521" s="38"/>
    </row>
    <row r="27522" ht="15.75" customHeight="1">
      <c r="A27522" s="35"/>
      <c r="C27522" s="442"/>
      <c r="P27522" s="235"/>
      <c r="AI27522" s="38"/>
    </row>
    <row r="27523" ht="15.75" customHeight="1">
      <c r="A27523" s="35"/>
      <c r="C27523" s="442"/>
      <c r="P27523" s="235"/>
      <c r="AI27523" s="38"/>
    </row>
    <row r="27524" ht="15.75" customHeight="1">
      <c r="A27524" s="35"/>
      <c r="C27524" s="442"/>
      <c r="P27524" s="235"/>
      <c r="AI27524" s="38"/>
    </row>
    <row r="27525" ht="15.75" customHeight="1">
      <c r="A27525" s="35"/>
      <c r="C27525" s="442"/>
      <c r="P27525" s="235"/>
      <c r="AI27525" s="38"/>
    </row>
    <row r="27526" ht="15.75" customHeight="1">
      <c r="A27526" s="35"/>
      <c r="C27526" s="442"/>
      <c r="P27526" s="235"/>
      <c r="AI27526" s="38"/>
    </row>
    <row r="27527" ht="15.75" customHeight="1">
      <c r="A27527" s="35"/>
      <c r="C27527" s="442"/>
      <c r="P27527" s="235"/>
      <c r="AI27527" s="38"/>
    </row>
    <row r="27528" ht="15.75" customHeight="1">
      <c r="A27528" s="35"/>
      <c r="C27528" s="442"/>
      <c r="P27528" s="235"/>
      <c r="AI27528" s="38"/>
    </row>
    <row r="27529" ht="15.75" customHeight="1">
      <c r="A27529" s="35"/>
      <c r="C27529" s="442"/>
      <c r="P27529" s="235"/>
      <c r="AI27529" s="38"/>
    </row>
    <row r="27530" ht="15.75" customHeight="1">
      <c r="A27530" s="35"/>
      <c r="C27530" s="442"/>
      <c r="P27530" s="235"/>
      <c r="AI27530" s="38"/>
    </row>
    <row r="27531" ht="15.75" customHeight="1">
      <c r="A27531" s="35"/>
      <c r="C27531" s="442"/>
      <c r="P27531" s="235"/>
      <c r="AI27531" s="38"/>
    </row>
    <row r="27532" ht="15.75" customHeight="1">
      <c r="A27532" s="35"/>
      <c r="C27532" s="442"/>
      <c r="P27532" s="235"/>
      <c r="AI27532" s="38"/>
    </row>
    <row r="27533" ht="15.75" customHeight="1">
      <c r="A27533" s="35"/>
      <c r="C27533" s="442"/>
      <c r="P27533" s="235"/>
      <c r="AI27533" s="38"/>
    </row>
    <row r="27534" ht="15.75" customHeight="1">
      <c r="A27534" s="35"/>
      <c r="C27534" s="442"/>
      <c r="P27534" s="235"/>
      <c r="AI27534" s="38"/>
    </row>
    <row r="27535" ht="15.75" customHeight="1">
      <c r="A27535" s="35"/>
      <c r="C27535" s="442"/>
      <c r="P27535" s="235"/>
      <c r="AI27535" s="38"/>
    </row>
    <row r="27536" ht="15.75" customHeight="1">
      <c r="A27536" s="35"/>
      <c r="C27536" s="442"/>
      <c r="P27536" s="235"/>
      <c r="AI27536" s="38"/>
    </row>
    <row r="27537" ht="15.75" customHeight="1">
      <c r="A27537" s="35"/>
      <c r="C27537" s="442"/>
      <c r="P27537" s="235"/>
      <c r="AI27537" s="38"/>
    </row>
    <row r="27538" ht="15.75" customHeight="1">
      <c r="A27538" s="35"/>
      <c r="C27538" s="442"/>
      <c r="P27538" s="235"/>
      <c r="AI27538" s="38"/>
    </row>
    <row r="27539" ht="15.75" customHeight="1">
      <c r="A27539" s="35"/>
      <c r="C27539" s="442"/>
      <c r="P27539" s="235"/>
      <c r="AI27539" s="38"/>
    </row>
    <row r="27540" ht="15.75" customHeight="1">
      <c r="A27540" s="35"/>
      <c r="C27540" s="442"/>
      <c r="P27540" s="235"/>
      <c r="AI27540" s="38"/>
    </row>
    <row r="27541" ht="15.75" customHeight="1">
      <c r="A27541" s="35"/>
      <c r="C27541" s="442"/>
      <c r="P27541" s="235"/>
      <c r="AI27541" s="38"/>
    </row>
    <row r="27542" ht="15.75" customHeight="1">
      <c r="A27542" s="35"/>
      <c r="C27542" s="442"/>
      <c r="P27542" s="235"/>
      <c r="AI27542" s="38"/>
    </row>
    <row r="27543" ht="15.75" customHeight="1">
      <c r="A27543" s="35"/>
      <c r="C27543" s="442"/>
      <c r="P27543" s="235"/>
      <c r="AI27543" s="38"/>
    </row>
    <row r="27544" ht="15.75" customHeight="1">
      <c r="A27544" s="35"/>
      <c r="C27544" s="442"/>
      <c r="P27544" s="235"/>
      <c r="AI27544" s="38"/>
    </row>
    <row r="27545" ht="15.75" customHeight="1">
      <c r="A27545" s="35"/>
      <c r="C27545" s="442"/>
      <c r="P27545" s="235"/>
      <c r="AI27545" s="38"/>
    </row>
    <row r="27546" ht="15.75" customHeight="1">
      <c r="A27546" s="35"/>
      <c r="C27546" s="442"/>
      <c r="P27546" s="235"/>
      <c r="AI27546" s="38"/>
    </row>
    <row r="27547" ht="15.75" customHeight="1">
      <c r="A27547" s="35"/>
      <c r="C27547" s="442"/>
      <c r="P27547" s="235"/>
      <c r="AI27547" s="38"/>
    </row>
    <row r="27548" ht="15.75" customHeight="1">
      <c r="A27548" s="35"/>
      <c r="C27548" s="442"/>
      <c r="P27548" s="235"/>
      <c r="AI27548" s="38"/>
    </row>
    <row r="27549" ht="15.75" customHeight="1">
      <c r="A27549" s="35"/>
      <c r="C27549" s="442"/>
      <c r="P27549" s="235"/>
      <c r="AI27549" s="38"/>
    </row>
    <row r="27550" ht="15.75" customHeight="1">
      <c r="A27550" s="35"/>
      <c r="C27550" s="442"/>
      <c r="P27550" s="235"/>
      <c r="AI27550" s="38"/>
    </row>
    <row r="27551" ht="15.75" customHeight="1">
      <c r="A27551" s="35"/>
      <c r="C27551" s="442"/>
      <c r="P27551" s="235"/>
      <c r="AI27551" s="38"/>
    </row>
    <row r="27552" ht="15.75" customHeight="1">
      <c r="A27552" s="35"/>
      <c r="C27552" s="442"/>
      <c r="P27552" s="235"/>
      <c r="AI27552" s="38"/>
    </row>
    <row r="27553" ht="15.75" customHeight="1">
      <c r="A27553" s="35"/>
      <c r="C27553" s="442"/>
      <c r="P27553" s="235"/>
      <c r="AI27553" s="38"/>
    </row>
    <row r="27554" ht="15.75" customHeight="1">
      <c r="A27554" s="35"/>
      <c r="C27554" s="442"/>
      <c r="P27554" s="235"/>
      <c r="AI27554" s="38"/>
    </row>
    <row r="27555" ht="15.75" customHeight="1">
      <c r="A27555" s="35"/>
      <c r="C27555" s="442"/>
      <c r="P27555" s="235"/>
      <c r="AI27555" s="38"/>
    </row>
    <row r="27556" ht="15.75" customHeight="1">
      <c r="A27556" s="35"/>
      <c r="C27556" s="442"/>
      <c r="P27556" s="235"/>
      <c r="AI27556" s="38"/>
    </row>
    <row r="27557" ht="15.75" customHeight="1">
      <c r="A27557" s="35"/>
      <c r="C27557" s="442"/>
      <c r="P27557" s="235"/>
      <c r="AI27557" s="38"/>
    </row>
    <row r="27558" ht="15.75" customHeight="1">
      <c r="A27558" s="35"/>
      <c r="C27558" s="442"/>
      <c r="P27558" s="235"/>
      <c r="AI27558" s="38"/>
    </row>
    <row r="27559" ht="15.75" customHeight="1">
      <c r="A27559" s="35"/>
      <c r="C27559" s="442"/>
      <c r="P27559" s="235"/>
      <c r="AI27559" s="38"/>
    </row>
    <row r="27560" ht="15.75" customHeight="1">
      <c r="A27560" s="35"/>
      <c r="C27560" s="442"/>
      <c r="P27560" s="235"/>
      <c r="AI27560" s="38"/>
    </row>
    <row r="27561" ht="15.75" customHeight="1">
      <c r="A27561" s="35"/>
      <c r="C27561" s="442"/>
      <c r="P27561" s="235"/>
      <c r="AI27561" s="38"/>
    </row>
    <row r="27562" ht="15.75" customHeight="1">
      <c r="A27562" s="35"/>
      <c r="C27562" s="442"/>
      <c r="P27562" s="235"/>
      <c r="AI27562" s="38"/>
    </row>
    <row r="27563" ht="15.75" customHeight="1">
      <c r="A27563" s="35"/>
      <c r="C27563" s="442"/>
      <c r="P27563" s="235"/>
      <c r="AI27563" s="38"/>
    </row>
    <row r="27564" ht="15.75" customHeight="1">
      <c r="A27564" s="35"/>
      <c r="C27564" s="442"/>
      <c r="P27564" s="235"/>
      <c r="AI27564" s="38"/>
    </row>
    <row r="27565" ht="15.75" customHeight="1">
      <c r="A27565" s="35"/>
      <c r="C27565" s="442"/>
      <c r="P27565" s="235"/>
      <c r="AI27565" s="38"/>
    </row>
    <row r="27566" ht="15.75" customHeight="1">
      <c r="A27566" s="35"/>
      <c r="C27566" s="442"/>
      <c r="P27566" s="235"/>
      <c r="AI27566" s="38"/>
    </row>
    <row r="27567" ht="15.75" customHeight="1">
      <c r="A27567" s="35"/>
      <c r="C27567" s="442"/>
      <c r="P27567" s="235"/>
      <c r="AI27567" s="38"/>
    </row>
    <row r="27568" ht="15.75" customHeight="1">
      <c r="A27568" s="35"/>
      <c r="C27568" s="442"/>
      <c r="P27568" s="235"/>
      <c r="AI27568" s="38"/>
    </row>
    <row r="27569" ht="15.75" customHeight="1">
      <c r="A27569" s="35"/>
      <c r="C27569" s="442"/>
      <c r="P27569" s="235"/>
      <c r="AI27569" s="38"/>
    </row>
    <row r="27570" ht="15.75" customHeight="1">
      <c r="A27570" s="35"/>
      <c r="C27570" s="442"/>
      <c r="P27570" s="235"/>
      <c r="AI27570" s="38"/>
    </row>
    <row r="27571" ht="15.75" customHeight="1">
      <c r="A27571" s="35"/>
      <c r="C27571" s="442"/>
      <c r="P27571" s="235"/>
      <c r="AI27571" s="38"/>
    </row>
    <row r="27572" ht="15.75" customHeight="1">
      <c r="A27572" s="35"/>
      <c r="C27572" s="442"/>
      <c r="P27572" s="235"/>
      <c r="AI27572" s="38"/>
    </row>
    <row r="27573" ht="15.75" customHeight="1">
      <c r="A27573" s="35"/>
      <c r="C27573" s="442"/>
      <c r="P27573" s="235"/>
      <c r="AI27573" s="38"/>
    </row>
    <row r="27574" ht="15.75" customHeight="1">
      <c r="A27574" s="35"/>
      <c r="C27574" s="442"/>
      <c r="P27574" s="235"/>
      <c r="AI27574" s="38"/>
    </row>
    <row r="27575" ht="15.75" customHeight="1">
      <c r="A27575" s="35"/>
      <c r="C27575" s="442"/>
      <c r="P27575" s="235"/>
      <c r="AI27575" s="38"/>
    </row>
    <row r="27576" ht="15.75" customHeight="1">
      <c r="A27576" s="35"/>
      <c r="C27576" s="442"/>
      <c r="P27576" s="235"/>
      <c r="AI27576" s="38"/>
    </row>
    <row r="27577" ht="15.75" customHeight="1">
      <c r="A27577" s="35"/>
      <c r="C27577" s="442"/>
      <c r="P27577" s="235"/>
      <c r="AI27577" s="38"/>
    </row>
    <row r="27578" ht="15.75" customHeight="1">
      <c r="A27578" s="35"/>
      <c r="C27578" s="442"/>
      <c r="P27578" s="235"/>
      <c r="AI27578" s="38"/>
    </row>
    <row r="27579" ht="15.75" customHeight="1">
      <c r="A27579" s="35"/>
      <c r="C27579" s="442"/>
      <c r="P27579" s="235"/>
      <c r="AI27579" s="38"/>
    </row>
    <row r="27580" ht="15.75" customHeight="1">
      <c r="A27580" s="35"/>
      <c r="C27580" s="442"/>
      <c r="P27580" s="235"/>
      <c r="AI27580" s="38"/>
    </row>
    <row r="27581" ht="15.75" customHeight="1">
      <c r="A27581" s="35"/>
      <c r="C27581" s="442"/>
      <c r="P27581" s="235"/>
      <c r="AI27581" s="38"/>
    </row>
    <row r="27582" ht="15.75" customHeight="1">
      <c r="A27582" s="35"/>
      <c r="C27582" s="442"/>
      <c r="P27582" s="235"/>
      <c r="AI27582" s="38"/>
    </row>
    <row r="27583" ht="15.75" customHeight="1">
      <c r="A27583" s="35"/>
      <c r="C27583" s="442"/>
      <c r="P27583" s="235"/>
      <c r="AI27583" s="38"/>
    </row>
    <row r="27584" ht="15.75" customHeight="1">
      <c r="A27584" s="35"/>
      <c r="C27584" s="442"/>
      <c r="P27584" s="235"/>
      <c r="AI27584" s="38"/>
    </row>
    <row r="27585" ht="15.75" customHeight="1">
      <c r="A27585" s="35"/>
      <c r="C27585" s="442"/>
      <c r="P27585" s="235"/>
      <c r="AI27585" s="38"/>
    </row>
    <row r="27586" ht="15.75" customHeight="1">
      <c r="A27586" s="35"/>
      <c r="C27586" s="442"/>
      <c r="P27586" s="235"/>
      <c r="AI27586" s="38"/>
    </row>
    <row r="27587" ht="15.75" customHeight="1">
      <c r="A27587" s="35"/>
      <c r="C27587" s="442"/>
      <c r="P27587" s="235"/>
      <c r="AI27587" s="38"/>
    </row>
    <row r="27588" ht="15.75" customHeight="1">
      <c r="A27588" s="35"/>
      <c r="C27588" s="442"/>
      <c r="P27588" s="235"/>
      <c r="AI27588" s="38"/>
    </row>
    <row r="27589" ht="15.75" customHeight="1">
      <c r="A27589" s="35"/>
      <c r="C27589" s="442"/>
      <c r="P27589" s="235"/>
      <c r="AI27589" s="38"/>
    </row>
    <row r="27590" ht="15.75" customHeight="1">
      <c r="A27590" s="35"/>
      <c r="C27590" s="442"/>
      <c r="P27590" s="235"/>
      <c r="AI27590" s="38"/>
    </row>
    <row r="27591" ht="15.75" customHeight="1">
      <c r="A27591" s="35"/>
      <c r="C27591" s="442"/>
      <c r="P27591" s="235"/>
      <c r="AI27591" s="38"/>
    </row>
    <row r="27592" ht="15.75" customHeight="1">
      <c r="A27592" s="35"/>
      <c r="C27592" s="442"/>
      <c r="P27592" s="235"/>
      <c r="AI27592" s="38"/>
    </row>
    <row r="27593" ht="15.75" customHeight="1">
      <c r="A27593" s="35"/>
      <c r="C27593" s="442"/>
      <c r="P27593" s="235"/>
      <c r="AI27593" s="38"/>
    </row>
    <row r="27594" ht="15.75" customHeight="1">
      <c r="A27594" s="35"/>
      <c r="C27594" s="442"/>
      <c r="P27594" s="235"/>
      <c r="AI27594" s="38"/>
    </row>
    <row r="27595" ht="15.75" customHeight="1">
      <c r="A27595" s="35"/>
      <c r="C27595" s="442"/>
      <c r="P27595" s="235"/>
      <c r="AI27595" s="38"/>
    </row>
    <row r="27596" ht="15.75" customHeight="1">
      <c r="A27596" s="35"/>
      <c r="C27596" s="442"/>
      <c r="P27596" s="235"/>
      <c r="AI27596" s="38"/>
    </row>
    <row r="27597" ht="15.75" customHeight="1">
      <c r="A27597" s="35"/>
      <c r="C27597" s="442"/>
      <c r="P27597" s="235"/>
      <c r="AI27597" s="38"/>
    </row>
    <row r="27598" ht="15.75" customHeight="1">
      <c r="A27598" s="35"/>
      <c r="C27598" s="442"/>
      <c r="P27598" s="235"/>
      <c r="AI27598" s="38"/>
    </row>
    <row r="27599" ht="15.75" customHeight="1">
      <c r="A27599" s="35"/>
      <c r="C27599" s="442"/>
      <c r="P27599" s="235"/>
      <c r="AI27599" s="38"/>
    </row>
    <row r="27600" ht="15.75" customHeight="1">
      <c r="A27600" s="35"/>
      <c r="C27600" s="442"/>
      <c r="P27600" s="235"/>
      <c r="AI27600" s="38"/>
    </row>
    <row r="27601" ht="15.75" customHeight="1">
      <c r="A27601" s="35"/>
      <c r="C27601" s="442"/>
      <c r="P27601" s="235"/>
      <c r="AI27601" s="38"/>
    </row>
    <row r="27602" ht="15.75" customHeight="1">
      <c r="A27602" s="35"/>
      <c r="C27602" s="442"/>
      <c r="P27602" s="235"/>
      <c r="AI27602" s="38"/>
    </row>
    <row r="27603" ht="15.75" customHeight="1">
      <c r="A27603" s="35"/>
      <c r="C27603" s="442"/>
      <c r="P27603" s="235"/>
      <c r="AI27603" s="38"/>
    </row>
    <row r="27604" ht="15.75" customHeight="1">
      <c r="A27604" s="35"/>
      <c r="C27604" s="442"/>
      <c r="P27604" s="235"/>
      <c r="AI27604" s="38"/>
    </row>
    <row r="27605" ht="15.75" customHeight="1">
      <c r="A27605" s="35"/>
      <c r="C27605" s="442"/>
      <c r="P27605" s="235"/>
      <c r="AI27605" s="38"/>
    </row>
    <row r="27606" ht="15.75" customHeight="1">
      <c r="A27606" s="35"/>
      <c r="C27606" s="442"/>
      <c r="P27606" s="235"/>
      <c r="AI27606" s="38"/>
    </row>
    <row r="27607" ht="15.75" customHeight="1">
      <c r="A27607" s="35"/>
      <c r="C27607" s="442"/>
      <c r="P27607" s="235"/>
      <c r="AI27607" s="38"/>
    </row>
    <row r="27608" ht="15.75" customHeight="1">
      <c r="A27608" s="35"/>
      <c r="C27608" s="442"/>
      <c r="P27608" s="235"/>
      <c r="AI27608" s="38"/>
    </row>
    <row r="27609" ht="15.75" customHeight="1">
      <c r="A27609" s="35"/>
      <c r="C27609" s="442"/>
      <c r="P27609" s="235"/>
      <c r="AI27609" s="38"/>
    </row>
    <row r="27610" ht="15.75" customHeight="1">
      <c r="A27610" s="35"/>
      <c r="C27610" s="442"/>
      <c r="P27610" s="235"/>
      <c r="AI27610" s="38"/>
    </row>
    <row r="27611" ht="15.75" customHeight="1">
      <c r="A27611" s="35"/>
      <c r="C27611" s="442"/>
      <c r="P27611" s="235"/>
      <c r="AI27611" s="38"/>
    </row>
    <row r="27612" ht="15.75" customHeight="1">
      <c r="A27612" s="35"/>
      <c r="C27612" s="442"/>
      <c r="P27612" s="235"/>
      <c r="AI27612" s="38"/>
    </row>
    <row r="27613" ht="15.75" customHeight="1">
      <c r="A27613" s="35"/>
      <c r="C27613" s="442"/>
      <c r="P27613" s="235"/>
      <c r="AI27613" s="38"/>
    </row>
    <row r="27614" ht="15.75" customHeight="1">
      <c r="A27614" s="35"/>
      <c r="C27614" s="442"/>
      <c r="P27614" s="235"/>
      <c r="AI27614" s="38"/>
    </row>
    <row r="27615" ht="15.75" customHeight="1">
      <c r="A27615" s="35"/>
      <c r="C27615" s="442"/>
      <c r="P27615" s="235"/>
      <c r="AI27615" s="38"/>
    </row>
    <row r="27616" ht="15.75" customHeight="1">
      <c r="A27616" s="35"/>
      <c r="C27616" s="442"/>
      <c r="P27616" s="235"/>
      <c r="AI27616" s="38"/>
    </row>
    <row r="27617" ht="15.75" customHeight="1">
      <c r="A27617" s="35"/>
      <c r="C27617" s="442"/>
      <c r="P27617" s="235"/>
      <c r="AI27617" s="38"/>
    </row>
    <row r="27618" ht="15.75" customHeight="1">
      <c r="A27618" s="35"/>
      <c r="C27618" s="442"/>
      <c r="P27618" s="235"/>
      <c r="AI27618" s="38"/>
    </row>
    <row r="27619" ht="15.75" customHeight="1">
      <c r="A27619" s="35"/>
      <c r="C27619" s="442"/>
      <c r="P27619" s="235"/>
      <c r="AI27619" s="38"/>
    </row>
    <row r="27620" ht="15.75" customHeight="1">
      <c r="A27620" s="35"/>
      <c r="C27620" s="442"/>
      <c r="P27620" s="235"/>
      <c r="AI27620" s="38"/>
    </row>
    <row r="27621" ht="15.75" customHeight="1">
      <c r="A27621" s="35"/>
      <c r="C27621" s="442"/>
      <c r="P27621" s="235"/>
      <c r="AI27621" s="38"/>
    </row>
    <row r="27622" ht="15.75" customHeight="1">
      <c r="A27622" s="35"/>
      <c r="C27622" s="442"/>
      <c r="P27622" s="235"/>
      <c r="AI27622" s="38"/>
    </row>
    <row r="27623" ht="15.75" customHeight="1">
      <c r="A27623" s="35"/>
      <c r="C27623" s="442"/>
      <c r="P27623" s="235"/>
      <c r="AI27623" s="38"/>
    </row>
    <row r="27624" ht="15.75" customHeight="1">
      <c r="A27624" s="35"/>
      <c r="C27624" s="442"/>
      <c r="P27624" s="235"/>
      <c r="AI27624" s="38"/>
    </row>
    <row r="27625" ht="15.75" customHeight="1">
      <c r="A27625" s="35"/>
      <c r="C27625" s="442"/>
      <c r="P27625" s="235"/>
      <c r="AI27625" s="38"/>
    </row>
    <row r="27626" ht="15.75" customHeight="1">
      <c r="A27626" s="35"/>
      <c r="C27626" s="442"/>
      <c r="P27626" s="235"/>
      <c r="AI27626" s="38"/>
    </row>
    <row r="27627" ht="15.75" customHeight="1">
      <c r="A27627" s="35"/>
      <c r="C27627" s="442"/>
      <c r="P27627" s="235"/>
      <c r="AI27627" s="38"/>
    </row>
    <row r="27628" ht="15.75" customHeight="1">
      <c r="A27628" s="35"/>
      <c r="C27628" s="442"/>
      <c r="P27628" s="235"/>
      <c r="AI27628" s="38"/>
    </row>
    <row r="27629" ht="15.75" customHeight="1">
      <c r="A27629" s="35"/>
      <c r="C27629" s="442"/>
      <c r="P27629" s="235"/>
      <c r="AI27629" s="38"/>
    </row>
    <row r="27630" ht="15.75" customHeight="1">
      <c r="A27630" s="35"/>
      <c r="C27630" s="442"/>
      <c r="P27630" s="235"/>
      <c r="AI27630" s="38"/>
    </row>
    <row r="27631" ht="15.75" customHeight="1">
      <c r="A27631" s="35"/>
      <c r="C27631" s="442"/>
      <c r="P27631" s="235"/>
      <c r="AI27631" s="38"/>
    </row>
    <row r="27632" ht="15.75" customHeight="1">
      <c r="A27632" s="35"/>
      <c r="C27632" s="442"/>
      <c r="P27632" s="235"/>
      <c r="AI27632" s="38"/>
    </row>
    <row r="27633" ht="15.75" customHeight="1">
      <c r="A27633" s="35"/>
      <c r="C27633" s="442"/>
      <c r="P27633" s="235"/>
      <c r="AI27633" s="38"/>
    </row>
    <row r="27634" ht="15.75" customHeight="1">
      <c r="A27634" s="35"/>
      <c r="C27634" s="442"/>
      <c r="P27634" s="235"/>
      <c r="AI27634" s="38"/>
    </row>
    <row r="27635" ht="15.75" customHeight="1">
      <c r="A27635" s="35"/>
      <c r="C27635" s="442"/>
      <c r="P27635" s="235"/>
      <c r="AI27635" s="38"/>
    </row>
    <row r="27636" ht="15.75" customHeight="1">
      <c r="A27636" s="35"/>
      <c r="C27636" s="442"/>
      <c r="P27636" s="235"/>
      <c r="AI27636" s="38"/>
    </row>
    <row r="27637" ht="15.75" customHeight="1">
      <c r="A27637" s="35"/>
      <c r="C27637" s="442"/>
      <c r="P27637" s="235"/>
      <c r="AI27637" s="38"/>
    </row>
    <row r="27638" ht="15.75" customHeight="1">
      <c r="A27638" s="35"/>
      <c r="C27638" s="442"/>
      <c r="P27638" s="235"/>
      <c r="AI27638" s="38"/>
    </row>
    <row r="27639" ht="15.75" customHeight="1">
      <c r="A27639" s="35"/>
      <c r="C27639" s="442"/>
      <c r="P27639" s="235"/>
      <c r="AI27639" s="38"/>
    </row>
    <row r="27640" ht="15.75" customHeight="1">
      <c r="A27640" s="35"/>
      <c r="C27640" s="442"/>
      <c r="P27640" s="235"/>
      <c r="AI27640" s="38"/>
    </row>
    <row r="27641" ht="15.75" customHeight="1">
      <c r="A27641" s="35"/>
      <c r="C27641" s="442"/>
      <c r="P27641" s="235"/>
      <c r="AI27641" s="38"/>
    </row>
    <row r="27642" ht="15.75" customHeight="1">
      <c r="A27642" s="35"/>
      <c r="C27642" s="442"/>
      <c r="P27642" s="235"/>
      <c r="AI27642" s="38"/>
    </row>
    <row r="27643" ht="15.75" customHeight="1">
      <c r="A27643" s="35"/>
      <c r="C27643" s="442"/>
      <c r="P27643" s="235"/>
      <c r="AI27643" s="38"/>
    </row>
    <row r="27644" ht="15.75" customHeight="1">
      <c r="A27644" s="35"/>
      <c r="C27644" s="442"/>
      <c r="P27644" s="235"/>
      <c r="AI27644" s="38"/>
    </row>
    <row r="27645" ht="15.75" customHeight="1">
      <c r="A27645" s="35"/>
      <c r="C27645" s="442"/>
      <c r="P27645" s="235"/>
      <c r="AI27645" s="38"/>
    </row>
    <row r="27646" ht="15.75" customHeight="1">
      <c r="A27646" s="35"/>
      <c r="C27646" s="442"/>
      <c r="P27646" s="235"/>
      <c r="AI27646" s="38"/>
    </row>
    <row r="27647" ht="15.75" customHeight="1">
      <c r="A27647" s="35"/>
      <c r="C27647" s="442"/>
      <c r="P27647" s="235"/>
      <c r="AI27647" s="38"/>
    </row>
    <row r="27648" ht="15.75" customHeight="1">
      <c r="A27648" s="35"/>
      <c r="C27648" s="442"/>
      <c r="P27648" s="235"/>
      <c r="AI27648" s="38"/>
    </row>
    <row r="27649" ht="15.75" customHeight="1">
      <c r="A27649" s="35"/>
      <c r="C27649" s="442"/>
      <c r="P27649" s="235"/>
      <c r="AI27649" s="38"/>
    </row>
    <row r="27650" ht="15.75" customHeight="1">
      <c r="A27650" s="35"/>
      <c r="C27650" s="442"/>
      <c r="P27650" s="235"/>
      <c r="AI27650" s="38"/>
    </row>
    <row r="27651" ht="15.75" customHeight="1">
      <c r="A27651" s="35"/>
      <c r="C27651" s="442"/>
      <c r="P27651" s="235"/>
      <c r="AI27651" s="38"/>
    </row>
    <row r="27652" ht="15.75" customHeight="1">
      <c r="A27652" s="35"/>
      <c r="C27652" s="442"/>
      <c r="P27652" s="235"/>
      <c r="AI27652" s="38"/>
    </row>
    <row r="27653" ht="15.75" customHeight="1">
      <c r="A27653" s="35"/>
      <c r="C27653" s="442"/>
      <c r="P27653" s="235"/>
      <c r="AI27653" s="38"/>
    </row>
    <row r="27654" ht="15.75" customHeight="1">
      <c r="A27654" s="35"/>
      <c r="C27654" s="442"/>
      <c r="P27654" s="235"/>
      <c r="AI27654" s="38"/>
    </row>
    <row r="27655" ht="15.75" customHeight="1">
      <c r="A27655" s="35"/>
      <c r="C27655" s="442"/>
      <c r="P27655" s="235"/>
      <c r="AI27655" s="38"/>
    </row>
    <row r="27656" ht="15.75" customHeight="1">
      <c r="A27656" s="35"/>
      <c r="C27656" s="442"/>
      <c r="P27656" s="235"/>
      <c r="AI27656" s="38"/>
    </row>
    <row r="27657" ht="15.75" customHeight="1">
      <c r="A27657" s="35"/>
      <c r="C27657" s="442"/>
      <c r="P27657" s="235"/>
      <c r="AI27657" s="38"/>
    </row>
    <row r="27658" ht="15.75" customHeight="1">
      <c r="A27658" s="35"/>
      <c r="C27658" s="442"/>
      <c r="P27658" s="235"/>
      <c r="AI27658" s="38"/>
    </row>
    <row r="27659" ht="15.75" customHeight="1">
      <c r="A27659" s="35"/>
      <c r="C27659" s="442"/>
      <c r="P27659" s="235"/>
      <c r="AI27659" s="38"/>
    </row>
    <row r="27660" ht="15.75" customHeight="1">
      <c r="A27660" s="35"/>
      <c r="C27660" s="442"/>
      <c r="P27660" s="235"/>
      <c r="AI27660" s="38"/>
    </row>
    <row r="27661" ht="15.75" customHeight="1">
      <c r="A27661" s="35"/>
      <c r="C27661" s="442"/>
      <c r="P27661" s="235"/>
      <c r="AI27661" s="38"/>
    </row>
    <row r="27662" ht="15.75" customHeight="1">
      <c r="A27662" s="35"/>
      <c r="C27662" s="442"/>
      <c r="P27662" s="235"/>
      <c r="AI27662" s="38"/>
    </row>
    <row r="27663" ht="15.75" customHeight="1">
      <c r="A27663" s="35"/>
      <c r="C27663" s="442"/>
      <c r="P27663" s="235"/>
      <c r="AI27663" s="38"/>
    </row>
    <row r="27664" ht="15.75" customHeight="1">
      <c r="A27664" s="35"/>
      <c r="C27664" s="442"/>
      <c r="P27664" s="235"/>
      <c r="AI27664" s="38"/>
    </row>
    <row r="27665" ht="15.75" customHeight="1">
      <c r="A27665" s="35"/>
      <c r="C27665" s="442"/>
      <c r="P27665" s="235"/>
      <c r="AI27665" s="38"/>
    </row>
    <row r="27666" ht="15.75" customHeight="1">
      <c r="A27666" s="35"/>
      <c r="C27666" s="442"/>
      <c r="P27666" s="235"/>
      <c r="AI27666" s="38"/>
    </row>
    <row r="27667" ht="15.75" customHeight="1">
      <c r="A27667" s="35"/>
      <c r="C27667" s="442"/>
      <c r="P27667" s="235"/>
      <c r="AI27667" s="38"/>
    </row>
    <row r="27668" ht="15.75" customHeight="1">
      <c r="A27668" s="35"/>
      <c r="C27668" s="442"/>
      <c r="P27668" s="235"/>
      <c r="AI27668" s="38"/>
    </row>
    <row r="27669" ht="15.75" customHeight="1">
      <c r="A27669" s="35"/>
      <c r="C27669" s="442"/>
      <c r="P27669" s="235"/>
      <c r="AI27669" s="38"/>
    </row>
    <row r="27670" ht="15.75" customHeight="1">
      <c r="A27670" s="35"/>
      <c r="C27670" s="442"/>
      <c r="P27670" s="235"/>
      <c r="AI27670" s="38"/>
    </row>
    <row r="27671" ht="15.75" customHeight="1">
      <c r="A27671" s="35"/>
      <c r="C27671" s="442"/>
      <c r="P27671" s="235"/>
      <c r="AI27671" s="38"/>
    </row>
    <row r="27672" ht="15.75" customHeight="1">
      <c r="A27672" s="35"/>
      <c r="C27672" s="442"/>
      <c r="P27672" s="235"/>
      <c r="AI27672" s="38"/>
    </row>
    <row r="27673" ht="15.75" customHeight="1">
      <c r="A27673" s="35"/>
      <c r="C27673" s="442"/>
      <c r="P27673" s="235"/>
      <c r="AI27673" s="38"/>
    </row>
    <row r="27674" ht="15.75" customHeight="1">
      <c r="A27674" s="35"/>
      <c r="C27674" s="442"/>
      <c r="P27674" s="235"/>
      <c r="AI27674" s="38"/>
    </row>
    <row r="27675" ht="15.75" customHeight="1">
      <c r="A27675" s="35"/>
      <c r="C27675" s="442"/>
      <c r="P27675" s="235"/>
      <c r="AI27675" s="38"/>
    </row>
    <row r="27676" ht="15.75" customHeight="1">
      <c r="A27676" s="35"/>
      <c r="C27676" s="442"/>
      <c r="P27676" s="235"/>
      <c r="AI27676" s="38"/>
    </row>
    <row r="27677" ht="15.75" customHeight="1">
      <c r="A27677" s="35"/>
      <c r="C27677" s="442"/>
      <c r="P27677" s="235"/>
      <c r="AI27677" s="38"/>
    </row>
    <row r="27678" ht="15.75" customHeight="1">
      <c r="A27678" s="35"/>
      <c r="C27678" s="442"/>
      <c r="P27678" s="235"/>
      <c r="AI27678" s="38"/>
    </row>
    <row r="27679" ht="15.75" customHeight="1">
      <c r="A27679" s="35"/>
      <c r="C27679" s="442"/>
      <c r="P27679" s="235"/>
      <c r="AI27679" s="38"/>
    </row>
    <row r="27680" ht="15.75" customHeight="1">
      <c r="A27680" s="35"/>
      <c r="C27680" s="442"/>
      <c r="P27680" s="235"/>
      <c r="AI27680" s="38"/>
    </row>
    <row r="27681" ht="15.75" customHeight="1">
      <c r="A27681" s="35"/>
      <c r="C27681" s="442"/>
      <c r="P27681" s="235"/>
      <c r="AI27681" s="38"/>
    </row>
    <row r="27682" ht="15.75" customHeight="1">
      <c r="A27682" s="35"/>
      <c r="C27682" s="442"/>
      <c r="P27682" s="235"/>
      <c r="AI27682" s="38"/>
    </row>
    <row r="27683" ht="15.75" customHeight="1">
      <c r="A27683" s="35"/>
      <c r="C27683" s="442"/>
      <c r="P27683" s="235"/>
      <c r="AI27683" s="38"/>
    </row>
    <row r="27684" ht="15.75" customHeight="1">
      <c r="A27684" s="35"/>
      <c r="C27684" s="442"/>
      <c r="P27684" s="235"/>
      <c r="AI27684" s="38"/>
    </row>
    <row r="27685" ht="15.75" customHeight="1">
      <c r="A27685" s="35"/>
      <c r="C27685" s="442"/>
      <c r="P27685" s="235"/>
      <c r="AI27685" s="38"/>
    </row>
    <row r="27686" ht="15.75" customHeight="1">
      <c r="A27686" s="35"/>
      <c r="C27686" s="442"/>
      <c r="P27686" s="235"/>
      <c r="AI27686" s="38"/>
    </row>
    <row r="27687" ht="15.75" customHeight="1">
      <c r="A27687" s="35"/>
      <c r="C27687" s="442"/>
      <c r="P27687" s="235"/>
      <c r="AI27687" s="38"/>
    </row>
    <row r="27688" ht="15.75" customHeight="1">
      <c r="A27688" s="35"/>
      <c r="C27688" s="442"/>
      <c r="P27688" s="235"/>
      <c r="AI27688" s="38"/>
    </row>
    <row r="27689" ht="15.75" customHeight="1">
      <c r="A27689" s="35"/>
      <c r="C27689" s="442"/>
      <c r="P27689" s="235"/>
      <c r="AI27689" s="38"/>
    </row>
    <row r="27690" ht="15.75" customHeight="1">
      <c r="A27690" s="35"/>
      <c r="C27690" s="442"/>
      <c r="P27690" s="235"/>
      <c r="AI27690" s="38"/>
    </row>
    <row r="27691" ht="15.75" customHeight="1">
      <c r="A27691" s="35"/>
      <c r="C27691" s="442"/>
      <c r="P27691" s="235"/>
      <c r="AI27691" s="38"/>
    </row>
    <row r="27692" ht="15.75" customHeight="1">
      <c r="A27692" s="35"/>
      <c r="C27692" s="442"/>
      <c r="P27692" s="235"/>
      <c r="AI27692" s="38"/>
    </row>
    <row r="27693" ht="15.75" customHeight="1">
      <c r="A27693" s="35"/>
      <c r="C27693" s="442"/>
      <c r="P27693" s="235"/>
      <c r="AI27693" s="38"/>
    </row>
    <row r="27694" ht="15.75" customHeight="1">
      <c r="A27694" s="35"/>
      <c r="C27694" s="442"/>
      <c r="P27694" s="235"/>
      <c r="AI27694" s="38"/>
    </row>
    <row r="27695" ht="15.75" customHeight="1">
      <c r="A27695" s="35"/>
      <c r="C27695" s="442"/>
      <c r="P27695" s="235"/>
      <c r="AI27695" s="38"/>
    </row>
    <row r="27696" ht="15.75" customHeight="1">
      <c r="A27696" s="35"/>
      <c r="C27696" s="442"/>
      <c r="P27696" s="235"/>
      <c r="AI27696" s="38"/>
    </row>
    <row r="27697" ht="15.75" customHeight="1">
      <c r="A27697" s="35"/>
      <c r="C27697" s="442"/>
      <c r="P27697" s="235"/>
      <c r="AI27697" s="38"/>
    </row>
    <row r="27698" ht="15.75" customHeight="1">
      <c r="A27698" s="35"/>
      <c r="C27698" s="442"/>
      <c r="P27698" s="235"/>
      <c r="AI27698" s="38"/>
    </row>
    <row r="27699" ht="15.75" customHeight="1">
      <c r="A27699" s="35"/>
      <c r="C27699" s="442"/>
      <c r="P27699" s="235"/>
      <c r="AI27699" s="38"/>
    </row>
    <row r="27700" ht="15.75" customHeight="1">
      <c r="A27700" s="35"/>
      <c r="C27700" s="442"/>
      <c r="P27700" s="235"/>
      <c r="AI27700" s="38"/>
    </row>
    <row r="27701" ht="15.75" customHeight="1">
      <c r="A27701" s="35"/>
      <c r="C27701" s="442"/>
      <c r="P27701" s="235"/>
      <c r="AI27701" s="38"/>
    </row>
    <row r="27702" ht="15.75" customHeight="1">
      <c r="A27702" s="35"/>
      <c r="C27702" s="442"/>
      <c r="P27702" s="235"/>
      <c r="AI27702" s="38"/>
    </row>
    <row r="27703" ht="15.75" customHeight="1">
      <c r="A27703" s="35"/>
      <c r="C27703" s="442"/>
      <c r="P27703" s="235"/>
      <c r="AI27703" s="38"/>
    </row>
    <row r="27704" ht="15.75" customHeight="1">
      <c r="A27704" s="35"/>
      <c r="C27704" s="442"/>
      <c r="P27704" s="235"/>
      <c r="AI27704" s="38"/>
    </row>
    <row r="27705" ht="15.75" customHeight="1">
      <c r="A27705" s="35"/>
      <c r="C27705" s="442"/>
      <c r="P27705" s="235"/>
      <c r="AI27705" s="38"/>
    </row>
    <row r="27706" ht="15.75" customHeight="1">
      <c r="A27706" s="35"/>
      <c r="C27706" s="442"/>
      <c r="P27706" s="235"/>
      <c r="AI27706" s="38"/>
    </row>
    <row r="27707" ht="15.75" customHeight="1">
      <c r="A27707" s="35"/>
      <c r="C27707" s="442"/>
      <c r="P27707" s="235"/>
      <c r="AI27707" s="38"/>
    </row>
    <row r="27708" ht="15.75" customHeight="1">
      <c r="A27708" s="35"/>
      <c r="C27708" s="442"/>
      <c r="P27708" s="235"/>
      <c r="AI27708" s="38"/>
    </row>
    <row r="27709" ht="15.75" customHeight="1">
      <c r="A27709" s="35"/>
      <c r="C27709" s="442"/>
      <c r="P27709" s="235"/>
      <c r="AI27709" s="38"/>
    </row>
    <row r="27710" ht="15.75" customHeight="1">
      <c r="A27710" s="35"/>
      <c r="C27710" s="442"/>
      <c r="P27710" s="235"/>
      <c r="AI27710" s="38"/>
    </row>
    <row r="27711" ht="15.75" customHeight="1">
      <c r="A27711" s="35"/>
      <c r="C27711" s="442"/>
      <c r="P27711" s="235"/>
      <c r="AI27711" s="38"/>
    </row>
    <row r="27712" ht="15.75" customHeight="1">
      <c r="A27712" s="35"/>
      <c r="C27712" s="442"/>
      <c r="P27712" s="235"/>
      <c r="AI27712" s="38"/>
    </row>
    <row r="27713" ht="15.75" customHeight="1">
      <c r="A27713" s="35"/>
      <c r="C27713" s="442"/>
      <c r="P27713" s="235"/>
      <c r="AI27713" s="38"/>
    </row>
    <row r="27714" ht="15.75" customHeight="1">
      <c r="A27714" s="35"/>
      <c r="C27714" s="442"/>
      <c r="P27714" s="235"/>
      <c r="AI27714" s="38"/>
    </row>
    <row r="27715" ht="15.75" customHeight="1">
      <c r="A27715" s="35"/>
      <c r="C27715" s="442"/>
      <c r="P27715" s="235"/>
      <c r="AI27715" s="38"/>
    </row>
    <row r="27716" ht="15.75" customHeight="1">
      <c r="A27716" s="35"/>
      <c r="C27716" s="442"/>
      <c r="P27716" s="235"/>
      <c r="AI27716" s="38"/>
    </row>
    <row r="27717" ht="15.75" customHeight="1">
      <c r="A27717" s="35"/>
      <c r="C27717" s="442"/>
      <c r="P27717" s="235"/>
      <c r="AI27717" s="38"/>
    </row>
    <row r="27718" ht="15.75" customHeight="1">
      <c r="A27718" s="35"/>
      <c r="C27718" s="442"/>
      <c r="P27718" s="235"/>
      <c r="AI27718" s="38"/>
    </row>
    <row r="27719" ht="15.75" customHeight="1">
      <c r="A27719" s="35"/>
      <c r="C27719" s="442"/>
      <c r="P27719" s="235"/>
      <c r="AI27719" s="38"/>
    </row>
    <row r="27720" ht="15.75" customHeight="1">
      <c r="A27720" s="35"/>
      <c r="C27720" s="442"/>
      <c r="P27720" s="235"/>
      <c r="AI27720" s="38"/>
    </row>
    <row r="27721" ht="15.75" customHeight="1">
      <c r="A27721" s="35"/>
      <c r="C27721" s="442"/>
      <c r="P27721" s="235"/>
      <c r="AI27721" s="38"/>
    </row>
    <row r="27722" ht="15.75" customHeight="1">
      <c r="A27722" s="35"/>
      <c r="C27722" s="442"/>
      <c r="P27722" s="235"/>
      <c r="AI27722" s="38"/>
    </row>
    <row r="27723" ht="15.75" customHeight="1">
      <c r="A27723" s="35"/>
      <c r="C27723" s="442"/>
      <c r="P27723" s="235"/>
      <c r="AI27723" s="38"/>
    </row>
    <row r="27724" ht="15.75" customHeight="1">
      <c r="A27724" s="35"/>
      <c r="C27724" s="442"/>
      <c r="P27724" s="235"/>
      <c r="AI27724" s="38"/>
    </row>
    <row r="27725" ht="15.75" customHeight="1">
      <c r="A27725" s="35"/>
      <c r="C27725" s="442"/>
      <c r="P27725" s="235"/>
      <c r="AI27725" s="38"/>
    </row>
    <row r="27726" ht="15.75" customHeight="1">
      <c r="A27726" s="35"/>
      <c r="C27726" s="442"/>
      <c r="P27726" s="235"/>
      <c r="AI27726" s="38"/>
    </row>
    <row r="27727" ht="15.75" customHeight="1">
      <c r="A27727" s="35"/>
      <c r="C27727" s="442"/>
      <c r="P27727" s="235"/>
      <c r="AI27727" s="38"/>
    </row>
    <row r="27728" ht="15.75" customHeight="1">
      <c r="A27728" s="35"/>
      <c r="C27728" s="442"/>
      <c r="P27728" s="235"/>
      <c r="AI27728" s="38"/>
    </row>
    <row r="27729" ht="15.75" customHeight="1">
      <c r="A27729" s="35"/>
      <c r="C27729" s="442"/>
      <c r="P27729" s="235"/>
      <c r="AI27729" s="38"/>
    </row>
    <row r="27730" ht="15.75" customHeight="1">
      <c r="A27730" s="35"/>
      <c r="C27730" s="442"/>
      <c r="P27730" s="235"/>
      <c r="AI27730" s="38"/>
    </row>
    <row r="27731" ht="15.75" customHeight="1">
      <c r="A27731" s="35"/>
      <c r="C27731" s="442"/>
      <c r="P27731" s="235"/>
      <c r="AI27731" s="38"/>
    </row>
    <row r="27732" ht="15.75" customHeight="1">
      <c r="A27732" s="35"/>
      <c r="C27732" s="442"/>
      <c r="P27732" s="235"/>
      <c r="AI27732" s="38"/>
    </row>
    <row r="27733" ht="15.75" customHeight="1">
      <c r="A27733" s="35"/>
      <c r="C27733" s="442"/>
      <c r="P27733" s="235"/>
      <c r="AI27733" s="38"/>
    </row>
    <row r="27734" ht="15.75" customHeight="1">
      <c r="A27734" s="35"/>
      <c r="C27734" s="442"/>
      <c r="P27734" s="235"/>
      <c r="AI27734" s="38"/>
    </row>
    <row r="27735" ht="15.75" customHeight="1">
      <c r="A27735" s="35"/>
      <c r="C27735" s="442"/>
      <c r="P27735" s="235"/>
      <c r="AI27735" s="38"/>
    </row>
    <row r="27736" ht="15.75" customHeight="1">
      <c r="A27736" s="35"/>
      <c r="C27736" s="442"/>
      <c r="P27736" s="235"/>
      <c r="AI27736" s="38"/>
    </row>
    <row r="27737" ht="15.75" customHeight="1">
      <c r="A27737" s="35"/>
      <c r="C27737" s="442"/>
      <c r="P27737" s="235"/>
      <c r="AI27737" s="38"/>
    </row>
    <row r="27738" ht="15.75" customHeight="1">
      <c r="A27738" s="35"/>
      <c r="C27738" s="442"/>
      <c r="P27738" s="235"/>
      <c r="AI27738" s="38"/>
    </row>
    <row r="27739" ht="15.75" customHeight="1">
      <c r="A27739" s="35"/>
      <c r="C27739" s="442"/>
      <c r="P27739" s="235"/>
      <c r="AI27739" s="38"/>
    </row>
    <row r="27740" ht="15.75" customHeight="1">
      <c r="A27740" s="35"/>
      <c r="C27740" s="442"/>
      <c r="P27740" s="235"/>
      <c r="AI27740" s="38"/>
    </row>
    <row r="27741" ht="15.75" customHeight="1">
      <c r="A27741" s="35"/>
      <c r="C27741" s="442"/>
      <c r="P27741" s="235"/>
      <c r="AI27741" s="38"/>
    </row>
    <row r="27742" ht="15.75" customHeight="1">
      <c r="A27742" s="35"/>
      <c r="C27742" s="442"/>
      <c r="P27742" s="235"/>
      <c r="AI27742" s="38"/>
    </row>
    <row r="27743" ht="15.75" customHeight="1">
      <c r="A27743" s="35"/>
      <c r="C27743" s="442"/>
      <c r="P27743" s="235"/>
      <c r="AI27743" s="38"/>
    </row>
    <row r="27744" ht="15.75" customHeight="1">
      <c r="A27744" s="35"/>
      <c r="C27744" s="442"/>
      <c r="P27744" s="235"/>
      <c r="AI27744" s="38"/>
    </row>
    <row r="27745" ht="15.75" customHeight="1">
      <c r="A27745" s="35"/>
      <c r="C27745" s="442"/>
      <c r="P27745" s="235"/>
      <c r="AI27745" s="38"/>
    </row>
    <row r="27746" ht="15.75" customHeight="1">
      <c r="A27746" s="35"/>
      <c r="C27746" s="442"/>
      <c r="P27746" s="235"/>
      <c r="AI27746" s="38"/>
    </row>
    <row r="27747" ht="15.75" customHeight="1">
      <c r="A27747" s="35"/>
      <c r="C27747" s="442"/>
      <c r="P27747" s="235"/>
      <c r="AI27747" s="38"/>
    </row>
    <row r="27748" ht="15.75" customHeight="1">
      <c r="A27748" s="35"/>
      <c r="C27748" s="442"/>
      <c r="P27748" s="235"/>
      <c r="AI27748" s="38"/>
    </row>
    <row r="27749" ht="15.75" customHeight="1">
      <c r="A27749" s="35"/>
      <c r="C27749" s="442"/>
      <c r="P27749" s="235"/>
      <c r="AI27749" s="38"/>
    </row>
    <row r="27750" ht="15.75" customHeight="1">
      <c r="A27750" s="35"/>
      <c r="C27750" s="442"/>
      <c r="P27750" s="235"/>
      <c r="AI27750" s="38"/>
    </row>
    <row r="27751" ht="15.75" customHeight="1">
      <c r="A27751" s="35"/>
      <c r="C27751" s="442"/>
      <c r="P27751" s="235"/>
      <c r="AI27751" s="38"/>
    </row>
    <row r="27752" ht="15.75" customHeight="1">
      <c r="A27752" s="35"/>
      <c r="C27752" s="442"/>
      <c r="P27752" s="235"/>
      <c r="AI27752" s="38"/>
    </row>
    <row r="27753" ht="15.75" customHeight="1">
      <c r="A27753" s="35"/>
      <c r="C27753" s="442"/>
      <c r="P27753" s="235"/>
      <c r="AI27753" s="38"/>
    </row>
    <row r="27754" ht="15.75" customHeight="1">
      <c r="A27754" s="35"/>
      <c r="C27754" s="442"/>
      <c r="P27754" s="235"/>
      <c r="AI27754" s="38"/>
    </row>
    <row r="27755" ht="15.75" customHeight="1">
      <c r="A27755" s="35"/>
      <c r="C27755" s="442"/>
      <c r="P27755" s="235"/>
      <c r="AI27755" s="38"/>
    </row>
    <row r="27756" ht="15.75" customHeight="1">
      <c r="A27756" s="35"/>
      <c r="C27756" s="442"/>
      <c r="P27756" s="235"/>
      <c r="AI27756" s="38"/>
    </row>
    <row r="27757" ht="15.75" customHeight="1">
      <c r="A27757" s="35"/>
      <c r="C27757" s="442"/>
      <c r="P27757" s="235"/>
      <c r="AI27757" s="38"/>
    </row>
    <row r="27758" ht="15.75" customHeight="1">
      <c r="A27758" s="35"/>
      <c r="C27758" s="442"/>
      <c r="P27758" s="235"/>
      <c r="AI27758" s="38"/>
    </row>
    <row r="27759" ht="15.75" customHeight="1">
      <c r="A27759" s="35"/>
      <c r="C27759" s="442"/>
      <c r="P27759" s="235"/>
      <c r="AI27759" s="38"/>
    </row>
    <row r="27760" ht="15.75" customHeight="1">
      <c r="A27760" s="35"/>
      <c r="C27760" s="442"/>
      <c r="P27760" s="235"/>
      <c r="AI27760" s="38"/>
    </row>
    <row r="27761" ht="15.75" customHeight="1">
      <c r="A27761" s="35"/>
      <c r="C27761" s="442"/>
      <c r="P27761" s="235"/>
      <c r="AI27761" s="38"/>
    </row>
    <row r="27762" ht="15.75" customHeight="1">
      <c r="A27762" s="35"/>
      <c r="C27762" s="442"/>
      <c r="P27762" s="235"/>
      <c r="AI27762" s="38"/>
    </row>
    <row r="27763" ht="15.75" customHeight="1">
      <c r="A27763" s="35"/>
      <c r="C27763" s="442"/>
      <c r="P27763" s="235"/>
      <c r="AI27763" s="38"/>
    </row>
    <row r="27764" ht="15.75" customHeight="1">
      <c r="A27764" s="35"/>
      <c r="C27764" s="442"/>
      <c r="P27764" s="235"/>
      <c r="AI27764" s="38"/>
    </row>
    <row r="27765" ht="15.75" customHeight="1">
      <c r="A27765" s="35"/>
      <c r="C27765" s="442"/>
      <c r="P27765" s="235"/>
      <c r="AI27765" s="38"/>
    </row>
    <row r="27766" ht="15.75" customHeight="1">
      <c r="A27766" s="35"/>
      <c r="C27766" s="442"/>
      <c r="P27766" s="235"/>
      <c r="AI27766" s="38"/>
    </row>
    <row r="27767" ht="15.75" customHeight="1">
      <c r="A27767" s="35"/>
      <c r="C27767" s="442"/>
      <c r="P27767" s="235"/>
      <c r="AI27767" s="38"/>
    </row>
    <row r="27768" ht="15.75" customHeight="1">
      <c r="A27768" s="35"/>
      <c r="C27768" s="442"/>
      <c r="P27768" s="235"/>
      <c r="AI27768" s="38"/>
    </row>
    <row r="27769" ht="15.75" customHeight="1">
      <c r="A27769" s="35"/>
      <c r="C27769" s="442"/>
      <c r="P27769" s="235"/>
      <c r="AI27769" s="38"/>
    </row>
    <row r="27770" ht="15.75" customHeight="1">
      <c r="A27770" s="35"/>
      <c r="C27770" s="442"/>
      <c r="P27770" s="235"/>
      <c r="AI27770" s="38"/>
    </row>
    <row r="27771" ht="15.75" customHeight="1">
      <c r="A27771" s="35"/>
      <c r="C27771" s="442"/>
      <c r="P27771" s="235"/>
      <c r="AI27771" s="38"/>
    </row>
    <row r="27772" ht="15.75" customHeight="1">
      <c r="A27772" s="35"/>
      <c r="C27772" s="442"/>
      <c r="P27772" s="235"/>
      <c r="AI27772" s="38"/>
    </row>
    <row r="27773" ht="15.75" customHeight="1">
      <c r="A27773" s="35"/>
      <c r="C27773" s="442"/>
      <c r="P27773" s="235"/>
      <c r="AI27773" s="38"/>
    </row>
    <row r="27774" ht="15.75" customHeight="1">
      <c r="A27774" s="35"/>
      <c r="C27774" s="442"/>
      <c r="P27774" s="235"/>
      <c r="AI27774" s="38"/>
    </row>
    <row r="27775" ht="15.75" customHeight="1">
      <c r="A27775" s="35"/>
      <c r="C27775" s="442"/>
      <c r="P27775" s="235"/>
      <c r="AI27775" s="38"/>
    </row>
    <row r="27776" ht="15.75" customHeight="1">
      <c r="A27776" s="35"/>
      <c r="C27776" s="442"/>
      <c r="P27776" s="235"/>
      <c r="AI27776" s="38"/>
    </row>
    <row r="27777" ht="15.75" customHeight="1">
      <c r="A27777" s="35"/>
      <c r="C27777" s="442"/>
      <c r="P27777" s="235"/>
      <c r="AI27777" s="38"/>
    </row>
    <row r="27778" ht="15.75" customHeight="1">
      <c r="A27778" s="35"/>
      <c r="C27778" s="442"/>
      <c r="P27778" s="235"/>
      <c r="AI27778" s="38"/>
    </row>
    <row r="27779" ht="15.75" customHeight="1">
      <c r="A27779" s="35"/>
      <c r="C27779" s="442"/>
      <c r="P27779" s="235"/>
      <c r="AI27779" s="38"/>
    </row>
    <row r="27780" ht="15.75" customHeight="1">
      <c r="A27780" s="35"/>
      <c r="C27780" s="442"/>
      <c r="P27780" s="235"/>
      <c r="AI27780" s="38"/>
    </row>
    <row r="27781" ht="15.75" customHeight="1">
      <c r="A27781" s="35"/>
      <c r="C27781" s="442"/>
      <c r="P27781" s="235"/>
      <c r="AI27781" s="38"/>
    </row>
    <row r="27782" ht="15.75" customHeight="1">
      <c r="A27782" s="35"/>
      <c r="C27782" s="442"/>
      <c r="P27782" s="235"/>
      <c r="AI27782" s="38"/>
    </row>
    <row r="27783" ht="15.75" customHeight="1">
      <c r="A27783" s="35"/>
      <c r="C27783" s="442"/>
      <c r="P27783" s="235"/>
      <c r="AI27783" s="38"/>
    </row>
    <row r="27784" ht="15.75" customHeight="1">
      <c r="A27784" s="35"/>
      <c r="C27784" s="442"/>
      <c r="P27784" s="235"/>
      <c r="AI27784" s="38"/>
    </row>
    <row r="27785" ht="15.75" customHeight="1">
      <c r="A27785" s="35"/>
      <c r="C27785" s="442"/>
      <c r="P27785" s="235"/>
      <c r="AI27785" s="38"/>
    </row>
    <row r="27786" ht="15.75" customHeight="1">
      <c r="A27786" s="35"/>
      <c r="C27786" s="442"/>
      <c r="P27786" s="235"/>
      <c r="AI27786" s="38"/>
    </row>
    <row r="27787" ht="15.75" customHeight="1">
      <c r="A27787" s="35"/>
      <c r="C27787" s="442"/>
      <c r="P27787" s="235"/>
      <c r="AI27787" s="38"/>
    </row>
    <row r="27788" ht="15.75" customHeight="1">
      <c r="A27788" s="35"/>
      <c r="C27788" s="442"/>
      <c r="P27788" s="235"/>
      <c r="AI27788" s="38"/>
    </row>
    <row r="27789" ht="15.75" customHeight="1">
      <c r="A27789" s="35"/>
      <c r="C27789" s="442"/>
      <c r="P27789" s="235"/>
      <c r="AI27789" s="38"/>
    </row>
    <row r="27790" ht="15.75" customHeight="1">
      <c r="A27790" s="35"/>
      <c r="C27790" s="442"/>
      <c r="P27790" s="235"/>
      <c r="AI27790" s="38"/>
    </row>
    <row r="27791" ht="15.75" customHeight="1">
      <c r="A27791" s="35"/>
      <c r="C27791" s="442"/>
      <c r="P27791" s="235"/>
      <c r="AI27791" s="38"/>
    </row>
    <row r="27792" ht="15.75" customHeight="1">
      <c r="A27792" s="35"/>
      <c r="C27792" s="442"/>
      <c r="P27792" s="235"/>
      <c r="AI27792" s="38"/>
    </row>
    <row r="27793" ht="15.75" customHeight="1">
      <c r="A27793" s="35"/>
      <c r="C27793" s="442"/>
      <c r="P27793" s="235"/>
      <c r="AI27793" s="38"/>
    </row>
    <row r="27794" ht="15.75" customHeight="1">
      <c r="A27794" s="35"/>
      <c r="C27794" s="442"/>
      <c r="P27794" s="235"/>
      <c r="AI27794" s="38"/>
    </row>
    <row r="27795" ht="15.75" customHeight="1">
      <c r="A27795" s="35"/>
      <c r="C27795" s="442"/>
      <c r="P27795" s="235"/>
      <c r="AI27795" s="38"/>
    </row>
    <row r="27796" ht="15.75" customHeight="1">
      <c r="A27796" s="35"/>
      <c r="C27796" s="442"/>
      <c r="P27796" s="235"/>
      <c r="AI27796" s="38"/>
    </row>
    <row r="27797" ht="15.75" customHeight="1">
      <c r="A27797" s="35"/>
      <c r="C27797" s="442"/>
      <c r="P27797" s="235"/>
      <c r="AI27797" s="38"/>
    </row>
    <row r="27798" ht="15.75" customHeight="1">
      <c r="A27798" s="35"/>
      <c r="C27798" s="442"/>
      <c r="P27798" s="235"/>
      <c r="AI27798" s="38"/>
    </row>
    <row r="27799" ht="15.75" customHeight="1">
      <c r="A27799" s="35"/>
      <c r="C27799" s="442"/>
      <c r="P27799" s="235"/>
      <c r="AI27799" s="38"/>
    </row>
    <row r="27800" ht="15.75" customHeight="1">
      <c r="A27800" s="35"/>
      <c r="C27800" s="442"/>
      <c r="P27800" s="235"/>
      <c r="AI27800" s="38"/>
    </row>
    <row r="27801" ht="15.75" customHeight="1">
      <c r="A27801" s="35"/>
      <c r="C27801" s="442"/>
      <c r="P27801" s="235"/>
      <c r="AI27801" s="38"/>
    </row>
    <row r="27802" ht="15.75" customHeight="1">
      <c r="A27802" s="35"/>
      <c r="C27802" s="442"/>
      <c r="P27802" s="235"/>
      <c r="AI27802" s="38"/>
    </row>
    <row r="27803" ht="15.75" customHeight="1">
      <c r="A27803" s="35"/>
      <c r="C27803" s="442"/>
      <c r="P27803" s="235"/>
      <c r="AI27803" s="38"/>
    </row>
    <row r="27804" ht="15.75" customHeight="1">
      <c r="A27804" s="35"/>
      <c r="C27804" s="442"/>
      <c r="P27804" s="235"/>
      <c r="AI27804" s="38"/>
    </row>
    <row r="27805" ht="15.75" customHeight="1">
      <c r="A27805" s="35"/>
      <c r="C27805" s="442"/>
      <c r="P27805" s="235"/>
      <c r="AI27805" s="38"/>
    </row>
    <row r="27806" ht="15.75" customHeight="1">
      <c r="A27806" s="35"/>
      <c r="C27806" s="442"/>
      <c r="P27806" s="235"/>
      <c r="AI27806" s="38"/>
    </row>
    <row r="27807" ht="15.75" customHeight="1">
      <c r="A27807" s="35"/>
      <c r="C27807" s="442"/>
      <c r="P27807" s="235"/>
      <c r="AI27807" s="38"/>
    </row>
    <row r="27808" ht="15.75" customHeight="1">
      <c r="A27808" s="35"/>
      <c r="C27808" s="442"/>
      <c r="P27808" s="235"/>
      <c r="AI27808" s="38"/>
    </row>
    <row r="27809" ht="15.75" customHeight="1">
      <c r="A27809" s="35"/>
      <c r="C27809" s="442"/>
      <c r="P27809" s="235"/>
      <c r="AI27809" s="38"/>
    </row>
    <row r="27810" ht="15.75" customHeight="1">
      <c r="A27810" s="35"/>
      <c r="C27810" s="442"/>
      <c r="P27810" s="235"/>
      <c r="AI27810" s="38"/>
    </row>
    <row r="27811" ht="15.75" customHeight="1">
      <c r="A27811" s="35"/>
      <c r="C27811" s="442"/>
      <c r="P27811" s="235"/>
      <c r="AI27811" s="38"/>
    </row>
    <row r="27812" ht="15.75" customHeight="1">
      <c r="A27812" s="35"/>
      <c r="C27812" s="442"/>
      <c r="P27812" s="235"/>
      <c r="AI27812" s="38"/>
    </row>
    <row r="27813" ht="15.75" customHeight="1">
      <c r="A27813" s="35"/>
      <c r="C27813" s="442"/>
      <c r="P27813" s="235"/>
      <c r="AI27813" s="38"/>
    </row>
    <row r="27814" ht="15.75" customHeight="1">
      <c r="A27814" s="35"/>
      <c r="C27814" s="442"/>
      <c r="P27814" s="235"/>
      <c r="AI27814" s="38"/>
    </row>
    <row r="27815" ht="15.75" customHeight="1">
      <c r="A27815" s="35"/>
      <c r="C27815" s="442"/>
      <c r="P27815" s="235"/>
      <c r="AI27815" s="38"/>
    </row>
    <row r="27816" ht="15.75" customHeight="1">
      <c r="A27816" s="35"/>
      <c r="C27816" s="442"/>
      <c r="P27816" s="235"/>
      <c r="AI27816" s="38"/>
    </row>
    <row r="27817" ht="15.75" customHeight="1">
      <c r="A27817" s="35"/>
      <c r="C27817" s="442"/>
      <c r="P27817" s="235"/>
      <c r="AI27817" s="38"/>
    </row>
    <row r="27818" ht="15.75" customHeight="1">
      <c r="A27818" s="35"/>
      <c r="C27818" s="442"/>
      <c r="P27818" s="235"/>
      <c r="AI27818" s="38"/>
    </row>
    <row r="27819" ht="15.75" customHeight="1">
      <c r="A27819" s="35"/>
      <c r="C27819" s="442"/>
      <c r="P27819" s="235"/>
      <c r="AI27819" s="38"/>
    </row>
    <row r="27820" ht="15.75" customHeight="1">
      <c r="A27820" s="35"/>
      <c r="C27820" s="442"/>
      <c r="P27820" s="235"/>
      <c r="AI27820" s="38"/>
    </row>
    <row r="27821" ht="15.75" customHeight="1">
      <c r="A27821" s="35"/>
      <c r="C27821" s="442"/>
      <c r="P27821" s="235"/>
      <c r="AI27821" s="38"/>
    </row>
    <row r="27822" ht="15.75" customHeight="1">
      <c r="A27822" s="35"/>
      <c r="C27822" s="442"/>
      <c r="P27822" s="235"/>
      <c r="AI27822" s="38"/>
    </row>
    <row r="27823" ht="15.75" customHeight="1">
      <c r="A27823" s="35"/>
      <c r="C27823" s="442"/>
      <c r="P27823" s="235"/>
      <c r="AI27823" s="38"/>
    </row>
    <row r="27824" ht="15.75" customHeight="1">
      <c r="A27824" s="35"/>
      <c r="C27824" s="442"/>
      <c r="P27824" s="235"/>
      <c r="AI27824" s="38"/>
    </row>
    <row r="27825" ht="15.75" customHeight="1">
      <c r="A27825" s="35"/>
      <c r="C27825" s="442"/>
      <c r="P27825" s="235"/>
      <c r="AI27825" s="38"/>
    </row>
    <row r="27826" ht="15.75" customHeight="1">
      <c r="A27826" s="35"/>
      <c r="C27826" s="442"/>
      <c r="P27826" s="235"/>
      <c r="AI27826" s="38"/>
    </row>
    <row r="27827" ht="15.75" customHeight="1">
      <c r="A27827" s="35"/>
      <c r="C27827" s="442"/>
      <c r="P27827" s="235"/>
      <c r="AI27827" s="38"/>
    </row>
    <row r="27828" ht="15.75" customHeight="1">
      <c r="A27828" s="35"/>
      <c r="C27828" s="442"/>
      <c r="P27828" s="235"/>
      <c r="AI27828" s="38"/>
    </row>
    <row r="27829" ht="15.75" customHeight="1">
      <c r="A27829" s="35"/>
      <c r="C27829" s="442"/>
      <c r="P27829" s="235"/>
      <c r="AI27829" s="38"/>
    </row>
    <row r="27830" ht="15.75" customHeight="1">
      <c r="A27830" s="35"/>
      <c r="C27830" s="442"/>
      <c r="P27830" s="235"/>
      <c r="AI27830" s="38"/>
    </row>
    <row r="27831" ht="15.75" customHeight="1">
      <c r="A27831" s="35"/>
      <c r="C27831" s="442"/>
      <c r="P27831" s="235"/>
      <c r="AI27831" s="38"/>
    </row>
    <row r="27832" ht="15.75" customHeight="1">
      <c r="A27832" s="35"/>
      <c r="C27832" s="442"/>
      <c r="P27832" s="235"/>
      <c r="AI27832" s="38"/>
    </row>
    <row r="27833" ht="15.75" customHeight="1">
      <c r="A27833" s="35"/>
      <c r="C27833" s="442"/>
      <c r="P27833" s="235"/>
      <c r="AI27833" s="38"/>
    </row>
    <row r="27834" ht="15.75" customHeight="1">
      <c r="A27834" s="35"/>
      <c r="C27834" s="442"/>
      <c r="P27834" s="235"/>
      <c r="AI27834" s="38"/>
    </row>
    <row r="27835" ht="15.75" customHeight="1">
      <c r="A27835" s="35"/>
      <c r="C27835" s="442"/>
      <c r="P27835" s="235"/>
      <c r="AI27835" s="38"/>
    </row>
    <row r="27836" ht="15.75" customHeight="1">
      <c r="A27836" s="35"/>
      <c r="C27836" s="442"/>
      <c r="P27836" s="235"/>
      <c r="AI27836" s="38"/>
    </row>
    <row r="27837" ht="15.75" customHeight="1">
      <c r="A27837" s="35"/>
      <c r="C27837" s="442"/>
      <c r="P27837" s="235"/>
      <c r="AI27837" s="38"/>
    </row>
    <row r="27838" ht="15.75" customHeight="1">
      <c r="A27838" s="35"/>
      <c r="C27838" s="442"/>
      <c r="P27838" s="235"/>
      <c r="AI27838" s="38"/>
    </row>
    <row r="27839" ht="15.75" customHeight="1">
      <c r="A27839" s="35"/>
      <c r="C27839" s="442"/>
      <c r="P27839" s="235"/>
      <c r="AI27839" s="38"/>
    </row>
    <row r="27840" ht="15.75" customHeight="1">
      <c r="A27840" s="35"/>
      <c r="C27840" s="442"/>
      <c r="P27840" s="235"/>
      <c r="AI27840" s="38"/>
    </row>
    <row r="27841" ht="15.75" customHeight="1">
      <c r="A27841" s="35"/>
      <c r="C27841" s="442"/>
      <c r="P27841" s="235"/>
      <c r="AI27841" s="38"/>
    </row>
    <row r="27842" ht="15.75" customHeight="1">
      <c r="A27842" s="35"/>
      <c r="C27842" s="442"/>
      <c r="P27842" s="235"/>
      <c r="AI27842" s="38"/>
    </row>
    <row r="27843" ht="15.75" customHeight="1">
      <c r="A27843" s="35"/>
      <c r="C27843" s="442"/>
      <c r="P27843" s="235"/>
      <c r="AI27843" s="38"/>
    </row>
    <row r="27844" ht="15.75" customHeight="1">
      <c r="A27844" s="35"/>
      <c r="C27844" s="442"/>
      <c r="P27844" s="235"/>
      <c r="AI27844" s="38"/>
    </row>
    <row r="27845" ht="15.75" customHeight="1">
      <c r="A27845" s="35"/>
      <c r="C27845" s="442"/>
      <c r="P27845" s="235"/>
      <c r="AI27845" s="38"/>
    </row>
    <row r="27846" ht="15.75" customHeight="1">
      <c r="A27846" s="35"/>
      <c r="C27846" s="442"/>
      <c r="P27846" s="235"/>
      <c r="AI27846" s="38"/>
    </row>
    <row r="27847" ht="15.75" customHeight="1">
      <c r="A27847" s="35"/>
      <c r="C27847" s="442"/>
      <c r="P27847" s="235"/>
      <c r="AI27847" s="38"/>
    </row>
    <row r="27848" ht="15.75" customHeight="1">
      <c r="A27848" s="35"/>
      <c r="C27848" s="442"/>
      <c r="P27848" s="235"/>
      <c r="AI27848" s="38"/>
    </row>
    <row r="27849" ht="15.75" customHeight="1">
      <c r="A27849" s="35"/>
      <c r="C27849" s="442"/>
      <c r="P27849" s="235"/>
      <c r="AI27849" s="38"/>
    </row>
    <row r="27850" ht="15.75" customHeight="1">
      <c r="A27850" s="35"/>
      <c r="C27850" s="442"/>
      <c r="P27850" s="235"/>
      <c r="AI27850" s="38"/>
    </row>
    <row r="27851" ht="15.75" customHeight="1">
      <c r="A27851" s="35"/>
      <c r="C27851" s="442"/>
      <c r="P27851" s="235"/>
      <c r="AI27851" s="38"/>
    </row>
    <row r="27852" ht="15.75" customHeight="1">
      <c r="A27852" s="35"/>
      <c r="C27852" s="442"/>
      <c r="P27852" s="235"/>
      <c r="AI27852" s="38"/>
    </row>
    <row r="27853" ht="15.75" customHeight="1">
      <c r="A27853" s="35"/>
      <c r="C27853" s="442"/>
      <c r="P27853" s="235"/>
      <c r="AI27853" s="38"/>
    </row>
    <row r="27854" ht="15.75" customHeight="1">
      <c r="A27854" s="35"/>
      <c r="C27854" s="442"/>
      <c r="P27854" s="235"/>
      <c r="AI27854" s="38"/>
    </row>
    <row r="27855" ht="15.75" customHeight="1">
      <c r="A27855" s="35"/>
      <c r="C27855" s="442"/>
      <c r="P27855" s="235"/>
      <c r="AI27855" s="38"/>
    </row>
    <row r="27856" ht="15.75" customHeight="1">
      <c r="A27856" s="35"/>
      <c r="C27856" s="442"/>
      <c r="P27856" s="235"/>
      <c r="AI27856" s="38"/>
    </row>
    <row r="27857" ht="15.75" customHeight="1">
      <c r="A27857" s="35"/>
      <c r="C27857" s="442"/>
      <c r="P27857" s="235"/>
      <c r="AI27857" s="38"/>
    </row>
    <row r="27858" ht="15.75" customHeight="1">
      <c r="A27858" s="35"/>
      <c r="C27858" s="442"/>
      <c r="P27858" s="235"/>
      <c r="AI27858" s="38"/>
    </row>
    <row r="27859" ht="15.75" customHeight="1">
      <c r="A27859" s="35"/>
      <c r="C27859" s="442"/>
      <c r="P27859" s="235"/>
      <c r="AI27859" s="38"/>
    </row>
    <row r="27860" ht="15.75" customHeight="1">
      <c r="A27860" s="35"/>
      <c r="C27860" s="442"/>
      <c r="P27860" s="235"/>
      <c r="AI27860" s="38"/>
    </row>
    <row r="27861" ht="15.75" customHeight="1">
      <c r="A27861" s="35"/>
      <c r="C27861" s="442"/>
      <c r="P27861" s="235"/>
      <c r="AI27861" s="38"/>
    </row>
    <row r="27862" ht="15.75" customHeight="1">
      <c r="A27862" s="35"/>
      <c r="C27862" s="442"/>
      <c r="P27862" s="235"/>
      <c r="AI27862" s="38"/>
    </row>
    <row r="27863" ht="15.75" customHeight="1">
      <c r="A27863" s="35"/>
      <c r="C27863" s="442"/>
      <c r="P27863" s="235"/>
      <c r="AI27863" s="38"/>
    </row>
    <row r="27864" ht="15.75" customHeight="1">
      <c r="A27864" s="35"/>
      <c r="C27864" s="442"/>
      <c r="P27864" s="235"/>
      <c r="AI27864" s="38"/>
    </row>
    <row r="27865" ht="15.75" customHeight="1">
      <c r="A27865" s="35"/>
      <c r="C27865" s="442"/>
      <c r="P27865" s="235"/>
      <c r="AI27865" s="38"/>
    </row>
    <row r="27866" ht="15.75" customHeight="1">
      <c r="A27866" s="35"/>
      <c r="C27866" s="442"/>
      <c r="P27866" s="235"/>
      <c r="AI27866" s="38"/>
    </row>
    <row r="27867" ht="15.75" customHeight="1">
      <c r="A27867" s="35"/>
      <c r="C27867" s="442"/>
      <c r="P27867" s="235"/>
      <c r="AI27867" s="38"/>
    </row>
    <row r="27868" ht="15.75" customHeight="1">
      <c r="A27868" s="35"/>
      <c r="C27868" s="442"/>
      <c r="P27868" s="235"/>
      <c r="AI27868" s="38"/>
    </row>
    <row r="27869" ht="15.75" customHeight="1">
      <c r="A27869" s="35"/>
      <c r="C27869" s="442"/>
      <c r="P27869" s="235"/>
      <c r="AI27869" s="38"/>
    </row>
    <row r="27870" ht="15.75" customHeight="1">
      <c r="A27870" s="35"/>
      <c r="C27870" s="442"/>
      <c r="P27870" s="235"/>
      <c r="AI27870" s="38"/>
    </row>
    <row r="27871" ht="15.75" customHeight="1">
      <c r="A27871" s="35"/>
      <c r="C27871" s="442"/>
      <c r="P27871" s="235"/>
      <c r="AI27871" s="38"/>
    </row>
    <row r="27872" ht="15.75" customHeight="1">
      <c r="A27872" s="35"/>
      <c r="C27872" s="442"/>
      <c r="P27872" s="235"/>
      <c r="AI27872" s="38"/>
    </row>
    <row r="27873" ht="15.75" customHeight="1">
      <c r="A27873" s="35"/>
      <c r="C27873" s="442"/>
      <c r="P27873" s="235"/>
      <c r="AI27873" s="38"/>
    </row>
    <row r="27874" ht="15.75" customHeight="1">
      <c r="A27874" s="35"/>
      <c r="C27874" s="442"/>
      <c r="P27874" s="235"/>
      <c r="AI27874" s="38"/>
    </row>
    <row r="27875" ht="15.75" customHeight="1">
      <c r="A27875" s="35"/>
      <c r="C27875" s="442"/>
      <c r="P27875" s="235"/>
      <c r="AI27875" s="38"/>
    </row>
    <row r="27876" ht="15.75" customHeight="1">
      <c r="A27876" s="35"/>
      <c r="C27876" s="442"/>
      <c r="P27876" s="235"/>
      <c r="AI27876" s="38"/>
    </row>
    <row r="27877" ht="15.75" customHeight="1">
      <c r="A27877" s="35"/>
      <c r="C27877" s="442"/>
      <c r="P27877" s="235"/>
      <c r="AI27877" s="38"/>
    </row>
    <row r="27878" ht="15.75" customHeight="1">
      <c r="A27878" s="35"/>
      <c r="C27878" s="442"/>
      <c r="P27878" s="235"/>
      <c r="AI27878" s="38"/>
    </row>
    <row r="27879" ht="15.75" customHeight="1">
      <c r="A27879" s="35"/>
      <c r="C27879" s="442"/>
      <c r="P27879" s="235"/>
      <c r="AI27879" s="38"/>
    </row>
    <row r="27880" ht="15.75" customHeight="1">
      <c r="A27880" s="35"/>
      <c r="C27880" s="442"/>
      <c r="P27880" s="235"/>
      <c r="AI27880" s="38"/>
    </row>
    <row r="27881" ht="15.75" customHeight="1">
      <c r="A27881" s="35"/>
      <c r="C27881" s="442"/>
      <c r="P27881" s="235"/>
      <c r="AI27881" s="38"/>
    </row>
    <row r="27882" ht="15.75" customHeight="1">
      <c r="A27882" s="35"/>
      <c r="C27882" s="442"/>
      <c r="P27882" s="235"/>
      <c r="AI27882" s="38"/>
    </row>
    <row r="27883" ht="15.75" customHeight="1">
      <c r="A27883" s="35"/>
      <c r="C27883" s="442"/>
      <c r="P27883" s="235"/>
      <c r="AI27883" s="38"/>
    </row>
    <row r="27884" ht="15.75" customHeight="1">
      <c r="A27884" s="35"/>
      <c r="C27884" s="442"/>
      <c r="P27884" s="235"/>
      <c r="AI27884" s="38"/>
    </row>
    <row r="27885" ht="15.75" customHeight="1">
      <c r="A27885" s="35"/>
      <c r="C27885" s="442"/>
      <c r="P27885" s="235"/>
      <c r="AI27885" s="38"/>
    </row>
    <row r="27886" ht="15.75" customHeight="1">
      <c r="A27886" s="35"/>
      <c r="C27886" s="442"/>
      <c r="P27886" s="235"/>
      <c r="AI27886" s="38"/>
    </row>
    <row r="27887" ht="15.75" customHeight="1">
      <c r="A27887" s="35"/>
      <c r="C27887" s="442"/>
      <c r="P27887" s="235"/>
      <c r="AI27887" s="38"/>
    </row>
    <row r="27888" ht="15.75" customHeight="1">
      <c r="A27888" s="35"/>
      <c r="C27888" s="442"/>
      <c r="P27888" s="235"/>
      <c r="AI27888" s="38"/>
    </row>
    <row r="27889" ht="15.75" customHeight="1">
      <c r="A27889" s="35"/>
      <c r="C27889" s="442"/>
      <c r="P27889" s="235"/>
      <c r="AI27889" s="38"/>
    </row>
    <row r="27890" ht="15.75" customHeight="1">
      <c r="A27890" s="35"/>
      <c r="C27890" s="442"/>
      <c r="P27890" s="235"/>
      <c r="AI27890" s="38"/>
    </row>
    <row r="27891" ht="15.75" customHeight="1">
      <c r="A27891" s="35"/>
      <c r="C27891" s="442"/>
      <c r="P27891" s="235"/>
      <c r="AI27891" s="38"/>
    </row>
    <row r="27892" ht="15.75" customHeight="1">
      <c r="A27892" s="35"/>
      <c r="C27892" s="442"/>
      <c r="P27892" s="235"/>
      <c r="AI27892" s="38"/>
    </row>
    <row r="27893" ht="15.75" customHeight="1">
      <c r="A27893" s="35"/>
      <c r="C27893" s="442"/>
      <c r="P27893" s="235"/>
      <c r="AI27893" s="38"/>
    </row>
    <row r="27894" ht="15.75" customHeight="1">
      <c r="A27894" s="35"/>
      <c r="C27894" s="442"/>
      <c r="P27894" s="235"/>
      <c r="AI27894" s="38"/>
    </row>
    <row r="27895" ht="15.75" customHeight="1">
      <c r="A27895" s="35"/>
      <c r="C27895" s="442"/>
      <c r="P27895" s="235"/>
      <c r="AI27895" s="38"/>
    </row>
    <row r="27896" ht="15.75" customHeight="1">
      <c r="A27896" s="35"/>
      <c r="C27896" s="442"/>
      <c r="P27896" s="235"/>
      <c r="AI27896" s="38"/>
    </row>
    <row r="27897" ht="15.75" customHeight="1">
      <c r="A27897" s="35"/>
      <c r="C27897" s="442"/>
      <c r="P27897" s="235"/>
      <c r="AI27897" s="38"/>
    </row>
    <row r="27898" ht="15.75" customHeight="1">
      <c r="A27898" s="35"/>
      <c r="C27898" s="442"/>
      <c r="P27898" s="235"/>
      <c r="AI27898" s="38"/>
    </row>
    <row r="27899" ht="15.75" customHeight="1">
      <c r="A27899" s="35"/>
      <c r="C27899" s="442"/>
      <c r="P27899" s="235"/>
      <c r="AI27899" s="38"/>
    </row>
    <row r="27900" ht="15.75" customHeight="1">
      <c r="A27900" s="35"/>
      <c r="C27900" s="442"/>
      <c r="P27900" s="235"/>
      <c r="AI27900" s="38"/>
    </row>
    <row r="27901" ht="15.75" customHeight="1">
      <c r="A27901" s="35"/>
      <c r="C27901" s="442"/>
      <c r="P27901" s="235"/>
      <c r="AI27901" s="38"/>
    </row>
    <row r="27902" ht="15.75" customHeight="1">
      <c r="A27902" s="35"/>
      <c r="C27902" s="442"/>
      <c r="P27902" s="235"/>
      <c r="AI27902" s="38"/>
    </row>
    <row r="27903" ht="15.75" customHeight="1">
      <c r="A27903" s="35"/>
      <c r="C27903" s="442"/>
      <c r="P27903" s="235"/>
      <c r="AI27903" s="38"/>
    </row>
    <row r="27904" ht="15.75" customHeight="1">
      <c r="A27904" s="35"/>
      <c r="C27904" s="442"/>
      <c r="P27904" s="235"/>
      <c r="AI27904" s="38"/>
    </row>
    <row r="27905" ht="15.75" customHeight="1">
      <c r="A27905" s="35"/>
      <c r="C27905" s="442"/>
      <c r="P27905" s="235"/>
      <c r="AI27905" s="38"/>
    </row>
    <row r="27906" ht="15.75" customHeight="1">
      <c r="A27906" s="35"/>
      <c r="C27906" s="442"/>
      <c r="P27906" s="235"/>
      <c r="AI27906" s="38"/>
    </row>
    <row r="27907" ht="15.75" customHeight="1">
      <c r="A27907" s="35"/>
      <c r="C27907" s="442"/>
      <c r="P27907" s="235"/>
      <c r="AI27907" s="38"/>
    </row>
    <row r="27908" ht="15.75" customHeight="1">
      <c r="A27908" s="35"/>
      <c r="C27908" s="442"/>
      <c r="P27908" s="235"/>
      <c r="AI27908" s="38"/>
    </row>
    <row r="27909" ht="15.75" customHeight="1">
      <c r="A27909" s="35"/>
      <c r="C27909" s="442"/>
      <c r="P27909" s="235"/>
      <c r="AI27909" s="38"/>
    </row>
    <row r="27910" ht="15.75" customHeight="1">
      <c r="A27910" s="35"/>
      <c r="C27910" s="442"/>
      <c r="P27910" s="235"/>
      <c r="AI27910" s="38"/>
    </row>
    <row r="27911" ht="15.75" customHeight="1">
      <c r="A27911" s="35"/>
      <c r="C27911" s="442"/>
      <c r="P27911" s="235"/>
      <c r="AI27911" s="38"/>
    </row>
    <row r="27912" ht="15.75" customHeight="1">
      <c r="A27912" s="35"/>
      <c r="C27912" s="442"/>
      <c r="P27912" s="235"/>
      <c r="AI27912" s="38"/>
    </row>
    <row r="27913" ht="15.75" customHeight="1">
      <c r="A27913" s="35"/>
      <c r="C27913" s="442"/>
      <c r="P27913" s="235"/>
      <c r="AI27913" s="38"/>
    </row>
    <row r="27914" ht="15.75" customHeight="1">
      <c r="A27914" s="35"/>
      <c r="C27914" s="442"/>
      <c r="P27914" s="235"/>
      <c r="AI27914" s="38"/>
    </row>
    <row r="27915" ht="15.75" customHeight="1">
      <c r="A27915" s="35"/>
      <c r="C27915" s="442"/>
      <c r="P27915" s="235"/>
      <c r="AI27915" s="38"/>
    </row>
    <row r="27916" ht="15.75" customHeight="1">
      <c r="A27916" s="35"/>
      <c r="C27916" s="442"/>
      <c r="P27916" s="235"/>
      <c r="AI27916" s="38"/>
    </row>
    <row r="27917" ht="15.75" customHeight="1">
      <c r="A27917" s="35"/>
      <c r="C27917" s="442"/>
      <c r="P27917" s="235"/>
      <c r="AI27917" s="38"/>
    </row>
    <row r="27918" ht="15.75" customHeight="1">
      <c r="A27918" s="35"/>
      <c r="C27918" s="442"/>
      <c r="P27918" s="235"/>
      <c r="AI27918" s="38"/>
    </row>
    <row r="27919" ht="15.75" customHeight="1">
      <c r="A27919" s="35"/>
      <c r="C27919" s="442"/>
      <c r="P27919" s="235"/>
      <c r="AI27919" s="38"/>
    </row>
    <row r="27920" ht="15.75" customHeight="1">
      <c r="A27920" s="35"/>
      <c r="C27920" s="442"/>
      <c r="P27920" s="235"/>
      <c r="AI27920" s="38"/>
    </row>
    <row r="27921" ht="15.75" customHeight="1">
      <c r="A27921" s="35"/>
      <c r="C27921" s="442"/>
      <c r="P27921" s="235"/>
      <c r="AI27921" s="38"/>
    </row>
    <row r="27922" ht="15.75" customHeight="1">
      <c r="A27922" s="35"/>
      <c r="C27922" s="442"/>
      <c r="P27922" s="235"/>
      <c r="AI27922" s="38"/>
    </row>
    <row r="27923" ht="15.75" customHeight="1">
      <c r="A27923" s="35"/>
      <c r="C27923" s="442"/>
      <c r="P27923" s="235"/>
      <c r="AI27923" s="38"/>
    </row>
    <row r="27924" ht="15.75" customHeight="1">
      <c r="A27924" s="35"/>
      <c r="C27924" s="442"/>
      <c r="P27924" s="235"/>
      <c r="AI27924" s="38"/>
    </row>
    <row r="27925" ht="15.75" customHeight="1">
      <c r="A27925" s="35"/>
      <c r="C27925" s="442"/>
      <c r="P27925" s="235"/>
      <c r="AI27925" s="38"/>
    </row>
    <row r="27926" ht="15.75" customHeight="1">
      <c r="A27926" s="35"/>
      <c r="C27926" s="442"/>
      <c r="P27926" s="235"/>
      <c r="AI27926" s="38"/>
    </row>
    <row r="27927" ht="15.75" customHeight="1">
      <c r="A27927" s="35"/>
      <c r="C27927" s="442"/>
      <c r="P27927" s="235"/>
      <c r="AI27927" s="38"/>
    </row>
    <row r="27928" ht="15.75" customHeight="1">
      <c r="A27928" s="35"/>
      <c r="C27928" s="442"/>
      <c r="P27928" s="235"/>
      <c r="AI27928" s="38"/>
    </row>
    <row r="27929" ht="15.75" customHeight="1">
      <c r="A27929" s="35"/>
      <c r="C27929" s="442"/>
      <c r="P27929" s="235"/>
      <c r="AI27929" s="38"/>
    </row>
    <row r="27930" ht="15.75" customHeight="1">
      <c r="A27930" s="35"/>
      <c r="C27930" s="442"/>
      <c r="P27930" s="235"/>
      <c r="AI27930" s="38"/>
    </row>
    <row r="27931" ht="15.75" customHeight="1">
      <c r="A27931" s="35"/>
      <c r="C27931" s="442"/>
      <c r="P27931" s="235"/>
      <c r="AI27931" s="38"/>
    </row>
    <row r="27932" ht="15.75" customHeight="1">
      <c r="A27932" s="35"/>
      <c r="C27932" s="442"/>
      <c r="P27932" s="235"/>
      <c r="AI27932" s="38"/>
    </row>
    <row r="27933" ht="15.75" customHeight="1">
      <c r="A27933" s="35"/>
      <c r="C27933" s="442"/>
      <c r="P27933" s="235"/>
      <c r="AI27933" s="38"/>
    </row>
    <row r="27934" ht="15.75" customHeight="1">
      <c r="A27934" s="35"/>
      <c r="C27934" s="442"/>
      <c r="P27934" s="235"/>
      <c r="AI27934" s="38"/>
    </row>
    <row r="27935" ht="15.75" customHeight="1">
      <c r="A27935" s="35"/>
      <c r="C27935" s="442"/>
      <c r="P27935" s="235"/>
      <c r="AI27935" s="38"/>
    </row>
    <row r="27936" ht="15.75" customHeight="1">
      <c r="A27936" s="35"/>
      <c r="C27936" s="442"/>
      <c r="P27936" s="235"/>
      <c r="AI27936" s="38"/>
    </row>
    <row r="27937" ht="15.75" customHeight="1">
      <c r="A27937" s="35"/>
      <c r="C27937" s="442"/>
      <c r="P27937" s="235"/>
      <c r="AI27937" s="38"/>
    </row>
    <row r="27938" ht="15.75" customHeight="1">
      <c r="A27938" s="35"/>
      <c r="C27938" s="442"/>
      <c r="P27938" s="235"/>
      <c r="AI27938" s="38"/>
    </row>
    <row r="27939" ht="15.75" customHeight="1">
      <c r="A27939" s="35"/>
      <c r="C27939" s="442"/>
      <c r="P27939" s="235"/>
      <c r="AI27939" s="38"/>
    </row>
    <row r="27940" ht="15.75" customHeight="1">
      <c r="A27940" s="35"/>
      <c r="C27940" s="442"/>
      <c r="P27940" s="235"/>
      <c r="AI27940" s="38"/>
    </row>
    <row r="27941" ht="15.75" customHeight="1">
      <c r="A27941" s="35"/>
      <c r="C27941" s="442"/>
      <c r="P27941" s="235"/>
      <c r="AI27941" s="38"/>
    </row>
    <row r="27942" ht="15.75" customHeight="1">
      <c r="A27942" s="35"/>
      <c r="C27942" s="442"/>
      <c r="P27942" s="235"/>
      <c r="AI27942" s="38"/>
    </row>
    <row r="27943" ht="15.75" customHeight="1">
      <c r="A27943" s="35"/>
      <c r="C27943" s="442"/>
      <c r="P27943" s="235"/>
      <c r="AI27943" s="38"/>
    </row>
    <row r="27944" ht="15.75" customHeight="1">
      <c r="A27944" s="35"/>
      <c r="C27944" s="442"/>
      <c r="P27944" s="235"/>
      <c r="AI27944" s="38"/>
    </row>
    <row r="27945" ht="15.75" customHeight="1">
      <c r="A27945" s="35"/>
      <c r="C27945" s="442"/>
      <c r="P27945" s="235"/>
      <c r="AI27945" s="38"/>
    </row>
    <row r="27946" ht="15.75" customHeight="1">
      <c r="A27946" s="35"/>
      <c r="C27946" s="442"/>
      <c r="P27946" s="235"/>
      <c r="AI27946" s="38"/>
    </row>
    <row r="27947" ht="15.75" customHeight="1">
      <c r="A27947" s="35"/>
      <c r="C27947" s="442"/>
      <c r="P27947" s="235"/>
      <c r="AI27947" s="38"/>
    </row>
    <row r="27948" ht="15.75" customHeight="1">
      <c r="A27948" s="35"/>
      <c r="C27948" s="442"/>
      <c r="P27948" s="235"/>
      <c r="AI27948" s="38"/>
    </row>
    <row r="27949" ht="15.75" customHeight="1">
      <c r="A27949" s="35"/>
      <c r="C27949" s="442"/>
      <c r="P27949" s="235"/>
      <c r="AI27949" s="38"/>
    </row>
    <row r="27950" ht="15.75" customHeight="1">
      <c r="A27950" s="35"/>
      <c r="C27950" s="442"/>
      <c r="P27950" s="235"/>
      <c r="AI27950" s="38"/>
    </row>
    <row r="27951" ht="15.75" customHeight="1">
      <c r="A27951" s="35"/>
      <c r="C27951" s="442"/>
      <c r="P27951" s="235"/>
      <c r="AI27951" s="38"/>
    </row>
    <row r="27952" ht="15.75" customHeight="1">
      <c r="A27952" s="35"/>
      <c r="C27952" s="442"/>
      <c r="P27952" s="235"/>
      <c r="AI27952" s="38"/>
    </row>
    <row r="27953" ht="15.75" customHeight="1">
      <c r="A27953" s="35"/>
      <c r="C27953" s="442"/>
      <c r="P27953" s="235"/>
      <c r="AI27953" s="38"/>
    </row>
    <row r="27954" ht="15.75" customHeight="1">
      <c r="A27954" s="35"/>
      <c r="C27954" s="442"/>
      <c r="P27954" s="235"/>
      <c r="AI27954" s="38"/>
    </row>
    <row r="27955" ht="15.75" customHeight="1">
      <c r="A27955" s="35"/>
      <c r="C27955" s="442"/>
      <c r="P27955" s="235"/>
      <c r="AI27955" s="38"/>
    </row>
    <row r="27956" ht="15.75" customHeight="1">
      <c r="A27956" s="35"/>
      <c r="C27956" s="442"/>
      <c r="P27956" s="235"/>
      <c r="AI27956" s="38"/>
    </row>
    <row r="27957" ht="15.75" customHeight="1">
      <c r="A27957" s="35"/>
      <c r="C27957" s="442"/>
      <c r="P27957" s="235"/>
      <c r="AI27957" s="38"/>
    </row>
    <row r="27958" ht="15.75" customHeight="1">
      <c r="A27958" s="35"/>
      <c r="C27958" s="442"/>
      <c r="P27958" s="235"/>
      <c r="AI27958" s="38"/>
    </row>
    <row r="27959" ht="15.75" customHeight="1">
      <c r="A27959" s="35"/>
      <c r="C27959" s="442"/>
      <c r="P27959" s="235"/>
      <c r="AI27959" s="38"/>
    </row>
    <row r="27960" ht="15.75" customHeight="1">
      <c r="A27960" s="35"/>
      <c r="C27960" s="442"/>
      <c r="P27960" s="235"/>
      <c r="AI27960" s="38"/>
    </row>
    <row r="27961" ht="15.75" customHeight="1">
      <c r="A27961" s="35"/>
      <c r="C27961" s="442"/>
      <c r="P27961" s="235"/>
      <c r="AI27961" s="38"/>
    </row>
    <row r="27962" ht="15.75" customHeight="1">
      <c r="A27962" s="35"/>
      <c r="C27962" s="442"/>
      <c r="P27962" s="235"/>
      <c r="AI27962" s="38"/>
    </row>
    <row r="27963" ht="15.75" customHeight="1">
      <c r="A27963" s="35"/>
      <c r="C27963" s="442"/>
      <c r="P27963" s="235"/>
      <c r="AI27963" s="38"/>
    </row>
    <row r="27964" ht="15.75" customHeight="1">
      <c r="A27964" s="35"/>
      <c r="C27964" s="442"/>
      <c r="P27964" s="235"/>
      <c r="AI27964" s="38"/>
    </row>
    <row r="27965" ht="15.75" customHeight="1">
      <c r="A27965" s="35"/>
      <c r="C27965" s="442"/>
      <c r="P27965" s="235"/>
      <c r="AI27965" s="38"/>
    </row>
    <row r="27966" ht="15.75" customHeight="1">
      <c r="A27966" s="35"/>
      <c r="C27966" s="442"/>
      <c r="P27966" s="235"/>
      <c r="AI27966" s="38"/>
    </row>
    <row r="27967" ht="15.75" customHeight="1">
      <c r="A27967" s="35"/>
      <c r="C27967" s="442"/>
      <c r="P27967" s="235"/>
      <c r="AI27967" s="38"/>
    </row>
    <row r="27968" ht="15.75" customHeight="1">
      <c r="A27968" s="35"/>
      <c r="C27968" s="442"/>
      <c r="P27968" s="235"/>
      <c r="AI27968" s="38"/>
    </row>
    <row r="27969" ht="15.75" customHeight="1">
      <c r="A27969" s="35"/>
      <c r="C27969" s="442"/>
      <c r="P27969" s="235"/>
      <c r="AI27969" s="38"/>
    </row>
    <row r="27970" ht="15.75" customHeight="1">
      <c r="A27970" s="35"/>
      <c r="C27970" s="442"/>
      <c r="P27970" s="235"/>
      <c r="AI27970" s="38"/>
    </row>
    <row r="27971" ht="15.75" customHeight="1">
      <c r="A27971" s="35"/>
      <c r="C27971" s="442"/>
      <c r="P27971" s="235"/>
      <c r="AI27971" s="38"/>
    </row>
    <row r="27972" ht="15.75" customHeight="1">
      <c r="A27972" s="35"/>
      <c r="C27972" s="442"/>
      <c r="P27972" s="235"/>
      <c r="AI27972" s="38"/>
    </row>
    <row r="27973" ht="15.75" customHeight="1">
      <c r="A27973" s="35"/>
      <c r="C27973" s="442"/>
      <c r="P27973" s="235"/>
      <c r="AI27973" s="38"/>
    </row>
    <row r="27974" ht="15.75" customHeight="1">
      <c r="A27974" s="35"/>
      <c r="C27974" s="442"/>
      <c r="P27974" s="235"/>
      <c r="AI27974" s="38"/>
    </row>
    <row r="27975" ht="15.75" customHeight="1">
      <c r="A27975" s="35"/>
      <c r="C27975" s="442"/>
      <c r="P27975" s="235"/>
      <c r="AI27975" s="38"/>
    </row>
    <row r="27976" ht="15.75" customHeight="1">
      <c r="A27976" s="35"/>
      <c r="C27976" s="442"/>
      <c r="P27976" s="235"/>
      <c r="AI27976" s="38"/>
    </row>
    <row r="27977" ht="15.75" customHeight="1">
      <c r="A27977" s="35"/>
      <c r="C27977" s="442"/>
      <c r="P27977" s="235"/>
      <c r="AI27977" s="38"/>
    </row>
    <row r="27978" ht="15.75" customHeight="1">
      <c r="A27978" s="35"/>
      <c r="C27978" s="442"/>
      <c r="P27978" s="235"/>
      <c r="AI27978" s="38"/>
    </row>
    <row r="27979" ht="15.75" customHeight="1">
      <c r="A27979" s="35"/>
      <c r="C27979" s="442"/>
      <c r="P27979" s="235"/>
      <c r="AI27979" s="38"/>
    </row>
    <row r="27980" ht="15.75" customHeight="1">
      <c r="A27980" s="35"/>
      <c r="C27980" s="442"/>
      <c r="P27980" s="235"/>
      <c r="AI27980" s="38"/>
    </row>
    <row r="27981" ht="15.75" customHeight="1">
      <c r="A27981" s="35"/>
      <c r="C27981" s="442"/>
      <c r="P27981" s="235"/>
      <c r="AI27981" s="38"/>
    </row>
    <row r="27982" ht="15.75" customHeight="1">
      <c r="A27982" s="35"/>
      <c r="C27982" s="442"/>
      <c r="P27982" s="235"/>
      <c r="AI27982" s="38"/>
    </row>
    <row r="27983" ht="15.75" customHeight="1">
      <c r="A27983" s="35"/>
      <c r="C27983" s="442"/>
      <c r="P27983" s="235"/>
      <c r="AI27983" s="38"/>
    </row>
    <row r="27984" ht="15.75" customHeight="1">
      <c r="A27984" s="35"/>
      <c r="C27984" s="442"/>
      <c r="P27984" s="235"/>
      <c r="AI27984" s="38"/>
    </row>
    <row r="27985" ht="15.75" customHeight="1">
      <c r="A27985" s="35"/>
      <c r="C27985" s="442"/>
      <c r="P27985" s="235"/>
      <c r="AI27985" s="38"/>
    </row>
    <row r="27986" ht="15.75" customHeight="1">
      <c r="A27986" s="35"/>
      <c r="C27986" s="442"/>
      <c r="P27986" s="235"/>
      <c r="AI27986" s="38"/>
    </row>
    <row r="27987" ht="15.75" customHeight="1">
      <c r="A27987" s="35"/>
      <c r="C27987" s="442"/>
      <c r="P27987" s="235"/>
      <c r="AI27987" s="38"/>
    </row>
    <row r="27988" ht="15.75" customHeight="1">
      <c r="A27988" s="35"/>
      <c r="C27988" s="442"/>
      <c r="P27988" s="235"/>
      <c r="AI27988" s="38"/>
    </row>
    <row r="27989" ht="15.75" customHeight="1">
      <c r="A27989" s="35"/>
      <c r="C27989" s="442"/>
      <c r="P27989" s="235"/>
      <c r="AI27989" s="38"/>
    </row>
    <row r="27990" ht="15.75" customHeight="1">
      <c r="A27990" s="35"/>
      <c r="C27990" s="442"/>
      <c r="P27990" s="235"/>
      <c r="AI27990" s="38"/>
    </row>
    <row r="27991" ht="15.75" customHeight="1">
      <c r="A27991" s="35"/>
      <c r="C27991" s="442"/>
      <c r="P27991" s="235"/>
      <c r="AI27991" s="38"/>
    </row>
    <row r="27992" ht="15.75" customHeight="1">
      <c r="A27992" s="35"/>
      <c r="C27992" s="442"/>
      <c r="P27992" s="235"/>
      <c r="AI27992" s="38"/>
    </row>
    <row r="27993" ht="15.75" customHeight="1">
      <c r="A27993" s="35"/>
      <c r="C27993" s="442"/>
      <c r="P27993" s="235"/>
      <c r="AI27993" s="38"/>
    </row>
    <row r="27994" ht="15.75" customHeight="1">
      <c r="A27994" s="35"/>
      <c r="C27994" s="442"/>
      <c r="P27994" s="235"/>
      <c r="AI27994" s="38"/>
    </row>
    <row r="27995" ht="15.75" customHeight="1">
      <c r="A27995" s="35"/>
      <c r="C27995" s="442"/>
      <c r="P27995" s="235"/>
      <c r="AI27995" s="38"/>
    </row>
    <row r="27996" ht="15.75" customHeight="1">
      <c r="A27996" s="35"/>
      <c r="C27996" s="442"/>
      <c r="P27996" s="235"/>
      <c r="AI27996" s="38"/>
    </row>
    <row r="27997" ht="15.75" customHeight="1">
      <c r="A27997" s="35"/>
      <c r="C27997" s="442"/>
      <c r="P27997" s="235"/>
      <c r="AI27997" s="38"/>
    </row>
    <row r="27998" ht="15.75" customHeight="1">
      <c r="A27998" s="35"/>
      <c r="C27998" s="442"/>
      <c r="P27998" s="235"/>
      <c r="AI27998" s="38"/>
    </row>
    <row r="27999" ht="15.75" customHeight="1">
      <c r="A27999" s="35"/>
      <c r="C27999" s="442"/>
      <c r="P27999" s="235"/>
      <c r="AI27999" s="38"/>
    </row>
    <row r="28000" ht="15.75" customHeight="1">
      <c r="A28000" s="35"/>
      <c r="C28000" s="442"/>
      <c r="P28000" s="235"/>
      <c r="AI28000" s="38"/>
    </row>
    <row r="28001" ht="15.75" customHeight="1">
      <c r="A28001" s="35"/>
      <c r="C28001" s="442"/>
      <c r="P28001" s="235"/>
      <c r="AI28001" s="38"/>
    </row>
    <row r="28002" ht="15.75" customHeight="1">
      <c r="A28002" s="35"/>
      <c r="C28002" s="442"/>
      <c r="P28002" s="235"/>
      <c r="AI28002" s="38"/>
    </row>
    <row r="28003" ht="15.75" customHeight="1">
      <c r="A28003" s="35"/>
      <c r="C28003" s="442"/>
      <c r="P28003" s="235"/>
      <c r="AI28003" s="38"/>
    </row>
    <row r="28004" ht="15.75" customHeight="1">
      <c r="A28004" s="35"/>
      <c r="C28004" s="442"/>
      <c r="P28004" s="235"/>
      <c r="AI28004" s="38"/>
    </row>
    <row r="28005" ht="15.75" customHeight="1">
      <c r="A28005" s="35"/>
      <c r="C28005" s="442"/>
      <c r="P28005" s="235"/>
      <c r="AI28005" s="38"/>
    </row>
    <row r="28006" ht="15.75" customHeight="1">
      <c r="A28006" s="35"/>
      <c r="C28006" s="442"/>
      <c r="P28006" s="235"/>
      <c r="AI28006" s="38"/>
    </row>
    <row r="28007" ht="15.75" customHeight="1">
      <c r="A28007" s="35"/>
      <c r="C28007" s="442"/>
      <c r="P28007" s="235"/>
      <c r="AI28007" s="38"/>
    </row>
    <row r="28008" ht="15.75" customHeight="1">
      <c r="A28008" s="35"/>
      <c r="C28008" s="442"/>
      <c r="P28008" s="235"/>
      <c r="AI28008" s="38"/>
    </row>
    <row r="28009" ht="15.75" customHeight="1">
      <c r="A28009" s="35"/>
      <c r="C28009" s="442"/>
      <c r="P28009" s="235"/>
      <c r="AI28009" s="38"/>
    </row>
    <row r="28010" ht="15.75" customHeight="1">
      <c r="A28010" s="35"/>
      <c r="C28010" s="442"/>
      <c r="P28010" s="235"/>
      <c r="AI28010" s="38"/>
    </row>
    <row r="28011" ht="15.75" customHeight="1">
      <c r="A28011" s="35"/>
      <c r="C28011" s="442"/>
      <c r="P28011" s="235"/>
      <c r="AI28011" s="38"/>
    </row>
    <row r="28012" ht="15.75" customHeight="1">
      <c r="A28012" s="35"/>
      <c r="C28012" s="442"/>
      <c r="P28012" s="235"/>
      <c r="AI28012" s="38"/>
    </row>
    <row r="28013" ht="15.75" customHeight="1">
      <c r="A28013" s="35"/>
      <c r="C28013" s="442"/>
      <c r="P28013" s="235"/>
      <c r="AI28013" s="38"/>
    </row>
    <row r="28014" ht="15.75" customHeight="1">
      <c r="A28014" s="35"/>
      <c r="C28014" s="442"/>
      <c r="P28014" s="235"/>
      <c r="AI28014" s="38"/>
    </row>
    <row r="28015" ht="15.75" customHeight="1">
      <c r="A28015" s="35"/>
      <c r="C28015" s="442"/>
      <c r="P28015" s="235"/>
      <c r="AI28015" s="38"/>
    </row>
    <row r="28016" ht="15.75" customHeight="1">
      <c r="A28016" s="35"/>
      <c r="C28016" s="442"/>
      <c r="P28016" s="235"/>
      <c r="AI28016" s="38"/>
    </row>
    <row r="28017" ht="15.75" customHeight="1">
      <c r="A28017" s="35"/>
      <c r="C28017" s="442"/>
      <c r="P28017" s="235"/>
      <c r="AI28017" s="38"/>
    </row>
    <row r="28018" ht="15.75" customHeight="1">
      <c r="A28018" s="35"/>
      <c r="C28018" s="442"/>
      <c r="P28018" s="235"/>
      <c r="AI28018" s="38"/>
    </row>
    <row r="28019" ht="15.75" customHeight="1">
      <c r="A28019" s="35"/>
      <c r="C28019" s="442"/>
      <c r="P28019" s="235"/>
      <c r="AI28019" s="38"/>
    </row>
    <row r="28020" ht="15.75" customHeight="1">
      <c r="A28020" s="35"/>
      <c r="C28020" s="442"/>
      <c r="P28020" s="235"/>
      <c r="AI28020" s="38"/>
    </row>
    <row r="28021" ht="15.75" customHeight="1">
      <c r="A28021" s="35"/>
      <c r="C28021" s="442"/>
      <c r="P28021" s="235"/>
      <c r="AI28021" s="38"/>
    </row>
    <row r="28022" ht="15.75" customHeight="1">
      <c r="A28022" s="35"/>
      <c r="C28022" s="442"/>
      <c r="P28022" s="235"/>
      <c r="AI28022" s="38"/>
    </row>
    <row r="28023" ht="15.75" customHeight="1">
      <c r="A28023" s="35"/>
      <c r="C28023" s="442"/>
      <c r="P28023" s="235"/>
      <c r="AI28023" s="38"/>
    </row>
    <row r="28024" ht="15.75" customHeight="1">
      <c r="A28024" s="35"/>
      <c r="C28024" s="442"/>
      <c r="P28024" s="235"/>
      <c r="AI28024" s="38"/>
    </row>
    <row r="28025" ht="15.75" customHeight="1">
      <c r="A28025" s="35"/>
      <c r="C28025" s="442"/>
      <c r="P28025" s="235"/>
      <c r="AI28025" s="38"/>
    </row>
    <row r="28026" ht="15.75" customHeight="1">
      <c r="A28026" s="35"/>
      <c r="C28026" s="442"/>
      <c r="P28026" s="235"/>
      <c r="AI28026" s="38"/>
    </row>
    <row r="28027" ht="15.75" customHeight="1">
      <c r="A28027" s="35"/>
      <c r="C28027" s="442"/>
      <c r="P28027" s="235"/>
      <c r="AI28027" s="38"/>
    </row>
    <row r="28028" ht="15.75" customHeight="1">
      <c r="A28028" s="35"/>
      <c r="C28028" s="442"/>
      <c r="P28028" s="235"/>
      <c r="AI28028" s="38"/>
    </row>
    <row r="28029" ht="15.75" customHeight="1">
      <c r="A28029" s="35"/>
      <c r="C28029" s="442"/>
      <c r="P28029" s="235"/>
      <c r="AI28029" s="38"/>
    </row>
    <row r="28030" ht="15.75" customHeight="1">
      <c r="A28030" s="35"/>
      <c r="C28030" s="442"/>
      <c r="P28030" s="235"/>
      <c r="AI28030" s="38"/>
    </row>
    <row r="28031" ht="15.75" customHeight="1">
      <c r="A28031" s="35"/>
      <c r="C28031" s="442"/>
      <c r="P28031" s="235"/>
      <c r="AI28031" s="38"/>
    </row>
    <row r="28032" ht="15.75" customHeight="1">
      <c r="A28032" s="35"/>
      <c r="C28032" s="442"/>
      <c r="P28032" s="235"/>
      <c r="AI28032" s="38"/>
    </row>
    <row r="28033" ht="15.75" customHeight="1">
      <c r="A28033" s="35"/>
      <c r="C28033" s="442"/>
      <c r="P28033" s="235"/>
      <c r="AI28033" s="38"/>
    </row>
    <row r="28034" ht="15.75" customHeight="1">
      <c r="A28034" s="35"/>
      <c r="C28034" s="442"/>
      <c r="P28034" s="235"/>
      <c r="AI28034" s="38"/>
    </row>
    <row r="28035" ht="15.75" customHeight="1">
      <c r="A28035" s="35"/>
      <c r="C28035" s="442"/>
      <c r="P28035" s="235"/>
      <c r="AI28035" s="38"/>
    </row>
    <row r="28036" ht="15.75" customHeight="1">
      <c r="A28036" s="35"/>
      <c r="C28036" s="442"/>
      <c r="P28036" s="235"/>
      <c r="AI28036" s="38"/>
    </row>
    <row r="28037" ht="15.75" customHeight="1">
      <c r="A28037" s="35"/>
      <c r="C28037" s="442"/>
      <c r="P28037" s="235"/>
      <c r="AI28037" s="38"/>
    </row>
    <row r="28038" ht="15.75" customHeight="1">
      <c r="A28038" s="35"/>
      <c r="C28038" s="442"/>
      <c r="P28038" s="235"/>
      <c r="AI28038" s="38"/>
    </row>
    <row r="28039" ht="15.75" customHeight="1">
      <c r="A28039" s="35"/>
      <c r="C28039" s="442"/>
      <c r="P28039" s="235"/>
      <c r="AI28039" s="38"/>
    </row>
    <row r="28040" ht="15.75" customHeight="1">
      <c r="A28040" s="35"/>
      <c r="C28040" s="442"/>
      <c r="P28040" s="235"/>
      <c r="AI28040" s="38"/>
    </row>
    <row r="28041" ht="15.75" customHeight="1">
      <c r="A28041" s="35"/>
      <c r="C28041" s="442"/>
      <c r="P28041" s="235"/>
      <c r="AI28041" s="38"/>
    </row>
    <row r="28042" ht="15.75" customHeight="1">
      <c r="A28042" s="35"/>
      <c r="C28042" s="442"/>
      <c r="P28042" s="235"/>
      <c r="AI28042" s="38"/>
    </row>
    <row r="28043" ht="15.75" customHeight="1">
      <c r="A28043" s="35"/>
      <c r="C28043" s="442"/>
      <c r="P28043" s="235"/>
      <c r="AI28043" s="38"/>
    </row>
    <row r="28044" ht="15.75" customHeight="1">
      <c r="A28044" s="35"/>
      <c r="C28044" s="442"/>
      <c r="P28044" s="235"/>
      <c r="AI28044" s="38"/>
    </row>
    <row r="28045" ht="15.75" customHeight="1">
      <c r="A28045" s="35"/>
      <c r="C28045" s="442"/>
      <c r="P28045" s="235"/>
      <c r="AI28045" s="38"/>
    </row>
    <row r="28046" ht="15.75" customHeight="1">
      <c r="A28046" s="35"/>
      <c r="C28046" s="442"/>
      <c r="P28046" s="235"/>
      <c r="AI28046" s="38"/>
    </row>
    <row r="28047" ht="15.75" customHeight="1">
      <c r="A28047" s="35"/>
      <c r="C28047" s="442"/>
      <c r="P28047" s="235"/>
      <c r="AI28047" s="38"/>
    </row>
    <row r="28048" ht="15.75" customHeight="1">
      <c r="A28048" s="35"/>
      <c r="C28048" s="442"/>
      <c r="P28048" s="235"/>
      <c r="AI28048" s="38"/>
    </row>
    <row r="28049" ht="15.75" customHeight="1">
      <c r="A28049" s="35"/>
      <c r="C28049" s="442"/>
      <c r="P28049" s="235"/>
      <c r="AI28049" s="38"/>
    </row>
    <row r="28050" ht="15.75" customHeight="1">
      <c r="A28050" s="35"/>
      <c r="C28050" s="442"/>
      <c r="P28050" s="235"/>
      <c r="AI28050" s="38"/>
    </row>
    <row r="28051" ht="15.75" customHeight="1">
      <c r="A28051" s="35"/>
      <c r="C28051" s="442"/>
      <c r="P28051" s="235"/>
      <c r="AI28051" s="38"/>
    </row>
    <row r="28052" ht="15.75" customHeight="1">
      <c r="A28052" s="35"/>
      <c r="C28052" s="442"/>
      <c r="P28052" s="235"/>
      <c r="AI28052" s="38"/>
    </row>
    <row r="28053" ht="15.75" customHeight="1">
      <c r="A28053" s="35"/>
      <c r="C28053" s="442"/>
      <c r="P28053" s="235"/>
      <c r="AI28053" s="38"/>
    </row>
    <row r="28054" ht="15.75" customHeight="1">
      <c r="A28054" s="35"/>
      <c r="C28054" s="442"/>
      <c r="P28054" s="235"/>
      <c r="AI28054" s="38"/>
    </row>
    <row r="28055" ht="15.75" customHeight="1">
      <c r="A28055" s="35"/>
      <c r="C28055" s="442"/>
      <c r="P28055" s="235"/>
      <c r="AI28055" s="38"/>
    </row>
    <row r="28056" ht="15.75" customHeight="1">
      <c r="A28056" s="35"/>
      <c r="C28056" s="442"/>
      <c r="P28056" s="235"/>
      <c r="AI28056" s="38"/>
    </row>
    <row r="28057" ht="15.75" customHeight="1">
      <c r="A28057" s="35"/>
      <c r="C28057" s="442"/>
      <c r="P28057" s="235"/>
      <c r="AI28057" s="38"/>
    </row>
    <row r="28058" ht="15.75" customHeight="1">
      <c r="A28058" s="35"/>
      <c r="C28058" s="442"/>
      <c r="P28058" s="235"/>
      <c r="AI28058" s="38"/>
    </row>
    <row r="28059" ht="15.75" customHeight="1">
      <c r="A28059" s="35"/>
      <c r="C28059" s="442"/>
      <c r="P28059" s="235"/>
      <c r="AI28059" s="38"/>
    </row>
    <row r="28060" ht="15.75" customHeight="1">
      <c r="A28060" s="35"/>
      <c r="C28060" s="442"/>
      <c r="P28060" s="235"/>
      <c r="AI28060" s="38"/>
    </row>
    <row r="28061" ht="15.75" customHeight="1">
      <c r="A28061" s="35"/>
      <c r="C28061" s="442"/>
      <c r="P28061" s="235"/>
      <c r="AI28061" s="38"/>
    </row>
    <row r="28062" ht="15.75" customHeight="1">
      <c r="A28062" s="35"/>
      <c r="C28062" s="442"/>
      <c r="P28062" s="235"/>
      <c r="AI28062" s="38"/>
    </row>
    <row r="28063" ht="15.75" customHeight="1">
      <c r="A28063" s="35"/>
      <c r="C28063" s="442"/>
      <c r="P28063" s="235"/>
      <c r="AI28063" s="38"/>
    </row>
    <row r="28064" ht="15.75" customHeight="1">
      <c r="A28064" s="35"/>
      <c r="C28064" s="442"/>
      <c r="P28064" s="235"/>
      <c r="AI28064" s="38"/>
    </row>
    <row r="28065" ht="15.75" customHeight="1">
      <c r="A28065" s="35"/>
      <c r="C28065" s="442"/>
      <c r="P28065" s="235"/>
      <c r="AI28065" s="38"/>
    </row>
    <row r="28066" ht="15.75" customHeight="1">
      <c r="A28066" s="35"/>
      <c r="C28066" s="442"/>
      <c r="P28066" s="235"/>
      <c r="AI28066" s="38"/>
    </row>
    <row r="28067" ht="15.75" customHeight="1">
      <c r="A28067" s="35"/>
      <c r="C28067" s="442"/>
      <c r="P28067" s="235"/>
      <c r="AI28067" s="38"/>
    </row>
    <row r="28068" ht="15.75" customHeight="1">
      <c r="A28068" s="35"/>
      <c r="C28068" s="442"/>
      <c r="P28068" s="235"/>
      <c r="AI28068" s="38"/>
    </row>
    <row r="28069" ht="15.75" customHeight="1">
      <c r="A28069" s="35"/>
      <c r="C28069" s="442"/>
      <c r="P28069" s="235"/>
      <c r="AI28069" s="38"/>
    </row>
    <row r="28070" ht="15.75" customHeight="1">
      <c r="A28070" s="35"/>
      <c r="C28070" s="442"/>
      <c r="P28070" s="235"/>
      <c r="AI28070" s="38"/>
    </row>
    <row r="28071" ht="15.75" customHeight="1">
      <c r="A28071" s="35"/>
      <c r="C28071" s="442"/>
      <c r="P28071" s="235"/>
      <c r="AI28071" s="38"/>
    </row>
    <row r="28072" ht="15.75" customHeight="1">
      <c r="A28072" s="35"/>
      <c r="C28072" s="442"/>
      <c r="P28072" s="235"/>
      <c r="AI28072" s="38"/>
    </row>
    <row r="28073" ht="15.75" customHeight="1">
      <c r="A28073" s="35"/>
      <c r="C28073" s="442"/>
      <c r="P28073" s="235"/>
      <c r="AI28073" s="38"/>
    </row>
    <row r="28074" ht="15.75" customHeight="1">
      <c r="A28074" s="35"/>
      <c r="C28074" s="442"/>
      <c r="P28074" s="235"/>
      <c r="AI28074" s="38"/>
    </row>
    <row r="28075" ht="15.75" customHeight="1">
      <c r="A28075" s="35"/>
      <c r="C28075" s="442"/>
      <c r="P28075" s="235"/>
      <c r="AI28075" s="38"/>
    </row>
    <row r="28076" ht="15.75" customHeight="1">
      <c r="A28076" s="35"/>
      <c r="C28076" s="442"/>
      <c r="P28076" s="235"/>
      <c r="AI28076" s="38"/>
    </row>
    <row r="28077" ht="15.75" customHeight="1">
      <c r="A28077" s="35"/>
      <c r="C28077" s="442"/>
      <c r="P28077" s="235"/>
      <c r="AI28077" s="38"/>
    </row>
    <row r="28078" ht="15.75" customHeight="1">
      <c r="A28078" s="35"/>
      <c r="C28078" s="442"/>
      <c r="P28078" s="235"/>
      <c r="AI28078" s="38"/>
    </row>
    <row r="28079" ht="15.75" customHeight="1">
      <c r="A28079" s="35"/>
      <c r="C28079" s="442"/>
      <c r="P28079" s="235"/>
      <c r="AI28079" s="38"/>
    </row>
    <row r="28080" ht="15.75" customHeight="1">
      <c r="A28080" s="35"/>
      <c r="C28080" s="442"/>
      <c r="P28080" s="235"/>
      <c r="AI28080" s="38"/>
    </row>
    <row r="28081" ht="15.75" customHeight="1">
      <c r="A28081" s="35"/>
      <c r="C28081" s="442"/>
      <c r="P28081" s="235"/>
      <c r="AI28081" s="38"/>
    </row>
    <row r="28082" ht="15.75" customHeight="1">
      <c r="A28082" s="35"/>
      <c r="C28082" s="442"/>
      <c r="P28082" s="235"/>
      <c r="AI28082" s="38"/>
    </row>
    <row r="28083" ht="15.75" customHeight="1">
      <c r="A28083" s="35"/>
      <c r="C28083" s="442"/>
      <c r="P28083" s="235"/>
      <c r="AI28083" s="38"/>
    </row>
    <row r="28084" ht="15.75" customHeight="1">
      <c r="A28084" s="35"/>
      <c r="C28084" s="442"/>
      <c r="P28084" s="235"/>
      <c r="AI28084" s="38"/>
    </row>
    <row r="28085" ht="15.75" customHeight="1">
      <c r="A28085" s="35"/>
      <c r="C28085" s="442"/>
      <c r="P28085" s="235"/>
      <c r="AI28085" s="38"/>
    </row>
    <row r="28086" ht="15.75" customHeight="1">
      <c r="A28086" s="35"/>
      <c r="C28086" s="442"/>
      <c r="P28086" s="235"/>
      <c r="AI28086" s="38"/>
    </row>
    <row r="28087" ht="15.75" customHeight="1">
      <c r="A28087" s="35"/>
      <c r="C28087" s="442"/>
      <c r="P28087" s="235"/>
      <c r="AI28087" s="38"/>
    </row>
    <row r="28088" ht="15.75" customHeight="1">
      <c r="A28088" s="35"/>
      <c r="C28088" s="442"/>
      <c r="P28088" s="235"/>
      <c r="AI28088" s="38"/>
    </row>
    <row r="28089" ht="15.75" customHeight="1">
      <c r="A28089" s="35"/>
      <c r="C28089" s="442"/>
      <c r="P28089" s="235"/>
      <c r="AI28089" s="38"/>
    </row>
    <row r="28090" ht="15.75" customHeight="1">
      <c r="A28090" s="35"/>
      <c r="C28090" s="442"/>
      <c r="P28090" s="235"/>
      <c r="AI28090" s="38"/>
    </row>
    <row r="28091" ht="15.75" customHeight="1">
      <c r="A28091" s="35"/>
      <c r="C28091" s="442"/>
      <c r="P28091" s="235"/>
      <c r="AI28091" s="38"/>
    </row>
    <row r="28092" ht="15.75" customHeight="1">
      <c r="A28092" s="35"/>
      <c r="C28092" s="442"/>
      <c r="P28092" s="235"/>
      <c r="AI28092" s="38"/>
    </row>
    <row r="28093" ht="15.75" customHeight="1">
      <c r="A28093" s="35"/>
      <c r="C28093" s="442"/>
      <c r="P28093" s="235"/>
      <c r="AI28093" s="38"/>
    </row>
    <row r="28094" ht="15.75" customHeight="1">
      <c r="A28094" s="35"/>
      <c r="C28094" s="442"/>
      <c r="P28094" s="235"/>
      <c r="AI28094" s="38"/>
    </row>
    <row r="28095" ht="15.75" customHeight="1">
      <c r="A28095" s="35"/>
      <c r="C28095" s="442"/>
      <c r="P28095" s="235"/>
      <c r="AI28095" s="38"/>
    </row>
    <row r="28096" ht="15.75" customHeight="1">
      <c r="A28096" s="35"/>
      <c r="C28096" s="442"/>
      <c r="P28096" s="235"/>
      <c r="AI28096" s="38"/>
    </row>
    <row r="28097" ht="15.75" customHeight="1">
      <c r="A28097" s="35"/>
      <c r="C28097" s="442"/>
      <c r="P28097" s="235"/>
      <c r="AI28097" s="38"/>
    </row>
    <row r="28098" ht="15.75" customHeight="1">
      <c r="A28098" s="35"/>
      <c r="C28098" s="442"/>
      <c r="P28098" s="235"/>
      <c r="AI28098" s="38"/>
    </row>
    <row r="28099" ht="15.75" customHeight="1">
      <c r="A28099" s="35"/>
      <c r="C28099" s="442"/>
      <c r="P28099" s="235"/>
      <c r="AI28099" s="38"/>
    </row>
    <row r="28100" ht="15.75" customHeight="1">
      <c r="A28100" s="35"/>
      <c r="C28100" s="442"/>
      <c r="P28100" s="235"/>
      <c r="AI28100" s="38"/>
    </row>
    <row r="28101" ht="15.75" customHeight="1">
      <c r="A28101" s="35"/>
      <c r="C28101" s="442"/>
      <c r="P28101" s="235"/>
      <c r="AI28101" s="38"/>
    </row>
    <row r="28102" ht="15.75" customHeight="1">
      <c r="A28102" s="35"/>
      <c r="C28102" s="442"/>
      <c r="P28102" s="235"/>
      <c r="AI28102" s="38"/>
    </row>
    <row r="28103" ht="15.75" customHeight="1">
      <c r="A28103" s="35"/>
      <c r="C28103" s="442"/>
      <c r="P28103" s="235"/>
      <c r="AI28103" s="38"/>
    </row>
    <row r="28104" ht="15.75" customHeight="1">
      <c r="A28104" s="35"/>
      <c r="C28104" s="442"/>
      <c r="P28104" s="235"/>
      <c r="AI28104" s="38"/>
    </row>
    <row r="28105" ht="15.75" customHeight="1">
      <c r="A28105" s="35"/>
      <c r="C28105" s="442"/>
      <c r="P28105" s="235"/>
      <c r="AI28105" s="38"/>
    </row>
    <row r="28106" ht="15.75" customHeight="1">
      <c r="A28106" s="35"/>
      <c r="C28106" s="442"/>
      <c r="P28106" s="235"/>
      <c r="AI28106" s="38"/>
    </row>
    <row r="28107" ht="15.75" customHeight="1">
      <c r="A28107" s="35"/>
      <c r="C28107" s="442"/>
      <c r="P28107" s="235"/>
      <c r="AI28107" s="38"/>
    </row>
    <row r="28108" ht="15.75" customHeight="1">
      <c r="A28108" s="35"/>
      <c r="C28108" s="442"/>
      <c r="P28108" s="235"/>
      <c r="AI28108" s="38"/>
    </row>
    <row r="28109" ht="15.75" customHeight="1">
      <c r="A28109" s="35"/>
      <c r="C28109" s="442"/>
      <c r="P28109" s="235"/>
      <c r="AI28109" s="38"/>
    </row>
    <row r="28110" ht="15.75" customHeight="1">
      <c r="A28110" s="35"/>
      <c r="C28110" s="442"/>
      <c r="P28110" s="235"/>
      <c r="AI28110" s="38"/>
    </row>
    <row r="28111" ht="15.75" customHeight="1">
      <c r="A28111" s="35"/>
      <c r="C28111" s="442"/>
      <c r="P28111" s="235"/>
      <c r="AI28111" s="38"/>
    </row>
    <row r="28112" ht="15.75" customHeight="1">
      <c r="A28112" s="35"/>
      <c r="C28112" s="442"/>
      <c r="P28112" s="235"/>
      <c r="AI28112" s="38"/>
    </row>
    <row r="28113" ht="15.75" customHeight="1">
      <c r="A28113" s="35"/>
      <c r="C28113" s="442"/>
      <c r="P28113" s="235"/>
      <c r="AI28113" s="38"/>
    </row>
    <row r="28114" ht="15.75" customHeight="1">
      <c r="A28114" s="35"/>
      <c r="C28114" s="442"/>
      <c r="P28114" s="235"/>
      <c r="AI28114" s="38"/>
    </row>
    <row r="28115" ht="15.75" customHeight="1">
      <c r="A28115" s="35"/>
      <c r="C28115" s="442"/>
      <c r="P28115" s="235"/>
      <c r="AI28115" s="38"/>
    </row>
    <row r="28116" ht="15.75" customHeight="1">
      <c r="A28116" s="35"/>
      <c r="C28116" s="442"/>
      <c r="P28116" s="235"/>
      <c r="AI28116" s="38"/>
    </row>
    <row r="28117" ht="15.75" customHeight="1">
      <c r="A28117" s="35"/>
      <c r="C28117" s="442"/>
      <c r="P28117" s="235"/>
      <c r="AI28117" s="38"/>
    </row>
    <row r="28118" ht="15.75" customHeight="1">
      <c r="A28118" s="35"/>
      <c r="C28118" s="442"/>
      <c r="P28118" s="235"/>
      <c r="AI28118" s="38"/>
    </row>
    <row r="28119" ht="15.75" customHeight="1">
      <c r="A28119" s="35"/>
      <c r="C28119" s="442"/>
      <c r="P28119" s="235"/>
      <c r="AI28119" s="38"/>
    </row>
    <row r="28120" ht="15.75" customHeight="1">
      <c r="A28120" s="35"/>
      <c r="C28120" s="442"/>
      <c r="P28120" s="235"/>
      <c r="AI28120" s="38"/>
    </row>
    <row r="28121" ht="15.75" customHeight="1">
      <c r="A28121" s="35"/>
      <c r="C28121" s="442"/>
      <c r="P28121" s="235"/>
      <c r="AI28121" s="38"/>
    </row>
    <row r="28122" ht="15.75" customHeight="1">
      <c r="A28122" s="35"/>
      <c r="C28122" s="442"/>
      <c r="P28122" s="235"/>
      <c r="AI28122" s="38"/>
    </row>
    <row r="28123" ht="15.75" customHeight="1">
      <c r="A28123" s="35"/>
      <c r="C28123" s="442"/>
      <c r="P28123" s="235"/>
      <c r="AI28123" s="38"/>
    </row>
    <row r="28124" ht="15.75" customHeight="1">
      <c r="A28124" s="35"/>
      <c r="C28124" s="442"/>
      <c r="P28124" s="235"/>
      <c r="AI28124" s="38"/>
    </row>
    <row r="28125" ht="15.75" customHeight="1">
      <c r="A28125" s="35"/>
      <c r="C28125" s="442"/>
      <c r="P28125" s="235"/>
      <c r="AI28125" s="38"/>
    </row>
    <row r="28126" ht="15.75" customHeight="1">
      <c r="A28126" s="35"/>
      <c r="C28126" s="442"/>
      <c r="P28126" s="235"/>
      <c r="AI28126" s="38"/>
    </row>
    <row r="28127" ht="15.75" customHeight="1">
      <c r="A28127" s="35"/>
      <c r="C28127" s="442"/>
      <c r="P28127" s="235"/>
      <c r="AI28127" s="38"/>
    </row>
    <row r="28128" ht="15.75" customHeight="1">
      <c r="A28128" s="35"/>
      <c r="C28128" s="442"/>
      <c r="P28128" s="235"/>
      <c r="AI28128" s="38"/>
    </row>
    <row r="28129" ht="15.75" customHeight="1">
      <c r="A28129" s="35"/>
      <c r="C28129" s="442"/>
      <c r="P28129" s="235"/>
      <c r="AI28129" s="38"/>
    </row>
    <row r="28130" ht="15.75" customHeight="1">
      <c r="A28130" s="35"/>
      <c r="C28130" s="442"/>
      <c r="P28130" s="235"/>
      <c r="AI28130" s="38"/>
    </row>
    <row r="28131" ht="15.75" customHeight="1">
      <c r="A28131" s="35"/>
      <c r="C28131" s="442"/>
      <c r="P28131" s="235"/>
      <c r="AI28131" s="38"/>
    </row>
    <row r="28132" ht="15.75" customHeight="1">
      <c r="A28132" s="35"/>
      <c r="C28132" s="442"/>
      <c r="P28132" s="235"/>
      <c r="AI28132" s="38"/>
    </row>
    <row r="28133" ht="15.75" customHeight="1">
      <c r="A28133" s="35"/>
      <c r="C28133" s="442"/>
      <c r="P28133" s="235"/>
      <c r="AI28133" s="38"/>
    </row>
    <row r="28134" ht="15.75" customHeight="1">
      <c r="A28134" s="35"/>
      <c r="C28134" s="442"/>
      <c r="P28134" s="235"/>
      <c r="AI28134" s="38"/>
    </row>
    <row r="28135" ht="15.75" customHeight="1">
      <c r="A28135" s="35"/>
      <c r="C28135" s="442"/>
      <c r="P28135" s="235"/>
      <c r="AI28135" s="38"/>
    </row>
    <row r="28136" ht="15.75" customHeight="1">
      <c r="A28136" s="35"/>
      <c r="C28136" s="442"/>
      <c r="P28136" s="235"/>
      <c r="AI28136" s="38"/>
    </row>
    <row r="28137" ht="15.75" customHeight="1">
      <c r="A28137" s="35"/>
      <c r="C28137" s="442"/>
      <c r="P28137" s="235"/>
      <c r="AI28137" s="38"/>
    </row>
    <row r="28138" ht="15.75" customHeight="1">
      <c r="A28138" s="35"/>
      <c r="C28138" s="442"/>
      <c r="P28138" s="235"/>
      <c r="AI28138" s="38"/>
    </row>
    <row r="28139" ht="15.75" customHeight="1">
      <c r="A28139" s="35"/>
      <c r="C28139" s="442"/>
      <c r="P28139" s="235"/>
      <c r="AI28139" s="38"/>
    </row>
    <row r="28140" ht="15.75" customHeight="1">
      <c r="A28140" s="35"/>
      <c r="C28140" s="442"/>
      <c r="P28140" s="235"/>
      <c r="AI28140" s="38"/>
    </row>
    <row r="28141" ht="15.75" customHeight="1">
      <c r="A28141" s="35"/>
      <c r="C28141" s="442"/>
      <c r="P28141" s="235"/>
      <c r="AI28141" s="38"/>
    </row>
    <row r="28142" ht="15.75" customHeight="1">
      <c r="A28142" s="35"/>
      <c r="C28142" s="442"/>
      <c r="P28142" s="235"/>
      <c r="AI28142" s="38"/>
    </row>
    <row r="28143" ht="15.75" customHeight="1">
      <c r="A28143" s="35"/>
      <c r="C28143" s="442"/>
      <c r="P28143" s="235"/>
      <c r="AI28143" s="38"/>
    </row>
    <row r="28144" ht="15.75" customHeight="1">
      <c r="A28144" s="35"/>
      <c r="C28144" s="442"/>
      <c r="P28144" s="235"/>
      <c r="AI28144" s="38"/>
    </row>
    <row r="28145" ht="15.75" customHeight="1">
      <c r="A28145" s="35"/>
      <c r="C28145" s="442"/>
      <c r="P28145" s="235"/>
      <c r="AI28145" s="38"/>
    </row>
    <row r="28146" ht="15.75" customHeight="1">
      <c r="A28146" s="35"/>
      <c r="C28146" s="442"/>
      <c r="P28146" s="235"/>
      <c r="AI28146" s="38"/>
    </row>
    <row r="28147" ht="15.75" customHeight="1">
      <c r="A28147" s="35"/>
      <c r="C28147" s="442"/>
      <c r="P28147" s="235"/>
      <c r="AI28147" s="38"/>
    </row>
    <row r="28148" ht="15.75" customHeight="1">
      <c r="A28148" s="35"/>
      <c r="C28148" s="442"/>
      <c r="P28148" s="235"/>
      <c r="AI28148" s="38"/>
    </row>
    <row r="28149" ht="15.75" customHeight="1">
      <c r="A28149" s="35"/>
      <c r="C28149" s="442"/>
      <c r="P28149" s="235"/>
      <c r="AI28149" s="38"/>
    </row>
    <row r="28150" ht="15.75" customHeight="1">
      <c r="A28150" s="35"/>
      <c r="C28150" s="442"/>
      <c r="P28150" s="235"/>
      <c r="AI28150" s="38"/>
    </row>
    <row r="28151" ht="15.75" customHeight="1">
      <c r="A28151" s="35"/>
      <c r="C28151" s="442"/>
      <c r="P28151" s="235"/>
      <c r="AI28151" s="38"/>
    </row>
    <row r="28152" ht="15.75" customHeight="1">
      <c r="A28152" s="35"/>
      <c r="C28152" s="442"/>
      <c r="P28152" s="235"/>
      <c r="AI28152" s="38"/>
    </row>
    <row r="28153" ht="15.75" customHeight="1">
      <c r="A28153" s="35"/>
      <c r="C28153" s="442"/>
      <c r="P28153" s="235"/>
      <c r="AI28153" s="38"/>
    </row>
    <row r="28154" ht="15.75" customHeight="1">
      <c r="A28154" s="35"/>
      <c r="C28154" s="442"/>
      <c r="P28154" s="235"/>
      <c r="AI28154" s="38"/>
    </row>
    <row r="28155" ht="15.75" customHeight="1">
      <c r="A28155" s="35"/>
      <c r="C28155" s="442"/>
      <c r="P28155" s="235"/>
      <c r="AI28155" s="38"/>
    </row>
    <row r="28156" ht="15.75" customHeight="1">
      <c r="A28156" s="35"/>
      <c r="C28156" s="442"/>
      <c r="P28156" s="235"/>
      <c r="AI28156" s="38"/>
    </row>
    <row r="28157" ht="15.75" customHeight="1">
      <c r="A28157" s="35"/>
      <c r="C28157" s="442"/>
      <c r="P28157" s="235"/>
      <c r="AI28157" s="38"/>
    </row>
    <row r="28158" ht="15.75" customHeight="1">
      <c r="A28158" s="35"/>
      <c r="C28158" s="442"/>
      <c r="P28158" s="235"/>
      <c r="AI28158" s="38"/>
    </row>
    <row r="28159" ht="15.75" customHeight="1">
      <c r="A28159" s="35"/>
      <c r="C28159" s="442"/>
      <c r="P28159" s="235"/>
      <c r="AI28159" s="38"/>
    </row>
    <row r="28160" ht="15.75" customHeight="1">
      <c r="A28160" s="35"/>
      <c r="C28160" s="442"/>
      <c r="P28160" s="235"/>
      <c r="AI28160" s="38"/>
    </row>
    <row r="28161" ht="15.75" customHeight="1">
      <c r="A28161" s="35"/>
      <c r="C28161" s="442"/>
      <c r="P28161" s="235"/>
      <c r="AI28161" s="38"/>
    </row>
    <row r="28162" ht="15.75" customHeight="1">
      <c r="A28162" s="35"/>
      <c r="C28162" s="442"/>
      <c r="P28162" s="235"/>
      <c r="AI28162" s="38"/>
    </row>
    <row r="28163" ht="15.75" customHeight="1">
      <c r="A28163" s="35"/>
      <c r="C28163" s="442"/>
      <c r="P28163" s="235"/>
      <c r="AI28163" s="38"/>
    </row>
    <row r="28164" ht="15.75" customHeight="1">
      <c r="A28164" s="35"/>
      <c r="C28164" s="442"/>
      <c r="P28164" s="235"/>
      <c r="AI28164" s="38"/>
    </row>
    <row r="28165" ht="15.75" customHeight="1">
      <c r="A28165" s="35"/>
      <c r="C28165" s="442"/>
      <c r="P28165" s="235"/>
      <c r="AI28165" s="38"/>
    </row>
    <row r="28166" ht="15.75" customHeight="1">
      <c r="A28166" s="35"/>
      <c r="C28166" s="442"/>
      <c r="P28166" s="235"/>
      <c r="AI28166" s="38"/>
    </row>
    <row r="28167" ht="15.75" customHeight="1">
      <c r="A28167" s="35"/>
      <c r="C28167" s="442"/>
      <c r="P28167" s="235"/>
      <c r="AI28167" s="38"/>
    </row>
    <row r="28168" ht="15.75" customHeight="1">
      <c r="A28168" s="35"/>
      <c r="C28168" s="442"/>
      <c r="P28168" s="235"/>
      <c r="AI28168" s="38"/>
    </row>
    <row r="28169" ht="15.75" customHeight="1">
      <c r="A28169" s="35"/>
      <c r="C28169" s="442"/>
      <c r="P28169" s="235"/>
      <c r="AI28169" s="38"/>
    </row>
    <row r="28170" ht="15.75" customHeight="1">
      <c r="A28170" s="35"/>
      <c r="C28170" s="442"/>
      <c r="P28170" s="235"/>
      <c r="AI28170" s="38"/>
    </row>
    <row r="28171" ht="15.75" customHeight="1">
      <c r="A28171" s="35"/>
      <c r="C28171" s="442"/>
      <c r="P28171" s="235"/>
      <c r="AI28171" s="38"/>
    </row>
    <row r="28172" ht="15.75" customHeight="1">
      <c r="A28172" s="35"/>
      <c r="C28172" s="442"/>
      <c r="P28172" s="235"/>
      <c r="AI28172" s="38"/>
    </row>
    <row r="28173" ht="15.75" customHeight="1">
      <c r="A28173" s="35"/>
      <c r="C28173" s="442"/>
      <c r="P28173" s="235"/>
      <c r="AI28173" s="38"/>
    </row>
    <row r="28174" ht="15.75" customHeight="1">
      <c r="A28174" s="35"/>
      <c r="C28174" s="442"/>
      <c r="P28174" s="235"/>
      <c r="AI28174" s="38"/>
    </row>
    <row r="28175" ht="15.75" customHeight="1">
      <c r="A28175" s="35"/>
      <c r="C28175" s="442"/>
      <c r="P28175" s="235"/>
      <c r="AI28175" s="38"/>
    </row>
    <row r="28176" ht="15.75" customHeight="1">
      <c r="A28176" s="35"/>
      <c r="C28176" s="442"/>
      <c r="P28176" s="235"/>
      <c r="AI28176" s="38"/>
    </row>
    <row r="28177" ht="15.75" customHeight="1">
      <c r="A28177" s="35"/>
      <c r="C28177" s="442"/>
      <c r="P28177" s="235"/>
      <c r="AI28177" s="38"/>
    </row>
    <row r="28178" ht="15.75" customHeight="1">
      <c r="A28178" s="35"/>
      <c r="C28178" s="442"/>
      <c r="P28178" s="235"/>
      <c r="AI28178" s="38"/>
    </row>
    <row r="28179" ht="15.75" customHeight="1">
      <c r="A28179" s="35"/>
      <c r="C28179" s="442"/>
      <c r="P28179" s="235"/>
      <c r="AI28179" s="38"/>
    </row>
    <row r="28180" ht="15.75" customHeight="1">
      <c r="A28180" s="35"/>
      <c r="C28180" s="442"/>
      <c r="P28180" s="235"/>
      <c r="AI28180" s="38"/>
    </row>
    <row r="28181" ht="15.75" customHeight="1">
      <c r="A28181" s="35"/>
      <c r="C28181" s="442"/>
      <c r="P28181" s="235"/>
      <c r="AI28181" s="38"/>
    </row>
    <row r="28182" ht="15.75" customHeight="1">
      <c r="A28182" s="35"/>
      <c r="C28182" s="442"/>
      <c r="P28182" s="235"/>
      <c r="AI28182" s="38"/>
    </row>
    <row r="28183" ht="15.75" customHeight="1">
      <c r="A28183" s="35"/>
      <c r="C28183" s="442"/>
      <c r="P28183" s="235"/>
      <c r="AI28183" s="38"/>
    </row>
    <row r="28184" ht="15.75" customHeight="1">
      <c r="A28184" s="35"/>
      <c r="C28184" s="442"/>
      <c r="P28184" s="235"/>
      <c r="AI28184" s="38"/>
    </row>
    <row r="28185" ht="15.75" customHeight="1">
      <c r="A28185" s="35"/>
      <c r="C28185" s="442"/>
      <c r="P28185" s="235"/>
      <c r="AI28185" s="38"/>
    </row>
    <row r="28186" ht="15.75" customHeight="1">
      <c r="A28186" s="35"/>
      <c r="C28186" s="442"/>
      <c r="P28186" s="235"/>
      <c r="AI28186" s="38"/>
    </row>
    <row r="28187" ht="15.75" customHeight="1">
      <c r="A28187" s="35"/>
      <c r="C28187" s="442"/>
      <c r="P28187" s="235"/>
      <c r="AI28187" s="38"/>
    </row>
    <row r="28188" ht="15.75" customHeight="1">
      <c r="A28188" s="35"/>
      <c r="C28188" s="442"/>
      <c r="P28188" s="235"/>
      <c r="AI28188" s="38"/>
    </row>
    <row r="28189" ht="15.75" customHeight="1">
      <c r="A28189" s="35"/>
      <c r="C28189" s="442"/>
      <c r="P28189" s="235"/>
      <c r="AI28189" s="38"/>
    </row>
    <row r="28190" ht="15.75" customHeight="1">
      <c r="A28190" s="35"/>
      <c r="C28190" s="442"/>
      <c r="P28190" s="235"/>
      <c r="AI28190" s="38"/>
    </row>
    <row r="28191" ht="15.75" customHeight="1">
      <c r="A28191" s="35"/>
      <c r="C28191" s="442"/>
      <c r="P28191" s="235"/>
      <c r="AI28191" s="38"/>
    </row>
    <row r="28192" ht="15.75" customHeight="1">
      <c r="A28192" s="35"/>
      <c r="C28192" s="442"/>
      <c r="P28192" s="235"/>
      <c r="AI28192" s="38"/>
    </row>
    <row r="28193" ht="15.75" customHeight="1">
      <c r="A28193" s="35"/>
      <c r="C28193" s="442"/>
      <c r="P28193" s="235"/>
      <c r="AI28193" s="38"/>
    </row>
    <row r="28194" ht="15.75" customHeight="1">
      <c r="A28194" s="35"/>
      <c r="C28194" s="442"/>
      <c r="P28194" s="235"/>
      <c r="AI28194" s="38"/>
    </row>
    <row r="28195" ht="15.75" customHeight="1">
      <c r="A28195" s="35"/>
      <c r="C28195" s="442"/>
      <c r="P28195" s="235"/>
      <c r="AI28195" s="38"/>
    </row>
    <row r="28196" ht="15.75" customHeight="1">
      <c r="A28196" s="35"/>
      <c r="C28196" s="442"/>
      <c r="P28196" s="235"/>
      <c r="AI28196" s="38"/>
    </row>
    <row r="28197" ht="15.75" customHeight="1">
      <c r="A28197" s="35"/>
      <c r="C28197" s="442"/>
      <c r="P28197" s="235"/>
      <c r="AI28197" s="38"/>
    </row>
    <row r="28198" ht="15.75" customHeight="1">
      <c r="A28198" s="35"/>
      <c r="C28198" s="442"/>
      <c r="P28198" s="235"/>
      <c r="AI28198" s="38"/>
    </row>
    <row r="28199" ht="15.75" customHeight="1">
      <c r="A28199" s="35"/>
      <c r="C28199" s="442"/>
      <c r="P28199" s="235"/>
      <c r="AI28199" s="38"/>
    </row>
    <row r="28200" ht="15.75" customHeight="1">
      <c r="A28200" s="35"/>
      <c r="C28200" s="442"/>
      <c r="P28200" s="235"/>
      <c r="AI28200" s="38"/>
    </row>
    <row r="28201" ht="15.75" customHeight="1">
      <c r="A28201" s="35"/>
      <c r="C28201" s="442"/>
      <c r="P28201" s="235"/>
      <c r="AI28201" s="38"/>
    </row>
    <row r="28202" ht="15.75" customHeight="1">
      <c r="A28202" s="35"/>
      <c r="C28202" s="442"/>
      <c r="P28202" s="235"/>
      <c r="AI28202" s="38"/>
    </row>
    <row r="28203" ht="15.75" customHeight="1">
      <c r="A28203" s="35"/>
      <c r="C28203" s="442"/>
      <c r="P28203" s="235"/>
      <c r="AI28203" s="38"/>
    </row>
    <row r="28204" ht="15.75" customHeight="1">
      <c r="A28204" s="35"/>
      <c r="C28204" s="442"/>
      <c r="P28204" s="235"/>
      <c r="AI28204" s="38"/>
    </row>
    <row r="28205" ht="15.75" customHeight="1">
      <c r="A28205" s="35"/>
      <c r="C28205" s="442"/>
      <c r="P28205" s="235"/>
      <c r="AI28205" s="38"/>
    </row>
    <row r="28206" ht="15.75" customHeight="1">
      <c r="A28206" s="35"/>
      <c r="C28206" s="442"/>
      <c r="P28206" s="235"/>
      <c r="AI28206" s="38"/>
    </row>
    <row r="28207" ht="15.75" customHeight="1">
      <c r="A28207" s="35"/>
      <c r="C28207" s="442"/>
      <c r="P28207" s="235"/>
      <c r="AI28207" s="38"/>
    </row>
    <row r="28208" ht="15.75" customHeight="1">
      <c r="A28208" s="35"/>
      <c r="C28208" s="442"/>
      <c r="P28208" s="235"/>
      <c r="AI28208" s="38"/>
    </row>
    <row r="28209" ht="15.75" customHeight="1">
      <c r="A28209" s="35"/>
      <c r="C28209" s="442"/>
      <c r="P28209" s="235"/>
      <c r="AI28209" s="38"/>
    </row>
    <row r="28210" ht="15.75" customHeight="1">
      <c r="A28210" s="35"/>
      <c r="C28210" s="442"/>
      <c r="P28210" s="235"/>
      <c r="AI28210" s="38"/>
    </row>
    <row r="28211" ht="15.75" customHeight="1">
      <c r="A28211" s="35"/>
      <c r="C28211" s="442"/>
      <c r="P28211" s="235"/>
      <c r="AI28211" s="38"/>
    </row>
    <row r="28212" ht="15.75" customHeight="1">
      <c r="A28212" s="35"/>
      <c r="C28212" s="442"/>
      <c r="P28212" s="235"/>
      <c r="AI28212" s="38"/>
    </row>
    <row r="28213" ht="15.75" customHeight="1">
      <c r="A28213" s="35"/>
      <c r="C28213" s="442"/>
      <c r="P28213" s="235"/>
      <c r="AI28213" s="38"/>
    </row>
    <row r="28214" ht="15.75" customHeight="1">
      <c r="A28214" s="35"/>
      <c r="C28214" s="442"/>
      <c r="P28214" s="235"/>
      <c r="AI28214" s="38"/>
    </row>
    <row r="28215" ht="15.75" customHeight="1">
      <c r="A28215" s="35"/>
      <c r="C28215" s="442"/>
      <c r="P28215" s="235"/>
      <c r="AI28215" s="38"/>
    </row>
    <row r="28216" ht="15.75" customHeight="1">
      <c r="A28216" s="35"/>
      <c r="C28216" s="442"/>
      <c r="P28216" s="235"/>
      <c r="AI28216" s="38"/>
    </row>
    <row r="28217" ht="15.75" customHeight="1">
      <c r="A28217" s="35"/>
      <c r="C28217" s="442"/>
      <c r="P28217" s="235"/>
      <c r="AI28217" s="38"/>
    </row>
    <row r="28218" ht="15.75" customHeight="1">
      <c r="A28218" s="35"/>
      <c r="C28218" s="442"/>
      <c r="P28218" s="235"/>
      <c r="AI28218" s="38"/>
    </row>
    <row r="28219" ht="15.75" customHeight="1">
      <c r="A28219" s="35"/>
      <c r="C28219" s="442"/>
      <c r="P28219" s="235"/>
      <c r="AI28219" s="38"/>
    </row>
    <row r="28220" ht="15.75" customHeight="1">
      <c r="A28220" s="35"/>
      <c r="C28220" s="442"/>
      <c r="P28220" s="235"/>
      <c r="AI28220" s="38"/>
    </row>
    <row r="28221" ht="15.75" customHeight="1">
      <c r="A28221" s="35"/>
      <c r="C28221" s="442"/>
      <c r="P28221" s="235"/>
      <c r="AI28221" s="38"/>
    </row>
    <row r="28222" ht="15.75" customHeight="1">
      <c r="A28222" s="35"/>
      <c r="C28222" s="442"/>
      <c r="P28222" s="235"/>
      <c r="AI28222" s="38"/>
    </row>
    <row r="28223" ht="15.75" customHeight="1">
      <c r="A28223" s="35"/>
      <c r="C28223" s="442"/>
      <c r="P28223" s="235"/>
      <c r="AI28223" s="38"/>
    </row>
    <row r="28224" ht="15.75" customHeight="1">
      <c r="A28224" s="35"/>
      <c r="C28224" s="442"/>
      <c r="P28224" s="235"/>
      <c r="AI28224" s="38"/>
    </row>
    <row r="28225" ht="15.75" customHeight="1">
      <c r="A28225" s="35"/>
      <c r="C28225" s="442"/>
      <c r="P28225" s="235"/>
      <c r="AI28225" s="38"/>
    </row>
    <row r="28226" ht="15.75" customHeight="1">
      <c r="A28226" s="35"/>
      <c r="C28226" s="442"/>
      <c r="P28226" s="235"/>
      <c r="AI28226" s="38"/>
    </row>
    <row r="28227" ht="15.75" customHeight="1">
      <c r="A28227" s="35"/>
      <c r="C28227" s="442"/>
      <c r="P28227" s="235"/>
      <c r="AI28227" s="38"/>
    </row>
    <row r="28228" ht="15.75" customHeight="1">
      <c r="A28228" s="35"/>
      <c r="C28228" s="442"/>
      <c r="P28228" s="235"/>
      <c r="AI28228" s="38"/>
    </row>
    <row r="28229" ht="15.75" customHeight="1">
      <c r="A28229" s="35"/>
      <c r="C28229" s="442"/>
      <c r="P28229" s="235"/>
      <c r="AI28229" s="38"/>
    </row>
    <row r="28230" ht="15.75" customHeight="1">
      <c r="A28230" s="35"/>
      <c r="C28230" s="442"/>
      <c r="P28230" s="235"/>
      <c r="AI28230" s="38"/>
    </row>
    <row r="28231" ht="15.75" customHeight="1">
      <c r="A28231" s="35"/>
      <c r="C28231" s="442"/>
      <c r="P28231" s="235"/>
      <c r="AI28231" s="38"/>
    </row>
    <row r="28232" ht="15.75" customHeight="1">
      <c r="A28232" s="35"/>
      <c r="C28232" s="442"/>
      <c r="P28232" s="235"/>
      <c r="AI28232" s="38"/>
    </row>
    <row r="28233" ht="15.75" customHeight="1">
      <c r="A28233" s="35"/>
      <c r="C28233" s="442"/>
      <c r="P28233" s="235"/>
      <c r="AI28233" s="38"/>
    </row>
    <row r="28234" ht="15.75" customHeight="1">
      <c r="A28234" s="35"/>
      <c r="C28234" s="442"/>
      <c r="P28234" s="235"/>
      <c r="AI28234" s="38"/>
    </row>
    <row r="28235" ht="15.75" customHeight="1">
      <c r="A28235" s="35"/>
      <c r="C28235" s="442"/>
      <c r="P28235" s="235"/>
      <c r="AI28235" s="38"/>
    </row>
    <row r="28236" ht="15.75" customHeight="1">
      <c r="A28236" s="35"/>
      <c r="C28236" s="442"/>
      <c r="P28236" s="235"/>
      <c r="AI28236" s="38"/>
    </row>
    <row r="28237" ht="15.75" customHeight="1">
      <c r="A28237" s="35"/>
      <c r="C28237" s="442"/>
      <c r="P28237" s="235"/>
      <c r="AI28237" s="38"/>
    </row>
    <row r="28238" ht="15.75" customHeight="1">
      <c r="A28238" s="35"/>
      <c r="C28238" s="442"/>
      <c r="P28238" s="235"/>
      <c r="AI28238" s="38"/>
    </row>
    <row r="28239" ht="15.75" customHeight="1">
      <c r="A28239" s="35"/>
      <c r="C28239" s="442"/>
      <c r="P28239" s="235"/>
      <c r="AI28239" s="38"/>
    </row>
    <row r="28240" ht="15.75" customHeight="1">
      <c r="A28240" s="35"/>
      <c r="C28240" s="442"/>
      <c r="P28240" s="235"/>
      <c r="AI28240" s="38"/>
    </row>
    <row r="28241" ht="15.75" customHeight="1">
      <c r="A28241" s="35"/>
      <c r="C28241" s="442"/>
      <c r="P28241" s="235"/>
      <c r="AI28241" s="38"/>
    </row>
    <row r="28242" ht="15.75" customHeight="1">
      <c r="A28242" s="35"/>
      <c r="C28242" s="442"/>
      <c r="P28242" s="235"/>
      <c r="AI28242" s="38"/>
    </row>
    <row r="28243" ht="15.75" customHeight="1">
      <c r="A28243" s="35"/>
      <c r="C28243" s="442"/>
      <c r="P28243" s="235"/>
      <c r="AI28243" s="38"/>
    </row>
    <row r="28244" ht="15.75" customHeight="1">
      <c r="A28244" s="35"/>
      <c r="C28244" s="442"/>
      <c r="P28244" s="235"/>
      <c r="AI28244" s="38"/>
    </row>
    <row r="28245" ht="15.75" customHeight="1">
      <c r="A28245" s="35"/>
      <c r="C28245" s="442"/>
      <c r="P28245" s="235"/>
      <c r="AI28245" s="38"/>
    </row>
    <row r="28246" ht="15.75" customHeight="1">
      <c r="A28246" s="35"/>
      <c r="C28246" s="442"/>
      <c r="P28246" s="235"/>
      <c r="AI28246" s="38"/>
    </row>
    <row r="28247" ht="15.75" customHeight="1">
      <c r="A28247" s="35"/>
      <c r="C28247" s="442"/>
      <c r="P28247" s="235"/>
      <c r="AI28247" s="38"/>
    </row>
    <row r="28248" ht="15.75" customHeight="1">
      <c r="A28248" s="35"/>
      <c r="C28248" s="442"/>
      <c r="P28248" s="235"/>
      <c r="AI28248" s="38"/>
    </row>
    <row r="28249" ht="15.75" customHeight="1">
      <c r="A28249" s="35"/>
      <c r="C28249" s="442"/>
      <c r="P28249" s="235"/>
      <c r="AI28249" s="38"/>
    </row>
    <row r="28250" ht="15.75" customHeight="1">
      <c r="A28250" s="35"/>
      <c r="C28250" s="442"/>
      <c r="P28250" s="235"/>
      <c r="AI28250" s="38"/>
    </row>
    <row r="28251" ht="15.75" customHeight="1">
      <c r="A28251" s="35"/>
      <c r="C28251" s="442"/>
      <c r="P28251" s="235"/>
      <c r="AI28251" s="38"/>
    </row>
    <row r="28252" ht="15.75" customHeight="1">
      <c r="A28252" s="35"/>
      <c r="C28252" s="442"/>
      <c r="P28252" s="235"/>
      <c r="AI28252" s="38"/>
    </row>
    <row r="28253" ht="15.75" customHeight="1">
      <c r="A28253" s="35"/>
      <c r="C28253" s="442"/>
      <c r="P28253" s="235"/>
      <c r="AI28253" s="38"/>
    </row>
    <row r="28254" ht="15.75" customHeight="1">
      <c r="A28254" s="35"/>
      <c r="C28254" s="442"/>
      <c r="P28254" s="235"/>
      <c r="AI28254" s="38"/>
    </row>
    <row r="28255" ht="15.75" customHeight="1">
      <c r="A28255" s="35"/>
      <c r="C28255" s="442"/>
      <c r="P28255" s="235"/>
      <c r="AI28255" s="38"/>
    </row>
    <row r="28256" ht="15.75" customHeight="1">
      <c r="A28256" s="35"/>
      <c r="C28256" s="442"/>
      <c r="P28256" s="235"/>
      <c r="AI28256" s="38"/>
    </row>
    <row r="28257" ht="15.75" customHeight="1">
      <c r="A28257" s="35"/>
      <c r="C28257" s="442"/>
      <c r="P28257" s="235"/>
      <c r="AI28257" s="38"/>
    </row>
    <row r="28258" ht="15.75" customHeight="1">
      <c r="A28258" s="35"/>
      <c r="C28258" s="442"/>
      <c r="P28258" s="235"/>
      <c r="AI28258" s="38"/>
    </row>
    <row r="28259" ht="15.75" customHeight="1">
      <c r="A28259" s="35"/>
      <c r="C28259" s="442"/>
      <c r="P28259" s="235"/>
      <c r="AI28259" s="38"/>
    </row>
    <row r="28260" ht="15.75" customHeight="1">
      <c r="A28260" s="35"/>
      <c r="C28260" s="442"/>
      <c r="P28260" s="235"/>
      <c r="AI28260" s="38"/>
    </row>
    <row r="28261" ht="15.75" customHeight="1">
      <c r="A28261" s="35"/>
      <c r="C28261" s="442"/>
      <c r="P28261" s="235"/>
      <c r="AI28261" s="38"/>
    </row>
    <row r="28262" ht="15.75" customHeight="1">
      <c r="A28262" s="35"/>
      <c r="C28262" s="442"/>
      <c r="P28262" s="235"/>
      <c r="AI28262" s="38"/>
    </row>
    <row r="28263" ht="15.75" customHeight="1">
      <c r="A28263" s="35"/>
      <c r="C28263" s="442"/>
      <c r="P28263" s="235"/>
      <c r="AI28263" s="38"/>
    </row>
    <row r="28264" ht="15.75" customHeight="1">
      <c r="A28264" s="35"/>
      <c r="C28264" s="442"/>
      <c r="P28264" s="235"/>
      <c r="AI28264" s="38"/>
    </row>
    <row r="28265" ht="15.75" customHeight="1">
      <c r="A28265" s="35"/>
      <c r="C28265" s="442"/>
      <c r="P28265" s="235"/>
      <c r="AI28265" s="38"/>
    </row>
    <row r="28266" ht="15.75" customHeight="1">
      <c r="A28266" s="35"/>
      <c r="C28266" s="442"/>
      <c r="P28266" s="235"/>
      <c r="AI28266" s="38"/>
    </row>
    <row r="28267" ht="15.75" customHeight="1">
      <c r="A28267" s="35"/>
      <c r="C28267" s="442"/>
      <c r="P28267" s="235"/>
      <c r="AI28267" s="38"/>
    </row>
    <row r="28268" ht="15.75" customHeight="1">
      <c r="A28268" s="35"/>
      <c r="C28268" s="442"/>
      <c r="P28268" s="235"/>
      <c r="AI28268" s="38"/>
    </row>
    <row r="28269" ht="15.75" customHeight="1">
      <c r="A28269" s="35"/>
      <c r="C28269" s="442"/>
      <c r="P28269" s="235"/>
      <c r="AI28269" s="38"/>
    </row>
    <row r="28270" ht="15.75" customHeight="1">
      <c r="A28270" s="35"/>
      <c r="C28270" s="442"/>
      <c r="P28270" s="235"/>
      <c r="AI28270" s="38"/>
    </row>
    <row r="28271" ht="15.75" customHeight="1">
      <c r="A28271" s="35"/>
      <c r="C28271" s="442"/>
      <c r="P28271" s="235"/>
      <c r="AI28271" s="38"/>
    </row>
    <row r="28272" ht="15.75" customHeight="1">
      <c r="A28272" s="35"/>
      <c r="C28272" s="442"/>
      <c r="P28272" s="235"/>
      <c r="AI28272" s="38"/>
    </row>
    <row r="28273" ht="15.75" customHeight="1">
      <c r="A28273" s="35"/>
      <c r="C28273" s="442"/>
      <c r="P28273" s="235"/>
      <c r="AI28273" s="38"/>
    </row>
    <row r="28274" ht="15.75" customHeight="1">
      <c r="A28274" s="35"/>
      <c r="C28274" s="442"/>
      <c r="P28274" s="235"/>
      <c r="AI28274" s="38"/>
    </row>
    <row r="28275" ht="15.75" customHeight="1">
      <c r="A28275" s="35"/>
      <c r="C28275" s="442"/>
      <c r="P28275" s="235"/>
      <c r="AI28275" s="38"/>
    </row>
    <row r="28276" ht="15.75" customHeight="1">
      <c r="A28276" s="35"/>
      <c r="C28276" s="442"/>
      <c r="P28276" s="235"/>
      <c r="AI28276" s="38"/>
    </row>
    <row r="28277" ht="15.75" customHeight="1">
      <c r="A28277" s="35"/>
      <c r="C28277" s="442"/>
      <c r="P28277" s="235"/>
      <c r="AI28277" s="38"/>
    </row>
    <row r="28278" ht="15.75" customHeight="1">
      <c r="A28278" s="35"/>
      <c r="C28278" s="442"/>
      <c r="P28278" s="235"/>
      <c r="AI28278" s="38"/>
    </row>
    <row r="28279" ht="15.75" customHeight="1">
      <c r="A28279" s="35"/>
      <c r="C28279" s="442"/>
      <c r="P28279" s="235"/>
      <c r="AI28279" s="38"/>
    </row>
    <row r="28280" ht="15.75" customHeight="1">
      <c r="A28280" s="35"/>
      <c r="C28280" s="442"/>
      <c r="P28280" s="235"/>
      <c r="AI28280" s="38"/>
    </row>
    <row r="28281" ht="15.75" customHeight="1">
      <c r="A28281" s="35"/>
      <c r="C28281" s="442"/>
      <c r="P28281" s="235"/>
      <c r="AI28281" s="38"/>
    </row>
    <row r="28282" ht="15.75" customHeight="1">
      <c r="A28282" s="35"/>
      <c r="C28282" s="442"/>
      <c r="P28282" s="235"/>
      <c r="AI28282" s="38"/>
    </row>
    <row r="28283" ht="15.75" customHeight="1">
      <c r="A28283" s="35"/>
      <c r="C28283" s="442"/>
      <c r="P28283" s="235"/>
      <c r="AI28283" s="38"/>
    </row>
    <row r="28284" ht="15.75" customHeight="1">
      <c r="A28284" s="35"/>
      <c r="C28284" s="442"/>
      <c r="P28284" s="235"/>
      <c r="AI28284" s="38"/>
    </row>
    <row r="28285" ht="15.75" customHeight="1">
      <c r="A28285" s="35"/>
      <c r="C28285" s="442"/>
      <c r="P28285" s="235"/>
      <c r="AI28285" s="38"/>
    </row>
    <row r="28286" ht="15.75" customHeight="1">
      <c r="A28286" s="35"/>
      <c r="C28286" s="442"/>
      <c r="P28286" s="235"/>
      <c r="AI28286" s="38"/>
    </row>
    <row r="28287" ht="15.75" customHeight="1">
      <c r="A28287" s="35"/>
      <c r="C28287" s="442"/>
      <c r="P28287" s="235"/>
      <c r="AI28287" s="38"/>
    </row>
    <row r="28288" ht="15.75" customHeight="1">
      <c r="A28288" s="35"/>
      <c r="C28288" s="442"/>
      <c r="P28288" s="235"/>
      <c r="AI28288" s="38"/>
    </row>
    <row r="28289" ht="15.75" customHeight="1">
      <c r="A28289" s="35"/>
      <c r="C28289" s="442"/>
      <c r="P28289" s="235"/>
      <c r="AI28289" s="38"/>
    </row>
    <row r="28290" ht="15.75" customHeight="1">
      <c r="A28290" s="35"/>
      <c r="C28290" s="442"/>
      <c r="P28290" s="235"/>
      <c r="AI28290" s="38"/>
    </row>
    <row r="28291" ht="15.75" customHeight="1">
      <c r="A28291" s="35"/>
      <c r="C28291" s="442"/>
      <c r="P28291" s="235"/>
      <c r="AI28291" s="38"/>
    </row>
    <row r="28292" ht="15.75" customHeight="1">
      <c r="A28292" s="35"/>
      <c r="C28292" s="442"/>
      <c r="P28292" s="235"/>
      <c r="AI28292" s="38"/>
    </row>
    <row r="28293" ht="15.75" customHeight="1">
      <c r="A28293" s="35"/>
      <c r="C28293" s="442"/>
      <c r="P28293" s="235"/>
      <c r="AI28293" s="38"/>
    </row>
    <row r="28294" ht="15.75" customHeight="1">
      <c r="A28294" s="35"/>
      <c r="C28294" s="442"/>
      <c r="P28294" s="235"/>
      <c r="AI28294" s="38"/>
    </row>
    <row r="28295" ht="15.75" customHeight="1">
      <c r="A28295" s="35"/>
      <c r="C28295" s="442"/>
      <c r="P28295" s="235"/>
      <c r="AI28295" s="38"/>
    </row>
    <row r="28296" ht="15.75" customHeight="1">
      <c r="A28296" s="35"/>
      <c r="C28296" s="442"/>
      <c r="P28296" s="235"/>
      <c r="AI28296" s="38"/>
    </row>
    <row r="28297" ht="15.75" customHeight="1">
      <c r="A28297" s="35"/>
      <c r="C28297" s="442"/>
      <c r="P28297" s="235"/>
      <c r="AI28297" s="38"/>
    </row>
    <row r="28298" ht="15.75" customHeight="1">
      <c r="A28298" s="35"/>
      <c r="C28298" s="442"/>
      <c r="P28298" s="235"/>
      <c r="AI28298" s="38"/>
    </row>
    <row r="28299" ht="15.75" customHeight="1">
      <c r="A28299" s="35"/>
      <c r="C28299" s="442"/>
      <c r="P28299" s="235"/>
      <c r="AI28299" s="38"/>
    </row>
    <row r="28300" ht="15.75" customHeight="1">
      <c r="A28300" s="35"/>
      <c r="C28300" s="442"/>
      <c r="P28300" s="235"/>
      <c r="AI28300" s="38"/>
    </row>
    <row r="28301" ht="15.75" customHeight="1">
      <c r="A28301" s="35"/>
      <c r="C28301" s="442"/>
      <c r="P28301" s="235"/>
      <c r="AI28301" s="38"/>
    </row>
    <row r="28302" ht="15.75" customHeight="1">
      <c r="A28302" s="35"/>
      <c r="C28302" s="442"/>
      <c r="P28302" s="235"/>
      <c r="AI28302" s="38"/>
    </row>
    <row r="28303" ht="15.75" customHeight="1">
      <c r="A28303" s="35"/>
      <c r="C28303" s="442"/>
      <c r="P28303" s="235"/>
      <c r="AI28303" s="38"/>
    </row>
    <row r="28304" ht="15.75" customHeight="1">
      <c r="A28304" s="35"/>
      <c r="C28304" s="442"/>
      <c r="P28304" s="235"/>
      <c r="AI28304" s="38"/>
    </row>
    <row r="28305" ht="15.75" customHeight="1">
      <c r="A28305" s="35"/>
      <c r="C28305" s="442"/>
      <c r="P28305" s="235"/>
      <c r="AI28305" s="38"/>
    </row>
    <row r="28306" ht="15.75" customHeight="1">
      <c r="A28306" s="35"/>
      <c r="C28306" s="442"/>
      <c r="P28306" s="235"/>
      <c r="AI28306" s="38"/>
    </row>
    <row r="28307" ht="15.75" customHeight="1">
      <c r="A28307" s="35"/>
      <c r="C28307" s="442"/>
      <c r="P28307" s="235"/>
      <c r="AI28307" s="38"/>
    </row>
    <row r="28308" ht="15.75" customHeight="1">
      <c r="A28308" s="35"/>
      <c r="C28308" s="442"/>
      <c r="P28308" s="235"/>
      <c r="AI28308" s="38"/>
    </row>
    <row r="28309" ht="15.75" customHeight="1">
      <c r="A28309" s="35"/>
      <c r="C28309" s="442"/>
      <c r="P28309" s="235"/>
      <c r="AI28309" s="38"/>
    </row>
    <row r="28310" ht="15.75" customHeight="1">
      <c r="A28310" s="35"/>
      <c r="C28310" s="442"/>
      <c r="P28310" s="235"/>
      <c r="AI28310" s="38"/>
    </row>
    <row r="28311" ht="15.75" customHeight="1">
      <c r="A28311" s="35"/>
      <c r="C28311" s="442"/>
      <c r="P28311" s="235"/>
      <c r="AI28311" s="38"/>
    </row>
    <row r="28312" ht="15.75" customHeight="1">
      <c r="A28312" s="35"/>
      <c r="C28312" s="442"/>
      <c r="P28312" s="235"/>
      <c r="AI28312" s="38"/>
    </row>
    <row r="28313" ht="15.75" customHeight="1">
      <c r="A28313" s="35"/>
      <c r="C28313" s="442"/>
      <c r="P28313" s="235"/>
      <c r="AI28313" s="38"/>
    </row>
    <row r="28314" ht="15.75" customHeight="1">
      <c r="A28314" s="35"/>
      <c r="C28314" s="442"/>
      <c r="P28314" s="235"/>
      <c r="AI28314" s="38"/>
    </row>
    <row r="28315" ht="15.75" customHeight="1">
      <c r="A28315" s="35"/>
      <c r="C28315" s="442"/>
      <c r="P28315" s="235"/>
      <c r="AI28315" s="38"/>
    </row>
    <row r="28316" ht="15.75" customHeight="1">
      <c r="A28316" s="35"/>
      <c r="C28316" s="442"/>
      <c r="P28316" s="235"/>
      <c r="AI28316" s="38"/>
    </row>
    <row r="28317" ht="15.75" customHeight="1">
      <c r="A28317" s="35"/>
      <c r="C28317" s="442"/>
      <c r="P28317" s="235"/>
      <c r="AI28317" s="38"/>
    </row>
    <row r="28318" ht="15.75" customHeight="1">
      <c r="A28318" s="35"/>
      <c r="C28318" s="442"/>
      <c r="P28318" s="235"/>
      <c r="AI28318" s="38"/>
    </row>
    <row r="28319" ht="15.75" customHeight="1">
      <c r="A28319" s="35"/>
      <c r="C28319" s="442"/>
      <c r="P28319" s="235"/>
      <c r="AI28319" s="38"/>
    </row>
    <row r="28320" ht="15.75" customHeight="1">
      <c r="A28320" s="35"/>
      <c r="C28320" s="442"/>
      <c r="P28320" s="235"/>
      <c r="AI28320" s="38"/>
    </row>
    <row r="28321" ht="15.75" customHeight="1">
      <c r="A28321" s="35"/>
      <c r="C28321" s="442"/>
      <c r="P28321" s="235"/>
      <c r="AI28321" s="38"/>
    </row>
    <row r="28322" ht="15.75" customHeight="1">
      <c r="A28322" s="35"/>
      <c r="C28322" s="442"/>
      <c r="P28322" s="235"/>
      <c r="AI28322" s="38"/>
    </row>
    <row r="28323" ht="15.75" customHeight="1">
      <c r="A28323" s="35"/>
      <c r="C28323" s="442"/>
      <c r="P28323" s="235"/>
      <c r="AI28323" s="38"/>
    </row>
    <row r="28324" ht="15.75" customHeight="1">
      <c r="A28324" s="35"/>
      <c r="C28324" s="442"/>
      <c r="P28324" s="235"/>
      <c r="AI28324" s="38"/>
    </row>
    <row r="28325" ht="15.75" customHeight="1">
      <c r="A28325" s="35"/>
      <c r="C28325" s="442"/>
      <c r="P28325" s="235"/>
      <c r="AI28325" s="38"/>
    </row>
    <row r="28326" ht="15.75" customHeight="1">
      <c r="A28326" s="35"/>
      <c r="C28326" s="442"/>
      <c r="P28326" s="235"/>
      <c r="AI28326" s="38"/>
    </row>
    <row r="28327" ht="15.75" customHeight="1">
      <c r="A28327" s="35"/>
      <c r="C28327" s="442"/>
      <c r="P28327" s="235"/>
      <c r="AI28327" s="38"/>
    </row>
    <row r="28328" ht="15.75" customHeight="1">
      <c r="A28328" s="35"/>
      <c r="C28328" s="442"/>
      <c r="P28328" s="235"/>
      <c r="AI28328" s="38"/>
    </row>
    <row r="28329" ht="15.75" customHeight="1">
      <c r="A28329" s="35"/>
      <c r="C28329" s="442"/>
      <c r="P28329" s="235"/>
      <c r="AI28329" s="38"/>
    </row>
    <row r="28330" ht="15.75" customHeight="1">
      <c r="A28330" s="35"/>
      <c r="C28330" s="442"/>
      <c r="P28330" s="235"/>
      <c r="AI28330" s="38"/>
    </row>
    <row r="28331" ht="15.75" customHeight="1">
      <c r="A28331" s="35"/>
      <c r="C28331" s="442"/>
      <c r="P28331" s="235"/>
      <c r="AI28331" s="38"/>
    </row>
    <row r="28332" ht="15.75" customHeight="1">
      <c r="A28332" s="35"/>
      <c r="C28332" s="442"/>
      <c r="P28332" s="235"/>
      <c r="AI28332" s="38"/>
    </row>
    <row r="28333" ht="15.75" customHeight="1">
      <c r="A28333" s="35"/>
      <c r="C28333" s="442"/>
      <c r="P28333" s="235"/>
      <c r="AI28333" s="38"/>
    </row>
    <row r="28334" ht="15.75" customHeight="1">
      <c r="A28334" s="35"/>
      <c r="C28334" s="442"/>
      <c r="P28334" s="235"/>
      <c r="AI28334" s="38"/>
    </row>
    <row r="28335" ht="15.75" customHeight="1">
      <c r="A28335" s="35"/>
      <c r="C28335" s="442"/>
      <c r="P28335" s="235"/>
      <c r="AI28335" s="38"/>
    </row>
    <row r="28336" ht="15.75" customHeight="1">
      <c r="A28336" s="35"/>
      <c r="C28336" s="442"/>
      <c r="P28336" s="235"/>
      <c r="AI28336" s="38"/>
    </row>
    <row r="28337" ht="15.75" customHeight="1">
      <c r="A28337" s="35"/>
      <c r="C28337" s="442"/>
      <c r="P28337" s="235"/>
      <c r="AI28337" s="38"/>
    </row>
    <row r="28338" ht="15.75" customHeight="1">
      <c r="A28338" s="35"/>
      <c r="C28338" s="442"/>
      <c r="P28338" s="235"/>
      <c r="AI28338" s="38"/>
    </row>
    <row r="28339" ht="15.75" customHeight="1">
      <c r="A28339" s="35"/>
      <c r="C28339" s="442"/>
      <c r="P28339" s="235"/>
      <c r="AI28339" s="38"/>
    </row>
    <row r="28340" ht="15.75" customHeight="1">
      <c r="A28340" s="35"/>
      <c r="C28340" s="442"/>
      <c r="P28340" s="235"/>
      <c r="AI28340" s="38"/>
    </row>
    <row r="28341" ht="15.75" customHeight="1">
      <c r="A28341" s="35"/>
      <c r="C28341" s="442"/>
      <c r="P28341" s="235"/>
      <c r="AI28341" s="38"/>
    </row>
    <row r="28342" ht="15.75" customHeight="1">
      <c r="A28342" s="35"/>
      <c r="C28342" s="442"/>
      <c r="P28342" s="235"/>
      <c r="AI28342" s="38"/>
    </row>
    <row r="28343" ht="15.75" customHeight="1">
      <c r="A28343" s="35"/>
      <c r="C28343" s="442"/>
      <c r="P28343" s="235"/>
      <c r="AI28343" s="38"/>
    </row>
    <row r="28344" ht="15.75" customHeight="1">
      <c r="A28344" s="35"/>
      <c r="C28344" s="442"/>
      <c r="P28344" s="235"/>
      <c r="AI28344" s="38"/>
    </row>
    <row r="28345" ht="15.75" customHeight="1">
      <c r="A28345" s="35"/>
      <c r="C28345" s="442"/>
      <c r="P28345" s="235"/>
      <c r="AI28345" s="38"/>
    </row>
    <row r="28346" ht="15.75" customHeight="1">
      <c r="A28346" s="35"/>
      <c r="C28346" s="442"/>
      <c r="P28346" s="235"/>
      <c r="AI28346" s="38"/>
    </row>
    <row r="28347" ht="15.75" customHeight="1">
      <c r="A28347" s="35"/>
      <c r="C28347" s="442"/>
      <c r="P28347" s="235"/>
      <c r="AI28347" s="38"/>
    </row>
    <row r="28348" ht="15.75" customHeight="1">
      <c r="A28348" s="35"/>
      <c r="C28348" s="442"/>
      <c r="P28348" s="235"/>
      <c r="AI28348" s="38"/>
    </row>
    <row r="28349" ht="15.75" customHeight="1">
      <c r="A28349" s="35"/>
      <c r="C28349" s="442"/>
      <c r="P28349" s="235"/>
      <c r="AI28349" s="38"/>
    </row>
    <row r="28350" ht="15.75" customHeight="1">
      <c r="A28350" s="35"/>
      <c r="C28350" s="442"/>
      <c r="P28350" s="235"/>
      <c r="AI28350" s="38"/>
    </row>
    <row r="28351" ht="15.75" customHeight="1">
      <c r="A28351" s="35"/>
      <c r="C28351" s="442"/>
      <c r="P28351" s="235"/>
      <c r="AI28351" s="38"/>
    </row>
    <row r="28352" ht="15.75" customHeight="1">
      <c r="A28352" s="35"/>
      <c r="C28352" s="442"/>
      <c r="P28352" s="235"/>
      <c r="AI28352" s="38"/>
    </row>
    <row r="28353" ht="15.75" customHeight="1">
      <c r="A28353" s="35"/>
      <c r="C28353" s="442"/>
      <c r="P28353" s="235"/>
      <c r="AI28353" s="38"/>
    </row>
    <row r="28354" ht="15.75" customHeight="1">
      <c r="A28354" s="35"/>
      <c r="C28354" s="442"/>
      <c r="P28354" s="235"/>
      <c r="AI28354" s="38"/>
    </row>
    <row r="28355" ht="15.75" customHeight="1">
      <c r="A28355" s="35"/>
      <c r="C28355" s="442"/>
      <c r="P28355" s="235"/>
      <c r="AI28355" s="38"/>
    </row>
    <row r="28356" ht="15.75" customHeight="1">
      <c r="A28356" s="35"/>
      <c r="C28356" s="442"/>
      <c r="P28356" s="235"/>
      <c r="AI28356" s="38"/>
    </row>
    <row r="28357" ht="15.75" customHeight="1">
      <c r="A28357" s="35"/>
      <c r="C28357" s="442"/>
      <c r="P28357" s="235"/>
      <c r="AI28357" s="38"/>
    </row>
    <row r="28358" ht="15.75" customHeight="1">
      <c r="A28358" s="35"/>
      <c r="C28358" s="442"/>
      <c r="P28358" s="235"/>
      <c r="AI28358" s="38"/>
    </row>
    <row r="28359" ht="15.75" customHeight="1">
      <c r="A28359" s="35"/>
      <c r="C28359" s="442"/>
      <c r="P28359" s="235"/>
      <c r="AI28359" s="38"/>
    </row>
    <row r="28360" ht="15.75" customHeight="1">
      <c r="A28360" s="35"/>
      <c r="C28360" s="442"/>
      <c r="P28360" s="235"/>
      <c r="AI28360" s="38"/>
    </row>
    <row r="28361" ht="15.75" customHeight="1">
      <c r="A28361" s="35"/>
      <c r="C28361" s="442"/>
      <c r="P28361" s="235"/>
      <c r="AI28361" s="38"/>
    </row>
    <row r="28362" ht="15.75" customHeight="1">
      <c r="A28362" s="35"/>
      <c r="C28362" s="442"/>
      <c r="P28362" s="235"/>
      <c r="AI28362" s="38"/>
    </row>
    <row r="28363" ht="15.75" customHeight="1">
      <c r="A28363" s="35"/>
      <c r="C28363" s="442"/>
      <c r="P28363" s="235"/>
      <c r="AI28363" s="38"/>
    </row>
    <row r="28364" ht="15.75" customHeight="1">
      <c r="A28364" s="35"/>
      <c r="C28364" s="442"/>
      <c r="P28364" s="235"/>
      <c r="AI28364" s="38"/>
    </row>
    <row r="28365" ht="15.75" customHeight="1">
      <c r="A28365" s="35"/>
      <c r="C28365" s="442"/>
      <c r="P28365" s="235"/>
      <c r="AI28365" s="38"/>
    </row>
    <row r="28366" ht="15.75" customHeight="1">
      <c r="A28366" s="35"/>
      <c r="C28366" s="442"/>
      <c r="P28366" s="235"/>
      <c r="AI28366" s="38"/>
    </row>
    <row r="28367" ht="15.75" customHeight="1">
      <c r="A28367" s="35"/>
      <c r="C28367" s="442"/>
      <c r="P28367" s="235"/>
      <c r="AI28367" s="38"/>
    </row>
    <row r="28368" ht="15.75" customHeight="1">
      <c r="A28368" s="35"/>
      <c r="C28368" s="442"/>
      <c r="P28368" s="235"/>
      <c r="AI28368" s="38"/>
    </row>
    <row r="28369" ht="15.75" customHeight="1">
      <c r="A28369" s="35"/>
      <c r="C28369" s="442"/>
      <c r="P28369" s="235"/>
      <c r="AI28369" s="38"/>
    </row>
    <row r="28370" ht="15.75" customHeight="1">
      <c r="A28370" s="35"/>
      <c r="C28370" s="442"/>
      <c r="P28370" s="235"/>
      <c r="AI28370" s="38"/>
    </row>
    <row r="28371" ht="15.75" customHeight="1">
      <c r="A28371" s="35"/>
      <c r="C28371" s="442"/>
      <c r="P28371" s="235"/>
      <c r="AI28371" s="38"/>
    </row>
    <row r="28372" ht="15.75" customHeight="1">
      <c r="A28372" s="35"/>
      <c r="C28372" s="442"/>
      <c r="P28372" s="235"/>
      <c r="AI28372" s="38"/>
    </row>
    <row r="28373" ht="15.75" customHeight="1">
      <c r="A28373" s="35"/>
      <c r="C28373" s="442"/>
      <c r="P28373" s="235"/>
      <c r="AI28373" s="38"/>
    </row>
    <row r="28374" ht="15.75" customHeight="1">
      <c r="A28374" s="35"/>
      <c r="C28374" s="442"/>
      <c r="P28374" s="235"/>
      <c r="AI28374" s="38"/>
    </row>
    <row r="28375" ht="15.75" customHeight="1">
      <c r="A28375" s="35"/>
      <c r="C28375" s="442"/>
      <c r="P28375" s="235"/>
      <c r="AI28375" s="38"/>
    </row>
    <row r="28376" ht="15.75" customHeight="1">
      <c r="A28376" s="35"/>
      <c r="C28376" s="442"/>
      <c r="P28376" s="235"/>
      <c r="AI28376" s="38"/>
    </row>
    <row r="28377" ht="15.75" customHeight="1">
      <c r="A28377" s="35"/>
      <c r="C28377" s="442"/>
      <c r="P28377" s="235"/>
      <c r="AI28377" s="38"/>
    </row>
    <row r="28378" ht="15.75" customHeight="1">
      <c r="A28378" s="35"/>
      <c r="C28378" s="442"/>
      <c r="P28378" s="235"/>
      <c r="AI28378" s="38"/>
    </row>
    <row r="28379" ht="15.75" customHeight="1">
      <c r="A28379" s="35"/>
      <c r="C28379" s="442"/>
      <c r="P28379" s="235"/>
      <c r="AI28379" s="38"/>
    </row>
    <row r="28380" ht="15.75" customHeight="1">
      <c r="A28380" s="35"/>
      <c r="C28380" s="442"/>
      <c r="P28380" s="235"/>
      <c r="AI28380" s="38"/>
    </row>
    <row r="28381" ht="15.75" customHeight="1">
      <c r="A28381" s="35"/>
      <c r="C28381" s="442"/>
      <c r="P28381" s="235"/>
      <c r="AI28381" s="38"/>
    </row>
    <row r="28382" ht="15.75" customHeight="1">
      <c r="A28382" s="35"/>
      <c r="C28382" s="442"/>
      <c r="P28382" s="235"/>
      <c r="AI28382" s="38"/>
    </row>
    <row r="28383" ht="15.75" customHeight="1">
      <c r="A28383" s="35"/>
      <c r="C28383" s="442"/>
      <c r="P28383" s="235"/>
      <c r="AI28383" s="38"/>
    </row>
    <row r="28384" ht="15.75" customHeight="1">
      <c r="A28384" s="35"/>
      <c r="C28384" s="442"/>
      <c r="P28384" s="235"/>
      <c r="AI28384" s="38"/>
    </row>
    <row r="28385" ht="15.75" customHeight="1">
      <c r="A28385" s="35"/>
      <c r="C28385" s="442"/>
      <c r="P28385" s="235"/>
      <c r="AI28385" s="38"/>
    </row>
    <row r="28386" ht="15.75" customHeight="1">
      <c r="A28386" s="35"/>
      <c r="C28386" s="442"/>
      <c r="P28386" s="235"/>
      <c r="AI28386" s="38"/>
    </row>
    <row r="28387" ht="15.75" customHeight="1">
      <c r="A28387" s="35"/>
      <c r="C28387" s="442"/>
      <c r="P28387" s="235"/>
      <c r="AI28387" s="38"/>
    </row>
    <row r="28388" ht="15.75" customHeight="1">
      <c r="A28388" s="35"/>
      <c r="C28388" s="442"/>
      <c r="P28388" s="235"/>
      <c r="AI28388" s="38"/>
    </row>
    <row r="28389" ht="15.75" customHeight="1">
      <c r="A28389" s="35"/>
      <c r="C28389" s="442"/>
      <c r="P28389" s="235"/>
      <c r="AI28389" s="38"/>
    </row>
    <row r="28390" ht="15.75" customHeight="1">
      <c r="A28390" s="35"/>
      <c r="C28390" s="442"/>
      <c r="P28390" s="235"/>
      <c r="AI28390" s="38"/>
    </row>
    <row r="28391" ht="15.75" customHeight="1">
      <c r="A28391" s="35"/>
      <c r="C28391" s="442"/>
      <c r="P28391" s="235"/>
      <c r="AI28391" s="38"/>
    </row>
    <row r="28392" ht="15.75" customHeight="1">
      <c r="A28392" s="35"/>
      <c r="C28392" s="442"/>
      <c r="P28392" s="235"/>
      <c r="AI28392" s="38"/>
    </row>
    <row r="28393" ht="15.75" customHeight="1">
      <c r="A28393" s="35"/>
      <c r="C28393" s="442"/>
      <c r="P28393" s="235"/>
      <c r="AI28393" s="38"/>
    </row>
    <row r="28394" ht="15.75" customHeight="1">
      <c r="A28394" s="35"/>
      <c r="C28394" s="442"/>
      <c r="P28394" s="235"/>
      <c r="AI28394" s="38"/>
    </row>
    <row r="28395" ht="15.75" customHeight="1">
      <c r="A28395" s="35"/>
      <c r="C28395" s="442"/>
      <c r="P28395" s="235"/>
      <c r="AI28395" s="38"/>
    </row>
    <row r="28396" ht="15.75" customHeight="1">
      <c r="A28396" s="35"/>
      <c r="C28396" s="442"/>
      <c r="P28396" s="235"/>
      <c r="AI28396" s="38"/>
    </row>
    <row r="28397" ht="15.75" customHeight="1">
      <c r="A28397" s="35"/>
      <c r="C28397" s="442"/>
      <c r="P28397" s="235"/>
      <c r="AI28397" s="38"/>
    </row>
    <row r="28398" ht="15.75" customHeight="1">
      <c r="A28398" s="35"/>
      <c r="C28398" s="442"/>
      <c r="P28398" s="235"/>
      <c r="AI28398" s="38"/>
    </row>
    <row r="28399" ht="15.75" customHeight="1">
      <c r="A28399" s="35"/>
      <c r="C28399" s="442"/>
      <c r="P28399" s="235"/>
      <c r="AI28399" s="38"/>
    </row>
    <row r="28400" ht="15.75" customHeight="1">
      <c r="A28400" s="35"/>
      <c r="C28400" s="442"/>
      <c r="P28400" s="235"/>
      <c r="AI28400" s="38"/>
    </row>
    <row r="28401" ht="15.75" customHeight="1">
      <c r="A28401" s="35"/>
      <c r="C28401" s="442"/>
      <c r="P28401" s="235"/>
      <c r="AI28401" s="38"/>
    </row>
    <row r="28402" ht="15.75" customHeight="1">
      <c r="A28402" s="35"/>
      <c r="C28402" s="442"/>
      <c r="P28402" s="235"/>
      <c r="AI28402" s="38"/>
    </row>
    <row r="28403" ht="15.75" customHeight="1">
      <c r="A28403" s="35"/>
      <c r="C28403" s="442"/>
      <c r="P28403" s="235"/>
      <c r="AI28403" s="38"/>
    </row>
    <row r="28404" ht="15.75" customHeight="1">
      <c r="A28404" s="35"/>
      <c r="C28404" s="442"/>
      <c r="P28404" s="235"/>
      <c r="AI28404" s="38"/>
    </row>
    <row r="28405" ht="15.75" customHeight="1">
      <c r="A28405" s="35"/>
      <c r="C28405" s="442"/>
      <c r="P28405" s="235"/>
      <c r="AI28405" s="38"/>
    </row>
    <row r="28406" ht="15.75" customHeight="1">
      <c r="A28406" s="35"/>
      <c r="C28406" s="442"/>
      <c r="P28406" s="235"/>
      <c r="AI28406" s="38"/>
    </row>
    <row r="28407" ht="15.75" customHeight="1">
      <c r="A28407" s="35"/>
      <c r="C28407" s="442"/>
      <c r="P28407" s="235"/>
      <c r="AI28407" s="38"/>
    </row>
    <row r="28408" ht="15.75" customHeight="1">
      <c r="A28408" s="35"/>
      <c r="C28408" s="442"/>
      <c r="P28408" s="235"/>
      <c r="AI28408" s="38"/>
    </row>
    <row r="28409" ht="15.75" customHeight="1">
      <c r="A28409" s="35"/>
      <c r="C28409" s="442"/>
      <c r="P28409" s="235"/>
      <c r="AI28409" s="38"/>
    </row>
    <row r="28410" ht="15.75" customHeight="1">
      <c r="A28410" s="35"/>
      <c r="C28410" s="442"/>
      <c r="P28410" s="235"/>
      <c r="AI28410" s="38"/>
    </row>
    <row r="28411" ht="15.75" customHeight="1">
      <c r="A28411" s="35"/>
      <c r="C28411" s="442"/>
      <c r="P28411" s="235"/>
      <c r="AI28411" s="38"/>
    </row>
    <row r="28412" ht="15.75" customHeight="1">
      <c r="A28412" s="35"/>
      <c r="C28412" s="442"/>
      <c r="P28412" s="235"/>
      <c r="AI28412" s="38"/>
    </row>
    <row r="28413" ht="15.75" customHeight="1">
      <c r="A28413" s="35"/>
      <c r="C28413" s="442"/>
      <c r="P28413" s="235"/>
      <c r="AI28413" s="38"/>
    </row>
    <row r="28414" ht="15.75" customHeight="1">
      <c r="A28414" s="35"/>
      <c r="C28414" s="442"/>
      <c r="P28414" s="235"/>
      <c r="AI28414" s="38"/>
    </row>
    <row r="28415" ht="15.75" customHeight="1">
      <c r="A28415" s="35"/>
      <c r="C28415" s="442"/>
      <c r="P28415" s="235"/>
      <c r="AI28415" s="38"/>
    </row>
    <row r="28416" ht="15.75" customHeight="1">
      <c r="A28416" s="35"/>
      <c r="C28416" s="442"/>
      <c r="P28416" s="235"/>
      <c r="AI28416" s="38"/>
    </row>
    <row r="28417" ht="15.75" customHeight="1">
      <c r="A28417" s="35"/>
      <c r="C28417" s="442"/>
      <c r="P28417" s="235"/>
      <c r="AI28417" s="38"/>
    </row>
    <row r="28418" ht="15.75" customHeight="1">
      <c r="A28418" s="35"/>
      <c r="C28418" s="442"/>
      <c r="P28418" s="235"/>
      <c r="AI28418" s="38"/>
    </row>
    <row r="28419" ht="15.75" customHeight="1">
      <c r="A28419" s="35"/>
      <c r="C28419" s="442"/>
      <c r="P28419" s="235"/>
      <c r="AI28419" s="38"/>
    </row>
    <row r="28420" ht="15.75" customHeight="1">
      <c r="A28420" s="35"/>
      <c r="C28420" s="442"/>
      <c r="P28420" s="235"/>
      <c r="AI28420" s="38"/>
    </row>
    <row r="28421" ht="15.75" customHeight="1">
      <c r="A28421" s="35"/>
      <c r="C28421" s="442"/>
      <c r="P28421" s="235"/>
      <c r="AI28421" s="38"/>
    </row>
    <row r="28422" ht="15.75" customHeight="1">
      <c r="A28422" s="35"/>
      <c r="C28422" s="442"/>
      <c r="P28422" s="235"/>
      <c r="AI28422" s="38"/>
    </row>
    <row r="28423" ht="15.75" customHeight="1">
      <c r="A28423" s="35"/>
      <c r="C28423" s="442"/>
      <c r="P28423" s="235"/>
      <c r="AI28423" s="38"/>
    </row>
    <row r="28424" ht="15.75" customHeight="1">
      <c r="A28424" s="35"/>
      <c r="C28424" s="442"/>
      <c r="P28424" s="235"/>
      <c r="AI28424" s="38"/>
    </row>
    <row r="28425" ht="15.75" customHeight="1">
      <c r="A28425" s="35"/>
      <c r="C28425" s="442"/>
      <c r="P28425" s="235"/>
      <c r="AI28425" s="38"/>
    </row>
    <row r="28426" ht="15.75" customHeight="1">
      <c r="A28426" s="35"/>
      <c r="C28426" s="442"/>
      <c r="P28426" s="235"/>
      <c r="AI28426" s="38"/>
    </row>
    <row r="28427" ht="15.75" customHeight="1">
      <c r="A28427" s="35"/>
      <c r="C28427" s="442"/>
      <c r="P28427" s="235"/>
      <c r="AI28427" s="38"/>
    </row>
    <row r="28428" ht="15.75" customHeight="1">
      <c r="A28428" s="35"/>
      <c r="C28428" s="442"/>
      <c r="P28428" s="235"/>
      <c r="AI28428" s="38"/>
    </row>
    <row r="28429" ht="15.75" customHeight="1">
      <c r="A28429" s="35"/>
      <c r="C28429" s="442"/>
      <c r="P28429" s="235"/>
      <c r="AI28429" s="38"/>
    </row>
    <row r="28430" ht="15.75" customHeight="1">
      <c r="A28430" s="35"/>
      <c r="C28430" s="442"/>
      <c r="P28430" s="235"/>
      <c r="AI28430" s="38"/>
    </row>
    <row r="28431" ht="15.75" customHeight="1">
      <c r="A28431" s="35"/>
      <c r="C28431" s="442"/>
      <c r="P28431" s="235"/>
      <c r="AI28431" s="38"/>
    </row>
    <row r="28432" ht="15.75" customHeight="1">
      <c r="A28432" s="35"/>
      <c r="C28432" s="442"/>
      <c r="P28432" s="235"/>
      <c r="AI28432" s="38"/>
    </row>
    <row r="28433" ht="15.75" customHeight="1">
      <c r="A28433" s="35"/>
      <c r="C28433" s="442"/>
      <c r="P28433" s="235"/>
      <c r="AI28433" s="38"/>
    </row>
    <row r="28434" ht="15.75" customHeight="1">
      <c r="A28434" s="35"/>
      <c r="C28434" s="442"/>
      <c r="P28434" s="235"/>
      <c r="AI28434" s="38"/>
    </row>
    <row r="28435" ht="15.75" customHeight="1">
      <c r="A28435" s="35"/>
      <c r="C28435" s="442"/>
      <c r="P28435" s="235"/>
      <c r="AI28435" s="38"/>
    </row>
    <row r="28436" ht="15.75" customHeight="1">
      <c r="A28436" s="35"/>
      <c r="C28436" s="442"/>
      <c r="P28436" s="235"/>
      <c r="AI28436" s="38"/>
    </row>
    <row r="28437" ht="15.75" customHeight="1">
      <c r="A28437" s="35"/>
      <c r="C28437" s="442"/>
      <c r="P28437" s="235"/>
      <c r="AI28437" s="38"/>
    </row>
    <row r="28438" ht="15.75" customHeight="1">
      <c r="A28438" s="35"/>
      <c r="C28438" s="442"/>
      <c r="P28438" s="235"/>
      <c r="AI28438" s="38"/>
    </row>
    <row r="28439" ht="15.75" customHeight="1">
      <c r="A28439" s="35"/>
      <c r="C28439" s="442"/>
      <c r="P28439" s="235"/>
      <c r="AI28439" s="38"/>
    </row>
    <row r="28440" ht="15.75" customHeight="1">
      <c r="A28440" s="35"/>
      <c r="C28440" s="442"/>
      <c r="P28440" s="235"/>
      <c r="AI28440" s="38"/>
    </row>
    <row r="28441" ht="15.75" customHeight="1">
      <c r="A28441" s="35"/>
      <c r="C28441" s="442"/>
      <c r="P28441" s="235"/>
      <c r="AI28441" s="38"/>
    </row>
    <row r="28442" ht="15.75" customHeight="1">
      <c r="A28442" s="35"/>
      <c r="C28442" s="442"/>
      <c r="P28442" s="235"/>
      <c r="AI28442" s="38"/>
    </row>
    <row r="28443" ht="15.75" customHeight="1">
      <c r="A28443" s="35"/>
      <c r="C28443" s="442"/>
      <c r="P28443" s="235"/>
      <c r="AI28443" s="38"/>
    </row>
    <row r="28444" ht="15.75" customHeight="1">
      <c r="A28444" s="35"/>
      <c r="C28444" s="442"/>
      <c r="P28444" s="235"/>
      <c r="AI28444" s="38"/>
    </row>
    <row r="28445" ht="15.75" customHeight="1">
      <c r="A28445" s="35"/>
      <c r="C28445" s="442"/>
      <c r="P28445" s="235"/>
      <c r="AI28445" s="38"/>
    </row>
    <row r="28446" ht="15.75" customHeight="1">
      <c r="A28446" s="35"/>
      <c r="C28446" s="442"/>
      <c r="P28446" s="235"/>
      <c r="AI28446" s="38"/>
    </row>
    <row r="28447" ht="15.75" customHeight="1">
      <c r="A28447" s="35"/>
      <c r="C28447" s="442"/>
      <c r="P28447" s="235"/>
      <c r="AI28447" s="38"/>
    </row>
    <row r="28448" ht="15.75" customHeight="1">
      <c r="A28448" s="35"/>
      <c r="C28448" s="442"/>
      <c r="P28448" s="235"/>
      <c r="AI28448" s="38"/>
    </row>
    <row r="28449" ht="15.75" customHeight="1">
      <c r="A28449" s="35"/>
      <c r="C28449" s="442"/>
      <c r="P28449" s="235"/>
      <c r="AI28449" s="38"/>
    </row>
    <row r="28450" ht="15.75" customHeight="1">
      <c r="A28450" s="35"/>
      <c r="C28450" s="442"/>
      <c r="P28450" s="235"/>
      <c r="AI28450" s="38"/>
    </row>
    <row r="28451" ht="15.75" customHeight="1">
      <c r="A28451" s="35"/>
      <c r="C28451" s="442"/>
      <c r="P28451" s="235"/>
      <c r="AI28451" s="38"/>
    </row>
    <row r="28452" ht="15.75" customHeight="1">
      <c r="A28452" s="35"/>
      <c r="C28452" s="442"/>
      <c r="P28452" s="235"/>
      <c r="AI28452" s="38"/>
    </row>
    <row r="28453" ht="15.75" customHeight="1">
      <c r="A28453" s="35"/>
      <c r="C28453" s="442"/>
      <c r="P28453" s="235"/>
      <c r="AI28453" s="38"/>
    </row>
    <row r="28454" ht="15.75" customHeight="1">
      <c r="A28454" s="35"/>
      <c r="C28454" s="442"/>
      <c r="P28454" s="235"/>
      <c r="AI28454" s="38"/>
    </row>
    <row r="28455" ht="15.75" customHeight="1">
      <c r="A28455" s="35"/>
      <c r="C28455" s="442"/>
      <c r="P28455" s="235"/>
      <c r="AI28455" s="38"/>
    </row>
    <row r="28456" ht="15.75" customHeight="1">
      <c r="A28456" s="35"/>
      <c r="C28456" s="442"/>
      <c r="P28456" s="235"/>
      <c r="AI28456" s="38"/>
    </row>
    <row r="28457" ht="15.75" customHeight="1">
      <c r="A28457" s="35"/>
      <c r="C28457" s="442"/>
      <c r="P28457" s="235"/>
      <c r="AI28457" s="38"/>
    </row>
    <row r="28458" ht="15.75" customHeight="1">
      <c r="A28458" s="35"/>
      <c r="C28458" s="442"/>
      <c r="P28458" s="235"/>
      <c r="AI28458" s="38"/>
    </row>
    <row r="28459" ht="15.75" customHeight="1">
      <c r="A28459" s="35"/>
      <c r="C28459" s="442"/>
      <c r="P28459" s="235"/>
      <c r="AI28459" s="38"/>
    </row>
    <row r="28460" ht="15.75" customHeight="1">
      <c r="A28460" s="35"/>
      <c r="C28460" s="442"/>
      <c r="P28460" s="235"/>
      <c r="AI28460" s="38"/>
    </row>
    <row r="28461" ht="15.75" customHeight="1">
      <c r="A28461" s="35"/>
      <c r="C28461" s="442"/>
      <c r="P28461" s="235"/>
      <c r="AI28461" s="38"/>
    </row>
    <row r="28462" ht="15.75" customHeight="1">
      <c r="A28462" s="35"/>
      <c r="C28462" s="442"/>
      <c r="P28462" s="235"/>
      <c r="AI28462" s="38"/>
    </row>
    <row r="28463" ht="15.75" customHeight="1">
      <c r="A28463" s="35"/>
      <c r="C28463" s="442"/>
      <c r="P28463" s="235"/>
      <c r="AI28463" s="38"/>
    </row>
    <row r="28464" ht="15.75" customHeight="1">
      <c r="A28464" s="35"/>
      <c r="C28464" s="442"/>
      <c r="P28464" s="235"/>
      <c r="AI28464" s="38"/>
    </row>
    <row r="28465" ht="15.75" customHeight="1">
      <c r="A28465" s="35"/>
      <c r="C28465" s="442"/>
      <c r="P28465" s="235"/>
      <c r="AI28465" s="38"/>
    </row>
    <row r="28466" ht="15.75" customHeight="1">
      <c r="A28466" s="35"/>
      <c r="C28466" s="442"/>
      <c r="P28466" s="235"/>
      <c r="AI28466" s="38"/>
    </row>
    <row r="28467" ht="15.75" customHeight="1">
      <c r="A28467" s="35"/>
      <c r="C28467" s="442"/>
      <c r="P28467" s="235"/>
      <c r="AI28467" s="38"/>
    </row>
    <row r="28468" ht="15.75" customHeight="1">
      <c r="A28468" s="35"/>
      <c r="C28468" s="442"/>
      <c r="P28468" s="235"/>
      <c r="AI28468" s="38"/>
    </row>
    <row r="28469" ht="15.75" customHeight="1">
      <c r="A28469" s="35"/>
      <c r="C28469" s="442"/>
      <c r="P28469" s="235"/>
      <c r="AI28469" s="38"/>
    </row>
    <row r="28470" ht="15.75" customHeight="1">
      <c r="A28470" s="35"/>
      <c r="C28470" s="442"/>
      <c r="P28470" s="235"/>
      <c r="AI28470" s="38"/>
    </row>
    <row r="28471" ht="15.75" customHeight="1">
      <c r="A28471" s="35"/>
      <c r="C28471" s="442"/>
      <c r="P28471" s="235"/>
      <c r="AI28471" s="38"/>
    </row>
    <row r="28472" ht="15.75" customHeight="1">
      <c r="A28472" s="35"/>
      <c r="C28472" s="442"/>
      <c r="P28472" s="235"/>
      <c r="AI28472" s="38"/>
    </row>
    <row r="28473" ht="15.75" customHeight="1">
      <c r="A28473" s="35"/>
      <c r="C28473" s="442"/>
      <c r="P28473" s="235"/>
      <c r="AI28473" s="38"/>
    </row>
    <row r="28474" ht="15.75" customHeight="1">
      <c r="A28474" s="35"/>
      <c r="C28474" s="442"/>
      <c r="P28474" s="235"/>
      <c r="AI28474" s="38"/>
    </row>
    <row r="28475" ht="15.75" customHeight="1">
      <c r="A28475" s="35"/>
      <c r="C28475" s="442"/>
      <c r="P28475" s="235"/>
      <c r="AI28475" s="38"/>
    </row>
    <row r="28476" ht="15.75" customHeight="1">
      <c r="A28476" s="35"/>
      <c r="C28476" s="442"/>
      <c r="P28476" s="235"/>
      <c r="AI28476" s="38"/>
    </row>
    <row r="28477" ht="15.75" customHeight="1">
      <c r="A28477" s="35"/>
      <c r="C28477" s="442"/>
      <c r="P28477" s="235"/>
      <c r="AI28477" s="38"/>
    </row>
    <row r="28478" ht="15.75" customHeight="1">
      <c r="A28478" s="35"/>
      <c r="C28478" s="442"/>
      <c r="P28478" s="235"/>
      <c r="AI28478" s="38"/>
    </row>
    <row r="28479" ht="15.75" customHeight="1">
      <c r="A28479" s="35"/>
      <c r="C28479" s="442"/>
      <c r="P28479" s="235"/>
      <c r="AI28479" s="38"/>
    </row>
    <row r="28480" ht="15.75" customHeight="1">
      <c r="A28480" s="35"/>
      <c r="C28480" s="442"/>
      <c r="P28480" s="235"/>
      <c r="AI28480" s="38"/>
    </row>
    <row r="28481" ht="15.75" customHeight="1">
      <c r="A28481" s="35"/>
      <c r="C28481" s="442"/>
      <c r="P28481" s="235"/>
      <c r="AI28481" s="38"/>
    </row>
    <row r="28482" ht="15.75" customHeight="1">
      <c r="A28482" s="35"/>
      <c r="C28482" s="442"/>
      <c r="P28482" s="235"/>
      <c r="AI28482" s="38"/>
    </row>
    <row r="28483" ht="15.75" customHeight="1">
      <c r="A28483" s="35"/>
      <c r="C28483" s="442"/>
      <c r="P28483" s="235"/>
      <c r="AI28483" s="38"/>
    </row>
    <row r="28484" ht="15.75" customHeight="1">
      <c r="A28484" s="35"/>
      <c r="C28484" s="442"/>
      <c r="P28484" s="235"/>
      <c r="AI28484" s="38"/>
    </row>
    <row r="28485" ht="15.75" customHeight="1">
      <c r="A28485" s="35"/>
      <c r="C28485" s="442"/>
      <c r="P28485" s="235"/>
      <c r="AI28485" s="38"/>
    </row>
    <row r="28486" ht="15.75" customHeight="1">
      <c r="A28486" s="35"/>
      <c r="C28486" s="442"/>
      <c r="P28486" s="235"/>
      <c r="AI28486" s="38"/>
    </row>
    <row r="28487" ht="15.75" customHeight="1">
      <c r="A28487" s="35"/>
      <c r="C28487" s="442"/>
      <c r="P28487" s="235"/>
      <c r="AI28487" s="38"/>
    </row>
    <row r="28488" ht="15.75" customHeight="1">
      <c r="A28488" s="35"/>
      <c r="C28488" s="442"/>
      <c r="P28488" s="235"/>
      <c r="AI28488" s="38"/>
    </row>
    <row r="28489" ht="15.75" customHeight="1">
      <c r="A28489" s="35"/>
      <c r="C28489" s="442"/>
      <c r="P28489" s="235"/>
      <c r="AI28489" s="38"/>
    </row>
    <row r="28490" ht="15.75" customHeight="1">
      <c r="A28490" s="35"/>
      <c r="C28490" s="442"/>
      <c r="P28490" s="235"/>
      <c r="AI28490" s="38"/>
    </row>
    <row r="28491" ht="15.75" customHeight="1">
      <c r="A28491" s="35"/>
      <c r="C28491" s="442"/>
      <c r="P28491" s="235"/>
      <c r="AI28491" s="38"/>
    </row>
    <row r="28492" ht="15.75" customHeight="1">
      <c r="A28492" s="35"/>
      <c r="C28492" s="442"/>
      <c r="P28492" s="235"/>
      <c r="AI28492" s="38"/>
    </row>
    <row r="28493" ht="15.75" customHeight="1">
      <c r="A28493" s="35"/>
      <c r="C28493" s="442"/>
      <c r="P28493" s="235"/>
      <c r="AI28493" s="38"/>
    </row>
    <row r="28494" ht="15.75" customHeight="1">
      <c r="A28494" s="35"/>
      <c r="C28494" s="442"/>
      <c r="P28494" s="235"/>
      <c r="AI28494" s="38"/>
    </row>
    <row r="28495" ht="15.75" customHeight="1">
      <c r="A28495" s="35"/>
      <c r="C28495" s="442"/>
      <c r="P28495" s="235"/>
      <c r="AI28495" s="38"/>
    </row>
    <row r="28496" ht="15.75" customHeight="1">
      <c r="A28496" s="35"/>
      <c r="C28496" s="442"/>
      <c r="P28496" s="235"/>
      <c r="AI28496" s="38"/>
    </row>
    <row r="28497" ht="15.75" customHeight="1">
      <c r="A28497" s="35"/>
      <c r="C28497" s="442"/>
      <c r="P28497" s="235"/>
      <c r="AI28497" s="38"/>
    </row>
    <row r="28498" ht="15.75" customHeight="1">
      <c r="A28498" s="35"/>
      <c r="C28498" s="442"/>
      <c r="P28498" s="235"/>
      <c r="AI28498" s="38"/>
    </row>
    <row r="28499" ht="15.75" customHeight="1">
      <c r="A28499" s="35"/>
      <c r="C28499" s="442"/>
      <c r="P28499" s="235"/>
      <c r="AI28499" s="38"/>
    </row>
    <row r="28500" ht="15.75" customHeight="1">
      <c r="A28500" s="35"/>
      <c r="C28500" s="442"/>
      <c r="P28500" s="235"/>
      <c r="AI28500" s="38"/>
    </row>
    <row r="28501" ht="15.75" customHeight="1">
      <c r="A28501" s="35"/>
      <c r="C28501" s="442"/>
      <c r="P28501" s="235"/>
      <c r="AI28501" s="38"/>
    </row>
    <row r="28502" ht="15.75" customHeight="1">
      <c r="A28502" s="35"/>
      <c r="C28502" s="442"/>
      <c r="P28502" s="235"/>
      <c r="AI28502" s="38"/>
    </row>
    <row r="28503" ht="15.75" customHeight="1">
      <c r="A28503" s="35"/>
      <c r="C28503" s="442"/>
      <c r="P28503" s="235"/>
      <c r="AI28503" s="38"/>
    </row>
    <row r="28504" ht="15.75" customHeight="1">
      <c r="A28504" s="35"/>
      <c r="C28504" s="442"/>
      <c r="P28504" s="235"/>
      <c r="AI28504" s="38"/>
    </row>
    <row r="28505" ht="15.75" customHeight="1">
      <c r="A28505" s="35"/>
      <c r="C28505" s="442"/>
      <c r="P28505" s="235"/>
      <c r="AI28505" s="38"/>
    </row>
    <row r="28506" ht="15.75" customHeight="1">
      <c r="A28506" s="35"/>
      <c r="C28506" s="442"/>
      <c r="P28506" s="235"/>
      <c r="AI28506" s="38"/>
    </row>
    <row r="28507" ht="15.75" customHeight="1">
      <c r="A28507" s="35"/>
      <c r="C28507" s="442"/>
      <c r="P28507" s="235"/>
      <c r="AI28507" s="38"/>
    </row>
    <row r="28508" ht="15.75" customHeight="1">
      <c r="A28508" s="35"/>
      <c r="C28508" s="442"/>
      <c r="P28508" s="235"/>
      <c r="AI28508" s="38"/>
    </row>
    <row r="28509" ht="15.75" customHeight="1">
      <c r="A28509" s="35"/>
      <c r="C28509" s="442"/>
      <c r="P28509" s="235"/>
      <c r="AI28509" s="38"/>
    </row>
    <row r="28510" ht="15.75" customHeight="1">
      <c r="A28510" s="35"/>
      <c r="C28510" s="442"/>
      <c r="P28510" s="235"/>
      <c r="AI28510" s="38"/>
    </row>
    <row r="28511" ht="15.75" customHeight="1">
      <c r="A28511" s="35"/>
      <c r="C28511" s="442"/>
      <c r="P28511" s="235"/>
      <c r="AI28511" s="38"/>
    </row>
    <row r="28512" ht="15.75" customHeight="1">
      <c r="A28512" s="35"/>
      <c r="C28512" s="442"/>
      <c r="P28512" s="235"/>
      <c r="AI28512" s="38"/>
    </row>
    <row r="28513" ht="15.75" customHeight="1">
      <c r="A28513" s="35"/>
      <c r="C28513" s="442"/>
      <c r="P28513" s="235"/>
      <c r="AI28513" s="38"/>
    </row>
    <row r="28514" ht="15.75" customHeight="1">
      <c r="A28514" s="35"/>
      <c r="C28514" s="442"/>
      <c r="P28514" s="235"/>
      <c r="AI28514" s="38"/>
    </row>
    <row r="28515" ht="15.75" customHeight="1">
      <c r="A28515" s="35"/>
      <c r="C28515" s="442"/>
      <c r="P28515" s="235"/>
      <c r="AI28515" s="38"/>
    </row>
    <row r="28516" ht="15.75" customHeight="1">
      <c r="A28516" s="35"/>
      <c r="C28516" s="442"/>
      <c r="P28516" s="235"/>
      <c r="AI28516" s="38"/>
    </row>
    <row r="28517" ht="15.75" customHeight="1">
      <c r="A28517" s="35"/>
      <c r="C28517" s="442"/>
      <c r="P28517" s="235"/>
      <c r="AI28517" s="38"/>
    </row>
    <row r="28518" ht="15.75" customHeight="1">
      <c r="A28518" s="35"/>
      <c r="C28518" s="442"/>
      <c r="P28518" s="235"/>
      <c r="AI28518" s="38"/>
    </row>
    <row r="28519" ht="15.75" customHeight="1">
      <c r="A28519" s="35"/>
      <c r="C28519" s="442"/>
      <c r="P28519" s="235"/>
      <c r="AI28519" s="38"/>
    </row>
    <row r="28520" ht="15.75" customHeight="1">
      <c r="A28520" s="35"/>
      <c r="C28520" s="442"/>
      <c r="P28520" s="235"/>
      <c r="AI28520" s="38"/>
    </row>
    <row r="28521" ht="15.75" customHeight="1">
      <c r="A28521" s="35"/>
      <c r="C28521" s="442"/>
      <c r="P28521" s="235"/>
      <c r="AI28521" s="38"/>
    </row>
    <row r="28522" ht="15.75" customHeight="1">
      <c r="A28522" s="35"/>
      <c r="C28522" s="442"/>
      <c r="P28522" s="235"/>
      <c r="AI28522" s="38"/>
    </row>
    <row r="28523" ht="15.75" customHeight="1">
      <c r="A28523" s="35"/>
      <c r="C28523" s="442"/>
      <c r="P28523" s="235"/>
      <c r="AI28523" s="38"/>
    </row>
    <row r="28524" ht="15.75" customHeight="1">
      <c r="A28524" s="35"/>
      <c r="C28524" s="442"/>
      <c r="P28524" s="235"/>
      <c r="AI28524" s="38"/>
    </row>
    <row r="28525" ht="15.75" customHeight="1">
      <c r="A28525" s="35"/>
      <c r="C28525" s="442"/>
      <c r="P28525" s="235"/>
      <c r="AI28525" s="38"/>
    </row>
    <row r="28526" ht="15.75" customHeight="1">
      <c r="A28526" s="35"/>
      <c r="C28526" s="442"/>
      <c r="P28526" s="235"/>
      <c r="AI28526" s="38"/>
    </row>
    <row r="28527" ht="15.75" customHeight="1">
      <c r="A28527" s="35"/>
      <c r="C28527" s="442"/>
      <c r="P28527" s="235"/>
      <c r="AI28527" s="38"/>
    </row>
    <row r="28528" ht="15.75" customHeight="1">
      <c r="A28528" s="35"/>
      <c r="C28528" s="442"/>
      <c r="P28528" s="235"/>
      <c r="AI28528" s="38"/>
    </row>
    <row r="28529" ht="15.75" customHeight="1">
      <c r="A28529" s="35"/>
      <c r="C28529" s="442"/>
      <c r="P28529" s="235"/>
      <c r="AI28529" s="38"/>
    </row>
    <row r="28530" ht="15.75" customHeight="1">
      <c r="A28530" s="35"/>
      <c r="C28530" s="442"/>
      <c r="P28530" s="235"/>
      <c r="AI28530" s="38"/>
    </row>
    <row r="28531" ht="15.75" customHeight="1">
      <c r="A28531" s="35"/>
      <c r="C28531" s="442"/>
      <c r="P28531" s="235"/>
      <c r="AI28531" s="38"/>
    </row>
    <row r="28532" ht="15.75" customHeight="1">
      <c r="A28532" s="35"/>
      <c r="C28532" s="442"/>
      <c r="P28532" s="235"/>
      <c r="AI28532" s="38"/>
    </row>
    <row r="28533" ht="15.75" customHeight="1">
      <c r="A28533" s="35"/>
      <c r="C28533" s="442"/>
      <c r="P28533" s="235"/>
      <c r="AI28533" s="38"/>
    </row>
    <row r="28534" ht="15.75" customHeight="1">
      <c r="A28534" s="35"/>
      <c r="C28534" s="442"/>
      <c r="P28534" s="235"/>
      <c r="AI28534" s="38"/>
    </row>
    <row r="28535" ht="15.75" customHeight="1">
      <c r="A28535" s="35"/>
      <c r="C28535" s="442"/>
      <c r="P28535" s="235"/>
      <c r="AI28535" s="38"/>
    </row>
    <row r="28536" ht="15.75" customHeight="1">
      <c r="A28536" s="35"/>
      <c r="C28536" s="442"/>
      <c r="P28536" s="235"/>
      <c r="AI28536" s="38"/>
    </row>
    <row r="28537" ht="15.75" customHeight="1">
      <c r="A28537" s="35"/>
      <c r="C28537" s="442"/>
      <c r="P28537" s="235"/>
      <c r="AI28537" s="38"/>
    </row>
    <row r="28538" ht="15.75" customHeight="1">
      <c r="A28538" s="35"/>
      <c r="C28538" s="442"/>
      <c r="P28538" s="235"/>
      <c r="AI28538" s="38"/>
    </row>
    <row r="28539" ht="15.75" customHeight="1">
      <c r="A28539" s="35"/>
      <c r="C28539" s="442"/>
      <c r="P28539" s="235"/>
      <c r="AI28539" s="38"/>
    </row>
    <row r="28540" ht="15.75" customHeight="1">
      <c r="A28540" s="35"/>
      <c r="C28540" s="442"/>
      <c r="P28540" s="235"/>
      <c r="AI28540" s="38"/>
    </row>
    <row r="28541" ht="15.75" customHeight="1">
      <c r="A28541" s="35"/>
      <c r="C28541" s="442"/>
      <c r="P28541" s="235"/>
      <c r="AI28541" s="38"/>
    </row>
    <row r="28542" ht="15.75" customHeight="1">
      <c r="A28542" s="35"/>
      <c r="C28542" s="442"/>
      <c r="P28542" s="235"/>
      <c r="AI28542" s="38"/>
    </row>
    <row r="28543" ht="15.75" customHeight="1">
      <c r="A28543" s="35"/>
      <c r="C28543" s="442"/>
      <c r="P28543" s="235"/>
      <c r="AI28543" s="38"/>
    </row>
    <row r="28544" ht="15.75" customHeight="1">
      <c r="A28544" s="35"/>
      <c r="C28544" s="442"/>
      <c r="P28544" s="235"/>
      <c r="AI28544" s="38"/>
    </row>
    <row r="28545" ht="15.75" customHeight="1">
      <c r="A28545" s="35"/>
      <c r="C28545" s="442"/>
      <c r="P28545" s="235"/>
      <c r="AI28545" s="38"/>
    </row>
    <row r="28546" ht="15.75" customHeight="1">
      <c r="A28546" s="35"/>
      <c r="C28546" s="442"/>
      <c r="P28546" s="235"/>
      <c r="AI28546" s="38"/>
    </row>
    <row r="28547" ht="15.75" customHeight="1">
      <c r="A28547" s="35"/>
      <c r="C28547" s="442"/>
      <c r="P28547" s="235"/>
      <c r="AI28547" s="38"/>
    </row>
    <row r="28548" ht="15.75" customHeight="1">
      <c r="A28548" s="35"/>
      <c r="C28548" s="442"/>
      <c r="P28548" s="235"/>
      <c r="AI28548" s="38"/>
    </row>
    <row r="28549" ht="15.75" customHeight="1">
      <c r="A28549" s="35"/>
      <c r="C28549" s="442"/>
      <c r="P28549" s="235"/>
      <c r="AI28549" s="38"/>
    </row>
    <row r="28550" ht="15.75" customHeight="1">
      <c r="A28550" s="35"/>
      <c r="C28550" s="442"/>
      <c r="P28550" s="235"/>
      <c r="AI28550" s="38"/>
    </row>
    <row r="28551" ht="15.75" customHeight="1">
      <c r="A28551" s="35"/>
      <c r="C28551" s="442"/>
      <c r="P28551" s="235"/>
      <c r="AI28551" s="38"/>
    </row>
    <row r="28552" ht="15.75" customHeight="1">
      <c r="A28552" s="35"/>
      <c r="C28552" s="442"/>
      <c r="P28552" s="235"/>
      <c r="AI28552" s="38"/>
    </row>
    <row r="28553" ht="15.75" customHeight="1">
      <c r="A28553" s="35"/>
      <c r="C28553" s="442"/>
      <c r="P28553" s="235"/>
      <c r="AI28553" s="38"/>
    </row>
    <row r="28554" ht="15.75" customHeight="1">
      <c r="A28554" s="35"/>
      <c r="C28554" s="442"/>
      <c r="P28554" s="235"/>
      <c r="AI28554" s="38"/>
    </row>
    <row r="28555" ht="15.75" customHeight="1">
      <c r="A28555" s="35"/>
      <c r="C28555" s="442"/>
      <c r="P28555" s="235"/>
      <c r="AI28555" s="38"/>
    </row>
    <row r="28556" ht="15.75" customHeight="1">
      <c r="A28556" s="35"/>
      <c r="C28556" s="442"/>
      <c r="P28556" s="235"/>
      <c r="AI28556" s="38"/>
    </row>
    <row r="28557" ht="15.75" customHeight="1">
      <c r="A28557" s="35"/>
      <c r="C28557" s="442"/>
      <c r="P28557" s="235"/>
      <c r="AI28557" s="38"/>
    </row>
    <row r="28558" ht="15.75" customHeight="1">
      <c r="A28558" s="35"/>
      <c r="C28558" s="442"/>
      <c r="P28558" s="235"/>
      <c r="AI28558" s="38"/>
    </row>
    <row r="28559" ht="15.75" customHeight="1">
      <c r="A28559" s="35"/>
      <c r="C28559" s="442"/>
      <c r="P28559" s="235"/>
      <c r="AI28559" s="38"/>
    </row>
    <row r="28560" ht="15.75" customHeight="1">
      <c r="A28560" s="35"/>
      <c r="C28560" s="442"/>
      <c r="P28560" s="235"/>
      <c r="AI28560" s="38"/>
    </row>
    <row r="28561" ht="15.75" customHeight="1">
      <c r="A28561" s="35"/>
      <c r="C28561" s="442"/>
      <c r="P28561" s="235"/>
      <c r="AI28561" s="38"/>
    </row>
    <row r="28562" ht="15.75" customHeight="1">
      <c r="A28562" s="35"/>
      <c r="C28562" s="442"/>
      <c r="P28562" s="235"/>
      <c r="AI28562" s="38"/>
    </row>
    <row r="28563" ht="15.75" customHeight="1">
      <c r="A28563" s="35"/>
      <c r="C28563" s="442"/>
      <c r="P28563" s="235"/>
      <c r="AI28563" s="38"/>
    </row>
    <row r="28564" ht="15.75" customHeight="1">
      <c r="A28564" s="35"/>
      <c r="C28564" s="442"/>
      <c r="P28564" s="235"/>
      <c r="AI28564" s="38"/>
    </row>
    <row r="28565" ht="15.75" customHeight="1">
      <c r="A28565" s="35"/>
      <c r="C28565" s="442"/>
      <c r="P28565" s="235"/>
      <c r="AI28565" s="38"/>
    </row>
    <row r="28566" ht="15.75" customHeight="1">
      <c r="A28566" s="35"/>
      <c r="C28566" s="442"/>
      <c r="P28566" s="235"/>
      <c r="AI28566" s="38"/>
    </row>
    <row r="28567" ht="15.75" customHeight="1">
      <c r="A28567" s="35"/>
      <c r="C28567" s="442"/>
      <c r="P28567" s="235"/>
      <c r="AI28567" s="38"/>
    </row>
    <row r="28568" ht="15.75" customHeight="1">
      <c r="A28568" s="35"/>
      <c r="C28568" s="442"/>
      <c r="P28568" s="235"/>
      <c r="AI28568" s="38"/>
    </row>
    <row r="28569" ht="15.75" customHeight="1">
      <c r="A28569" s="35"/>
      <c r="C28569" s="442"/>
      <c r="P28569" s="235"/>
      <c r="AI28569" s="38"/>
    </row>
    <row r="28570" ht="15.75" customHeight="1">
      <c r="A28570" s="35"/>
      <c r="C28570" s="442"/>
      <c r="P28570" s="235"/>
      <c r="AI28570" s="38"/>
    </row>
    <row r="28571" ht="15.75" customHeight="1">
      <c r="A28571" s="35"/>
      <c r="C28571" s="442"/>
      <c r="P28571" s="235"/>
      <c r="AI28571" s="38"/>
    </row>
    <row r="28572" ht="15.75" customHeight="1">
      <c r="A28572" s="35"/>
      <c r="C28572" s="442"/>
      <c r="P28572" s="235"/>
      <c r="AI28572" s="38"/>
    </row>
    <row r="28573" ht="15.75" customHeight="1">
      <c r="A28573" s="35"/>
      <c r="C28573" s="442"/>
      <c r="P28573" s="235"/>
      <c r="AI28573" s="38"/>
    </row>
    <row r="28574" ht="15.75" customHeight="1">
      <c r="A28574" s="35"/>
      <c r="C28574" s="442"/>
      <c r="P28574" s="235"/>
      <c r="AI28574" s="38"/>
    </row>
    <row r="28575" ht="15.75" customHeight="1">
      <c r="A28575" s="35"/>
      <c r="C28575" s="442"/>
      <c r="P28575" s="235"/>
      <c r="AI28575" s="38"/>
    </row>
    <row r="28576" ht="15.75" customHeight="1">
      <c r="A28576" s="35"/>
      <c r="C28576" s="442"/>
      <c r="P28576" s="235"/>
      <c r="AI28576" s="38"/>
    </row>
    <row r="28577" ht="15.75" customHeight="1">
      <c r="A28577" s="35"/>
      <c r="C28577" s="442"/>
      <c r="P28577" s="235"/>
      <c r="AI28577" s="38"/>
    </row>
    <row r="28578" ht="15.75" customHeight="1">
      <c r="A28578" s="35"/>
      <c r="C28578" s="442"/>
      <c r="P28578" s="235"/>
      <c r="AI28578" s="38"/>
    </row>
    <row r="28579" ht="15.75" customHeight="1">
      <c r="A28579" s="35"/>
      <c r="C28579" s="442"/>
      <c r="P28579" s="235"/>
      <c r="AI28579" s="38"/>
    </row>
    <row r="28580" ht="15.75" customHeight="1">
      <c r="A28580" s="35"/>
      <c r="C28580" s="442"/>
      <c r="P28580" s="235"/>
      <c r="AI28580" s="38"/>
    </row>
    <row r="28581" ht="15.75" customHeight="1">
      <c r="A28581" s="35"/>
      <c r="C28581" s="442"/>
      <c r="P28581" s="235"/>
      <c r="AI28581" s="38"/>
    </row>
    <row r="28582" ht="15.75" customHeight="1">
      <c r="A28582" s="35"/>
      <c r="C28582" s="442"/>
      <c r="P28582" s="235"/>
      <c r="AI28582" s="38"/>
    </row>
    <row r="28583" ht="15.75" customHeight="1">
      <c r="A28583" s="35"/>
      <c r="C28583" s="442"/>
      <c r="P28583" s="235"/>
      <c r="AI28583" s="38"/>
    </row>
    <row r="28584" ht="15.75" customHeight="1">
      <c r="A28584" s="35"/>
      <c r="C28584" s="442"/>
      <c r="P28584" s="235"/>
      <c r="AI28584" s="38"/>
    </row>
    <row r="28585" ht="15.75" customHeight="1">
      <c r="A28585" s="35"/>
      <c r="C28585" s="442"/>
      <c r="P28585" s="235"/>
      <c r="AI28585" s="38"/>
    </row>
    <row r="28586" ht="15.75" customHeight="1">
      <c r="A28586" s="35"/>
      <c r="C28586" s="442"/>
      <c r="P28586" s="235"/>
      <c r="AI28586" s="38"/>
    </row>
    <row r="28587" ht="15.75" customHeight="1">
      <c r="A28587" s="35"/>
      <c r="C28587" s="442"/>
      <c r="P28587" s="235"/>
      <c r="AI28587" s="38"/>
    </row>
    <row r="28588" ht="15.75" customHeight="1">
      <c r="A28588" s="35"/>
      <c r="C28588" s="442"/>
      <c r="P28588" s="235"/>
      <c r="AI28588" s="38"/>
    </row>
    <row r="28589" ht="15.75" customHeight="1">
      <c r="A28589" s="35"/>
      <c r="C28589" s="442"/>
      <c r="P28589" s="235"/>
      <c r="AI28589" s="38"/>
    </row>
    <row r="28590" ht="15.75" customHeight="1">
      <c r="A28590" s="35"/>
      <c r="C28590" s="442"/>
      <c r="P28590" s="235"/>
      <c r="AI28590" s="38"/>
    </row>
    <row r="28591" ht="15.75" customHeight="1">
      <c r="A28591" s="35"/>
      <c r="C28591" s="442"/>
      <c r="P28591" s="235"/>
      <c r="AI28591" s="38"/>
    </row>
    <row r="28592" ht="15.75" customHeight="1">
      <c r="A28592" s="35"/>
      <c r="C28592" s="442"/>
      <c r="P28592" s="235"/>
      <c r="AI28592" s="38"/>
    </row>
    <row r="28593" ht="15.75" customHeight="1">
      <c r="A28593" s="35"/>
      <c r="C28593" s="442"/>
      <c r="P28593" s="235"/>
      <c r="AI28593" s="38"/>
    </row>
    <row r="28594" ht="15.75" customHeight="1">
      <c r="A28594" s="35"/>
      <c r="C28594" s="442"/>
      <c r="P28594" s="235"/>
      <c r="AI28594" s="38"/>
    </row>
    <row r="28595" ht="15.75" customHeight="1">
      <c r="A28595" s="35"/>
      <c r="C28595" s="442"/>
      <c r="P28595" s="235"/>
      <c r="AI28595" s="38"/>
    </row>
    <row r="28596" ht="15.75" customHeight="1">
      <c r="A28596" s="35"/>
      <c r="C28596" s="442"/>
      <c r="P28596" s="235"/>
      <c r="AI28596" s="38"/>
    </row>
    <row r="28597" ht="15.75" customHeight="1">
      <c r="A28597" s="35"/>
      <c r="C28597" s="442"/>
      <c r="P28597" s="235"/>
      <c r="AI28597" s="38"/>
    </row>
    <row r="28598" ht="15.75" customHeight="1">
      <c r="A28598" s="35"/>
      <c r="C28598" s="442"/>
      <c r="P28598" s="235"/>
      <c r="AI28598" s="38"/>
    </row>
    <row r="28599" ht="15.75" customHeight="1">
      <c r="A28599" s="35"/>
      <c r="C28599" s="442"/>
      <c r="P28599" s="235"/>
      <c r="AI28599" s="38"/>
    </row>
    <row r="28600" ht="15.75" customHeight="1">
      <c r="A28600" s="35"/>
      <c r="C28600" s="442"/>
      <c r="P28600" s="235"/>
      <c r="AI28600" s="38"/>
    </row>
    <row r="28601" ht="15.75" customHeight="1">
      <c r="A28601" s="35"/>
      <c r="C28601" s="442"/>
      <c r="P28601" s="235"/>
      <c r="AI28601" s="38"/>
    </row>
    <row r="28602" ht="15.75" customHeight="1">
      <c r="A28602" s="35"/>
      <c r="C28602" s="442"/>
      <c r="P28602" s="235"/>
      <c r="AI28602" s="38"/>
    </row>
    <row r="28603" ht="15.75" customHeight="1">
      <c r="A28603" s="35"/>
      <c r="C28603" s="442"/>
      <c r="P28603" s="235"/>
      <c r="AI28603" s="38"/>
    </row>
    <row r="28604" ht="15.75" customHeight="1">
      <c r="A28604" s="35"/>
      <c r="C28604" s="442"/>
      <c r="P28604" s="235"/>
      <c r="AI28604" s="38"/>
    </row>
    <row r="28605" ht="15.75" customHeight="1">
      <c r="A28605" s="35"/>
      <c r="C28605" s="442"/>
      <c r="P28605" s="235"/>
      <c r="AI28605" s="38"/>
    </row>
    <row r="28606" ht="15.75" customHeight="1">
      <c r="A28606" s="35"/>
      <c r="C28606" s="442"/>
      <c r="P28606" s="235"/>
      <c r="AI28606" s="38"/>
    </row>
    <row r="28607" ht="15.75" customHeight="1">
      <c r="A28607" s="35"/>
      <c r="C28607" s="442"/>
      <c r="P28607" s="235"/>
      <c r="AI28607" s="38"/>
    </row>
    <row r="28608" ht="15.75" customHeight="1">
      <c r="A28608" s="35"/>
      <c r="C28608" s="442"/>
      <c r="P28608" s="235"/>
      <c r="AI28608" s="38"/>
    </row>
    <row r="28609" ht="15.75" customHeight="1">
      <c r="A28609" s="35"/>
      <c r="C28609" s="442"/>
      <c r="P28609" s="235"/>
      <c r="AI28609" s="38"/>
    </row>
    <row r="28610" ht="15.75" customHeight="1">
      <c r="A28610" s="35"/>
      <c r="C28610" s="442"/>
      <c r="P28610" s="235"/>
      <c r="AI28610" s="38"/>
    </row>
    <row r="28611" ht="15.75" customHeight="1">
      <c r="A28611" s="35"/>
      <c r="C28611" s="442"/>
      <c r="P28611" s="235"/>
      <c r="AI28611" s="38"/>
    </row>
    <row r="28612" ht="15.75" customHeight="1">
      <c r="A28612" s="35"/>
      <c r="C28612" s="442"/>
      <c r="P28612" s="235"/>
      <c r="AI28612" s="38"/>
    </row>
    <row r="28613" ht="15.75" customHeight="1">
      <c r="A28613" s="35"/>
      <c r="C28613" s="442"/>
      <c r="P28613" s="235"/>
      <c r="AI28613" s="38"/>
    </row>
    <row r="28614" ht="15.75" customHeight="1">
      <c r="A28614" s="35"/>
      <c r="C28614" s="442"/>
      <c r="P28614" s="235"/>
      <c r="AI28614" s="38"/>
    </row>
    <row r="28615" ht="15.75" customHeight="1">
      <c r="A28615" s="35"/>
      <c r="C28615" s="442"/>
      <c r="P28615" s="235"/>
      <c r="AI28615" s="38"/>
    </row>
    <row r="28616" ht="15.75" customHeight="1">
      <c r="A28616" s="35"/>
      <c r="C28616" s="442"/>
      <c r="P28616" s="235"/>
      <c r="AI28616" s="38"/>
    </row>
    <row r="28617" ht="15.75" customHeight="1">
      <c r="A28617" s="35"/>
      <c r="C28617" s="442"/>
      <c r="P28617" s="235"/>
      <c r="AI28617" s="38"/>
    </row>
    <row r="28618" ht="15.75" customHeight="1">
      <c r="A28618" s="35"/>
      <c r="C28618" s="442"/>
      <c r="P28618" s="235"/>
      <c r="AI28618" s="38"/>
    </row>
    <row r="28619" ht="15.75" customHeight="1">
      <c r="A28619" s="35"/>
      <c r="C28619" s="442"/>
      <c r="P28619" s="235"/>
      <c r="AI28619" s="38"/>
    </row>
    <row r="28620" ht="15.75" customHeight="1">
      <c r="A28620" s="35"/>
      <c r="C28620" s="442"/>
      <c r="P28620" s="235"/>
      <c r="AI28620" s="38"/>
    </row>
    <row r="28621" ht="15.75" customHeight="1">
      <c r="A28621" s="35"/>
      <c r="C28621" s="442"/>
      <c r="P28621" s="235"/>
      <c r="AI28621" s="38"/>
    </row>
    <row r="28622" ht="15.75" customHeight="1">
      <c r="A28622" s="35"/>
      <c r="C28622" s="442"/>
      <c r="P28622" s="235"/>
      <c r="AI28622" s="38"/>
    </row>
    <row r="28623" ht="15.75" customHeight="1">
      <c r="A28623" s="35"/>
      <c r="C28623" s="442"/>
      <c r="P28623" s="235"/>
      <c r="AI28623" s="38"/>
    </row>
    <row r="28624" ht="15.75" customHeight="1">
      <c r="A28624" s="35"/>
      <c r="C28624" s="442"/>
      <c r="P28624" s="235"/>
      <c r="AI28624" s="38"/>
    </row>
    <row r="28625" ht="15.75" customHeight="1">
      <c r="A28625" s="35"/>
      <c r="C28625" s="442"/>
      <c r="P28625" s="235"/>
      <c r="AI28625" s="38"/>
    </row>
    <row r="28626" ht="15.75" customHeight="1">
      <c r="A28626" s="35"/>
      <c r="C28626" s="442"/>
      <c r="P28626" s="235"/>
      <c r="AI28626" s="38"/>
    </row>
    <row r="28627" ht="15.75" customHeight="1">
      <c r="A28627" s="35"/>
      <c r="C28627" s="442"/>
      <c r="P28627" s="235"/>
      <c r="AI28627" s="38"/>
    </row>
    <row r="28628" ht="15.75" customHeight="1">
      <c r="A28628" s="35"/>
      <c r="C28628" s="442"/>
      <c r="P28628" s="235"/>
      <c r="AI28628" s="38"/>
    </row>
    <row r="28629" ht="15.75" customHeight="1">
      <c r="A28629" s="35"/>
      <c r="C28629" s="442"/>
      <c r="P28629" s="235"/>
      <c r="AI28629" s="38"/>
    </row>
    <row r="28630" ht="15.75" customHeight="1">
      <c r="A28630" s="35"/>
      <c r="C28630" s="442"/>
      <c r="P28630" s="235"/>
      <c r="AI28630" s="38"/>
    </row>
    <row r="28631" ht="15.75" customHeight="1">
      <c r="A28631" s="35"/>
      <c r="C28631" s="442"/>
      <c r="P28631" s="235"/>
      <c r="AI28631" s="38"/>
    </row>
    <row r="28632" ht="15.75" customHeight="1">
      <c r="A28632" s="35"/>
      <c r="C28632" s="442"/>
      <c r="P28632" s="235"/>
      <c r="AI28632" s="38"/>
    </row>
    <row r="28633" ht="15.75" customHeight="1">
      <c r="A28633" s="35"/>
      <c r="C28633" s="442"/>
      <c r="P28633" s="235"/>
      <c r="AI28633" s="38"/>
    </row>
    <row r="28634" ht="15.75" customHeight="1">
      <c r="A28634" s="35"/>
      <c r="C28634" s="442"/>
      <c r="P28634" s="235"/>
      <c r="AI28634" s="38"/>
    </row>
    <row r="28635" ht="15.75" customHeight="1">
      <c r="A28635" s="35"/>
      <c r="C28635" s="442"/>
      <c r="P28635" s="235"/>
      <c r="AI28635" s="38"/>
    </row>
    <row r="28636" ht="15.75" customHeight="1">
      <c r="A28636" s="35"/>
      <c r="C28636" s="442"/>
      <c r="P28636" s="235"/>
      <c r="AI28636" s="38"/>
    </row>
    <row r="28637" ht="15.75" customHeight="1">
      <c r="A28637" s="35"/>
      <c r="C28637" s="442"/>
      <c r="P28637" s="235"/>
      <c r="AI28637" s="38"/>
    </row>
    <row r="28638" ht="15.75" customHeight="1">
      <c r="A28638" s="35"/>
      <c r="C28638" s="442"/>
      <c r="P28638" s="235"/>
      <c r="AI28638" s="38"/>
    </row>
    <row r="28639" ht="15.75" customHeight="1">
      <c r="A28639" s="35"/>
      <c r="C28639" s="442"/>
      <c r="P28639" s="235"/>
      <c r="AI28639" s="38"/>
    </row>
    <row r="28640" ht="15.75" customHeight="1">
      <c r="A28640" s="35"/>
      <c r="C28640" s="442"/>
      <c r="P28640" s="235"/>
      <c r="AI28640" s="38"/>
    </row>
    <row r="28641" ht="15.75" customHeight="1">
      <c r="A28641" s="35"/>
      <c r="C28641" s="442"/>
      <c r="P28641" s="235"/>
      <c r="AI28641" s="38"/>
    </row>
    <row r="28642" ht="15.75" customHeight="1">
      <c r="A28642" s="35"/>
      <c r="C28642" s="442"/>
      <c r="P28642" s="235"/>
      <c r="AI28642" s="38"/>
    </row>
    <row r="28643" ht="15.75" customHeight="1">
      <c r="A28643" s="35"/>
      <c r="C28643" s="442"/>
      <c r="P28643" s="235"/>
      <c r="AI28643" s="38"/>
    </row>
    <row r="28644" ht="15.75" customHeight="1">
      <c r="A28644" s="35"/>
      <c r="C28644" s="442"/>
      <c r="P28644" s="235"/>
      <c r="AI28644" s="38"/>
    </row>
    <row r="28645" ht="15.75" customHeight="1">
      <c r="A28645" s="35"/>
      <c r="C28645" s="442"/>
      <c r="P28645" s="235"/>
      <c r="AI28645" s="38"/>
    </row>
    <row r="28646" ht="15.75" customHeight="1">
      <c r="A28646" s="35"/>
      <c r="C28646" s="442"/>
      <c r="P28646" s="235"/>
      <c r="AI28646" s="38"/>
    </row>
    <row r="28647" ht="15.75" customHeight="1">
      <c r="A28647" s="35"/>
      <c r="C28647" s="442"/>
      <c r="P28647" s="235"/>
      <c r="AI28647" s="38"/>
    </row>
    <row r="28648" ht="15.75" customHeight="1">
      <c r="A28648" s="35"/>
      <c r="C28648" s="442"/>
      <c r="P28648" s="235"/>
      <c r="AI28648" s="38"/>
    </row>
    <row r="28649" ht="15.75" customHeight="1">
      <c r="A28649" s="35"/>
      <c r="C28649" s="442"/>
      <c r="P28649" s="235"/>
      <c r="AI28649" s="38"/>
    </row>
    <row r="28650" ht="15.75" customHeight="1">
      <c r="A28650" s="35"/>
      <c r="C28650" s="442"/>
      <c r="P28650" s="235"/>
      <c r="AI28650" s="38"/>
    </row>
    <row r="28651" ht="15.75" customHeight="1">
      <c r="A28651" s="35"/>
      <c r="C28651" s="442"/>
      <c r="P28651" s="235"/>
      <c r="AI28651" s="38"/>
    </row>
    <row r="28652" ht="15.75" customHeight="1">
      <c r="A28652" s="35"/>
      <c r="C28652" s="442"/>
      <c r="P28652" s="235"/>
      <c r="AI28652" s="38"/>
    </row>
    <row r="28653" ht="15.75" customHeight="1">
      <c r="A28653" s="35"/>
      <c r="C28653" s="442"/>
      <c r="P28653" s="235"/>
      <c r="AI28653" s="38"/>
    </row>
    <row r="28654" ht="15.75" customHeight="1">
      <c r="A28654" s="35"/>
      <c r="C28654" s="442"/>
      <c r="P28654" s="235"/>
      <c r="AI28654" s="38"/>
    </row>
    <row r="28655" ht="15.75" customHeight="1">
      <c r="A28655" s="35"/>
      <c r="C28655" s="442"/>
      <c r="P28655" s="235"/>
      <c r="AI28655" s="38"/>
    </row>
    <row r="28656" ht="15.75" customHeight="1">
      <c r="A28656" s="35"/>
      <c r="C28656" s="442"/>
      <c r="P28656" s="235"/>
      <c r="AI28656" s="38"/>
    </row>
    <row r="28657" ht="15.75" customHeight="1">
      <c r="A28657" s="35"/>
      <c r="C28657" s="442"/>
      <c r="P28657" s="235"/>
      <c r="AI28657" s="38"/>
    </row>
    <row r="28658" ht="15.75" customHeight="1">
      <c r="A28658" s="35"/>
      <c r="C28658" s="442"/>
      <c r="P28658" s="235"/>
      <c r="AI28658" s="38"/>
    </row>
    <row r="28659" ht="15.75" customHeight="1">
      <c r="A28659" s="35"/>
      <c r="C28659" s="442"/>
      <c r="P28659" s="235"/>
      <c r="AI28659" s="38"/>
    </row>
    <row r="28660" ht="15.75" customHeight="1">
      <c r="A28660" s="35"/>
      <c r="C28660" s="442"/>
      <c r="P28660" s="235"/>
      <c r="AI28660" s="38"/>
    </row>
    <row r="28661" ht="15.75" customHeight="1">
      <c r="A28661" s="35"/>
      <c r="C28661" s="442"/>
      <c r="P28661" s="235"/>
      <c r="AI28661" s="38"/>
    </row>
    <row r="28662" ht="15.75" customHeight="1">
      <c r="A28662" s="35"/>
      <c r="C28662" s="442"/>
      <c r="P28662" s="235"/>
      <c r="AI28662" s="38"/>
    </row>
    <row r="28663" ht="15.75" customHeight="1">
      <c r="A28663" s="35"/>
      <c r="C28663" s="442"/>
      <c r="P28663" s="235"/>
      <c r="AI28663" s="38"/>
    </row>
    <row r="28664" ht="15.75" customHeight="1">
      <c r="A28664" s="35"/>
      <c r="C28664" s="442"/>
      <c r="P28664" s="235"/>
      <c r="AI28664" s="38"/>
    </row>
    <row r="28665" ht="15.75" customHeight="1">
      <c r="A28665" s="35"/>
      <c r="C28665" s="442"/>
      <c r="P28665" s="235"/>
      <c r="AI28665" s="38"/>
    </row>
    <row r="28666" ht="15.75" customHeight="1">
      <c r="A28666" s="35"/>
      <c r="C28666" s="442"/>
      <c r="P28666" s="235"/>
      <c r="AI28666" s="38"/>
    </row>
    <row r="28667" ht="15.75" customHeight="1">
      <c r="A28667" s="35"/>
      <c r="C28667" s="442"/>
      <c r="P28667" s="235"/>
      <c r="AI28667" s="38"/>
    </row>
    <row r="28668" ht="15.75" customHeight="1">
      <c r="A28668" s="35"/>
      <c r="C28668" s="442"/>
      <c r="P28668" s="235"/>
      <c r="AI28668" s="38"/>
    </row>
    <row r="28669" ht="15.75" customHeight="1">
      <c r="A28669" s="35"/>
      <c r="C28669" s="442"/>
      <c r="P28669" s="235"/>
      <c r="AI28669" s="38"/>
    </row>
    <row r="28670" ht="15.75" customHeight="1">
      <c r="A28670" s="35"/>
      <c r="C28670" s="442"/>
      <c r="P28670" s="235"/>
      <c r="AI28670" s="38"/>
    </row>
    <row r="28671" ht="15.75" customHeight="1">
      <c r="A28671" s="35"/>
      <c r="C28671" s="442"/>
      <c r="P28671" s="235"/>
      <c r="AI28671" s="38"/>
    </row>
    <row r="28672" ht="15.75" customHeight="1">
      <c r="A28672" s="35"/>
      <c r="C28672" s="442"/>
      <c r="P28672" s="235"/>
      <c r="AI28672" s="38"/>
    </row>
    <row r="28673" ht="15.75" customHeight="1">
      <c r="A28673" s="35"/>
      <c r="C28673" s="442"/>
      <c r="P28673" s="235"/>
      <c r="AI28673" s="38"/>
    </row>
    <row r="28674" ht="15.75" customHeight="1">
      <c r="A28674" s="35"/>
      <c r="C28674" s="442"/>
      <c r="P28674" s="235"/>
      <c r="AI28674" s="38"/>
    </row>
    <row r="28675" ht="15.75" customHeight="1">
      <c r="A28675" s="35"/>
      <c r="C28675" s="442"/>
      <c r="P28675" s="235"/>
      <c r="AI28675" s="38"/>
    </row>
    <row r="28676" ht="15.75" customHeight="1">
      <c r="A28676" s="35"/>
      <c r="C28676" s="442"/>
      <c r="P28676" s="235"/>
      <c r="AI28676" s="38"/>
    </row>
    <row r="28677" ht="15.75" customHeight="1">
      <c r="A28677" s="35"/>
      <c r="C28677" s="442"/>
      <c r="P28677" s="235"/>
      <c r="AI28677" s="38"/>
    </row>
    <row r="28678" ht="15.75" customHeight="1">
      <c r="A28678" s="35"/>
      <c r="C28678" s="442"/>
      <c r="P28678" s="235"/>
      <c r="AI28678" s="38"/>
    </row>
    <row r="28679" ht="15.75" customHeight="1">
      <c r="A28679" s="35"/>
      <c r="C28679" s="442"/>
      <c r="P28679" s="235"/>
      <c r="AI28679" s="38"/>
    </row>
    <row r="28680" ht="15.75" customHeight="1">
      <c r="A28680" s="35"/>
      <c r="C28680" s="442"/>
      <c r="P28680" s="235"/>
      <c r="AI28680" s="38"/>
    </row>
    <row r="28681" ht="15.75" customHeight="1">
      <c r="A28681" s="35"/>
      <c r="C28681" s="442"/>
      <c r="P28681" s="235"/>
      <c r="AI28681" s="38"/>
    </row>
    <row r="28682" ht="15.75" customHeight="1">
      <c r="A28682" s="35"/>
      <c r="C28682" s="442"/>
      <c r="P28682" s="235"/>
      <c r="AI28682" s="38"/>
    </row>
    <row r="28683" ht="15.75" customHeight="1">
      <c r="A28683" s="35"/>
      <c r="C28683" s="442"/>
      <c r="P28683" s="235"/>
      <c r="AI28683" s="38"/>
    </row>
    <row r="28684" ht="15.75" customHeight="1">
      <c r="A28684" s="35"/>
      <c r="C28684" s="442"/>
      <c r="P28684" s="235"/>
      <c r="AI28684" s="38"/>
    </row>
    <row r="28685" ht="15.75" customHeight="1">
      <c r="A28685" s="35"/>
      <c r="C28685" s="442"/>
      <c r="P28685" s="235"/>
      <c r="AI28685" s="38"/>
    </row>
    <row r="28686" ht="15.75" customHeight="1">
      <c r="A28686" s="35"/>
      <c r="C28686" s="442"/>
      <c r="P28686" s="235"/>
      <c r="AI28686" s="38"/>
    </row>
    <row r="28687" ht="15.75" customHeight="1">
      <c r="A28687" s="35"/>
      <c r="C28687" s="442"/>
      <c r="P28687" s="235"/>
      <c r="AI28687" s="38"/>
    </row>
    <row r="28688" ht="15.75" customHeight="1">
      <c r="A28688" s="35"/>
      <c r="C28688" s="442"/>
      <c r="P28688" s="235"/>
      <c r="AI28688" s="38"/>
    </row>
    <row r="28689" ht="15.75" customHeight="1">
      <c r="A28689" s="35"/>
      <c r="C28689" s="442"/>
      <c r="P28689" s="235"/>
      <c r="AI28689" s="38"/>
    </row>
    <row r="28690" ht="15.75" customHeight="1">
      <c r="A28690" s="35"/>
      <c r="C28690" s="442"/>
      <c r="P28690" s="235"/>
      <c r="AI28690" s="38"/>
    </row>
    <row r="28691" ht="15.75" customHeight="1">
      <c r="A28691" s="35"/>
      <c r="C28691" s="442"/>
      <c r="P28691" s="235"/>
      <c r="AI28691" s="38"/>
    </row>
    <row r="28692" ht="15.75" customHeight="1">
      <c r="A28692" s="35"/>
      <c r="C28692" s="442"/>
      <c r="P28692" s="235"/>
      <c r="AI28692" s="38"/>
    </row>
    <row r="28693" ht="15.75" customHeight="1">
      <c r="A28693" s="35"/>
      <c r="C28693" s="442"/>
      <c r="P28693" s="235"/>
      <c r="AI28693" s="38"/>
    </row>
    <row r="28694" ht="15.75" customHeight="1">
      <c r="A28694" s="35"/>
      <c r="C28694" s="442"/>
      <c r="P28694" s="235"/>
      <c r="AI28694" s="38"/>
    </row>
    <row r="28695" ht="15.75" customHeight="1">
      <c r="A28695" s="35"/>
      <c r="C28695" s="442"/>
      <c r="P28695" s="235"/>
      <c r="AI28695" s="38"/>
    </row>
    <row r="28696" ht="15.75" customHeight="1">
      <c r="A28696" s="35"/>
      <c r="C28696" s="442"/>
      <c r="P28696" s="235"/>
      <c r="AI28696" s="38"/>
    </row>
    <row r="28697" ht="15.75" customHeight="1">
      <c r="A28697" s="35"/>
      <c r="C28697" s="442"/>
      <c r="P28697" s="235"/>
      <c r="AI28697" s="38"/>
    </row>
    <row r="28698" ht="15.75" customHeight="1">
      <c r="A28698" s="35"/>
      <c r="C28698" s="442"/>
      <c r="P28698" s="235"/>
      <c r="AI28698" s="38"/>
    </row>
    <row r="28699" ht="15.75" customHeight="1">
      <c r="A28699" s="35"/>
      <c r="C28699" s="442"/>
      <c r="P28699" s="235"/>
      <c r="AI28699" s="38"/>
    </row>
    <row r="28700" ht="15.75" customHeight="1">
      <c r="A28700" s="35"/>
      <c r="C28700" s="442"/>
      <c r="P28700" s="235"/>
      <c r="AI28700" s="38"/>
    </row>
    <row r="28701" ht="15.75" customHeight="1">
      <c r="A28701" s="35"/>
      <c r="C28701" s="442"/>
      <c r="P28701" s="235"/>
      <c r="AI28701" s="38"/>
    </row>
    <row r="28702" ht="15.75" customHeight="1">
      <c r="A28702" s="35"/>
      <c r="C28702" s="442"/>
      <c r="P28702" s="235"/>
      <c r="AI28702" s="38"/>
    </row>
    <row r="28703" ht="15.75" customHeight="1">
      <c r="A28703" s="35"/>
      <c r="C28703" s="442"/>
      <c r="P28703" s="235"/>
      <c r="AI28703" s="38"/>
    </row>
    <row r="28704" ht="15.75" customHeight="1">
      <c r="A28704" s="35"/>
      <c r="C28704" s="442"/>
      <c r="P28704" s="235"/>
      <c r="AI28704" s="38"/>
    </row>
    <row r="28705" ht="15.75" customHeight="1">
      <c r="A28705" s="35"/>
      <c r="C28705" s="442"/>
      <c r="P28705" s="235"/>
      <c r="AI28705" s="38"/>
    </row>
    <row r="28706" ht="15.75" customHeight="1">
      <c r="A28706" s="35"/>
      <c r="C28706" s="442"/>
      <c r="P28706" s="235"/>
      <c r="AI28706" s="38"/>
    </row>
    <row r="28707" ht="15.75" customHeight="1">
      <c r="A28707" s="35"/>
      <c r="C28707" s="442"/>
      <c r="P28707" s="235"/>
      <c r="AI28707" s="38"/>
    </row>
    <row r="28708" ht="15.75" customHeight="1">
      <c r="A28708" s="35"/>
      <c r="C28708" s="442"/>
      <c r="P28708" s="235"/>
      <c r="AI28708" s="38"/>
    </row>
    <row r="28709" ht="15.75" customHeight="1">
      <c r="A28709" s="35"/>
      <c r="C28709" s="442"/>
      <c r="P28709" s="235"/>
      <c r="AI28709" s="38"/>
    </row>
    <row r="28710" ht="15.75" customHeight="1">
      <c r="A28710" s="35"/>
      <c r="C28710" s="442"/>
      <c r="P28710" s="235"/>
      <c r="AI28710" s="38"/>
    </row>
    <row r="28711" ht="15.75" customHeight="1">
      <c r="A28711" s="35"/>
      <c r="C28711" s="442"/>
      <c r="P28711" s="235"/>
      <c r="AI28711" s="38"/>
    </row>
    <row r="28712" ht="15.75" customHeight="1">
      <c r="A28712" s="35"/>
      <c r="C28712" s="442"/>
      <c r="P28712" s="235"/>
      <c r="AI28712" s="38"/>
    </row>
    <row r="28713" ht="15.75" customHeight="1">
      <c r="A28713" s="35"/>
      <c r="C28713" s="442"/>
      <c r="P28713" s="235"/>
      <c r="AI28713" s="38"/>
    </row>
    <row r="28714" ht="15.75" customHeight="1">
      <c r="A28714" s="35"/>
      <c r="C28714" s="442"/>
      <c r="P28714" s="235"/>
      <c r="AI28714" s="38"/>
    </row>
    <row r="28715" ht="15.75" customHeight="1">
      <c r="A28715" s="35"/>
      <c r="C28715" s="442"/>
      <c r="P28715" s="235"/>
      <c r="AI28715" s="38"/>
    </row>
    <row r="28716" ht="15.75" customHeight="1">
      <c r="A28716" s="35"/>
      <c r="C28716" s="442"/>
      <c r="P28716" s="235"/>
      <c r="AI28716" s="38"/>
    </row>
    <row r="28717" ht="15.75" customHeight="1">
      <c r="A28717" s="35"/>
      <c r="C28717" s="442"/>
      <c r="P28717" s="235"/>
      <c r="AI28717" s="38"/>
    </row>
    <row r="28718" ht="15.75" customHeight="1">
      <c r="A28718" s="35"/>
      <c r="C28718" s="442"/>
      <c r="P28718" s="235"/>
      <c r="AI28718" s="38"/>
    </row>
    <row r="28719" ht="15.75" customHeight="1">
      <c r="A28719" s="35"/>
      <c r="C28719" s="442"/>
      <c r="P28719" s="235"/>
      <c r="AI28719" s="38"/>
    </row>
    <row r="28720" ht="15.75" customHeight="1">
      <c r="A28720" s="35"/>
      <c r="C28720" s="442"/>
      <c r="P28720" s="235"/>
      <c r="AI28720" s="38"/>
    </row>
    <row r="28721" ht="15.75" customHeight="1">
      <c r="A28721" s="35"/>
      <c r="C28721" s="442"/>
      <c r="P28721" s="235"/>
      <c r="AI28721" s="38"/>
    </row>
    <row r="28722" ht="15.75" customHeight="1">
      <c r="A28722" s="35"/>
      <c r="C28722" s="442"/>
      <c r="P28722" s="235"/>
      <c r="AI28722" s="38"/>
    </row>
    <row r="28723" ht="15.75" customHeight="1">
      <c r="A28723" s="35"/>
      <c r="C28723" s="442"/>
      <c r="P28723" s="235"/>
      <c r="AI28723" s="38"/>
    </row>
    <row r="28724" ht="15.75" customHeight="1">
      <c r="A28724" s="35"/>
      <c r="C28724" s="442"/>
      <c r="P28724" s="235"/>
      <c r="AI28724" s="38"/>
    </row>
    <row r="28725" ht="15.75" customHeight="1">
      <c r="A28725" s="35"/>
      <c r="C28725" s="442"/>
      <c r="P28725" s="235"/>
      <c r="AI28725" s="38"/>
    </row>
    <row r="28726" ht="15.75" customHeight="1">
      <c r="A28726" s="35"/>
      <c r="C28726" s="442"/>
      <c r="P28726" s="235"/>
      <c r="AI28726" s="38"/>
    </row>
    <row r="28727" ht="15.75" customHeight="1">
      <c r="A28727" s="35"/>
      <c r="C28727" s="442"/>
      <c r="P28727" s="235"/>
      <c r="AI28727" s="38"/>
    </row>
    <row r="28728" ht="15.75" customHeight="1">
      <c r="A28728" s="35"/>
      <c r="C28728" s="442"/>
      <c r="P28728" s="235"/>
      <c r="AI28728" s="38"/>
    </row>
    <row r="28729" ht="15.75" customHeight="1">
      <c r="A28729" s="35"/>
      <c r="C28729" s="442"/>
      <c r="P28729" s="235"/>
      <c r="AI28729" s="38"/>
    </row>
    <row r="28730" ht="15.75" customHeight="1">
      <c r="A28730" s="35"/>
      <c r="C28730" s="442"/>
      <c r="P28730" s="235"/>
      <c r="AI28730" s="38"/>
    </row>
    <row r="28731" ht="15.75" customHeight="1">
      <c r="A28731" s="35"/>
      <c r="C28731" s="442"/>
      <c r="P28731" s="235"/>
      <c r="AI28731" s="38"/>
    </row>
    <row r="28732" ht="15.75" customHeight="1">
      <c r="A28732" s="35"/>
      <c r="C28732" s="442"/>
      <c r="P28732" s="235"/>
      <c r="AI28732" s="38"/>
    </row>
    <row r="28733" ht="15.75" customHeight="1">
      <c r="A28733" s="35"/>
      <c r="C28733" s="442"/>
      <c r="P28733" s="235"/>
      <c r="AI28733" s="38"/>
    </row>
    <row r="28734" ht="15.75" customHeight="1">
      <c r="A28734" s="35"/>
      <c r="C28734" s="442"/>
      <c r="P28734" s="235"/>
      <c r="AI28734" s="38"/>
    </row>
    <row r="28735" ht="15.75" customHeight="1">
      <c r="A28735" s="35"/>
      <c r="C28735" s="442"/>
      <c r="P28735" s="235"/>
      <c r="AI28735" s="38"/>
    </row>
    <row r="28736" ht="15.75" customHeight="1">
      <c r="A28736" s="35"/>
      <c r="C28736" s="442"/>
      <c r="P28736" s="235"/>
      <c r="AI28736" s="38"/>
    </row>
    <row r="28737" ht="15.75" customHeight="1">
      <c r="A28737" s="35"/>
      <c r="C28737" s="442"/>
      <c r="P28737" s="235"/>
      <c r="AI28737" s="38"/>
    </row>
    <row r="28738" ht="15.75" customHeight="1">
      <c r="A28738" s="35"/>
      <c r="C28738" s="442"/>
      <c r="P28738" s="235"/>
      <c r="AI28738" s="38"/>
    </row>
    <row r="28739" ht="15.75" customHeight="1">
      <c r="A28739" s="35"/>
      <c r="C28739" s="442"/>
      <c r="P28739" s="235"/>
      <c r="AI28739" s="38"/>
    </row>
    <row r="28740" ht="15.75" customHeight="1">
      <c r="A28740" s="35"/>
      <c r="C28740" s="442"/>
      <c r="P28740" s="235"/>
      <c r="AI28740" s="38"/>
    </row>
    <row r="28741" ht="15.75" customHeight="1">
      <c r="A28741" s="35"/>
      <c r="C28741" s="442"/>
      <c r="P28741" s="235"/>
      <c r="AI28741" s="38"/>
    </row>
    <row r="28742" ht="15.75" customHeight="1">
      <c r="A28742" s="35"/>
      <c r="C28742" s="442"/>
      <c r="P28742" s="235"/>
      <c r="AI28742" s="38"/>
    </row>
    <row r="28743" ht="15.75" customHeight="1">
      <c r="A28743" s="35"/>
      <c r="C28743" s="442"/>
      <c r="P28743" s="235"/>
      <c r="AI28743" s="38"/>
    </row>
    <row r="28744" ht="15.75" customHeight="1">
      <c r="A28744" s="35"/>
      <c r="C28744" s="442"/>
      <c r="P28744" s="235"/>
      <c r="AI28744" s="38"/>
    </row>
    <row r="28745" ht="15.75" customHeight="1">
      <c r="A28745" s="35"/>
      <c r="C28745" s="442"/>
      <c r="P28745" s="235"/>
      <c r="AI28745" s="38"/>
    </row>
    <row r="28746" ht="15.75" customHeight="1">
      <c r="A28746" s="35"/>
      <c r="C28746" s="442"/>
      <c r="P28746" s="235"/>
      <c r="AI28746" s="38"/>
    </row>
    <row r="28747" ht="15.75" customHeight="1">
      <c r="A28747" s="35"/>
      <c r="C28747" s="442"/>
      <c r="P28747" s="235"/>
      <c r="AI28747" s="38"/>
    </row>
    <row r="28748" ht="15.75" customHeight="1">
      <c r="A28748" s="35"/>
      <c r="C28748" s="442"/>
      <c r="P28748" s="235"/>
      <c r="AI28748" s="38"/>
    </row>
    <row r="28749" ht="15.75" customHeight="1">
      <c r="A28749" s="35"/>
      <c r="C28749" s="442"/>
      <c r="P28749" s="235"/>
      <c r="AI28749" s="38"/>
    </row>
    <row r="28750" ht="15.75" customHeight="1">
      <c r="A28750" s="35"/>
      <c r="C28750" s="442"/>
      <c r="P28750" s="235"/>
      <c r="AI28750" s="38"/>
    </row>
    <row r="28751" ht="15.75" customHeight="1">
      <c r="A28751" s="35"/>
      <c r="C28751" s="442"/>
      <c r="P28751" s="235"/>
      <c r="AI28751" s="38"/>
    </row>
    <row r="28752" ht="15.75" customHeight="1">
      <c r="A28752" s="35"/>
      <c r="C28752" s="442"/>
      <c r="P28752" s="235"/>
      <c r="AI28752" s="38"/>
    </row>
    <row r="28753" ht="15.75" customHeight="1">
      <c r="A28753" s="35"/>
      <c r="C28753" s="442"/>
      <c r="P28753" s="235"/>
      <c r="AI28753" s="38"/>
    </row>
    <row r="28754" ht="15.75" customHeight="1">
      <c r="A28754" s="35"/>
      <c r="C28754" s="442"/>
      <c r="P28754" s="235"/>
      <c r="AI28754" s="38"/>
    </row>
    <row r="28755" ht="15.75" customHeight="1">
      <c r="A28755" s="35"/>
      <c r="C28755" s="442"/>
      <c r="P28755" s="235"/>
      <c r="AI28755" s="38"/>
    </row>
    <row r="28756" ht="15.75" customHeight="1">
      <c r="A28756" s="35"/>
      <c r="C28756" s="442"/>
      <c r="P28756" s="235"/>
      <c r="AI28756" s="38"/>
    </row>
    <row r="28757" ht="15.75" customHeight="1">
      <c r="A28757" s="35"/>
      <c r="C28757" s="442"/>
      <c r="P28757" s="235"/>
      <c r="AI28757" s="38"/>
    </row>
    <row r="28758" ht="15.75" customHeight="1">
      <c r="A28758" s="35"/>
      <c r="C28758" s="442"/>
      <c r="P28758" s="235"/>
      <c r="AI28758" s="38"/>
    </row>
    <row r="28759" ht="15.75" customHeight="1">
      <c r="A28759" s="35"/>
      <c r="C28759" s="442"/>
      <c r="P28759" s="235"/>
      <c r="AI28759" s="38"/>
    </row>
    <row r="28760" ht="15.75" customHeight="1">
      <c r="A28760" s="35"/>
      <c r="C28760" s="442"/>
      <c r="P28760" s="235"/>
      <c r="AI28760" s="38"/>
    </row>
    <row r="28761" ht="15.75" customHeight="1">
      <c r="A28761" s="35"/>
      <c r="C28761" s="442"/>
      <c r="P28761" s="235"/>
      <c r="AI28761" s="38"/>
    </row>
    <row r="28762" ht="15.75" customHeight="1">
      <c r="A28762" s="35"/>
      <c r="C28762" s="442"/>
      <c r="P28762" s="235"/>
      <c r="AI28762" s="38"/>
    </row>
    <row r="28763" ht="15.75" customHeight="1">
      <c r="A28763" s="35"/>
      <c r="C28763" s="442"/>
      <c r="P28763" s="235"/>
      <c r="AI28763" s="38"/>
    </row>
    <row r="28764" ht="15.75" customHeight="1">
      <c r="A28764" s="35"/>
      <c r="C28764" s="442"/>
      <c r="P28764" s="235"/>
      <c r="AI28764" s="38"/>
    </row>
    <row r="28765" ht="15.75" customHeight="1">
      <c r="A28765" s="35"/>
      <c r="C28765" s="442"/>
      <c r="P28765" s="235"/>
      <c r="AI28765" s="38"/>
    </row>
    <row r="28766" ht="15.75" customHeight="1">
      <c r="A28766" s="35"/>
      <c r="C28766" s="442"/>
      <c r="P28766" s="235"/>
      <c r="AI28766" s="38"/>
    </row>
    <row r="28767" ht="15.75" customHeight="1">
      <c r="A28767" s="35"/>
      <c r="C28767" s="442"/>
      <c r="P28767" s="235"/>
      <c r="AI28767" s="38"/>
    </row>
    <row r="28768" ht="15.75" customHeight="1">
      <c r="A28768" s="35"/>
      <c r="C28768" s="442"/>
      <c r="P28768" s="235"/>
      <c r="AI28768" s="38"/>
    </row>
    <row r="28769" ht="15.75" customHeight="1">
      <c r="A28769" s="35"/>
      <c r="C28769" s="442"/>
      <c r="P28769" s="235"/>
      <c r="AI28769" s="38"/>
    </row>
    <row r="28770" ht="15.75" customHeight="1">
      <c r="A28770" s="35"/>
      <c r="C28770" s="442"/>
      <c r="P28770" s="235"/>
      <c r="AI28770" s="38"/>
    </row>
    <row r="28771" ht="15.75" customHeight="1">
      <c r="A28771" s="35"/>
      <c r="C28771" s="442"/>
      <c r="P28771" s="235"/>
      <c r="AI28771" s="38"/>
    </row>
    <row r="28772" ht="15.75" customHeight="1">
      <c r="A28772" s="35"/>
      <c r="C28772" s="442"/>
      <c r="P28772" s="235"/>
      <c r="AI28772" s="38"/>
    </row>
    <row r="28773" ht="15.75" customHeight="1">
      <c r="A28773" s="35"/>
      <c r="C28773" s="442"/>
      <c r="P28773" s="235"/>
      <c r="AI28773" s="38"/>
    </row>
    <row r="28774" ht="15.75" customHeight="1">
      <c r="A28774" s="35"/>
      <c r="C28774" s="442"/>
      <c r="P28774" s="235"/>
      <c r="AI28774" s="38"/>
    </row>
    <row r="28775" ht="15.75" customHeight="1">
      <c r="A28775" s="35"/>
      <c r="C28775" s="442"/>
      <c r="P28775" s="235"/>
      <c r="AI28775" s="38"/>
    </row>
    <row r="28776" ht="15.75" customHeight="1">
      <c r="A28776" s="35"/>
      <c r="C28776" s="442"/>
      <c r="P28776" s="235"/>
      <c r="AI28776" s="38"/>
    </row>
    <row r="28777" ht="15.75" customHeight="1">
      <c r="A28777" s="35"/>
      <c r="C28777" s="442"/>
      <c r="P28777" s="235"/>
      <c r="AI28777" s="38"/>
    </row>
    <row r="28778" ht="15.75" customHeight="1">
      <c r="A28778" s="35"/>
      <c r="C28778" s="442"/>
      <c r="P28778" s="235"/>
      <c r="AI28778" s="38"/>
    </row>
    <row r="28779" ht="15.75" customHeight="1">
      <c r="A28779" s="35"/>
      <c r="C28779" s="442"/>
      <c r="P28779" s="235"/>
      <c r="AI28779" s="38"/>
    </row>
    <row r="28780" ht="15.75" customHeight="1">
      <c r="A28780" s="35"/>
      <c r="C28780" s="442"/>
      <c r="P28780" s="235"/>
      <c r="AI28780" s="38"/>
    </row>
    <row r="28781" ht="15.75" customHeight="1">
      <c r="A28781" s="35"/>
      <c r="C28781" s="442"/>
      <c r="P28781" s="235"/>
      <c r="AI28781" s="38"/>
    </row>
    <row r="28782" ht="15.75" customHeight="1">
      <c r="A28782" s="35"/>
      <c r="C28782" s="442"/>
      <c r="P28782" s="235"/>
      <c r="AI28782" s="38"/>
    </row>
    <row r="28783" ht="15.75" customHeight="1">
      <c r="A28783" s="35"/>
      <c r="C28783" s="442"/>
      <c r="P28783" s="235"/>
      <c r="AI28783" s="38"/>
    </row>
    <row r="28784" ht="15.75" customHeight="1">
      <c r="A28784" s="35"/>
      <c r="C28784" s="442"/>
      <c r="P28784" s="235"/>
      <c r="AI28784" s="38"/>
    </row>
    <row r="28785" ht="15.75" customHeight="1">
      <c r="A28785" s="35"/>
      <c r="C28785" s="442"/>
      <c r="P28785" s="235"/>
      <c r="AI28785" s="38"/>
    </row>
    <row r="28786" ht="15.75" customHeight="1">
      <c r="A28786" s="35"/>
      <c r="C28786" s="442"/>
      <c r="P28786" s="235"/>
      <c r="AI28786" s="38"/>
    </row>
    <row r="28787" ht="15.75" customHeight="1">
      <c r="A28787" s="35"/>
      <c r="C28787" s="442"/>
      <c r="P28787" s="235"/>
      <c r="AI28787" s="38"/>
    </row>
    <row r="28788" ht="15.75" customHeight="1">
      <c r="A28788" s="35"/>
      <c r="C28788" s="442"/>
      <c r="P28788" s="235"/>
      <c r="AI28788" s="38"/>
    </row>
    <row r="28789" ht="15.75" customHeight="1">
      <c r="A28789" s="35"/>
      <c r="C28789" s="442"/>
      <c r="P28789" s="235"/>
      <c r="AI28789" s="38"/>
    </row>
    <row r="28790" ht="15.75" customHeight="1">
      <c r="A28790" s="35"/>
      <c r="C28790" s="442"/>
      <c r="P28790" s="235"/>
      <c r="AI28790" s="38"/>
    </row>
    <row r="28791" ht="15.75" customHeight="1">
      <c r="A28791" s="35"/>
      <c r="C28791" s="442"/>
      <c r="P28791" s="235"/>
      <c r="AI28791" s="38"/>
    </row>
    <row r="28792" ht="15.75" customHeight="1">
      <c r="A28792" s="35"/>
      <c r="C28792" s="442"/>
      <c r="P28792" s="235"/>
      <c r="AI28792" s="38"/>
    </row>
    <row r="28793" ht="15.75" customHeight="1">
      <c r="A28793" s="35"/>
      <c r="C28793" s="442"/>
      <c r="P28793" s="235"/>
      <c r="AI28793" s="38"/>
    </row>
    <row r="28794" ht="15.75" customHeight="1">
      <c r="A28794" s="35"/>
      <c r="C28794" s="442"/>
      <c r="P28794" s="235"/>
      <c r="AI28794" s="38"/>
    </row>
    <row r="28795" ht="15.75" customHeight="1">
      <c r="A28795" s="35"/>
      <c r="C28795" s="442"/>
      <c r="P28795" s="235"/>
      <c r="AI28795" s="38"/>
    </row>
    <row r="28796" ht="15.75" customHeight="1">
      <c r="A28796" s="35"/>
      <c r="C28796" s="442"/>
      <c r="P28796" s="235"/>
      <c r="AI28796" s="38"/>
    </row>
    <row r="28797" ht="15.75" customHeight="1">
      <c r="A28797" s="35"/>
      <c r="C28797" s="442"/>
      <c r="P28797" s="235"/>
      <c r="AI28797" s="38"/>
    </row>
    <row r="28798" ht="15.75" customHeight="1">
      <c r="A28798" s="35"/>
      <c r="C28798" s="442"/>
      <c r="P28798" s="235"/>
      <c r="AI28798" s="38"/>
    </row>
    <row r="28799" ht="15.75" customHeight="1">
      <c r="A28799" s="35"/>
      <c r="C28799" s="442"/>
      <c r="P28799" s="235"/>
      <c r="AI28799" s="38"/>
    </row>
    <row r="28800" ht="15.75" customHeight="1">
      <c r="A28800" s="35"/>
      <c r="C28800" s="442"/>
      <c r="P28800" s="235"/>
      <c r="AI28800" s="38"/>
    </row>
    <row r="28801" ht="15.75" customHeight="1">
      <c r="A28801" s="35"/>
      <c r="C28801" s="442"/>
      <c r="P28801" s="235"/>
      <c r="AI28801" s="38"/>
    </row>
    <row r="28802" ht="15.75" customHeight="1">
      <c r="A28802" s="35"/>
      <c r="C28802" s="442"/>
      <c r="P28802" s="235"/>
      <c r="AI28802" s="38"/>
    </row>
    <row r="28803" ht="15.75" customHeight="1">
      <c r="A28803" s="35"/>
      <c r="C28803" s="442"/>
      <c r="P28803" s="235"/>
      <c r="AI28803" s="38"/>
    </row>
    <row r="28804" ht="15.75" customHeight="1">
      <c r="A28804" s="35"/>
      <c r="C28804" s="442"/>
      <c r="P28804" s="235"/>
      <c r="AI28804" s="38"/>
    </row>
    <row r="28805" ht="15.75" customHeight="1">
      <c r="A28805" s="35"/>
      <c r="C28805" s="442"/>
      <c r="P28805" s="235"/>
      <c r="AI28805" s="38"/>
    </row>
    <row r="28806" ht="15.75" customHeight="1">
      <c r="A28806" s="35"/>
      <c r="C28806" s="442"/>
      <c r="P28806" s="235"/>
      <c r="AI28806" s="38"/>
    </row>
    <row r="28807" ht="15.75" customHeight="1">
      <c r="A28807" s="35"/>
      <c r="C28807" s="442"/>
      <c r="P28807" s="235"/>
      <c r="AI28807" s="38"/>
    </row>
    <row r="28808" ht="15.75" customHeight="1">
      <c r="A28808" s="35"/>
      <c r="C28808" s="442"/>
      <c r="P28808" s="235"/>
      <c r="AI28808" s="38"/>
    </row>
    <row r="28809" ht="15.75" customHeight="1">
      <c r="A28809" s="35"/>
      <c r="C28809" s="442"/>
      <c r="P28809" s="235"/>
      <c r="AI28809" s="38"/>
    </row>
    <row r="28810" ht="15.75" customHeight="1">
      <c r="A28810" s="35"/>
      <c r="C28810" s="442"/>
      <c r="P28810" s="235"/>
      <c r="AI28810" s="38"/>
    </row>
    <row r="28811" ht="15.75" customHeight="1">
      <c r="A28811" s="35"/>
      <c r="C28811" s="442"/>
      <c r="P28811" s="235"/>
      <c r="AI28811" s="38"/>
    </row>
    <row r="28812" ht="15.75" customHeight="1">
      <c r="A28812" s="35"/>
      <c r="C28812" s="442"/>
      <c r="P28812" s="235"/>
      <c r="AI28812" s="38"/>
    </row>
    <row r="28813" ht="15.75" customHeight="1">
      <c r="A28813" s="35"/>
      <c r="C28813" s="442"/>
      <c r="P28813" s="235"/>
      <c r="AI28813" s="38"/>
    </row>
    <row r="28814" ht="15.75" customHeight="1">
      <c r="A28814" s="35"/>
      <c r="C28814" s="442"/>
      <c r="P28814" s="235"/>
      <c r="AI28814" s="38"/>
    </row>
    <row r="28815" ht="15.75" customHeight="1">
      <c r="A28815" s="35"/>
      <c r="C28815" s="442"/>
      <c r="P28815" s="235"/>
      <c r="AI28815" s="38"/>
    </row>
    <row r="28816" ht="15.75" customHeight="1">
      <c r="A28816" s="35"/>
      <c r="C28816" s="442"/>
      <c r="P28816" s="235"/>
      <c r="AI28816" s="38"/>
    </row>
    <row r="28817" ht="15.75" customHeight="1">
      <c r="A28817" s="35"/>
      <c r="C28817" s="442"/>
      <c r="P28817" s="235"/>
      <c r="AI28817" s="38"/>
    </row>
    <row r="28818" ht="15.75" customHeight="1">
      <c r="A28818" s="35"/>
      <c r="C28818" s="442"/>
      <c r="P28818" s="235"/>
      <c r="AI28818" s="38"/>
    </row>
    <row r="28819" ht="15.75" customHeight="1">
      <c r="A28819" s="35"/>
      <c r="C28819" s="442"/>
      <c r="P28819" s="235"/>
      <c r="AI28819" s="38"/>
    </row>
    <row r="28820" ht="15.75" customHeight="1">
      <c r="A28820" s="35"/>
      <c r="C28820" s="442"/>
      <c r="P28820" s="235"/>
      <c r="AI28820" s="38"/>
    </row>
    <row r="28821" ht="15.75" customHeight="1">
      <c r="A28821" s="35"/>
      <c r="C28821" s="442"/>
      <c r="P28821" s="235"/>
      <c r="AI28821" s="38"/>
    </row>
    <row r="28822" ht="15.75" customHeight="1">
      <c r="A28822" s="35"/>
      <c r="C28822" s="442"/>
      <c r="P28822" s="235"/>
      <c r="AI28822" s="38"/>
    </row>
    <row r="28823" ht="15.75" customHeight="1">
      <c r="A28823" s="35"/>
      <c r="C28823" s="442"/>
      <c r="P28823" s="235"/>
      <c r="AI28823" s="38"/>
    </row>
    <row r="28824" ht="15.75" customHeight="1">
      <c r="A28824" s="35"/>
      <c r="C28824" s="442"/>
      <c r="P28824" s="235"/>
      <c r="AI28824" s="38"/>
    </row>
    <row r="28825" ht="15.75" customHeight="1">
      <c r="A28825" s="35"/>
      <c r="C28825" s="442"/>
      <c r="P28825" s="235"/>
      <c r="AI28825" s="38"/>
    </row>
    <row r="28826" ht="15.75" customHeight="1">
      <c r="A28826" s="35"/>
      <c r="C28826" s="442"/>
      <c r="P28826" s="235"/>
      <c r="AI28826" s="38"/>
    </row>
    <row r="28827" ht="15.75" customHeight="1">
      <c r="A28827" s="35"/>
      <c r="C28827" s="442"/>
      <c r="P28827" s="235"/>
      <c r="AI28827" s="38"/>
    </row>
    <row r="28828" ht="15.75" customHeight="1">
      <c r="A28828" s="35"/>
      <c r="C28828" s="442"/>
      <c r="P28828" s="235"/>
      <c r="AI28828" s="38"/>
    </row>
    <row r="28829" ht="15.75" customHeight="1">
      <c r="A28829" s="35"/>
      <c r="C28829" s="442"/>
      <c r="P28829" s="235"/>
      <c r="AI28829" s="38"/>
    </row>
    <row r="28830" ht="15.75" customHeight="1">
      <c r="A28830" s="35"/>
      <c r="C28830" s="442"/>
      <c r="P28830" s="235"/>
      <c r="AI28830" s="38"/>
    </row>
    <row r="28831" ht="15.75" customHeight="1">
      <c r="A28831" s="35"/>
      <c r="C28831" s="442"/>
      <c r="P28831" s="235"/>
      <c r="AI28831" s="38"/>
    </row>
    <row r="28832" ht="15.75" customHeight="1">
      <c r="A28832" s="35"/>
      <c r="C28832" s="442"/>
      <c r="P28832" s="235"/>
      <c r="AI28832" s="38"/>
    </row>
    <row r="28833" ht="15.75" customHeight="1">
      <c r="A28833" s="35"/>
      <c r="C28833" s="442"/>
      <c r="P28833" s="235"/>
      <c r="AI28833" s="38"/>
    </row>
    <row r="28834" ht="15.75" customHeight="1">
      <c r="A28834" s="35"/>
      <c r="C28834" s="442"/>
      <c r="P28834" s="235"/>
      <c r="AI28834" s="38"/>
    </row>
    <row r="28835" ht="15.75" customHeight="1">
      <c r="A28835" s="35"/>
      <c r="C28835" s="442"/>
      <c r="P28835" s="235"/>
      <c r="AI28835" s="38"/>
    </row>
    <row r="28836" ht="15.75" customHeight="1">
      <c r="A28836" s="35"/>
      <c r="C28836" s="442"/>
      <c r="P28836" s="235"/>
      <c r="AI28836" s="38"/>
    </row>
    <row r="28837" ht="15.75" customHeight="1">
      <c r="A28837" s="35"/>
      <c r="C28837" s="442"/>
      <c r="P28837" s="235"/>
      <c r="AI28837" s="38"/>
    </row>
    <row r="28838" ht="15.75" customHeight="1">
      <c r="A28838" s="35"/>
      <c r="C28838" s="442"/>
      <c r="P28838" s="235"/>
      <c r="AI28838" s="38"/>
    </row>
    <row r="28839" ht="15.75" customHeight="1">
      <c r="A28839" s="35"/>
      <c r="C28839" s="442"/>
      <c r="P28839" s="235"/>
      <c r="AI28839" s="38"/>
    </row>
    <row r="28840" ht="15.75" customHeight="1">
      <c r="A28840" s="35"/>
      <c r="C28840" s="442"/>
      <c r="P28840" s="235"/>
      <c r="AI28840" s="38"/>
    </row>
    <row r="28841" ht="15.75" customHeight="1">
      <c r="A28841" s="35"/>
      <c r="C28841" s="442"/>
      <c r="P28841" s="235"/>
      <c r="AI28841" s="38"/>
    </row>
    <row r="28842" ht="15.75" customHeight="1">
      <c r="A28842" s="35"/>
      <c r="C28842" s="442"/>
      <c r="P28842" s="235"/>
      <c r="AI28842" s="38"/>
    </row>
    <row r="28843" ht="15.75" customHeight="1">
      <c r="A28843" s="35"/>
      <c r="C28843" s="442"/>
      <c r="P28843" s="235"/>
      <c r="AI28843" s="38"/>
    </row>
    <row r="28844" ht="15.75" customHeight="1">
      <c r="A28844" s="35"/>
      <c r="C28844" s="442"/>
      <c r="P28844" s="235"/>
      <c r="AI28844" s="38"/>
    </row>
    <row r="28845" ht="15.75" customHeight="1">
      <c r="A28845" s="35"/>
      <c r="C28845" s="442"/>
      <c r="P28845" s="235"/>
      <c r="AI28845" s="38"/>
    </row>
    <row r="28846" ht="15.75" customHeight="1">
      <c r="A28846" s="35"/>
      <c r="C28846" s="442"/>
      <c r="P28846" s="235"/>
      <c r="AI28846" s="38"/>
    </row>
    <row r="28847" ht="15.75" customHeight="1">
      <c r="A28847" s="35"/>
      <c r="C28847" s="442"/>
      <c r="P28847" s="235"/>
      <c r="AI28847" s="38"/>
    </row>
    <row r="28848" ht="15.75" customHeight="1">
      <c r="A28848" s="35"/>
      <c r="C28848" s="442"/>
      <c r="P28848" s="235"/>
      <c r="AI28848" s="38"/>
    </row>
    <row r="28849" ht="15.75" customHeight="1">
      <c r="A28849" s="35"/>
      <c r="C28849" s="442"/>
      <c r="P28849" s="235"/>
      <c r="AI28849" s="38"/>
    </row>
    <row r="28850" ht="15.75" customHeight="1">
      <c r="A28850" s="35"/>
      <c r="C28850" s="442"/>
      <c r="P28850" s="235"/>
      <c r="AI28850" s="38"/>
    </row>
    <row r="28851" ht="15.75" customHeight="1">
      <c r="A28851" s="35"/>
      <c r="C28851" s="442"/>
      <c r="P28851" s="235"/>
      <c r="AI28851" s="38"/>
    </row>
    <row r="28852" ht="15.75" customHeight="1">
      <c r="A28852" s="35"/>
      <c r="C28852" s="442"/>
      <c r="P28852" s="235"/>
      <c r="AI28852" s="38"/>
    </row>
    <row r="28853" ht="15.75" customHeight="1">
      <c r="A28853" s="35"/>
      <c r="C28853" s="442"/>
      <c r="P28853" s="235"/>
      <c r="AI28853" s="38"/>
    </row>
    <row r="28854" ht="15.75" customHeight="1">
      <c r="A28854" s="35"/>
      <c r="C28854" s="442"/>
      <c r="P28854" s="235"/>
      <c r="AI28854" s="38"/>
    </row>
    <row r="28855" ht="15.75" customHeight="1">
      <c r="A28855" s="35"/>
      <c r="C28855" s="442"/>
      <c r="P28855" s="235"/>
      <c r="AI28855" s="38"/>
    </row>
    <row r="28856" ht="15.75" customHeight="1">
      <c r="A28856" s="35"/>
      <c r="C28856" s="442"/>
      <c r="P28856" s="235"/>
      <c r="AI28856" s="38"/>
    </row>
    <row r="28857" ht="15.75" customHeight="1">
      <c r="A28857" s="35"/>
      <c r="C28857" s="442"/>
      <c r="P28857" s="235"/>
      <c r="AI28857" s="38"/>
    </row>
    <row r="28858" ht="15.75" customHeight="1">
      <c r="A28858" s="35"/>
      <c r="C28858" s="442"/>
      <c r="P28858" s="235"/>
      <c r="AI28858" s="38"/>
    </row>
    <row r="28859" ht="15.75" customHeight="1">
      <c r="A28859" s="35"/>
      <c r="C28859" s="442"/>
      <c r="P28859" s="235"/>
      <c r="AI28859" s="38"/>
    </row>
    <row r="28860" ht="15.75" customHeight="1">
      <c r="A28860" s="35"/>
      <c r="C28860" s="442"/>
      <c r="P28860" s="235"/>
      <c r="AI28860" s="38"/>
    </row>
    <row r="28861" ht="15.75" customHeight="1">
      <c r="A28861" s="35"/>
      <c r="C28861" s="442"/>
      <c r="P28861" s="235"/>
      <c r="AI28861" s="38"/>
    </row>
    <row r="28862" ht="15.75" customHeight="1">
      <c r="A28862" s="35"/>
      <c r="C28862" s="442"/>
      <c r="P28862" s="235"/>
      <c r="AI28862" s="38"/>
    </row>
    <row r="28863" ht="15.75" customHeight="1">
      <c r="A28863" s="35"/>
      <c r="C28863" s="442"/>
      <c r="P28863" s="235"/>
      <c r="AI28863" s="38"/>
    </row>
    <row r="28864" ht="15.75" customHeight="1">
      <c r="A28864" s="35"/>
      <c r="C28864" s="442"/>
      <c r="P28864" s="235"/>
      <c r="AI28864" s="38"/>
    </row>
    <row r="28865" ht="15.75" customHeight="1">
      <c r="A28865" s="35"/>
      <c r="C28865" s="442"/>
      <c r="P28865" s="235"/>
      <c r="AI28865" s="38"/>
    </row>
    <row r="28866" ht="15.75" customHeight="1">
      <c r="A28866" s="35"/>
      <c r="C28866" s="442"/>
      <c r="P28866" s="235"/>
      <c r="AI28866" s="38"/>
    </row>
    <row r="28867" ht="15.75" customHeight="1">
      <c r="A28867" s="35"/>
      <c r="C28867" s="442"/>
      <c r="P28867" s="235"/>
      <c r="AI28867" s="38"/>
    </row>
    <row r="28868" ht="15.75" customHeight="1">
      <c r="A28868" s="35"/>
      <c r="C28868" s="442"/>
      <c r="P28868" s="235"/>
      <c r="AI28868" s="38"/>
    </row>
    <row r="28869" ht="15.75" customHeight="1">
      <c r="A28869" s="35"/>
      <c r="C28869" s="442"/>
      <c r="P28869" s="235"/>
      <c r="AI28869" s="38"/>
    </row>
    <row r="28870" ht="15.75" customHeight="1">
      <c r="A28870" s="35"/>
      <c r="C28870" s="442"/>
      <c r="P28870" s="235"/>
      <c r="AI28870" s="38"/>
    </row>
    <row r="28871" ht="15.75" customHeight="1">
      <c r="A28871" s="35"/>
      <c r="C28871" s="442"/>
      <c r="P28871" s="235"/>
      <c r="AI28871" s="38"/>
    </row>
    <row r="28872" ht="15.75" customHeight="1">
      <c r="A28872" s="35"/>
      <c r="C28872" s="442"/>
      <c r="P28872" s="235"/>
      <c r="AI28872" s="38"/>
    </row>
    <row r="28873" ht="15.75" customHeight="1">
      <c r="A28873" s="35"/>
      <c r="C28873" s="442"/>
      <c r="P28873" s="235"/>
      <c r="AI28873" s="38"/>
    </row>
    <row r="28874" ht="15.75" customHeight="1">
      <c r="A28874" s="35"/>
      <c r="C28874" s="442"/>
      <c r="P28874" s="235"/>
      <c r="AI28874" s="38"/>
    </row>
    <row r="28875" ht="15.75" customHeight="1">
      <c r="A28875" s="35"/>
      <c r="C28875" s="442"/>
      <c r="P28875" s="235"/>
      <c r="AI28875" s="38"/>
    </row>
    <row r="28876" ht="15.75" customHeight="1">
      <c r="A28876" s="35"/>
      <c r="C28876" s="442"/>
      <c r="P28876" s="235"/>
      <c r="AI28876" s="38"/>
    </row>
    <row r="28877" ht="15.75" customHeight="1">
      <c r="A28877" s="35"/>
      <c r="C28877" s="442"/>
      <c r="P28877" s="235"/>
      <c r="AI28877" s="38"/>
    </row>
    <row r="28878" ht="15.75" customHeight="1">
      <c r="A28878" s="35"/>
      <c r="C28878" s="442"/>
      <c r="P28878" s="235"/>
      <c r="AI28878" s="38"/>
    </row>
    <row r="28879" ht="15.75" customHeight="1">
      <c r="A28879" s="35"/>
      <c r="C28879" s="442"/>
      <c r="P28879" s="235"/>
      <c r="AI28879" s="38"/>
    </row>
    <row r="28880" ht="15.75" customHeight="1">
      <c r="A28880" s="35"/>
      <c r="C28880" s="442"/>
      <c r="P28880" s="235"/>
      <c r="AI28880" s="38"/>
    </row>
    <row r="28881" ht="15.75" customHeight="1">
      <c r="A28881" s="35"/>
      <c r="C28881" s="442"/>
      <c r="P28881" s="235"/>
      <c r="AI28881" s="38"/>
    </row>
    <row r="28882" ht="15.75" customHeight="1">
      <c r="A28882" s="35"/>
      <c r="C28882" s="442"/>
      <c r="P28882" s="235"/>
      <c r="AI28882" s="38"/>
    </row>
    <row r="28883" ht="15.75" customHeight="1">
      <c r="A28883" s="35"/>
      <c r="C28883" s="442"/>
      <c r="P28883" s="235"/>
      <c r="AI28883" s="38"/>
    </row>
    <row r="28884" ht="15.75" customHeight="1">
      <c r="A28884" s="35"/>
      <c r="C28884" s="442"/>
      <c r="P28884" s="235"/>
      <c r="AI28884" s="38"/>
    </row>
    <row r="28885" ht="15.75" customHeight="1">
      <c r="A28885" s="35"/>
      <c r="C28885" s="442"/>
      <c r="P28885" s="235"/>
      <c r="AI28885" s="38"/>
    </row>
    <row r="28886" ht="15.75" customHeight="1">
      <c r="A28886" s="35"/>
      <c r="C28886" s="442"/>
      <c r="P28886" s="235"/>
      <c r="AI28886" s="38"/>
    </row>
    <row r="28887" ht="15.75" customHeight="1">
      <c r="A28887" s="35"/>
      <c r="C28887" s="442"/>
      <c r="P28887" s="235"/>
      <c r="AI28887" s="38"/>
    </row>
    <row r="28888" ht="15.75" customHeight="1">
      <c r="A28888" s="35"/>
      <c r="C28888" s="442"/>
      <c r="P28888" s="235"/>
      <c r="AI28888" s="38"/>
    </row>
    <row r="28889" ht="15.75" customHeight="1">
      <c r="A28889" s="35"/>
      <c r="C28889" s="442"/>
      <c r="P28889" s="235"/>
      <c r="AI28889" s="38"/>
    </row>
    <row r="28890" ht="15.75" customHeight="1">
      <c r="A28890" s="35"/>
      <c r="C28890" s="442"/>
      <c r="P28890" s="235"/>
      <c r="AI28890" s="38"/>
    </row>
    <row r="28891" ht="15.75" customHeight="1">
      <c r="A28891" s="35"/>
      <c r="C28891" s="442"/>
      <c r="P28891" s="235"/>
      <c r="AI28891" s="38"/>
    </row>
    <row r="28892" ht="15.75" customHeight="1">
      <c r="A28892" s="35"/>
      <c r="C28892" s="442"/>
      <c r="P28892" s="235"/>
      <c r="AI28892" s="38"/>
    </row>
    <row r="28893" ht="15.75" customHeight="1">
      <c r="A28893" s="35"/>
      <c r="C28893" s="442"/>
      <c r="P28893" s="235"/>
      <c r="AI28893" s="38"/>
    </row>
    <row r="28894" ht="15.75" customHeight="1">
      <c r="A28894" s="35"/>
      <c r="C28894" s="442"/>
      <c r="P28894" s="235"/>
      <c r="AI28894" s="38"/>
    </row>
    <row r="28895" ht="15.75" customHeight="1">
      <c r="A28895" s="35"/>
      <c r="C28895" s="442"/>
      <c r="P28895" s="235"/>
      <c r="AI28895" s="38"/>
    </row>
    <row r="28896" ht="15.75" customHeight="1">
      <c r="A28896" s="35"/>
      <c r="C28896" s="442"/>
      <c r="P28896" s="235"/>
      <c r="AI28896" s="38"/>
    </row>
    <row r="28897" ht="15.75" customHeight="1">
      <c r="A28897" s="35"/>
      <c r="C28897" s="442"/>
      <c r="P28897" s="235"/>
      <c r="AI28897" s="38"/>
    </row>
    <row r="28898" ht="15.75" customHeight="1">
      <c r="A28898" s="35"/>
      <c r="C28898" s="442"/>
      <c r="P28898" s="235"/>
      <c r="AI28898" s="38"/>
    </row>
    <row r="28899" ht="15.75" customHeight="1">
      <c r="A28899" s="35"/>
      <c r="C28899" s="442"/>
      <c r="P28899" s="235"/>
      <c r="AI28899" s="38"/>
    </row>
    <row r="28900" ht="15.75" customHeight="1">
      <c r="A28900" s="35"/>
      <c r="C28900" s="442"/>
      <c r="P28900" s="235"/>
      <c r="AI28900" s="38"/>
    </row>
    <row r="28901" ht="15.75" customHeight="1">
      <c r="A28901" s="35"/>
      <c r="C28901" s="442"/>
      <c r="P28901" s="235"/>
      <c r="AI28901" s="38"/>
    </row>
    <row r="28902" ht="15.75" customHeight="1">
      <c r="A28902" s="35"/>
      <c r="C28902" s="442"/>
      <c r="P28902" s="235"/>
      <c r="AI28902" s="38"/>
    </row>
    <row r="28903" ht="15.75" customHeight="1">
      <c r="A28903" s="35"/>
      <c r="C28903" s="442"/>
      <c r="P28903" s="235"/>
      <c r="AI28903" s="38"/>
    </row>
    <row r="28904" ht="15.75" customHeight="1">
      <c r="A28904" s="35"/>
      <c r="C28904" s="442"/>
      <c r="P28904" s="235"/>
      <c r="AI28904" s="38"/>
    </row>
    <row r="28905" ht="15.75" customHeight="1">
      <c r="A28905" s="35"/>
      <c r="C28905" s="442"/>
      <c r="P28905" s="235"/>
      <c r="AI28905" s="38"/>
    </row>
    <row r="28906" ht="15.75" customHeight="1">
      <c r="A28906" s="35"/>
      <c r="C28906" s="442"/>
      <c r="P28906" s="235"/>
      <c r="AI28906" s="38"/>
    </row>
    <row r="28907" ht="15.75" customHeight="1">
      <c r="A28907" s="35"/>
      <c r="C28907" s="442"/>
      <c r="P28907" s="235"/>
      <c r="AI28907" s="38"/>
    </row>
    <row r="28908" ht="15.75" customHeight="1">
      <c r="A28908" s="35"/>
      <c r="C28908" s="442"/>
      <c r="P28908" s="235"/>
      <c r="AI28908" s="38"/>
    </row>
    <row r="28909" ht="15.75" customHeight="1">
      <c r="A28909" s="35"/>
      <c r="C28909" s="442"/>
      <c r="P28909" s="235"/>
      <c r="AI28909" s="38"/>
    </row>
    <row r="28910" ht="15.75" customHeight="1">
      <c r="A28910" s="35"/>
      <c r="C28910" s="442"/>
      <c r="P28910" s="235"/>
      <c r="AI28910" s="38"/>
    </row>
    <row r="28911" ht="15.75" customHeight="1">
      <c r="A28911" s="35"/>
      <c r="C28911" s="442"/>
      <c r="P28911" s="235"/>
      <c r="AI28911" s="38"/>
    </row>
    <row r="28912" ht="15.75" customHeight="1">
      <c r="A28912" s="35"/>
      <c r="C28912" s="442"/>
      <c r="P28912" s="235"/>
      <c r="AI28912" s="38"/>
    </row>
    <row r="28913" ht="15.75" customHeight="1">
      <c r="A28913" s="35"/>
      <c r="C28913" s="442"/>
      <c r="P28913" s="235"/>
      <c r="AI28913" s="38"/>
    </row>
    <row r="28914" ht="15.75" customHeight="1">
      <c r="A28914" s="35"/>
      <c r="C28914" s="442"/>
      <c r="P28914" s="235"/>
      <c r="AI28914" s="38"/>
    </row>
    <row r="28915" ht="15.75" customHeight="1">
      <c r="A28915" s="35"/>
      <c r="C28915" s="442"/>
      <c r="P28915" s="235"/>
      <c r="AI28915" s="38"/>
    </row>
    <row r="28916" ht="15.75" customHeight="1">
      <c r="A28916" s="35"/>
      <c r="C28916" s="442"/>
      <c r="P28916" s="235"/>
      <c r="AI28916" s="38"/>
    </row>
    <row r="28917" ht="15.75" customHeight="1">
      <c r="A28917" s="35"/>
      <c r="C28917" s="442"/>
      <c r="P28917" s="235"/>
      <c r="AI28917" s="38"/>
    </row>
    <row r="28918" ht="15.75" customHeight="1">
      <c r="A28918" s="35"/>
      <c r="C28918" s="442"/>
      <c r="P28918" s="235"/>
      <c r="AI28918" s="38"/>
    </row>
    <row r="28919" ht="15.75" customHeight="1">
      <c r="A28919" s="35"/>
      <c r="C28919" s="442"/>
      <c r="P28919" s="235"/>
      <c r="AI28919" s="38"/>
    </row>
    <row r="28920" ht="15.75" customHeight="1">
      <c r="A28920" s="35"/>
      <c r="C28920" s="442"/>
      <c r="P28920" s="235"/>
      <c r="AI28920" s="38"/>
    </row>
    <row r="28921" ht="15.75" customHeight="1">
      <c r="A28921" s="35"/>
      <c r="C28921" s="442"/>
      <c r="P28921" s="235"/>
      <c r="AI28921" s="38"/>
    </row>
    <row r="28922" ht="15.75" customHeight="1">
      <c r="A28922" s="35"/>
      <c r="C28922" s="442"/>
      <c r="P28922" s="235"/>
      <c r="AI28922" s="38"/>
    </row>
    <row r="28923" ht="15.75" customHeight="1">
      <c r="A28923" s="35"/>
      <c r="C28923" s="442"/>
      <c r="P28923" s="235"/>
      <c r="AI28923" s="38"/>
    </row>
    <row r="28924" ht="15.75" customHeight="1">
      <c r="A28924" s="35"/>
      <c r="C28924" s="442"/>
      <c r="P28924" s="235"/>
      <c r="AI28924" s="38"/>
    </row>
    <row r="28925" ht="15.75" customHeight="1">
      <c r="A28925" s="35"/>
      <c r="C28925" s="442"/>
      <c r="P28925" s="235"/>
      <c r="AI28925" s="38"/>
    </row>
    <row r="28926" ht="15.75" customHeight="1">
      <c r="A28926" s="35"/>
      <c r="C28926" s="442"/>
      <c r="P28926" s="235"/>
      <c r="AI28926" s="38"/>
    </row>
    <row r="28927" ht="15.75" customHeight="1">
      <c r="A28927" s="35"/>
      <c r="C28927" s="442"/>
      <c r="P28927" s="235"/>
      <c r="AI28927" s="38"/>
    </row>
    <row r="28928" ht="15.75" customHeight="1">
      <c r="A28928" s="35"/>
      <c r="C28928" s="442"/>
      <c r="P28928" s="235"/>
      <c r="AI28928" s="38"/>
    </row>
    <row r="28929" ht="15.75" customHeight="1">
      <c r="A28929" s="35"/>
      <c r="C28929" s="442"/>
      <c r="P28929" s="235"/>
      <c r="AI28929" s="38"/>
    </row>
    <row r="28930" ht="15.75" customHeight="1">
      <c r="A28930" s="35"/>
      <c r="C28930" s="442"/>
      <c r="P28930" s="235"/>
      <c r="AI28930" s="38"/>
    </row>
    <row r="28931" ht="15.75" customHeight="1">
      <c r="A28931" s="35"/>
      <c r="C28931" s="442"/>
      <c r="P28931" s="235"/>
      <c r="AI28931" s="38"/>
    </row>
    <row r="28932" ht="15.75" customHeight="1">
      <c r="A28932" s="35"/>
      <c r="C28932" s="442"/>
      <c r="P28932" s="235"/>
      <c r="AI28932" s="38"/>
    </row>
    <row r="28933" ht="15.75" customHeight="1">
      <c r="A28933" s="35"/>
      <c r="C28933" s="442"/>
      <c r="P28933" s="235"/>
      <c r="AI28933" s="38"/>
    </row>
    <row r="28934" ht="15.75" customHeight="1">
      <c r="A28934" s="35"/>
      <c r="C28934" s="442"/>
      <c r="P28934" s="235"/>
      <c r="AI28934" s="38"/>
    </row>
    <row r="28935" ht="15.75" customHeight="1">
      <c r="A28935" s="35"/>
      <c r="C28935" s="442"/>
      <c r="P28935" s="235"/>
      <c r="AI28935" s="38"/>
    </row>
    <row r="28936" ht="15.75" customHeight="1">
      <c r="A28936" s="35"/>
      <c r="C28936" s="442"/>
      <c r="P28936" s="235"/>
      <c r="AI28936" s="38"/>
    </row>
    <row r="28937" ht="15.75" customHeight="1">
      <c r="A28937" s="35"/>
      <c r="C28937" s="442"/>
      <c r="P28937" s="235"/>
      <c r="AI28937" s="38"/>
    </row>
    <row r="28938" ht="15.75" customHeight="1">
      <c r="A28938" s="35"/>
      <c r="C28938" s="442"/>
      <c r="P28938" s="235"/>
      <c r="AI28938" s="38"/>
    </row>
    <row r="28939" ht="15.75" customHeight="1">
      <c r="A28939" s="35"/>
      <c r="C28939" s="442"/>
      <c r="P28939" s="235"/>
      <c r="AI28939" s="38"/>
    </row>
    <row r="28940" ht="15.75" customHeight="1">
      <c r="A28940" s="35"/>
      <c r="C28940" s="442"/>
      <c r="P28940" s="235"/>
      <c r="AI28940" s="38"/>
    </row>
    <row r="28941" ht="15.75" customHeight="1">
      <c r="A28941" s="35"/>
      <c r="C28941" s="442"/>
      <c r="P28941" s="235"/>
      <c r="AI28941" s="38"/>
    </row>
    <row r="28942" ht="15.75" customHeight="1">
      <c r="A28942" s="35"/>
      <c r="C28942" s="442"/>
      <c r="P28942" s="235"/>
      <c r="AI28942" s="38"/>
    </row>
    <row r="28943" ht="15.75" customHeight="1">
      <c r="A28943" s="35"/>
      <c r="C28943" s="442"/>
      <c r="P28943" s="235"/>
      <c r="AI28943" s="38"/>
    </row>
    <row r="28944" ht="15.75" customHeight="1">
      <c r="A28944" s="35"/>
      <c r="C28944" s="442"/>
      <c r="P28944" s="235"/>
      <c r="AI28944" s="38"/>
    </row>
    <row r="28945" ht="15.75" customHeight="1">
      <c r="A28945" s="35"/>
      <c r="C28945" s="442"/>
      <c r="P28945" s="235"/>
      <c r="AI28945" s="38"/>
    </row>
    <row r="28946" ht="15.75" customHeight="1">
      <c r="A28946" s="35"/>
      <c r="C28946" s="442"/>
      <c r="P28946" s="235"/>
      <c r="AI28946" s="38"/>
    </row>
    <row r="28947" ht="15.75" customHeight="1">
      <c r="A28947" s="35"/>
      <c r="C28947" s="442"/>
      <c r="P28947" s="235"/>
      <c r="AI28947" s="38"/>
    </row>
    <row r="28948" ht="15.75" customHeight="1">
      <c r="A28948" s="35"/>
      <c r="C28948" s="442"/>
      <c r="P28948" s="235"/>
      <c r="AI28948" s="38"/>
    </row>
    <row r="28949" ht="15.75" customHeight="1">
      <c r="A28949" s="35"/>
      <c r="C28949" s="442"/>
      <c r="P28949" s="235"/>
      <c r="AI28949" s="38"/>
    </row>
    <row r="28950" ht="15.75" customHeight="1">
      <c r="A28950" s="35"/>
      <c r="C28950" s="442"/>
      <c r="P28950" s="235"/>
      <c r="AI28950" s="38"/>
    </row>
    <row r="28951" ht="15.75" customHeight="1">
      <c r="A28951" s="35"/>
      <c r="C28951" s="442"/>
      <c r="P28951" s="235"/>
      <c r="AI28951" s="38"/>
    </row>
    <row r="28952" ht="15.75" customHeight="1">
      <c r="A28952" s="35"/>
      <c r="C28952" s="442"/>
      <c r="P28952" s="235"/>
      <c r="AI28952" s="38"/>
    </row>
    <row r="28953" ht="15.75" customHeight="1">
      <c r="A28953" s="35"/>
      <c r="C28953" s="442"/>
      <c r="P28953" s="235"/>
      <c r="AI28953" s="38"/>
    </row>
    <row r="28954" ht="15.75" customHeight="1">
      <c r="A28954" s="35"/>
      <c r="C28954" s="442"/>
      <c r="P28954" s="235"/>
      <c r="AI28954" s="38"/>
    </row>
    <row r="28955" ht="15.75" customHeight="1">
      <c r="A28955" s="35"/>
      <c r="C28955" s="442"/>
      <c r="P28955" s="235"/>
      <c r="AI28955" s="38"/>
    </row>
    <row r="28956" ht="15.75" customHeight="1">
      <c r="A28956" s="35"/>
      <c r="C28956" s="442"/>
      <c r="P28956" s="235"/>
      <c r="AI28956" s="38"/>
    </row>
    <row r="28957" ht="15.75" customHeight="1">
      <c r="A28957" s="35"/>
      <c r="C28957" s="442"/>
      <c r="P28957" s="235"/>
      <c r="AI28957" s="38"/>
    </row>
    <row r="28958" ht="15.75" customHeight="1">
      <c r="A28958" s="35"/>
      <c r="C28958" s="442"/>
      <c r="P28958" s="235"/>
      <c r="AI28958" s="38"/>
    </row>
    <row r="28959" ht="15.75" customHeight="1">
      <c r="A28959" s="35"/>
      <c r="C28959" s="442"/>
      <c r="P28959" s="235"/>
      <c r="AI28959" s="38"/>
    </row>
    <row r="28960" ht="15.75" customHeight="1">
      <c r="A28960" s="35"/>
      <c r="C28960" s="442"/>
      <c r="P28960" s="235"/>
      <c r="AI28960" s="38"/>
    </row>
    <row r="28961" ht="15.75" customHeight="1">
      <c r="A28961" s="35"/>
      <c r="C28961" s="442"/>
      <c r="P28961" s="235"/>
      <c r="AI28961" s="38"/>
    </row>
    <row r="28962" ht="15.75" customHeight="1">
      <c r="A28962" s="35"/>
      <c r="C28962" s="442"/>
      <c r="P28962" s="235"/>
      <c r="AI28962" s="38"/>
    </row>
    <row r="28963" ht="15.75" customHeight="1">
      <c r="A28963" s="35"/>
      <c r="C28963" s="442"/>
      <c r="P28963" s="235"/>
      <c r="AI28963" s="38"/>
    </row>
    <row r="28964" ht="15.75" customHeight="1">
      <c r="A28964" s="35"/>
      <c r="C28964" s="442"/>
      <c r="P28964" s="235"/>
      <c r="AI28964" s="38"/>
    </row>
    <row r="28965" ht="15.75" customHeight="1">
      <c r="A28965" s="35"/>
      <c r="C28965" s="442"/>
      <c r="P28965" s="235"/>
      <c r="AI28965" s="38"/>
    </row>
    <row r="28966" ht="15.75" customHeight="1">
      <c r="A28966" s="35"/>
      <c r="C28966" s="442"/>
      <c r="P28966" s="235"/>
      <c r="AI28966" s="38"/>
    </row>
    <row r="28967" ht="15.75" customHeight="1">
      <c r="A28967" s="35"/>
      <c r="C28967" s="442"/>
      <c r="P28967" s="235"/>
      <c r="AI28967" s="38"/>
    </row>
    <row r="28968" ht="15.75" customHeight="1">
      <c r="A28968" s="35"/>
      <c r="C28968" s="442"/>
      <c r="P28968" s="235"/>
      <c r="AI28968" s="38"/>
    </row>
    <row r="28969" ht="15.75" customHeight="1">
      <c r="A28969" s="35"/>
      <c r="C28969" s="442"/>
      <c r="P28969" s="235"/>
      <c r="AI28969" s="38"/>
    </row>
    <row r="28970" ht="15.75" customHeight="1">
      <c r="A28970" s="35"/>
      <c r="C28970" s="442"/>
      <c r="P28970" s="235"/>
      <c r="AI28970" s="38"/>
    </row>
    <row r="28971" ht="15.75" customHeight="1">
      <c r="A28971" s="35"/>
      <c r="C28971" s="442"/>
      <c r="P28971" s="235"/>
      <c r="AI28971" s="38"/>
    </row>
    <row r="28972" ht="15.75" customHeight="1">
      <c r="A28972" s="35"/>
      <c r="C28972" s="442"/>
      <c r="P28972" s="235"/>
      <c r="AI28972" s="38"/>
    </row>
    <row r="28973" ht="15.75" customHeight="1">
      <c r="A28973" s="35"/>
      <c r="C28973" s="442"/>
      <c r="P28973" s="235"/>
      <c r="AI28973" s="38"/>
    </row>
    <row r="28974" ht="15.75" customHeight="1">
      <c r="A28974" s="35"/>
      <c r="C28974" s="442"/>
      <c r="P28974" s="235"/>
      <c r="AI28974" s="38"/>
    </row>
    <row r="28975" ht="15.75" customHeight="1">
      <c r="A28975" s="35"/>
      <c r="C28975" s="442"/>
      <c r="P28975" s="235"/>
      <c r="AI28975" s="38"/>
    </row>
    <row r="28976" ht="15.75" customHeight="1">
      <c r="A28976" s="35"/>
      <c r="C28976" s="442"/>
      <c r="P28976" s="235"/>
      <c r="AI28976" s="38"/>
    </row>
    <row r="28977" ht="15.75" customHeight="1">
      <c r="A28977" s="35"/>
      <c r="C28977" s="442"/>
      <c r="P28977" s="235"/>
      <c r="AI28977" s="38"/>
    </row>
    <row r="28978" ht="15.75" customHeight="1">
      <c r="A28978" s="35"/>
      <c r="C28978" s="442"/>
      <c r="P28978" s="235"/>
      <c r="AI28978" s="38"/>
    </row>
    <row r="28979" ht="15.75" customHeight="1">
      <c r="A28979" s="35"/>
      <c r="C28979" s="442"/>
      <c r="P28979" s="235"/>
      <c r="AI28979" s="38"/>
    </row>
    <row r="28980" ht="15.75" customHeight="1">
      <c r="A28980" s="35"/>
      <c r="C28980" s="442"/>
      <c r="P28980" s="235"/>
      <c r="AI28980" s="38"/>
    </row>
    <row r="28981" ht="15.75" customHeight="1">
      <c r="A28981" s="35"/>
      <c r="C28981" s="442"/>
      <c r="P28981" s="235"/>
      <c r="AI28981" s="38"/>
    </row>
    <row r="28982" ht="15.75" customHeight="1">
      <c r="A28982" s="35"/>
      <c r="C28982" s="442"/>
      <c r="P28982" s="235"/>
      <c r="AI28982" s="38"/>
    </row>
    <row r="28983" ht="15.75" customHeight="1">
      <c r="A28983" s="35"/>
      <c r="C28983" s="442"/>
      <c r="P28983" s="235"/>
      <c r="AI28983" s="38"/>
    </row>
    <row r="28984" ht="15.75" customHeight="1">
      <c r="A28984" s="35"/>
      <c r="C28984" s="442"/>
      <c r="P28984" s="235"/>
      <c r="AI28984" s="38"/>
    </row>
    <row r="28985" ht="15.75" customHeight="1">
      <c r="A28985" s="35"/>
      <c r="C28985" s="442"/>
      <c r="P28985" s="235"/>
      <c r="AI28985" s="38"/>
    </row>
    <row r="28986" ht="15.75" customHeight="1">
      <c r="A28986" s="35"/>
      <c r="C28986" s="442"/>
      <c r="P28986" s="235"/>
      <c r="AI28986" s="38"/>
    </row>
    <row r="28987" ht="15.75" customHeight="1">
      <c r="A28987" s="35"/>
      <c r="C28987" s="442"/>
      <c r="P28987" s="235"/>
      <c r="AI28987" s="38"/>
    </row>
    <row r="28988" ht="15.75" customHeight="1">
      <c r="A28988" s="35"/>
      <c r="C28988" s="442"/>
      <c r="P28988" s="235"/>
      <c r="AI28988" s="38"/>
    </row>
    <row r="28989" ht="15.75" customHeight="1">
      <c r="A28989" s="35"/>
      <c r="C28989" s="442"/>
      <c r="P28989" s="235"/>
      <c r="AI28989" s="38"/>
    </row>
    <row r="28990" ht="15.75" customHeight="1">
      <c r="A28990" s="35"/>
      <c r="C28990" s="442"/>
      <c r="P28990" s="235"/>
      <c r="AI28990" s="38"/>
    </row>
    <row r="28991" ht="15.75" customHeight="1">
      <c r="A28991" s="35"/>
      <c r="C28991" s="442"/>
      <c r="P28991" s="235"/>
      <c r="AI28991" s="38"/>
    </row>
    <row r="28992" ht="15.75" customHeight="1">
      <c r="A28992" s="35"/>
      <c r="C28992" s="442"/>
      <c r="P28992" s="235"/>
      <c r="AI28992" s="38"/>
    </row>
    <row r="28993" ht="15.75" customHeight="1">
      <c r="A28993" s="35"/>
      <c r="C28993" s="442"/>
      <c r="P28993" s="235"/>
      <c r="AI28993" s="38"/>
    </row>
    <row r="28994" ht="15.75" customHeight="1">
      <c r="A28994" s="35"/>
      <c r="C28994" s="442"/>
      <c r="P28994" s="235"/>
      <c r="AI28994" s="38"/>
    </row>
    <row r="28995" ht="15.75" customHeight="1">
      <c r="A28995" s="35"/>
      <c r="C28995" s="442"/>
      <c r="P28995" s="235"/>
      <c r="AI28995" s="38"/>
    </row>
    <row r="28996" ht="15.75" customHeight="1">
      <c r="A28996" s="35"/>
      <c r="C28996" s="442"/>
      <c r="P28996" s="235"/>
      <c r="AI28996" s="38"/>
    </row>
    <row r="28997" ht="15.75" customHeight="1">
      <c r="A28997" s="35"/>
      <c r="C28997" s="442"/>
      <c r="P28997" s="235"/>
      <c r="AI28997" s="38"/>
    </row>
    <row r="28998" ht="15.75" customHeight="1">
      <c r="A28998" s="35"/>
      <c r="C28998" s="442"/>
      <c r="P28998" s="235"/>
      <c r="AI28998" s="38"/>
    </row>
    <row r="28999" ht="15.75" customHeight="1">
      <c r="A28999" s="35"/>
      <c r="C28999" s="442"/>
      <c r="P28999" s="235"/>
      <c r="AI28999" s="38"/>
    </row>
    <row r="29000" ht="15.75" customHeight="1">
      <c r="A29000" s="35"/>
      <c r="C29000" s="442"/>
      <c r="P29000" s="235"/>
      <c r="AI29000" s="38"/>
    </row>
    <row r="29001" ht="15.75" customHeight="1">
      <c r="A29001" s="35"/>
      <c r="C29001" s="442"/>
      <c r="P29001" s="235"/>
      <c r="AI29001" s="38"/>
    </row>
    <row r="29002" ht="15.75" customHeight="1">
      <c r="A29002" s="35"/>
      <c r="C29002" s="442"/>
      <c r="P29002" s="235"/>
      <c r="AI29002" s="38"/>
    </row>
    <row r="29003" ht="15.75" customHeight="1">
      <c r="A29003" s="35"/>
      <c r="C29003" s="442"/>
      <c r="P29003" s="235"/>
      <c r="AI29003" s="38"/>
    </row>
    <row r="29004" ht="15.75" customHeight="1">
      <c r="A29004" s="35"/>
      <c r="C29004" s="442"/>
      <c r="P29004" s="235"/>
      <c r="AI29004" s="38"/>
    </row>
    <row r="29005" ht="15.75" customHeight="1">
      <c r="A29005" s="35"/>
      <c r="C29005" s="442"/>
      <c r="P29005" s="235"/>
      <c r="AI29005" s="38"/>
    </row>
    <row r="29006" ht="15.75" customHeight="1">
      <c r="A29006" s="35"/>
      <c r="C29006" s="442"/>
      <c r="P29006" s="235"/>
      <c r="AI29006" s="38"/>
    </row>
    <row r="29007" ht="15.75" customHeight="1">
      <c r="A29007" s="35"/>
      <c r="C29007" s="442"/>
      <c r="P29007" s="235"/>
      <c r="AI29007" s="38"/>
    </row>
    <row r="29008" ht="15.75" customHeight="1">
      <c r="A29008" s="35"/>
      <c r="C29008" s="442"/>
      <c r="P29008" s="235"/>
      <c r="AI29008" s="38"/>
    </row>
    <row r="29009" ht="15.75" customHeight="1">
      <c r="A29009" s="35"/>
      <c r="C29009" s="442"/>
      <c r="P29009" s="235"/>
      <c r="AI29009" s="38"/>
    </row>
    <row r="29010" ht="15.75" customHeight="1">
      <c r="A29010" s="35"/>
      <c r="C29010" s="442"/>
      <c r="P29010" s="235"/>
      <c r="AI29010" s="38"/>
    </row>
    <row r="29011" ht="15.75" customHeight="1">
      <c r="A29011" s="35"/>
      <c r="C29011" s="442"/>
      <c r="P29011" s="235"/>
      <c r="AI29011" s="38"/>
    </row>
    <row r="29012" ht="15.75" customHeight="1">
      <c r="A29012" s="35"/>
      <c r="C29012" s="442"/>
      <c r="P29012" s="235"/>
      <c r="AI29012" s="38"/>
    </row>
    <row r="29013" ht="15.75" customHeight="1">
      <c r="A29013" s="35"/>
      <c r="C29013" s="442"/>
      <c r="P29013" s="235"/>
      <c r="AI29013" s="38"/>
    </row>
    <row r="29014" ht="15.75" customHeight="1">
      <c r="A29014" s="35"/>
      <c r="C29014" s="442"/>
      <c r="P29014" s="235"/>
      <c r="AI29014" s="38"/>
    </row>
    <row r="29015" ht="15.75" customHeight="1">
      <c r="A29015" s="35"/>
      <c r="C29015" s="442"/>
      <c r="P29015" s="235"/>
      <c r="AI29015" s="38"/>
    </row>
    <row r="29016" ht="15.75" customHeight="1">
      <c r="A29016" s="35"/>
      <c r="C29016" s="442"/>
      <c r="P29016" s="235"/>
      <c r="AI29016" s="38"/>
    </row>
    <row r="29017" ht="15.75" customHeight="1">
      <c r="A29017" s="35"/>
      <c r="C29017" s="442"/>
      <c r="P29017" s="235"/>
      <c r="AI29017" s="38"/>
    </row>
    <row r="29018" ht="15.75" customHeight="1">
      <c r="A29018" s="35"/>
      <c r="C29018" s="442"/>
      <c r="P29018" s="235"/>
      <c r="AI29018" s="38"/>
    </row>
    <row r="29019" ht="15.75" customHeight="1">
      <c r="A29019" s="35"/>
      <c r="C29019" s="442"/>
      <c r="P29019" s="235"/>
      <c r="AI29019" s="38"/>
    </row>
    <row r="29020" ht="15.75" customHeight="1">
      <c r="A29020" s="35"/>
      <c r="C29020" s="442"/>
      <c r="P29020" s="235"/>
      <c r="AI29020" s="38"/>
    </row>
    <row r="29021" ht="15.75" customHeight="1">
      <c r="A29021" s="35"/>
      <c r="C29021" s="442"/>
      <c r="P29021" s="235"/>
      <c r="AI29021" s="38"/>
    </row>
    <row r="29022" ht="15.75" customHeight="1">
      <c r="A29022" s="35"/>
      <c r="C29022" s="442"/>
      <c r="P29022" s="235"/>
      <c r="AI29022" s="38"/>
    </row>
    <row r="29023" ht="15.75" customHeight="1">
      <c r="A29023" s="35"/>
      <c r="C29023" s="442"/>
      <c r="P29023" s="235"/>
      <c r="AI29023" s="38"/>
    </row>
    <row r="29024" ht="15.75" customHeight="1">
      <c r="A29024" s="35"/>
      <c r="C29024" s="442"/>
      <c r="P29024" s="235"/>
      <c r="AI29024" s="38"/>
    </row>
    <row r="29025" ht="15.75" customHeight="1">
      <c r="A29025" s="35"/>
      <c r="C29025" s="442"/>
      <c r="P29025" s="235"/>
      <c r="AI29025" s="38"/>
    </row>
    <row r="29026" ht="15.75" customHeight="1">
      <c r="A29026" s="35"/>
      <c r="C29026" s="442"/>
      <c r="P29026" s="235"/>
      <c r="AI29026" s="38"/>
    </row>
    <row r="29027" ht="15.75" customHeight="1">
      <c r="A29027" s="35"/>
      <c r="C29027" s="442"/>
      <c r="P29027" s="235"/>
      <c r="AI29027" s="38"/>
    </row>
    <row r="29028" ht="15.75" customHeight="1">
      <c r="A29028" s="35"/>
      <c r="C29028" s="442"/>
      <c r="P29028" s="235"/>
      <c r="AI29028" s="38"/>
    </row>
    <row r="29029" ht="15.75" customHeight="1">
      <c r="A29029" s="35"/>
      <c r="C29029" s="442"/>
      <c r="P29029" s="235"/>
      <c r="AI29029" s="38"/>
    </row>
    <row r="29030" ht="15.75" customHeight="1">
      <c r="A29030" s="35"/>
      <c r="C29030" s="442"/>
      <c r="P29030" s="235"/>
      <c r="AI29030" s="38"/>
    </row>
    <row r="29031" ht="15.75" customHeight="1">
      <c r="A29031" s="35"/>
      <c r="C29031" s="442"/>
      <c r="P29031" s="235"/>
      <c r="AI29031" s="38"/>
    </row>
    <row r="29032" ht="15.75" customHeight="1">
      <c r="A29032" s="35"/>
      <c r="C29032" s="442"/>
      <c r="P29032" s="235"/>
      <c r="AI29032" s="38"/>
    </row>
    <row r="29033" ht="15.75" customHeight="1">
      <c r="A29033" s="35"/>
      <c r="C29033" s="442"/>
      <c r="P29033" s="235"/>
      <c r="AI29033" s="38"/>
    </row>
    <row r="29034" ht="15.75" customHeight="1">
      <c r="A29034" s="35"/>
      <c r="C29034" s="442"/>
      <c r="P29034" s="235"/>
      <c r="AI29034" s="38"/>
    </row>
    <row r="29035" ht="15.75" customHeight="1">
      <c r="A29035" s="35"/>
      <c r="C29035" s="442"/>
      <c r="P29035" s="235"/>
      <c r="AI29035" s="38"/>
    </row>
    <row r="29036" ht="15.75" customHeight="1">
      <c r="A29036" s="35"/>
      <c r="C29036" s="442"/>
      <c r="P29036" s="235"/>
      <c r="AI29036" s="38"/>
    </row>
    <row r="29037" ht="15.75" customHeight="1">
      <c r="A29037" s="35"/>
      <c r="C29037" s="442"/>
      <c r="P29037" s="235"/>
      <c r="AI29037" s="38"/>
    </row>
    <row r="29038" ht="15.75" customHeight="1">
      <c r="A29038" s="35"/>
      <c r="C29038" s="442"/>
      <c r="P29038" s="235"/>
      <c r="AI29038" s="38"/>
    </row>
    <row r="29039" ht="15.75" customHeight="1">
      <c r="A29039" s="35"/>
      <c r="C29039" s="442"/>
      <c r="P29039" s="235"/>
      <c r="AI29039" s="38"/>
    </row>
    <row r="29040" ht="15.75" customHeight="1">
      <c r="A29040" s="35"/>
      <c r="C29040" s="442"/>
      <c r="P29040" s="235"/>
      <c r="AI29040" s="38"/>
    </row>
    <row r="29041" ht="15.75" customHeight="1">
      <c r="A29041" s="35"/>
      <c r="C29041" s="442"/>
      <c r="P29041" s="235"/>
      <c r="AI29041" s="38"/>
    </row>
    <row r="29042" ht="15.75" customHeight="1">
      <c r="A29042" s="35"/>
      <c r="C29042" s="442"/>
      <c r="P29042" s="235"/>
      <c r="AI29042" s="38"/>
    </row>
    <row r="29043" ht="15.75" customHeight="1">
      <c r="A29043" s="35"/>
      <c r="C29043" s="442"/>
      <c r="P29043" s="235"/>
      <c r="AI29043" s="38"/>
    </row>
    <row r="29044" ht="15.75" customHeight="1">
      <c r="A29044" s="35"/>
      <c r="C29044" s="442"/>
      <c r="P29044" s="235"/>
      <c r="AI29044" s="38"/>
    </row>
    <row r="29045" ht="15.75" customHeight="1">
      <c r="A29045" s="35"/>
      <c r="C29045" s="442"/>
      <c r="P29045" s="235"/>
      <c r="AI29045" s="38"/>
    </row>
    <row r="29046" ht="15.75" customHeight="1">
      <c r="A29046" s="35"/>
      <c r="C29046" s="442"/>
      <c r="P29046" s="235"/>
      <c r="AI29046" s="38"/>
    </row>
    <row r="29047" ht="15.75" customHeight="1">
      <c r="A29047" s="35"/>
      <c r="C29047" s="442"/>
      <c r="P29047" s="235"/>
      <c r="AI29047" s="38"/>
    </row>
    <row r="29048" ht="15.75" customHeight="1">
      <c r="A29048" s="35"/>
      <c r="C29048" s="442"/>
      <c r="P29048" s="235"/>
      <c r="AI29048" s="38"/>
    </row>
    <row r="29049" ht="15.75" customHeight="1">
      <c r="A29049" s="35"/>
      <c r="C29049" s="442"/>
      <c r="P29049" s="235"/>
      <c r="AI29049" s="38"/>
    </row>
    <row r="29050" ht="15.75" customHeight="1">
      <c r="A29050" s="35"/>
      <c r="C29050" s="442"/>
      <c r="P29050" s="235"/>
      <c r="AI29050" s="38"/>
    </row>
    <row r="29051" ht="15.75" customHeight="1">
      <c r="A29051" s="35"/>
      <c r="C29051" s="442"/>
      <c r="P29051" s="235"/>
      <c r="AI29051" s="38"/>
    </row>
    <row r="29052" ht="15.75" customHeight="1">
      <c r="A29052" s="35"/>
      <c r="C29052" s="442"/>
      <c r="P29052" s="235"/>
      <c r="AI29052" s="38"/>
    </row>
    <row r="29053" ht="15.75" customHeight="1">
      <c r="A29053" s="35"/>
      <c r="C29053" s="442"/>
      <c r="P29053" s="235"/>
      <c r="AI29053" s="38"/>
    </row>
    <row r="29054" ht="15.75" customHeight="1">
      <c r="A29054" s="35"/>
      <c r="C29054" s="442"/>
      <c r="P29054" s="235"/>
      <c r="AI29054" s="38"/>
    </row>
    <row r="29055" ht="15.75" customHeight="1">
      <c r="A29055" s="35"/>
      <c r="C29055" s="442"/>
      <c r="P29055" s="235"/>
      <c r="AI29055" s="38"/>
    </row>
    <row r="29056" ht="15.75" customHeight="1">
      <c r="A29056" s="35"/>
      <c r="C29056" s="442"/>
      <c r="P29056" s="235"/>
      <c r="AI29056" s="38"/>
    </row>
    <row r="29057" ht="15.75" customHeight="1">
      <c r="A29057" s="35"/>
      <c r="C29057" s="442"/>
      <c r="P29057" s="235"/>
      <c r="AI29057" s="38"/>
    </row>
    <row r="29058" ht="15.75" customHeight="1">
      <c r="A29058" s="35"/>
      <c r="C29058" s="442"/>
      <c r="P29058" s="235"/>
      <c r="AI29058" s="38"/>
    </row>
    <row r="29059" ht="15.75" customHeight="1">
      <c r="A29059" s="35"/>
      <c r="C29059" s="442"/>
      <c r="P29059" s="235"/>
      <c r="AI29059" s="38"/>
    </row>
    <row r="29060" ht="15.75" customHeight="1">
      <c r="A29060" s="35"/>
      <c r="C29060" s="442"/>
      <c r="P29060" s="235"/>
      <c r="AI29060" s="38"/>
    </row>
    <row r="29061" ht="15.75" customHeight="1">
      <c r="A29061" s="35"/>
      <c r="C29061" s="442"/>
      <c r="P29061" s="235"/>
      <c r="AI29061" s="38"/>
    </row>
    <row r="29062" ht="15.75" customHeight="1">
      <c r="A29062" s="35"/>
      <c r="C29062" s="442"/>
      <c r="P29062" s="235"/>
      <c r="AI29062" s="38"/>
    </row>
    <row r="29063" ht="15.75" customHeight="1">
      <c r="A29063" s="35"/>
      <c r="C29063" s="442"/>
      <c r="P29063" s="235"/>
      <c r="AI29063" s="38"/>
    </row>
    <row r="29064" ht="15.75" customHeight="1">
      <c r="A29064" s="35"/>
      <c r="C29064" s="442"/>
      <c r="P29064" s="235"/>
      <c r="AI29064" s="38"/>
    </row>
    <row r="29065" ht="15.75" customHeight="1">
      <c r="A29065" s="35"/>
      <c r="C29065" s="442"/>
      <c r="P29065" s="235"/>
      <c r="AI29065" s="38"/>
    </row>
    <row r="29066" ht="15.75" customHeight="1">
      <c r="A29066" s="35"/>
      <c r="C29066" s="442"/>
      <c r="P29066" s="235"/>
      <c r="AI29066" s="38"/>
    </row>
    <row r="29067" ht="15.75" customHeight="1">
      <c r="A29067" s="35"/>
      <c r="C29067" s="442"/>
      <c r="P29067" s="235"/>
      <c r="AI29067" s="38"/>
    </row>
    <row r="29068" ht="15.75" customHeight="1">
      <c r="A29068" s="35"/>
      <c r="C29068" s="442"/>
      <c r="P29068" s="235"/>
      <c r="AI29068" s="38"/>
    </row>
    <row r="29069" ht="15.75" customHeight="1">
      <c r="A29069" s="35"/>
      <c r="C29069" s="442"/>
      <c r="P29069" s="235"/>
      <c r="AI29069" s="38"/>
    </row>
    <row r="29070" ht="15.75" customHeight="1">
      <c r="A29070" s="35"/>
      <c r="C29070" s="442"/>
      <c r="P29070" s="235"/>
      <c r="AI29070" s="38"/>
    </row>
    <row r="29071" ht="15.75" customHeight="1">
      <c r="A29071" s="35"/>
      <c r="C29071" s="442"/>
      <c r="P29071" s="235"/>
      <c r="AI29071" s="38"/>
    </row>
    <row r="29072" ht="15.75" customHeight="1">
      <c r="A29072" s="35"/>
      <c r="C29072" s="442"/>
      <c r="P29072" s="235"/>
      <c r="AI29072" s="38"/>
    </row>
    <row r="29073" ht="15.75" customHeight="1">
      <c r="A29073" s="35"/>
      <c r="C29073" s="442"/>
      <c r="P29073" s="235"/>
      <c r="AI29073" s="38"/>
    </row>
    <row r="29074" ht="15.75" customHeight="1">
      <c r="A29074" s="35"/>
      <c r="C29074" s="442"/>
      <c r="P29074" s="235"/>
      <c r="AI29074" s="38"/>
    </row>
    <row r="29075" ht="15.75" customHeight="1">
      <c r="A29075" s="35"/>
      <c r="C29075" s="442"/>
      <c r="P29075" s="235"/>
      <c r="AI29075" s="38"/>
    </row>
    <row r="29076" ht="15.75" customHeight="1">
      <c r="A29076" s="35"/>
      <c r="C29076" s="442"/>
      <c r="P29076" s="235"/>
      <c r="AI29076" s="38"/>
    </row>
    <row r="29077" ht="15.75" customHeight="1">
      <c r="A29077" s="35"/>
      <c r="C29077" s="442"/>
      <c r="P29077" s="235"/>
      <c r="AI29077" s="38"/>
    </row>
    <row r="29078" ht="15.75" customHeight="1">
      <c r="A29078" s="35"/>
      <c r="C29078" s="442"/>
      <c r="P29078" s="235"/>
      <c r="AI29078" s="38"/>
    </row>
    <row r="29079" ht="15.75" customHeight="1">
      <c r="A29079" s="35"/>
      <c r="C29079" s="442"/>
      <c r="P29079" s="235"/>
      <c r="AI29079" s="38"/>
    </row>
    <row r="29080" ht="15.75" customHeight="1">
      <c r="A29080" s="35"/>
      <c r="C29080" s="442"/>
      <c r="P29080" s="235"/>
      <c r="AI29080" s="38"/>
    </row>
    <row r="29081" ht="15.75" customHeight="1">
      <c r="A29081" s="35"/>
      <c r="C29081" s="442"/>
      <c r="P29081" s="235"/>
      <c r="AI29081" s="38"/>
    </row>
    <row r="29082" ht="15.75" customHeight="1">
      <c r="A29082" s="35"/>
      <c r="C29082" s="442"/>
      <c r="P29082" s="235"/>
      <c r="AI29082" s="38"/>
    </row>
    <row r="29083" ht="15.75" customHeight="1">
      <c r="A29083" s="35"/>
      <c r="C29083" s="442"/>
      <c r="P29083" s="235"/>
      <c r="AI29083" s="38"/>
    </row>
    <row r="29084" ht="15.75" customHeight="1">
      <c r="A29084" s="35"/>
      <c r="C29084" s="442"/>
      <c r="P29084" s="235"/>
      <c r="AI29084" s="38"/>
    </row>
    <row r="29085" ht="15.75" customHeight="1">
      <c r="A29085" s="35"/>
      <c r="C29085" s="442"/>
      <c r="P29085" s="235"/>
      <c r="AI29085" s="38"/>
    </row>
    <row r="29086" ht="15.75" customHeight="1">
      <c r="A29086" s="35"/>
      <c r="C29086" s="442"/>
      <c r="P29086" s="235"/>
      <c r="AI29086" s="38"/>
    </row>
    <row r="29087" ht="15.75" customHeight="1">
      <c r="A29087" s="35"/>
      <c r="C29087" s="442"/>
      <c r="P29087" s="235"/>
      <c r="AI29087" s="38"/>
    </row>
    <row r="29088" ht="15.75" customHeight="1">
      <c r="A29088" s="35"/>
      <c r="C29088" s="442"/>
      <c r="P29088" s="235"/>
      <c r="AI29088" s="38"/>
    </row>
    <row r="29089" ht="15.75" customHeight="1">
      <c r="A29089" s="35"/>
      <c r="C29089" s="442"/>
      <c r="P29089" s="235"/>
      <c r="AI29089" s="38"/>
    </row>
    <row r="29090" ht="15.75" customHeight="1">
      <c r="A29090" s="35"/>
      <c r="C29090" s="442"/>
      <c r="P29090" s="235"/>
      <c r="AI29090" s="38"/>
    </row>
    <row r="29091" ht="15.75" customHeight="1">
      <c r="A29091" s="35"/>
      <c r="C29091" s="442"/>
      <c r="P29091" s="235"/>
      <c r="AI29091" s="38"/>
    </row>
    <row r="29092" ht="15.75" customHeight="1">
      <c r="A29092" s="35"/>
      <c r="C29092" s="442"/>
      <c r="P29092" s="235"/>
      <c r="AI29092" s="38"/>
    </row>
    <row r="29093" ht="15.75" customHeight="1">
      <c r="A29093" s="35"/>
      <c r="C29093" s="442"/>
      <c r="P29093" s="235"/>
      <c r="AI29093" s="38"/>
    </row>
    <row r="29094" ht="15.75" customHeight="1">
      <c r="A29094" s="35"/>
      <c r="C29094" s="442"/>
      <c r="P29094" s="235"/>
      <c r="AI29094" s="38"/>
    </row>
    <row r="29095" ht="15.75" customHeight="1">
      <c r="A29095" s="35"/>
      <c r="C29095" s="442"/>
      <c r="P29095" s="235"/>
      <c r="AI29095" s="38"/>
    </row>
    <row r="29096" ht="15.75" customHeight="1">
      <c r="A29096" s="35"/>
      <c r="C29096" s="442"/>
      <c r="P29096" s="235"/>
      <c r="AI29096" s="38"/>
    </row>
    <row r="29097" ht="15.75" customHeight="1">
      <c r="A29097" s="35"/>
      <c r="C29097" s="442"/>
      <c r="P29097" s="235"/>
      <c r="AI29097" s="38"/>
    </row>
    <row r="29098" ht="15.75" customHeight="1">
      <c r="A29098" s="35"/>
      <c r="C29098" s="442"/>
      <c r="P29098" s="235"/>
      <c r="AI29098" s="38"/>
    </row>
    <row r="29099" ht="15.75" customHeight="1">
      <c r="A29099" s="35"/>
      <c r="C29099" s="442"/>
      <c r="P29099" s="235"/>
      <c r="AI29099" s="38"/>
    </row>
    <row r="29100" ht="15.75" customHeight="1">
      <c r="A29100" s="35"/>
      <c r="C29100" s="442"/>
      <c r="P29100" s="235"/>
      <c r="AI29100" s="38"/>
    </row>
    <row r="29101" ht="15.75" customHeight="1">
      <c r="A29101" s="35"/>
      <c r="C29101" s="442"/>
      <c r="P29101" s="235"/>
      <c r="AI29101" s="38"/>
    </row>
    <row r="29102" ht="15.75" customHeight="1">
      <c r="A29102" s="35"/>
      <c r="C29102" s="442"/>
      <c r="P29102" s="235"/>
      <c r="AI29102" s="38"/>
    </row>
    <row r="29103" ht="15.75" customHeight="1">
      <c r="A29103" s="35"/>
      <c r="C29103" s="442"/>
      <c r="P29103" s="235"/>
      <c r="AI29103" s="38"/>
    </row>
    <row r="29104" ht="15.75" customHeight="1">
      <c r="A29104" s="35"/>
      <c r="C29104" s="442"/>
      <c r="P29104" s="235"/>
      <c r="AI29104" s="38"/>
    </row>
    <row r="29105" ht="15.75" customHeight="1">
      <c r="A29105" s="35"/>
      <c r="C29105" s="442"/>
      <c r="P29105" s="235"/>
      <c r="AI29105" s="38"/>
    </row>
    <row r="29106" ht="15.75" customHeight="1">
      <c r="A29106" s="35"/>
      <c r="C29106" s="442"/>
      <c r="P29106" s="235"/>
      <c r="AI29106" s="38"/>
    </row>
    <row r="29107" ht="15.75" customHeight="1">
      <c r="A29107" s="35"/>
      <c r="C29107" s="442"/>
      <c r="P29107" s="235"/>
      <c r="AI29107" s="38"/>
    </row>
    <row r="29108" ht="15.75" customHeight="1">
      <c r="A29108" s="35"/>
      <c r="C29108" s="442"/>
      <c r="P29108" s="235"/>
      <c r="AI29108" s="38"/>
    </row>
    <row r="29109" ht="15.75" customHeight="1">
      <c r="A29109" s="35"/>
      <c r="C29109" s="442"/>
      <c r="P29109" s="235"/>
      <c r="AI29109" s="38"/>
    </row>
    <row r="29110" ht="15.75" customHeight="1">
      <c r="A29110" s="35"/>
      <c r="C29110" s="442"/>
      <c r="P29110" s="235"/>
      <c r="AI29110" s="38"/>
    </row>
    <row r="29111" ht="15.75" customHeight="1">
      <c r="A29111" s="35"/>
      <c r="C29111" s="442"/>
      <c r="P29111" s="235"/>
      <c r="AI29111" s="38"/>
    </row>
    <row r="29112" ht="15.75" customHeight="1">
      <c r="A29112" s="35"/>
      <c r="C29112" s="442"/>
      <c r="P29112" s="235"/>
      <c r="AI29112" s="38"/>
    </row>
    <row r="29113" ht="15.75" customHeight="1">
      <c r="A29113" s="35"/>
      <c r="C29113" s="442"/>
      <c r="P29113" s="235"/>
      <c r="AI29113" s="38"/>
    </row>
    <row r="29114" ht="15.75" customHeight="1">
      <c r="A29114" s="35"/>
      <c r="C29114" s="442"/>
      <c r="P29114" s="235"/>
      <c r="AI29114" s="38"/>
    </row>
    <row r="29115" ht="15.75" customHeight="1">
      <c r="A29115" s="35"/>
      <c r="C29115" s="442"/>
      <c r="P29115" s="235"/>
      <c r="AI29115" s="38"/>
    </row>
    <row r="29116" ht="15.75" customHeight="1">
      <c r="A29116" s="35"/>
      <c r="C29116" s="442"/>
      <c r="P29116" s="235"/>
      <c r="AI29116" s="38"/>
    </row>
    <row r="29117" ht="15.75" customHeight="1">
      <c r="A29117" s="35"/>
      <c r="C29117" s="442"/>
      <c r="P29117" s="235"/>
      <c r="AI29117" s="38"/>
    </row>
    <row r="29118" ht="15.75" customHeight="1">
      <c r="A29118" s="35"/>
      <c r="C29118" s="442"/>
      <c r="P29118" s="235"/>
      <c r="AI29118" s="38"/>
    </row>
    <row r="29119" ht="15.75" customHeight="1">
      <c r="A29119" s="35"/>
      <c r="C29119" s="442"/>
      <c r="P29119" s="235"/>
      <c r="AI29119" s="38"/>
    </row>
    <row r="29120" ht="15.75" customHeight="1">
      <c r="A29120" s="35"/>
      <c r="C29120" s="442"/>
      <c r="P29120" s="235"/>
      <c r="AI29120" s="38"/>
    </row>
    <row r="29121" ht="15.75" customHeight="1">
      <c r="A29121" s="35"/>
      <c r="C29121" s="442"/>
      <c r="P29121" s="235"/>
      <c r="AI29121" s="38"/>
    </row>
    <row r="29122" ht="15.75" customHeight="1">
      <c r="A29122" s="35"/>
      <c r="C29122" s="442"/>
      <c r="P29122" s="235"/>
      <c r="AI29122" s="38"/>
    </row>
    <row r="29123" ht="15.75" customHeight="1">
      <c r="A29123" s="35"/>
      <c r="C29123" s="442"/>
      <c r="P29123" s="235"/>
      <c r="AI29123" s="38"/>
    </row>
    <row r="29124" ht="15.75" customHeight="1">
      <c r="A29124" s="35"/>
      <c r="C29124" s="442"/>
      <c r="P29124" s="235"/>
      <c r="AI29124" s="38"/>
    </row>
    <row r="29125" ht="15.75" customHeight="1">
      <c r="A29125" s="35"/>
      <c r="C29125" s="442"/>
      <c r="P29125" s="235"/>
      <c r="AI29125" s="38"/>
    </row>
    <row r="29126" ht="15.75" customHeight="1">
      <c r="A29126" s="35"/>
      <c r="C29126" s="442"/>
      <c r="P29126" s="235"/>
      <c r="AI29126" s="38"/>
    </row>
    <row r="29127" ht="15.75" customHeight="1">
      <c r="A29127" s="35"/>
      <c r="C29127" s="442"/>
      <c r="P29127" s="235"/>
      <c r="AI29127" s="38"/>
    </row>
    <row r="29128" ht="15.75" customHeight="1">
      <c r="A29128" s="35"/>
      <c r="C29128" s="442"/>
      <c r="P29128" s="235"/>
      <c r="AI29128" s="38"/>
    </row>
    <row r="29129" ht="15.75" customHeight="1">
      <c r="A29129" s="35"/>
      <c r="C29129" s="442"/>
      <c r="P29129" s="235"/>
      <c r="AI29129" s="38"/>
    </row>
    <row r="29130" ht="15.75" customHeight="1">
      <c r="A29130" s="35"/>
      <c r="C29130" s="442"/>
      <c r="P29130" s="235"/>
      <c r="AI29130" s="38"/>
    </row>
    <row r="29131" ht="15.75" customHeight="1">
      <c r="A29131" s="35"/>
      <c r="C29131" s="442"/>
      <c r="P29131" s="235"/>
      <c r="AI29131" s="38"/>
    </row>
    <row r="29132" ht="15.75" customHeight="1">
      <c r="A29132" s="35"/>
      <c r="C29132" s="442"/>
      <c r="P29132" s="235"/>
      <c r="AI29132" s="38"/>
    </row>
    <row r="29133" ht="15.75" customHeight="1">
      <c r="A29133" s="35"/>
      <c r="C29133" s="442"/>
      <c r="P29133" s="235"/>
      <c r="AI29133" s="38"/>
    </row>
    <row r="29134" ht="15.75" customHeight="1">
      <c r="A29134" s="35"/>
      <c r="C29134" s="442"/>
      <c r="P29134" s="235"/>
      <c r="AI29134" s="38"/>
    </row>
    <row r="29135" ht="15.75" customHeight="1">
      <c r="A29135" s="35"/>
      <c r="C29135" s="442"/>
      <c r="P29135" s="235"/>
      <c r="AI29135" s="38"/>
    </row>
    <row r="29136" ht="15.75" customHeight="1">
      <c r="A29136" s="35"/>
      <c r="C29136" s="442"/>
      <c r="P29136" s="235"/>
      <c r="AI29136" s="38"/>
    </row>
    <row r="29137" ht="15.75" customHeight="1">
      <c r="A29137" s="35"/>
      <c r="C29137" s="442"/>
      <c r="P29137" s="235"/>
      <c r="AI29137" s="38"/>
    </row>
    <row r="29138" ht="15.75" customHeight="1">
      <c r="A29138" s="35"/>
      <c r="C29138" s="442"/>
      <c r="P29138" s="235"/>
      <c r="AI29138" s="38"/>
    </row>
    <row r="29139" ht="15.75" customHeight="1">
      <c r="A29139" s="35"/>
      <c r="C29139" s="442"/>
      <c r="P29139" s="235"/>
      <c r="AI29139" s="38"/>
    </row>
    <row r="29140" ht="15.75" customHeight="1">
      <c r="A29140" s="35"/>
      <c r="C29140" s="442"/>
      <c r="P29140" s="235"/>
      <c r="AI29140" s="38"/>
    </row>
    <row r="29141" ht="15.75" customHeight="1">
      <c r="A29141" s="35"/>
      <c r="C29141" s="442"/>
      <c r="P29141" s="235"/>
      <c r="AI29141" s="38"/>
    </row>
    <row r="29142" ht="15.75" customHeight="1">
      <c r="A29142" s="35"/>
      <c r="C29142" s="442"/>
      <c r="P29142" s="235"/>
      <c r="AI29142" s="38"/>
    </row>
    <row r="29143" ht="15.75" customHeight="1">
      <c r="A29143" s="35"/>
      <c r="C29143" s="442"/>
      <c r="P29143" s="235"/>
      <c r="AI29143" s="38"/>
    </row>
    <row r="29144" ht="15.75" customHeight="1">
      <c r="A29144" s="35"/>
      <c r="C29144" s="442"/>
      <c r="P29144" s="235"/>
      <c r="AI29144" s="38"/>
    </row>
    <row r="29145" ht="15.75" customHeight="1">
      <c r="A29145" s="35"/>
      <c r="C29145" s="442"/>
      <c r="P29145" s="235"/>
      <c r="AI29145" s="38"/>
    </row>
    <row r="29146" ht="15.75" customHeight="1">
      <c r="A29146" s="35"/>
      <c r="C29146" s="442"/>
      <c r="P29146" s="235"/>
      <c r="AI29146" s="38"/>
    </row>
    <row r="29147" ht="15.75" customHeight="1">
      <c r="A29147" s="35"/>
      <c r="C29147" s="442"/>
      <c r="P29147" s="235"/>
      <c r="AI29147" s="38"/>
    </row>
    <row r="29148" ht="15.75" customHeight="1">
      <c r="A29148" s="35"/>
      <c r="C29148" s="442"/>
      <c r="P29148" s="235"/>
      <c r="AI29148" s="38"/>
    </row>
    <row r="29149" ht="15.75" customHeight="1">
      <c r="A29149" s="35"/>
      <c r="C29149" s="442"/>
      <c r="P29149" s="235"/>
      <c r="AI29149" s="38"/>
    </row>
    <row r="29150" ht="15.75" customHeight="1">
      <c r="A29150" s="35"/>
      <c r="C29150" s="442"/>
      <c r="P29150" s="235"/>
      <c r="AI29150" s="38"/>
    </row>
    <row r="29151" ht="15.75" customHeight="1">
      <c r="A29151" s="35"/>
      <c r="C29151" s="442"/>
      <c r="P29151" s="235"/>
      <c r="AI29151" s="38"/>
    </row>
    <row r="29152" ht="15.75" customHeight="1">
      <c r="A29152" s="35"/>
      <c r="C29152" s="442"/>
      <c r="P29152" s="235"/>
      <c r="AI29152" s="38"/>
    </row>
    <row r="29153" ht="15.75" customHeight="1">
      <c r="A29153" s="35"/>
      <c r="C29153" s="442"/>
      <c r="P29153" s="235"/>
      <c r="AI29153" s="38"/>
    </row>
    <row r="29154" ht="15.75" customHeight="1">
      <c r="A29154" s="35"/>
      <c r="C29154" s="442"/>
      <c r="P29154" s="235"/>
      <c r="AI29154" s="38"/>
    </row>
    <row r="29155" ht="15.75" customHeight="1">
      <c r="A29155" s="35"/>
      <c r="C29155" s="442"/>
      <c r="P29155" s="235"/>
      <c r="AI29155" s="38"/>
    </row>
    <row r="29156" ht="15.75" customHeight="1">
      <c r="A29156" s="35"/>
      <c r="C29156" s="442"/>
      <c r="P29156" s="235"/>
      <c r="AI29156" s="38"/>
    </row>
    <row r="29157" ht="15.75" customHeight="1">
      <c r="A29157" s="35"/>
      <c r="C29157" s="442"/>
      <c r="P29157" s="235"/>
      <c r="AI29157" s="38"/>
    </row>
    <row r="29158" ht="15.75" customHeight="1">
      <c r="A29158" s="35"/>
      <c r="C29158" s="442"/>
      <c r="P29158" s="235"/>
      <c r="AI29158" s="38"/>
    </row>
    <row r="29159" ht="15.75" customHeight="1">
      <c r="A29159" s="35"/>
      <c r="C29159" s="442"/>
      <c r="P29159" s="235"/>
      <c r="AI29159" s="38"/>
    </row>
    <row r="29160" ht="15.75" customHeight="1">
      <c r="A29160" s="35"/>
      <c r="C29160" s="442"/>
      <c r="P29160" s="235"/>
      <c r="AI29160" s="38"/>
    </row>
    <row r="29161" ht="15.75" customHeight="1">
      <c r="A29161" s="35"/>
      <c r="C29161" s="442"/>
      <c r="P29161" s="235"/>
      <c r="AI29161" s="38"/>
    </row>
    <row r="29162" ht="15.75" customHeight="1">
      <c r="A29162" s="35"/>
      <c r="C29162" s="442"/>
      <c r="P29162" s="235"/>
      <c r="AI29162" s="38"/>
    </row>
    <row r="29163" ht="15.75" customHeight="1">
      <c r="A29163" s="35"/>
      <c r="C29163" s="442"/>
      <c r="P29163" s="235"/>
      <c r="AI29163" s="38"/>
    </row>
    <row r="29164" ht="15.75" customHeight="1">
      <c r="A29164" s="35"/>
      <c r="C29164" s="442"/>
      <c r="P29164" s="235"/>
      <c r="AI29164" s="38"/>
    </row>
    <row r="29165" ht="15.75" customHeight="1">
      <c r="A29165" s="35"/>
      <c r="C29165" s="442"/>
      <c r="P29165" s="235"/>
      <c r="AI29165" s="38"/>
    </row>
    <row r="29166" ht="15.75" customHeight="1">
      <c r="A29166" s="35"/>
      <c r="C29166" s="442"/>
      <c r="P29166" s="235"/>
      <c r="AI29166" s="38"/>
    </row>
    <row r="29167" ht="15.75" customHeight="1">
      <c r="A29167" s="35"/>
      <c r="C29167" s="442"/>
      <c r="P29167" s="235"/>
      <c r="AI29167" s="38"/>
    </row>
    <row r="29168" ht="15.75" customHeight="1">
      <c r="A29168" s="35"/>
      <c r="C29168" s="442"/>
      <c r="P29168" s="235"/>
      <c r="AI29168" s="38"/>
    </row>
    <row r="29169" ht="15.75" customHeight="1">
      <c r="A29169" s="35"/>
      <c r="C29169" s="442"/>
      <c r="P29169" s="235"/>
      <c r="AI29169" s="38"/>
    </row>
    <row r="29170" ht="15.75" customHeight="1">
      <c r="A29170" s="35"/>
      <c r="C29170" s="442"/>
      <c r="P29170" s="235"/>
      <c r="AI29170" s="38"/>
    </row>
    <row r="29171" ht="15.75" customHeight="1">
      <c r="A29171" s="35"/>
      <c r="C29171" s="442"/>
      <c r="P29171" s="235"/>
      <c r="AI29171" s="38"/>
    </row>
    <row r="29172" ht="15.75" customHeight="1">
      <c r="A29172" s="35"/>
      <c r="C29172" s="442"/>
      <c r="P29172" s="235"/>
      <c r="AI29172" s="38"/>
    </row>
    <row r="29173" ht="15.75" customHeight="1">
      <c r="A29173" s="35"/>
      <c r="C29173" s="442"/>
      <c r="P29173" s="235"/>
      <c r="AI29173" s="38"/>
    </row>
    <row r="29174" ht="15.75" customHeight="1">
      <c r="A29174" s="35"/>
      <c r="C29174" s="442"/>
      <c r="P29174" s="235"/>
      <c r="AI29174" s="38"/>
    </row>
    <row r="29175" ht="15.75" customHeight="1">
      <c r="A29175" s="35"/>
      <c r="C29175" s="442"/>
      <c r="P29175" s="235"/>
      <c r="AI29175" s="38"/>
    </row>
    <row r="29176" ht="15.75" customHeight="1">
      <c r="A29176" s="35"/>
      <c r="C29176" s="442"/>
      <c r="P29176" s="235"/>
      <c r="AI29176" s="38"/>
    </row>
    <row r="29177" ht="15.75" customHeight="1">
      <c r="A29177" s="35"/>
      <c r="C29177" s="442"/>
      <c r="P29177" s="235"/>
      <c r="AI29177" s="38"/>
    </row>
    <row r="29178" ht="15.75" customHeight="1">
      <c r="A29178" s="35"/>
      <c r="C29178" s="442"/>
      <c r="P29178" s="235"/>
      <c r="AI29178" s="38"/>
    </row>
    <row r="29179" ht="15.75" customHeight="1">
      <c r="A29179" s="35"/>
      <c r="C29179" s="442"/>
      <c r="P29179" s="235"/>
      <c r="AI29179" s="38"/>
    </row>
    <row r="29180" ht="15.75" customHeight="1">
      <c r="A29180" s="35"/>
      <c r="C29180" s="442"/>
      <c r="P29180" s="235"/>
      <c r="AI29180" s="38"/>
    </row>
    <row r="29181" ht="15.75" customHeight="1">
      <c r="A29181" s="35"/>
      <c r="C29181" s="442"/>
      <c r="P29181" s="235"/>
      <c r="AI29181" s="38"/>
    </row>
    <row r="29182" ht="15.75" customHeight="1">
      <c r="A29182" s="35"/>
      <c r="C29182" s="442"/>
      <c r="P29182" s="235"/>
      <c r="AI29182" s="38"/>
    </row>
    <row r="29183" ht="15.75" customHeight="1">
      <c r="A29183" s="35"/>
      <c r="C29183" s="442"/>
      <c r="P29183" s="235"/>
      <c r="AI29183" s="38"/>
    </row>
    <row r="29184" ht="15.75" customHeight="1">
      <c r="A29184" s="35"/>
      <c r="C29184" s="442"/>
      <c r="P29184" s="235"/>
      <c r="AI29184" s="38"/>
    </row>
    <row r="29185" ht="15.75" customHeight="1">
      <c r="A29185" s="35"/>
      <c r="C29185" s="442"/>
      <c r="P29185" s="235"/>
      <c r="AI29185" s="38"/>
    </row>
    <row r="29186" ht="15.75" customHeight="1">
      <c r="A29186" s="35"/>
      <c r="C29186" s="442"/>
      <c r="P29186" s="235"/>
      <c r="AI29186" s="38"/>
    </row>
    <row r="29187" ht="15.75" customHeight="1">
      <c r="A29187" s="35"/>
      <c r="C29187" s="442"/>
      <c r="P29187" s="235"/>
      <c r="AI29187" s="38"/>
    </row>
    <row r="29188" ht="15.75" customHeight="1">
      <c r="A29188" s="35"/>
      <c r="C29188" s="442"/>
      <c r="P29188" s="235"/>
      <c r="AI29188" s="38"/>
    </row>
    <row r="29189" ht="15.75" customHeight="1">
      <c r="A29189" s="35"/>
      <c r="C29189" s="442"/>
      <c r="P29189" s="235"/>
      <c r="AI29189" s="38"/>
    </row>
    <row r="29190" ht="15.75" customHeight="1">
      <c r="A29190" s="35"/>
      <c r="C29190" s="442"/>
      <c r="P29190" s="235"/>
      <c r="AI29190" s="38"/>
    </row>
    <row r="29191" ht="15.75" customHeight="1">
      <c r="A29191" s="35"/>
      <c r="C29191" s="442"/>
      <c r="P29191" s="235"/>
      <c r="AI29191" s="38"/>
    </row>
    <row r="29192" ht="15.75" customHeight="1">
      <c r="A29192" s="35"/>
      <c r="C29192" s="442"/>
      <c r="P29192" s="235"/>
      <c r="AI29192" s="38"/>
    </row>
    <row r="29193" ht="15.75" customHeight="1">
      <c r="A29193" s="35"/>
      <c r="C29193" s="442"/>
      <c r="P29193" s="235"/>
      <c r="AI29193" s="38"/>
    </row>
    <row r="29194" ht="15.75" customHeight="1">
      <c r="A29194" s="35"/>
      <c r="C29194" s="442"/>
      <c r="P29194" s="235"/>
      <c r="AI29194" s="38"/>
    </row>
    <row r="29195" ht="15.75" customHeight="1">
      <c r="A29195" s="35"/>
      <c r="C29195" s="442"/>
      <c r="P29195" s="235"/>
      <c r="AI29195" s="38"/>
    </row>
    <row r="29196" ht="15.75" customHeight="1">
      <c r="A29196" s="35"/>
      <c r="C29196" s="442"/>
      <c r="P29196" s="235"/>
      <c r="AI29196" s="38"/>
    </row>
    <row r="29197" ht="15.75" customHeight="1">
      <c r="A29197" s="35"/>
      <c r="C29197" s="442"/>
      <c r="P29197" s="235"/>
      <c r="AI29197" s="38"/>
    </row>
    <row r="29198" ht="15.75" customHeight="1">
      <c r="A29198" s="35"/>
      <c r="C29198" s="442"/>
      <c r="P29198" s="235"/>
      <c r="AI29198" s="38"/>
    </row>
    <row r="29199" ht="15.75" customHeight="1">
      <c r="A29199" s="35"/>
      <c r="C29199" s="442"/>
      <c r="P29199" s="235"/>
      <c r="AI29199" s="38"/>
    </row>
    <row r="29200" ht="15.75" customHeight="1">
      <c r="A29200" s="35"/>
      <c r="C29200" s="442"/>
      <c r="P29200" s="235"/>
      <c r="AI29200" s="38"/>
    </row>
    <row r="29201" ht="15.75" customHeight="1">
      <c r="A29201" s="35"/>
      <c r="C29201" s="442"/>
      <c r="P29201" s="235"/>
      <c r="AI29201" s="38"/>
    </row>
    <row r="29202" ht="15.75" customHeight="1">
      <c r="A29202" s="35"/>
      <c r="C29202" s="442"/>
      <c r="P29202" s="235"/>
      <c r="AI29202" s="38"/>
    </row>
    <row r="29203" ht="15.75" customHeight="1">
      <c r="A29203" s="35"/>
      <c r="C29203" s="442"/>
      <c r="P29203" s="235"/>
      <c r="AI29203" s="38"/>
    </row>
    <row r="29204" ht="15.75" customHeight="1">
      <c r="A29204" s="35"/>
      <c r="C29204" s="442"/>
      <c r="P29204" s="235"/>
      <c r="AI29204" s="38"/>
    </row>
    <row r="29205" ht="15.75" customHeight="1">
      <c r="A29205" s="35"/>
      <c r="C29205" s="442"/>
      <c r="P29205" s="235"/>
      <c r="AI29205" s="38"/>
    </row>
    <row r="29206" ht="15.75" customHeight="1">
      <c r="A29206" s="35"/>
      <c r="C29206" s="442"/>
      <c r="P29206" s="235"/>
      <c r="AI29206" s="38"/>
    </row>
    <row r="29207" ht="15.75" customHeight="1">
      <c r="A29207" s="35"/>
      <c r="C29207" s="442"/>
      <c r="P29207" s="235"/>
      <c r="AI29207" s="38"/>
    </row>
    <row r="29208" ht="15.75" customHeight="1">
      <c r="A29208" s="35"/>
      <c r="C29208" s="442"/>
      <c r="P29208" s="235"/>
      <c r="AI29208" s="38"/>
    </row>
    <row r="29209" ht="15.75" customHeight="1">
      <c r="A29209" s="35"/>
      <c r="C29209" s="442"/>
      <c r="P29209" s="235"/>
      <c r="AI29209" s="38"/>
    </row>
    <row r="29210" ht="15.75" customHeight="1">
      <c r="A29210" s="35"/>
      <c r="C29210" s="442"/>
      <c r="P29210" s="235"/>
      <c r="AI29210" s="38"/>
    </row>
    <row r="29211" ht="15.75" customHeight="1">
      <c r="A29211" s="35"/>
      <c r="C29211" s="442"/>
      <c r="P29211" s="235"/>
      <c r="AI29211" s="38"/>
    </row>
    <row r="29212" ht="15.75" customHeight="1">
      <c r="A29212" s="35"/>
      <c r="C29212" s="442"/>
      <c r="P29212" s="235"/>
      <c r="AI29212" s="38"/>
    </row>
    <row r="29213" ht="15.75" customHeight="1">
      <c r="A29213" s="35"/>
      <c r="C29213" s="442"/>
      <c r="P29213" s="235"/>
      <c r="AI29213" s="38"/>
    </row>
    <row r="29214" ht="15.75" customHeight="1">
      <c r="A29214" s="35"/>
      <c r="C29214" s="442"/>
      <c r="P29214" s="235"/>
      <c r="AI29214" s="38"/>
    </row>
    <row r="29215" ht="15.75" customHeight="1">
      <c r="A29215" s="35"/>
      <c r="C29215" s="442"/>
      <c r="P29215" s="235"/>
      <c r="AI29215" s="38"/>
    </row>
    <row r="29216" ht="15.75" customHeight="1">
      <c r="A29216" s="35"/>
      <c r="C29216" s="442"/>
      <c r="P29216" s="235"/>
      <c r="AI29216" s="38"/>
    </row>
    <row r="29217" ht="15.75" customHeight="1">
      <c r="A29217" s="35"/>
      <c r="C29217" s="442"/>
      <c r="P29217" s="235"/>
      <c r="AI29217" s="38"/>
    </row>
    <row r="29218" ht="15.75" customHeight="1">
      <c r="A29218" s="35"/>
      <c r="C29218" s="442"/>
      <c r="P29218" s="235"/>
      <c r="AI29218" s="38"/>
    </row>
    <row r="29219" ht="15.75" customHeight="1">
      <c r="A29219" s="35"/>
      <c r="C29219" s="442"/>
      <c r="P29219" s="235"/>
      <c r="AI29219" s="38"/>
    </row>
    <row r="29220" ht="15.75" customHeight="1">
      <c r="A29220" s="35"/>
      <c r="C29220" s="442"/>
      <c r="P29220" s="235"/>
      <c r="AI29220" s="38"/>
    </row>
    <row r="29221" ht="15.75" customHeight="1">
      <c r="A29221" s="35"/>
      <c r="C29221" s="442"/>
      <c r="P29221" s="235"/>
      <c r="AI29221" s="38"/>
    </row>
    <row r="29222" ht="15.75" customHeight="1">
      <c r="A29222" s="35"/>
      <c r="C29222" s="442"/>
      <c r="P29222" s="235"/>
      <c r="AI29222" s="38"/>
    </row>
    <row r="29223" ht="15.75" customHeight="1">
      <c r="A29223" s="35"/>
      <c r="C29223" s="442"/>
      <c r="P29223" s="235"/>
      <c r="AI29223" s="38"/>
    </row>
    <row r="29224" ht="15.75" customHeight="1">
      <c r="A29224" s="35"/>
      <c r="C29224" s="442"/>
      <c r="P29224" s="235"/>
      <c r="AI29224" s="38"/>
    </row>
    <row r="29225" ht="15.75" customHeight="1">
      <c r="A29225" s="35"/>
      <c r="C29225" s="442"/>
      <c r="P29225" s="235"/>
      <c r="AI29225" s="38"/>
    </row>
    <row r="29226" ht="15.75" customHeight="1">
      <c r="A29226" s="35"/>
      <c r="C29226" s="442"/>
      <c r="P29226" s="235"/>
      <c r="AI29226" s="38"/>
    </row>
    <row r="29227" ht="15.75" customHeight="1">
      <c r="A29227" s="35"/>
      <c r="C29227" s="442"/>
      <c r="P29227" s="235"/>
      <c r="AI29227" s="38"/>
    </row>
    <row r="29228" ht="15.75" customHeight="1">
      <c r="A29228" s="35"/>
      <c r="C29228" s="442"/>
      <c r="P29228" s="235"/>
      <c r="AI29228" s="38"/>
    </row>
    <row r="29229" ht="15.75" customHeight="1">
      <c r="A29229" s="35"/>
      <c r="C29229" s="442"/>
      <c r="P29229" s="235"/>
      <c r="AI29229" s="38"/>
    </row>
    <row r="29230" ht="15.75" customHeight="1">
      <c r="A29230" s="35"/>
      <c r="C29230" s="442"/>
      <c r="P29230" s="235"/>
      <c r="AI29230" s="38"/>
    </row>
    <row r="29231" ht="15.75" customHeight="1">
      <c r="A29231" s="35"/>
      <c r="C29231" s="442"/>
      <c r="P29231" s="235"/>
      <c r="AI29231" s="38"/>
    </row>
    <row r="29232" ht="15.75" customHeight="1">
      <c r="A29232" s="35"/>
      <c r="C29232" s="442"/>
      <c r="P29232" s="235"/>
      <c r="AI29232" s="38"/>
    </row>
    <row r="29233" ht="15.75" customHeight="1">
      <c r="A29233" s="35"/>
      <c r="C29233" s="442"/>
      <c r="P29233" s="235"/>
      <c r="AI29233" s="38"/>
    </row>
    <row r="29234" ht="15.75" customHeight="1">
      <c r="A29234" s="35"/>
      <c r="C29234" s="442"/>
      <c r="P29234" s="235"/>
      <c r="AI29234" s="38"/>
    </row>
    <row r="29235" ht="15.75" customHeight="1">
      <c r="A29235" s="35"/>
      <c r="C29235" s="442"/>
      <c r="P29235" s="235"/>
      <c r="AI29235" s="38"/>
    </row>
    <row r="29236" ht="15.75" customHeight="1">
      <c r="A29236" s="35"/>
      <c r="C29236" s="442"/>
      <c r="P29236" s="235"/>
      <c r="AI29236" s="38"/>
    </row>
    <row r="29237" ht="15.75" customHeight="1">
      <c r="A29237" s="35"/>
      <c r="C29237" s="442"/>
      <c r="P29237" s="235"/>
      <c r="AI29237" s="38"/>
    </row>
    <row r="29238" ht="15.75" customHeight="1">
      <c r="A29238" s="35"/>
      <c r="C29238" s="442"/>
      <c r="P29238" s="235"/>
      <c r="AI29238" s="38"/>
    </row>
    <row r="29239" ht="15.75" customHeight="1">
      <c r="A29239" s="35"/>
      <c r="C29239" s="442"/>
      <c r="P29239" s="235"/>
      <c r="AI29239" s="38"/>
    </row>
    <row r="29240" ht="15.75" customHeight="1">
      <c r="A29240" s="35"/>
      <c r="C29240" s="442"/>
      <c r="P29240" s="235"/>
      <c r="AI29240" s="38"/>
    </row>
    <row r="29241" ht="15.75" customHeight="1">
      <c r="A29241" s="35"/>
      <c r="C29241" s="442"/>
      <c r="P29241" s="235"/>
      <c r="AI29241" s="38"/>
    </row>
    <row r="29242" ht="15.75" customHeight="1">
      <c r="A29242" s="35"/>
      <c r="C29242" s="442"/>
      <c r="P29242" s="235"/>
      <c r="AI29242" s="38"/>
    </row>
    <row r="29243" ht="15.75" customHeight="1">
      <c r="A29243" s="35"/>
      <c r="C29243" s="442"/>
      <c r="P29243" s="235"/>
      <c r="AI29243" s="38"/>
    </row>
    <row r="29244" ht="15.75" customHeight="1">
      <c r="A29244" s="35"/>
      <c r="C29244" s="442"/>
      <c r="P29244" s="235"/>
      <c r="AI29244" s="38"/>
    </row>
    <row r="29245" ht="15.75" customHeight="1">
      <c r="A29245" s="35"/>
      <c r="C29245" s="442"/>
      <c r="P29245" s="235"/>
      <c r="AI29245" s="38"/>
    </row>
    <row r="29246" ht="15.75" customHeight="1">
      <c r="A29246" s="35"/>
      <c r="C29246" s="442"/>
      <c r="P29246" s="235"/>
      <c r="AI29246" s="38"/>
    </row>
    <row r="29247" ht="15.75" customHeight="1">
      <c r="A29247" s="35"/>
      <c r="C29247" s="442"/>
      <c r="P29247" s="235"/>
      <c r="AI29247" s="38"/>
    </row>
    <row r="29248" ht="15.75" customHeight="1">
      <c r="A29248" s="35"/>
      <c r="C29248" s="442"/>
      <c r="P29248" s="235"/>
      <c r="AI29248" s="38"/>
    </row>
    <row r="29249" ht="15.75" customHeight="1">
      <c r="A29249" s="35"/>
      <c r="C29249" s="442"/>
      <c r="P29249" s="235"/>
      <c r="AI29249" s="38"/>
    </row>
    <row r="29250" ht="15.75" customHeight="1">
      <c r="A29250" s="35"/>
      <c r="C29250" s="442"/>
      <c r="P29250" s="235"/>
      <c r="AI29250" s="38"/>
    </row>
    <row r="29251" ht="15.75" customHeight="1">
      <c r="A29251" s="35"/>
      <c r="C29251" s="442"/>
      <c r="P29251" s="235"/>
      <c r="AI29251" s="38"/>
    </row>
    <row r="29252" ht="15.75" customHeight="1">
      <c r="A29252" s="35"/>
      <c r="C29252" s="442"/>
      <c r="P29252" s="235"/>
      <c r="AI29252" s="38"/>
    </row>
    <row r="29253" ht="15.75" customHeight="1">
      <c r="A29253" s="35"/>
      <c r="C29253" s="442"/>
      <c r="P29253" s="235"/>
      <c r="AI29253" s="38"/>
    </row>
    <row r="29254" ht="15.75" customHeight="1">
      <c r="A29254" s="35"/>
      <c r="C29254" s="442"/>
      <c r="P29254" s="235"/>
      <c r="AI29254" s="38"/>
    </row>
    <row r="29255" ht="15.75" customHeight="1">
      <c r="A29255" s="35"/>
      <c r="C29255" s="442"/>
      <c r="P29255" s="235"/>
      <c r="AI29255" s="38"/>
    </row>
    <row r="29256" ht="15.75" customHeight="1">
      <c r="A29256" s="35"/>
      <c r="C29256" s="442"/>
      <c r="P29256" s="235"/>
      <c r="AI29256" s="38"/>
    </row>
    <row r="29257" ht="15.75" customHeight="1">
      <c r="A29257" s="35"/>
      <c r="C29257" s="442"/>
      <c r="P29257" s="235"/>
      <c r="AI29257" s="38"/>
    </row>
    <row r="29258" ht="15.75" customHeight="1">
      <c r="A29258" s="35"/>
      <c r="C29258" s="442"/>
      <c r="P29258" s="235"/>
      <c r="AI29258" s="38"/>
    </row>
    <row r="29259" ht="15.75" customHeight="1">
      <c r="A29259" s="35"/>
      <c r="C29259" s="442"/>
      <c r="P29259" s="235"/>
      <c r="AI29259" s="38"/>
    </row>
    <row r="29260" ht="15.75" customHeight="1">
      <c r="A29260" s="35"/>
      <c r="C29260" s="442"/>
      <c r="P29260" s="235"/>
      <c r="AI29260" s="38"/>
    </row>
    <row r="29261" ht="15.75" customHeight="1">
      <c r="A29261" s="35"/>
      <c r="C29261" s="442"/>
      <c r="P29261" s="235"/>
      <c r="AI29261" s="38"/>
    </row>
    <row r="29262" ht="15.75" customHeight="1">
      <c r="A29262" s="35"/>
      <c r="C29262" s="442"/>
      <c r="P29262" s="235"/>
      <c r="AI29262" s="38"/>
    </row>
    <row r="29263" ht="15.75" customHeight="1">
      <c r="A29263" s="35"/>
      <c r="C29263" s="442"/>
      <c r="P29263" s="235"/>
      <c r="AI29263" s="38"/>
    </row>
    <row r="29264" ht="15.75" customHeight="1">
      <c r="A29264" s="35"/>
      <c r="C29264" s="442"/>
      <c r="P29264" s="235"/>
      <c r="AI29264" s="38"/>
    </row>
    <row r="29265" ht="15.75" customHeight="1">
      <c r="A29265" s="35"/>
      <c r="C29265" s="442"/>
      <c r="P29265" s="235"/>
      <c r="AI29265" s="38"/>
    </row>
    <row r="29266" ht="15.75" customHeight="1">
      <c r="A29266" s="35"/>
      <c r="C29266" s="442"/>
      <c r="P29266" s="235"/>
      <c r="AI29266" s="38"/>
    </row>
    <row r="29267" ht="15.75" customHeight="1">
      <c r="A29267" s="35"/>
      <c r="C29267" s="442"/>
      <c r="P29267" s="235"/>
      <c r="AI29267" s="38"/>
    </row>
    <row r="29268" ht="15.75" customHeight="1">
      <c r="A29268" s="35"/>
      <c r="C29268" s="442"/>
      <c r="P29268" s="235"/>
      <c r="AI29268" s="38"/>
    </row>
    <row r="29269" ht="15.75" customHeight="1">
      <c r="A29269" s="35"/>
      <c r="C29269" s="442"/>
      <c r="P29269" s="235"/>
      <c r="AI29269" s="38"/>
    </row>
    <row r="29270" ht="15.75" customHeight="1">
      <c r="A29270" s="35"/>
      <c r="C29270" s="442"/>
      <c r="P29270" s="235"/>
      <c r="AI29270" s="38"/>
    </row>
    <row r="29271" ht="15.75" customHeight="1">
      <c r="A29271" s="35"/>
      <c r="C29271" s="442"/>
      <c r="P29271" s="235"/>
      <c r="AI29271" s="38"/>
    </row>
    <row r="29272" ht="15.75" customHeight="1">
      <c r="A29272" s="35"/>
      <c r="C29272" s="442"/>
      <c r="P29272" s="235"/>
      <c r="AI29272" s="38"/>
    </row>
    <row r="29273" ht="15.75" customHeight="1">
      <c r="A29273" s="35"/>
      <c r="C29273" s="442"/>
      <c r="P29273" s="235"/>
      <c r="AI29273" s="38"/>
    </row>
    <row r="29274" ht="15.75" customHeight="1">
      <c r="A29274" s="35"/>
      <c r="C29274" s="442"/>
      <c r="P29274" s="235"/>
      <c r="AI29274" s="38"/>
    </row>
    <row r="29275" ht="15.75" customHeight="1">
      <c r="A29275" s="35"/>
      <c r="C29275" s="442"/>
      <c r="P29275" s="235"/>
      <c r="AI29275" s="38"/>
    </row>
    <row r="29276" ht="15.75" customHeight="1">
      <c r="A29276" s="35"/>
      <c r="C29276" s="442"/>
      <c r="P29276" s="235"/>
      <c r="AI29276" s="38"/>
    </row>
    <row r="29277" ht="15.75" customHeight="1">
      <c r="A29277" s="35"/>
      <c r="C29277" s="442"/>
      <c r="P29277" s="235"/>
      <c r="AI29277" s="38"/>
    </row>
    <row r="29278" ht="15.75" customHeight="1">
      <c r="A29278" s="35"/>
      <c r="C29278" s="442"/>
      <c r="P29278" s="235"/>
      <c r="AI29278" s="38"/>
    </row>
    <row r="29279" ht="15.75" customHeight="1">
      <c r="A29279" s="35"/>
      <c r="C29279" s="442"/>
      <c r="P29279" s="235"/>
      <c r="AI29279" s="38"/>
    </row>
    <row r="29280" ht="15.75" customHeight="1">
      <c r="A29280" s="35"/>
      <c r="C29280" s="442"/>
      <c r="P29280" s="235"/>
      <c r="AI29280" s="38"/>
    </row>
    <row r="29281" ht="15.75" customHeight="1">
      <c r="A29281" s="35"/>
      <c r="C29281" s="442"/>
      <c r="P29281" s="235"/>
      <c r="AI29281" s="38"/>
    </row>
    <row r="29282" ht="15.75" customHeight="1">
      <c r="A29282" s="35"/>
      <c r="C29282" s="442"/>
      <c r="P29282" s="235"/>
      <c r="AI29282" s="38"/>
    </row>
    <row r="29283" ht="15.75" customHeight="1">
      <c r="A29283" s="35"/>
      <c r="C29283" s="442"/>
      <c r="P29283" s="235"/>
      <c r="AI29283" s="38"/>
    </row>
    <row r="29284" ht="15.75" customHeight="1">
      <c r="A29284" s="35"/>
      <c r="C29284" s="442"/>
      <c r="P29284" s="235"/>
      <c r="AI29284" s="38"/>
    </row>
    <row r="29285" ht="15.75" customHeight="1">
      <c r="A29285" s="35"/>
      <c r="C29285" s="442"/>
      <c r="P29285" s="235"/>
      <c r="AI29285" s="38"/>
    </row>
    <row r="29286" ht="15.75" customHeight="1">
      <c r="A29286" s="35"/>
      <c r="C29286" s="442"/>
      <c r="P29286" s="235"/>
      <c r="AI29286" s="38"/>
    </row>
    <row r="29287" ht="15.75" customHeight="1">
      <c r="A29287" s="35"/>
      <c r="C29287" s="442"/>
      <c r="P29287" s="235"/>
      <c r="AI29287" s="38"/>
    </row>
    <row r="29288" ht="15.75" customHeight="1">
      <c r="A29288" s="35"/>
      <c r="C29288" s="442"/>
      <c r="P29288" s="235"/>
      <c r="AI29288" s="38"/>
    </row>
    <row r="29289" ht="15.75" customHeight="1">
      <c r="A29289" s="35"/>
      <c r="C29289" s="442"/>
      <c r="P29289" s="235"/>
      <c r="AI29289" s="38"/>
    </row>
    <row r="29290" ht="15.75" customHeight="1">
      <c r="A29290" s="35"/>
      <c r="C29290" s="442"/>
      <c r="P29290" s="235"/>
      <c r="AI29290" s="38"/>
    </row>
    <row r="29291" ht="15.75" customHeight="1">
      <c r="A29291" s="35"/>
      <c r="C29291" s="442"/>
      <c r="P29291" s="235"/>
      <c r="AI29291" s="38"/>
    </row>
    <row r="29292" ht="15.75" customHeight="1">
      <c r="A29292" s="35"/>
      <c r="C29292" s="442"/>
      <c r="P29292" s="235"/>
      <c r="AI29292" s="38"/>
    </row>
    <row r="29293" ht="15.75" customHeight="1">
      <c r="A29293" s="35"/>
      <c r="C29293" s="442"/>
      <c r="P29293" s="235"/>
      <c r="AI29293" s="38"/>
    </row>
    <row r="29294" ht="15.75" customHeight="1">
      <c r="A29294" s="35"/>
      <c r="C29294" s="442"/>
      <c r="P29294" s="235"/>
      <c r="AI29294" s="38"/>
    </row>
    <row r="29295" ht="15.75" customHeight="1">
      <c r="A29295" s="35"/>
      <c r="C29295" s="442"/>
      <c r="P29295" s="235"/>
      <c r="AI29295" s="38"/>
    </row>
    <row r="29296" ht="15.75" customHeight="1">
      <c r="A29296" s="35"/>
      <c r="C29296" s="442"/>
      <c r="P29296" s="235"/>
      <c r="AI29296" s="38"/>
    </row>
    <row r="29297" ht="15.75" customHeight="1">
      <c r="A29297" s="35"/>
      <c r="C29297" s="442"/>
      <c r="P29297" s="235"/>
      <c r="AI29297" s="38"/>
    </row>
    <row r="29298" ht="15.75" customHeight="1">
      <c r="A29298" s="35"/>
      <c r="C29298" s="442"/>
      <c r="P29298" s="235"/>
      <c r="AI29298" s="38"/>
    </row>
    <row r="29299" ht="15.75" customHeight="1">
      <c r="A29299" s="35"/>
      <c r="C29299" s="442"/>
      <c r="P29299" s="235"/>
      <c r="AI29299" s="38"/>
    </row>
    <row r="29300" ht="15.75" customHeight="1">
      <c r="A29300" s="35"/>
      <c r="C29300" s="442"/>
      <c r="P29300" s="235"/>
      <c r="AI29300" s="38"/>
    </row>
    <row r="29301" ht="15.75" customHeight="1">
      <c r="A29301" s="35"/>
      <c r="C29301" s="442"/>
      <c r="P29301" s="235"/>
      <c r="AI29301" s="38"/>
    </row>
    <row r="29302" ht="15.75" customHeight="1">
      <c r="A29302" s="35"/>
      <c r="C29302" s="442"/>
      <c r="P29302" s="235"/>
      <c r="AI29302" s="38"/>
    </row>
    <row r="29303" ht="15.75" customHeight="1">
      <c r="A29303" s="35"/>
      <c r="C29303" s="442"/>
      <c r="P29303" s="235"/>
      <c r="AI29303" s="38"/>
    </row>
    <row r="29304" ht="15.75" customHeight="1">
      <c r="A29304" s="35"/>
      <c r="C29304" s="442"/>
      <c r="P29304" s="235"/>
      <c r="AI29304" s="38"/>
    </row>
    <row r="29305" ht="15.75" customHeight="1">
      <c r="A29305" s="35"/>
      <c r="C29305" s="442"/>
      <c r="P29305" s="235"/>
      <c r="AI29305" s="38"/>
    </row>
    <row r="29306" ht="15.75" customHeight="1">
      <c r="A29306" s="35"/>
      <c r="C29306" s="442"/>
      <c r="P29306" s="235"/>
      <c r="AI29306" s="38"/>
    </row>
    <row r="29307" ht="15.75" customHeight="1">
      <c r="A29307" s="35"/>
      <c r="C29307" s="442"/>
      <c r="P29307" s="235"/>
      <c r="AI29307" s="38"/>
    </row>
    <row r="29308" ht="15.75" customHeight="1">
      <c r="A29308" s="35"/>
      <c r="C29308" s="442"/>
      <c r="P29308" s="235"/>
      <c r="AI29308" s="38"/>
    </row>
    <row r="29309" ht="15.75" customHeight="1">
      <c r="A29309" s="35"/>
      <c r="C29309" s="442"/>
      <c r="P29309" s="235"/>
      <c r="AI29309" s="38"/>
    </row>
    <row r="29310" ht="15.75" customHeight="1">
      <c r="A29310" s="35"/>
      <c r="C29310" s="442"/>
      <c r="P29310" s="235"/>
      <c r="AI29310" s="38"/>
    </row>
    <row r="29311" ht="15.75" customHeight="1">
      <c r="A29311" s="35"/>
      <c r="C29311" s="442"/>
      <c r="P29311" s="235"/>
      <c r="AI29311" s="38"/>
    </row>
    <row r="29312" ht="15.75" customHeight="1">
      <c r="A29312" s="35"/>
      <c r="C29312" s="442"/>
      <c r="P29312" s="235"/>
      <c r="AI29312" s="38"/>
    </row>
    <row r="29313" ht="15.75" customHeight="1">
      <c r="A29313" s="35"/>
      <c r="C29313" s="442"/>
      <c r="P29313" s="235"/>
      <c r="AI29313" s="38"/>
    </row>
    <row r="29314" ht="15.75" customHeight="1">
      <c r="A29314" s="35"/>
      <c r="C29314" s="442"/>
      <c r="P29314" s="235"/>
      <c r="AI29314" s="38"/>
    </row>
    <row r="29315" ht="15.75" customHeight="1">
      <c r="A29315" s="35"/>
      <c r="C29315" s="442"/>
      <c r="P29315" s="235"/>
      <c r="AI29315" s="38"/>
    </row>
    <row r="29316" ht="15.75" customHeight="1">
      <c r="A29316" s="35"/>
      <c r="C29316" s="442"/>
      <c r="P29316" s="235"/>
      <c r="AI29316" s="38"/>
    </row>
    <row r="29317" ht="15.75" customHeight="1">
      <c r="A29317" s="35"/>
      <c r="C29317" s="442"/>
      <c r="P29317" s="235"/>
      <c r="AI29317" s="38"/>
    </row>
    <row r="29318" ht="15.75" customHeight="1">
      <c r="A29318" s="35"/>
      <c r="C29318" s="442"/>
      <c r="P29318" s="235"/>
      <c r="AI29318" s="38"/>
    </row>
    <row r="29319" ht="15.75" customHeight="1">
      <c r="A29319" s="35"/>
      <c r="C29319" s="442"/>
      <c r="P29319" s="235"/>
      <c r="AI29319" s="38"/>
    </row>
    <row r="29320" ht="15.75" customHeight="1">
      <c r="A29320" s="35"/>
      <c r="C29320" s="442"/>
      <c r="P29320" s="235"/>
      <c r="AI29320" s="38"/>
    </row>
    <row r="29321" ht="15.75" customHeight="1">
      <c r="A29321" s="35"/>
      <c r="C29321" s="442"/>
      <c r="P29321" s="235"/>
      <c r="AI29321" s="38"/>
    </row>
    <row r="29322" ht="15.75" customHeight="1">
      <c r="A29322" s="35"/>
      <c r="C29322" s="442"/>
      <c r="P29322" s="235"/>
      <c r="AI29322" s="38"/>
    </row>
    <row r="29323" ht="15.75" customHeight="1">
      <c r="A29323" s="35"/>
      <c r="C29323" s="442"/>
      <c r="P29323" s="235"/>
      <c r="AI29323" s="38"/>
    </row>
    <row r="29324" ht="15.75" customHeight="1">
      <c r="A29324" s="35"/>
      <c r="C29324" s="442"/>
      <c r="P29324" s="235"/>
      <c r="AI29324" s="38"/>
    </row>
    <row r="29325" ht="15.75" customHeight="1">
      <c r="A29325" s="35"/>
      <c r="C29325" s="442"/>
      <c r="P29325" s="235"/>
      <c r="AI29325" s="38"/>
    </row>
    <row r="29326" ht="15.75" customHeight="1">
      <c r="A29326" s="35"/>
      <c r="C29326" s="442"/>
      <c r="P29326" s="235"/>
      <c r="AI29326" s="38"/>
    </row>
    <row r="29327" ht="15.75" customHeight="1">
      <c r="A29327" s="35"/>
      <c r="C29327" s="442"/>
      <c r="P29327" s="235"/>
      <c r="AI29327" s="38"/>
    </row>
    <row r="29328" ht="15.75" customHeight="1">
      <c r="A29328" s="35"/>
      <c r="C29328" s="442"/>
      <c r="P29328" s="235"/>
      <c r="AI29328" s="38"/>
    </row>
    <row r="29329" ht="15.75" customHeight="1">
      <c r="A29329" s="35"/>
      <c r="C29329" s="442"/>
      <c r="P29329" s="235"/>
      <c r="AI29329" s="38"/>
    </row>
    <row r="29330" ht="15.75" customHeight="1">
      <c r="A29330" s="35"/>
      <c r="C29330" s="442"/>
      <c r="P29330" s="235"/>
      <c r="AI29330" s="38"/>
    </row>
    <row r="29331" ht="15.75" customHeight="1">
      <c r="A29331" s="35"/>
      <c r="C29331" s="442"/>
      <c r="P29331" s="235"/>
      <c r="AI29331" s="38"/>
    </row>
    <row r="29332" ht="15.75" customHeight="1">
      <c r="A29332" s="35"/>
      <c r="C29332" s="442"/>
      <c r="P29332" s="235"/>
      <c r="AI29332" s="38"/>
    </row>
    <row r="29333" ht="15.75" customHeight="1">
      <c r="A29333" s="35"/>
      <c r="C29333" s="442"/>
      <c r="P29333" s="235"/>
      <c r="AI29333" s="38"/>
    </row>
    <row r="29334" ht="15.75" customHeight="1">
      <c r="A29334" s="35"/>
      <c r="C29334" s="442"/>
      <c r="P29334" s="235"/>
      <c r="AI29334" s="38"/>
    </row>
    <row r="29335" ht="15.75" customHeight="1">
      <c r="A29335" s="35"/>
      <c r="C29335" s="442"/>
      <c r="P29335" s="235"/>
      <c r="AI29335" s="38"/>
    </row>
    <row r="29336" ht="15.75" customHeight="1">
      <c r="A29336" s="35"/>
      <c r="C29336" s="442"/>
      <c r="P29336" s="235"/>
      <c r="AI29336" s="38"/>
    </row>
    <row r="29337" ht="15.75" customHeight="1">
      <c r="A29337" s="35"/>
      <c r="C29337" s="442"/>
      <c r="P29337" s="235"/>
      <c r="AI29337" s="38"/>
    </row>
    <row r="29338" ht="15.75" customHeight="1">
      <c r="A29338" s="35"/>
      <c r="C29338" s="442"/>
      <c r="P29338" s="235"/>
      <c r="AI29338" s="38"/>
    </row>
    <row r="29339" ht="15.75" customHeight="1">
      <c r="A29339" s="35"/>
      <c r="C29339" s="442"/>
      <c r="P29339" s="235"/>
      <c r="AI29339" s="38"/>
    </row>
    <row r="29340" ht="15.75" customHeight="1">
      <c r="A29340" s="35"/>
      <c r="C29340" s="442"/>
      <c r="P29340" s="235"/>
      <c r="AI29340" s="38"/>
    </row>
    <row r="29341" ht="15.75" customHeight="1">
      <c r="A29341" s="35"/>
      <c r="C29341" s="442"/>
      <c r="P29341" s="235"/>
      <c r="AI29341" s="38"/>
    </row>
    <row r="29342" ht="15.75" customHeight="1">
      <c r="A29342" s="35"/>
      <c r="C29342" s="442"/>
      <c r="P29342" s="235"/>
      <c r="AI29342" s="38"/>
    </row>
    <row r="29343" ht="15.75" customHeight="1">
      <c r="A29343" s="35"/>
      <c r="C29343" s="442"/>
      <c r="P29343" s="235"/>
      <c r="AI29343" s="38"/>
    </row>
    <row r="29344" ht="15.75" customHeight="1">
      <c r="A29344" s="35"/>
      <c r="C29344" s="442"/>
      <c r="P29344" s="235"/>
      <c r="AI29344" s="38"/>
    </row>
    <row r="29345" ht="15.75" customHeight="1">
      <c r="A29345" s="35"/>
      <c r="C29345" s="442"/>
      <c r="P29345" s="235"/>
      <c r="AI29345" s="38"/>
    </row>
    <row r="29346" ht="15.75" customHeight="1">
      <c r="A29346" s="35"/>
      <c r="C29346" s="442"/>
      <c r="P29346" s="235"/>
      <c r="AI29346" s="38"/>
    </row>
    <row r="29347" ht="15.75" customHeight="1">
      <c r="A29347" s="35"/>
      <c r="C29347" s="442"/>
      <c r="P29347" s="235"/>
      <c r="AI29347" s="38"/>
    </row>
    <row r="29348" ht="15.75" customHeight="1">
      <c r="A29348" s="35"/>
      <c r="C29348" s="442"/>
      <c r="P29348" s="235"/>
      <c r="AI29348" s="38"/>
    </row>
    <row r="29349" ht="15.75" customHeight="1">
      <c r="A29349" s="35"/>
      <c r="C29349" s="442"/>
      <c r="P29349" s="235"/>
      <c r="AI29349" s="38"/>
    </row>
    <row r="29350" ht="15.75" customHeight="1">
      <c r="A29350" s="35"/>
      <c r="C29350" s="442"/>
      <c r="P29350" s="235"/>
      <c r="AI29350" s="38"/>
    </row>
    <row r="29351" ht="15.75" customHeight="1">
      <c r="A29351" s="35"/>
      <c r="C29351" s="442"/>
      <c r="P29351" s="235"/>
      <c r="AI29351" s="38"/>
    </row>
    <row r="29352" ht="15.75" customHeight="1">
      <c r="A29352" s="35"/>
      <c r="C29352" s="442"/>
      <c r="P29352" s="235"/>
      <c r="AI29352" s="38"/>
    </row>
    <row r="29353" ht="15.75" customHeight="1">
      <c r="A29353" s="35"/>
      <c r="C29353" s="442"/>
      <c r="P29353" s="235"/>
      <c r="AI29353" s="38"/>
    </row>
    <row r="29354" ht="15.75" customHeight="1">
      <c r="A29354" s="35"/>
      <c r="C29354" s="442"/>
      <c r="P29354" s="235"/>
      <c r="AI29354" s="38"/>
    </row>
    <row r="29355" ht="15.75" customHeight="1">
      <c r="A29355" s="35"/>
      <c r="C29355" s="442"/>
      <c r="P29355" s="235"/>
      <c r="AI29355" s="38"/>
    </row>
    <row r="29356" ht="15.75" customHeight="1">
      <c r="A29356" s="35"/>
      <c r="C29356" s="442"/>
      <c r="P29356" s="235"/>
      <c r="AI29356" s="38"/>
    </row>
    <row r="29357" ht="15.75" customHeight="1">
      <c r="A29357" s="35"/>
      <c r="C29357" s="442"/>
      <c r="P29357" s="235"/>
      <c r="AI29357" s="38"/>
    </row>
    <row r="29358" ht="15.75" customHeight="1">
      <c r="A29358" s="35"/>
      <c r="C29358" s="442"/>
      <c r="P29358" s="235"/>
      <c r="AI29358" s="38"/>
    </row>
    <row r="29359" ht="15.75" customHeight="1">
      <c r="A29359" s="35"/>
      <c r="C29359" s="442"/>
      <c r="P29359" s="235"/>
      <c r="AI29359" s="38"/>
    </row>
    <row r="29360" ht="15.75" customHeight="1">
      <c r="A29360" s="35"/>
      <c r="C29360" s="442"/>
      <c r="P29360" s="235"/>
      <c r="AI29360" s="38"/>
    </row>
    <row r="29361" ht="15.75" customHeight="1">
      <c r="A29361" s="35"/>
      <c r="C29361" s="442"/>
      <c r="P29361" s="235"/>
      <c r="AI29361" s="38"/>
    </row>
    <row r="29362" ht="15.75" customHeight="1">
      <c r="A29362" s="35"/>
      <c r="C29362" s="442"/>
      <c r="P29362" s="235"/>
      <c r="AI29362" s="38"/>
    </row>
    <row r="29363" ht="15.75" customHeight="1">
      <c r="A29363" s="35"/>
      <c r="C29363" s="442"/>
      <c r="P29363" s="235"/>
      <c r="AI29363" s="38"/>
    </row>
    <row r="29364" ht="15.75" customHeight="1">
      <c r="A29364" s="35"/>
      <c r="C29364" s="442"/>
      <c r="P29364" s="235"/>
      <c r="AI29364" s="38"/>
    </row>
    <row r="29365" ht="15.75" customHeight="1">
      <c r="A29365" s="35"/>
      <c r="C29365" s="442"/>
      <c r="P29365" s="235"/>
      <c r="AI29365" s="38"/>
    </row>
    <row r="29366" ht="15.75" customHeight="1">
      <c r="A29366" s="35"/>
      <c r="C29366" s="442"/>
      <c r="P29366" s="235"/>
      <c r="AI29366" s="38"/>
    </row>
    <row r="29367" ht="15.75" customHeight="1">
      <c r="A29367" s="35"/>
      <c r="C29367" s="442"/>
      <c r="P29367" s="235"/>
      <c r="AI29367" s="38"/>
    </row>
    <row r="29368" ht="15.75" customHeight="1">
      <c r="A29368" s="35"/>
      <c r="C29368" s="442"/>
      <c r="P29368" s="235"/>
      <c r="AI29368" s="38"/>
    </row>
    <row r="29369" ht="15.75" customHeight="1">
      <c r="A29369" s="35"/>
      <c r="C29369" s="442"/>
      <c r="P29369" s="235"/>
      <c r="AI29369" s="38"/>
    </row>
    <row r="29370" ht="15.75" customHeight="1">
      <c r="A29370" s="35"/>
      <c r="C29370" s="442"/>
      <c r="P29370" s="235"/>
      <c r="AI29370" s="38"/>
    </row>
    <row r="29371" ht="15.75" customHeight="1">
      <c r="A29371" s="35"/>
      <c r="C29371" s="442"/>
      <c r="P29371" s="235"/>
      <c r="AI29371" s="38"/>
    </row>
    <row r="29372" ht="15.75" customHeight="1">
      <c r="A29372" s="35"/>
      <c r="C29372" s="442"/>
      <c r="P29372" s="235"/>
      <c r="AI29372" s="38"/>
    </row>
    <row r="29373" ht="15.75" customHeight="1">
      <c r="A29373" s="35"/>
      <c r="C29373" s="442"/>
      <c r="P29373" s="235"/>
      <c r="AI29373" s="38"/>
    </row>
    <row r="29374" ht="15.75" customHeight="1">
      <c r="A29374" s="35"/>
      <c r="C29374" s="442"/>
      <c r="P29374" s="235"/>
      <c r="AI29374" s="38"/>
    </row>
    <row r="29375" ht="15.75" customHeight="1">
      <c r="A29375" s="35"/>
      <c r="C29375" s="442"/>
      <c r="P29375" s="235"/>
      <c r="AI29375" s="38"/>
    </row>
    <row r="29376" ht="15.75" customHeight="1">
      <c r="A29376" s="35"/>
      <c r="C29376" s="442"/>
      <c r="P29376" s="235"/>
      <c r="AI29376" s="38"/>
    </row>
    <row r="29377" ht="15.75" customHeight="1">
      <c r="A29377" s="35"/>
      <c r="C29377" s="442"/>
      <c r="P29377" s="235"/>
      <c r="AI29377" s="38"/>
    </row>
    <row r="29378" ht="15.75" customHeight="1">
      <c r="A29378" s="35"/>
      <c r="C29378" s="442"/>
      <c r="P29378" s="235"/>
      <c r="AI29378" s="38"/>
    </row>
    <row r="29379" ht="15.75" customHeight="1">
      <c r="A29379" s="35"/>
      <c r="C29379" s="442"/>
      <c r="P29379" s="235"/>
      <c r="AI29379" s="38"/>
    </row>
    <row r="29380" ht="15.75" customHeight="1">
      <c r="A29380" s="35"/>
      <c r="C29380" s="442"/>
      <c r="P29380" s="235"/>
      <c r="AI29380" s="38"/>
    </row>
    <row r="29381" ht="15.75" customHeight="1">
      <c r="A29381" s="35"/>
      <c r="C29381" s="442"/>
      <c r="P29381" s="235"/>
      <c r="AI29381" s="38"/>
    </row>
    <row r="29382" ht="15.75" customHeight="1">
      <c r="A29382" s="35"/>
      <c r="C29382" s="442"/>
      <c r="P29382" s="235"/>
      <c r="AI29382" s="38"/>
    </row>
    <row r="29383" ht="15.75" customHeight="1">
      <c r="A29383" s="35"/>
      <c r="C29383" s="442"/>
      <c r="P29383" s="235"/>
      <c r="AI29383" s="38"/>
    </row>
    <row r="29384" ht="15.75" customHeight="1">
      <c r="A29384" s="35"/>
      <c r="C29384" s="442"/>
      <c r="P29384" s="235"/>
      <c r="AI29384" s="38"/>
    </row>
    <row r="29385" ht="15.75" customHeight="1">
      <c r="A29385" s="35"/>
      <c r="C29385" s="442"/>
      <c r="P29385" s="235"/>
      <c r="AI29385" s="38"/>
    </row>
    <row r="29386" ht="15.75" customHeight="1">
      <c r="A29386" s="35"/>
      <c r="C29386" s="442"/>
      <c r="P29386" s="235"/>
      <c r="AI29386" s="38"/>
    </row>
    <row r="29387" ht="15.75" customHeight="1">
      <c r="A29387" s="35"/>
      <c r="C29387" s="442"/>
      <c r="P29387" s="235"/>
      <c r="AI29387" s="38"/>
    </row>
    <row r="29388" ht="15.75" customHeight="1">
      <c r="A29388" s="35"/>
      <c r="C29388" s="442"/>
      <c r="P29388" s="235"/>
      <c r="AI29388" s="38"/>
    </row>
    <row r="29389" ht="15.75" customHeight="1">
      <c r="A29389" s="35"/>
      <c r="C29389" s="442"/>
      <c r="P29389" s="235"/>
      <c r="AI29389" s="38"/>
    </row>
    <row r="29390" ht="15.75" customHeight="1">
      <c r="A29390" s="35"/>
      <c r="C29390" s="442"/>
      <c r="P29390" s="235"/>
      <c r="AI29390" s="38"/>
    </row>
    <row r="29391" ht="15.75" customHeight="1">
      <c r="A29391" s="35"/>
      <c r="C29391" s="442"/>
      <c r="P29391" s="235"/>
      <c r="AI29391" s="38"/>
    </row>
    <row r="29392" ht="15.75" customHeight="1">
      <c r="A29392" s="35"/>
      <c r="C29392" s="442"/>
      <c r="P29392" s="235"/>
      <c r="AI29392" s="38"/>
    </row>
    <row r="29393" ht="15.75" customHeight="1">
      <c r="A29393" s="35"/>
      <c r="C29393" s="442"/>
      <c r="P29393" s="235"/>
      <c r="AI29393" s="38"/>
    </row>
    <row r="29394" ht="15.75" customHeight="1">
      <c r="A29394" s="35"/>
      <c r="C29394" s="442"/>
      <c r="P29394" s="235"/>
      <c r="AI29394" s="38"/>
    </row>
    <row r="29395" ht="15.75" customHeight="1">
      <c r="A29395" s="35"/>
      <c r="C29395" s="442"/>
      <c r="P29395" s="235"/>
      <c r="AI29395" s="38"/>
    </row>
    <row r="29396" ht="15.75" customHeight="1">
      <c r="A29396" s="35"/>
      <c r="C29396" s="442"/>
      <c r="P29396" s="235"/>
      <c r="AI29396" s="38"/>
    </row>
    <row r="29397" ht="15.75" customHeight="1">
      <c r="A29397" s="35"/>
      <c r="C29397" s="442"/>
      <c r="P29397" s="235"/>
      <c r="AI29397" s="38"/>
    </row>
    <row r="29398" ht="15.75" customHeight="1">
      <c r="A29398" s="35"/>
      <c r="C29398" s="442"/>
      <c r="P29398" s="235"/>
      <c r="AI29398" s="38"/>
    </row>
    <row r="29399" ht="15.75" customHeight="1">
      <c r="A29399" s="35"/>
      <c r="C29399" s="442"/>
      <c r="P29399" s="235"/>
      <c r="AI29399" s="38"/>
    </row>
    <row r="29400" ht="15.75" customHeight="1">
      <c r="A29400" s="35"/>
      <c r="C29400" s="442"/>
      <c r="P29400" s="235"/>
      <c r="AI29400" s="38"/>
    </row>
    <row r="29401" ht="15.75" customHeight="1">
      <c r="A29401" s="35"/>
      <c r="C29401" s="442"/>
      <c r="P29401" s="235"/>
      <c r="AI29401" s="38"/>
    </row>
    <row r="29402" ht="15.75" customHeight="1">
      <c r="A29402" s="35"/>
      <c r="C29402" s="442"/>
      <c r="P29402" s="235"/>
      <c r="AI29402" s="38"/>
    </row>
    <row r="29403" ht="15.75" customHeight="1">
      <c r="A29403" s="35"/>
      <c r="C29403" s="442"/>
      <c r="P29403" s="235"/>
      <c r="AI29403" s="38"/>
    </row>
    <row r="29404" ht="15.75" customHeight="1">
      <c r="A29404" s="35"/>
      <c r="C29404" s="442"/>
      <c r="P29404" s="235"/>
      <c r="AI29404" s="38"/>
    </row>
    <row r="29405" ht="15.75" customHeight="1">
      <c r="A29405" s="35"/>
      <c r="C29405" s="442"/>
      <c r="P29405" s="235"/>
      <c r="AI29405" s="38"/>
    </row>
    <row r="29406" ht="15.75" customHeight="1">
      <c r="A29406" s="35"/>
      <c r="C29406" s="442"/>
      <c r="P29406" s="235"/>
      <c r="AI29406" s="38"/>
    </row>
    <row r="29407" ht="15.75" customHeight="1">
      <c r="A29407" s="35"/>
      <c r="C29407" s="442"/>
      <c r="P29407" s="235"/>
      <c r="AI29407" s="38"/>
    </row>
    <row r="29408" ht="15.75" customHeight="1">
      <c r="A29408" s="35"/>
      <c r="C29408" s="442"/>
      <c r="P29408" s="235"/>
      <c r="AI29408" s="38"/>
    </row>
    <row r="29409" ht="15.75" customHeight="1">
      <c r="A29409" s="35"/>
      <c r="C29409" s="442"/>
      <c r="P29409" s="235"/>
      <c r="AI29409" s="38"/>
    </row>
    <row r="29410" ht="15.75" customHeight="1">
      <c r="A29410" s="35"/>
      <c r="C29410" s="442"/>
      <c r="P29410" s="235"/>
      <c r="AI29410" s="38"/>
    </row>
    <row r="29411" ht="15.75" customHeight="1">
      <c r="A29411" s="35"/>
      <c r="C29411" s="442"/>
      <c r="P29411" s="235"/>
      <c r="AI29411" s="38"/>
    </row>
    <row r="29412" ht="15.75" customHeight="1">
      <c r="A29412" s="35"/>
      <c r="C29412" s="442"/>
      <c r="P29412" s="235"/>
      <c r="AI29412" s="38"/>
    </row>
    <row r="29413" ht="15.75" customHeight="1">
      <c r="A29413" s="35"/>
      <c r="C29413" s="442"/>
      <c r="P29413" s="235"/>
      <c r="AI29413" s="38"/>
    </row>
    <row r="29414" ht="15.75" customHeight="1">
      <c r="A29414" s="35"/>
      <c r="C29414" s="442"/>
      <c r="P29414" s="235"/>
      <c r="AI29414" s="38"/>
    </row>
    <row r="29415" ht="15.75" customHeight="1">
      <c r="A29415" s="35"/>
      <c r="C29415" s="442"/>
      <c r="P29415" s="235"/>
      <c r="AI29415" s="38"/>
    </row>
    <row r="29416" ht="15.75" customHeight="1">
      <c r="A29416" s="35"/>
      <c r="C29416" s="442"/>
      <c r="P29416" s="235"/>
      <c r="AI29416" s="38"/>
    </row>
    <row r="29417" ht="15.75" customHeight="1">
      <c r="A29417" s="35"/>
      <c r="C29417" s="442"/>
      <c r="P29417" s="235"/>
      <c r="AI29417" s="38"/>
    </row>
    <row r="29418" ht="15.75" customHeight="1">
      <c r="A29418" s="35"/>
      <c r="C29418" s="442"/>
      <c r="P29418" s="235"/>
      <c r="AI29418" s="38"/>
    </row>
    <row r="29419" ht="15.75" customHeight="1">
      <c r="A29419" s="35"/>
      <c r="C29419" s="442"/>
      <c r="P29419" s="235"/>
      <c r="AI29419" s="38"/>
    </row>
    <row r="29420" ht="15.75" customHeight="1">
      <c r="A29420" s="35"/>
      <c r="C29420" s="442"/>
      <c r="P29420" s="235"/>
      <c r="AI29420" s="38"/>
    </row>
    <row r="29421" ht="15.75" customHeight="1">
      <c r="A29421" s="35"/>
      <c r="C29421" s="442"/>
      <c r="P29421" s="235"/>
      <c r="AI29421" s="38"/>
    </row>
    <row r="29422" ht="15.75" customHeight="1">
      <c r="A29422" s="35"/>
      <c r="C29422" s="442"/>
      <c r="P29422" s="235"/>
      <c r="AI29422" s="38"/>
    </row>
    <row r="29423" ht="15.75" customHeight="1">
      <c r="A29423" s="35"/>
      <c r="C29423" s="442"/>
      <c r="P29423" s="235"/>
      <c r="AI29423" s="38"/>
    </row>
    <row r="29424" ht="15.75" customHeight="1">
      <c r="A29424" s="35"/>
      <c r="C29424" s="442"/>
      <c r="P29424" s="235"/>
      <c r="AI29424" s="38"/>
    </row>
    <row r="29425" ht="15.75" customHeight="1">
      <c r="A29425" s="35"/>
      <c r="C29425" s="442"/>
      <c r="P29425" s="235"/>
      <c r="AI29425" s="38"/>
    </row>
    <row r="29426" ht="15.75" customHeight="1">
      <c r="A29426" s="35"/>
      <c r="C29426" s="442"/>
      <c r="P29426" s="235"/>
      <c r="AI29426" s="38"/>
    </row>
    <row r="29427" ht="15.75" customHeight="1">
      <c r="A29427" s="35"/>
      <c r="C29427" s="442"/>
      <c r="P29427" s="235"/>
      <c r="AI29427" s="38"/>
    </row>
    <row r="29428" ht="15.75" customHeight="1">
      <c r="A29428" s="35"/>
      <c r="C29428" s="442"/>
      <c r="P29428" s="235"/>
      <c r="AI29428" s="38"/>
    </row>
    <row r="29429" ht="15.75" customHeight="1">
      <c r="A29429" s="35"/>
      <c r="C29429" s="442"/>
      <c r="P29429" s="235"/>
      <c r="AI29429" s="38"/>
    </row>
    <row r="29430" ht="15.75" customHeight="1">
      <c r="A29430" s="35"/>
      <c r="C29430" s="442"/>
      <c r="P29430" s="235"/>
      <c r="AI29430" s="38"/>
    </row>
    <row r="29431" ht="15.75" customHeight="1">
      <c r="A29431" s="35"/>
      <c r="C29431" s="442"/>
      <c r="P29431" s="235"/>
      <c r="AI29431" s="38"/>
    </row>
    <row r="29432" ht="15.75" customHeight="1">
      <c r="A29432" s="35"/>
      <c r="C29432" s="442"/>
      <c r="P29432" s="235"/>
      <c r="AI29432" s="38"/>
    </row>
    <row r="29433" ht="15.75" customHeight="1">
      <c r="A29433" s="35"/>
      <c r="C29433" s="442"/>
      <c r="P29433" s="235"/>
      <c r="AI29433" s="38"/>
    </row>
    <row r="29434" ht="15.75" customHeight="1">
      <c r="A29434" s="35"/>
      <c r="C29434" s="442"/>
      <c r="P29434" s="235"/>
      <c r="AI29434" s="38"/>
    </row>
    <row r="29435" ht="15.75" customHeight="1">
      <c r="A29435" s="35"/>
      <c r="C29435" s="442"/>
      <c r="P29435" s="235"/>
      <c r="AI29435" s="38"/>
    </row>
    <row r="29436" ht="15.75" customHeight="1">
      <c r="A29436" s="35"/>
      <c r="C29436" s="442"/>
      <c r="P29436" s="235"/>
      <c r="AI29436" s="38"/>
    </row>
    <row r="29437" ht="15.75" customHeight="1">
      <c r="A29437" s="35"/>
      <c r="C29437" s="442"/>
      <c r="P29437" s="235"/>
      <c r="AI29437" s="38"/>
    </row>
    <row r="29438" ht="15.75" customHeight="1">
      <c r="A29438" s="35"/>
      <c r="C29438" s="442"/>
      <c r="P29438" s="235"/>
      <c r="AI29438" s="38"/>
    </row>
    <row r="29439" ht="15.75" customHeight="1">
      <c r="A29439" s="35"/>
      <c r="C29439" s="442"/>
      <c r="P29439" s="235"/>
      <c r="AI29439" s="38"/>
    </row>
    <row r="29440" ht="15.75" customHeight="1">
      <c r="A29440" s="35"/>
      <c r="C29440" s="442"/>
      <c r="P29440" s="235"/>
      <c r="AI29440" s="38"/>
    </row>
    <row r="29441" ht="15.75" customHeight="1">
      <c r="A29441" s="35"/>
      <c r="C29441" s="442"/>
      <c r="P29441" s="235"/>
      <c r="AI29441" s="38"/>
    </row>
    <row r="29442" ht="15.75" customHeight="1">
      <c r="A29442" s="35"/>
      <c r="C29442" s="442"/>
      <c r="P29442" s="235"/>
      <c r="AI29442" s="38"/>
    </row>
    <row r="29443" ht="15.75" customHeight="1">
      <c r="A29443" s="35"/>
      <c r="C29443" s="442"/>
      <c r="P29443" s="235"/>
      <c r="AI29443" s="38"/>
    </row>
    <row r="29444" ht="15.75" customHeight="1">
      <c r="A29444" s="35"/>
      <c r="C29444" s="442"/>
      <c r="P29444" s="235"/>
      <c r="AI29444" s="38"/>
    </row>
    <row r="29445" ht="15.75" customHeight="1">
      <c r="A29445" s="35"/>
      <c r="C29445" s="442"/>
      <c r="P29445" s="235"/>
      <c r="AI29445" s="38"/>
    </row>
    <row r="29446" ht="15.75" customHeight="1">
      <c r="A29446" s="35"/>
      <c r="C29446" s="442"/>
      <c r="P29446" s="235"/>
      <c r="AI29446" s="38"/>
    </row>
    <row r="29447" ht="15.75" customHeight="1">
      <c r="A29447" s="35"/>
      <c r="C29447" s="442"/>
      <c r="P29447" s="235"/>
      <c r="AI29447" s="38"/>
    </row>
    <row r="29448" ht="15.75" customHeight="1">
      <c r="A29448" s="35"/>
      <c r="C29448" s="442"/>
      <c r="P29448" s="235"/>
      <c r="AI29448" s="38"/>
    </row>
    <row r="29449" ht="15.75" customHeight="1">
      <c r="A29449" s="35"/>
      <c r="C29449" s="442"/>
      <c r="P29449" s="235"/>
      <c r="AI29449" s="38"/>
    </row>
    <row r="29450" ht="15.75" customHeight="1">
      <c r="A29450" s="35"/>
      <c r="C29450" s="442"/>
      <c r="P29450" s="235"/>
      <c r="AI29450" s="38"/>
    </row>
    <row r="29451" ht="15.75" customHeight="1">
      <c r="A29451" s="35"/>
      <c r="C29451" s="442"/>
      <c r="P29451" s="235"/>
      <c r="AI29451" s="38"/>
    </row>
    <row r="29452" ht="15.75" customHeight="1">
      <c r="A29452" s="35"/>
      <c r="C29452" s="442"/>
      <c r="P29452" s="235"/>
      <c r="AI29452" s="38"/>
    </row>
    <row r="29453" ht="15.75" customHeight="1">
      <c r="A29453" s="35"/>
      <c r="C29453" s="442"/>
      <c r="P29453" s="235"/>
      <c r="AI29453" s="38"/>
    </row>
    <row r="29454" ht="15.75" customHeight="1">
      <c r="A29454" s="35"/>
      <c r="C29454" s="442"/>
      <c r="P29454" s="235"/>
      <c r="AI29454" s="38"/>
    </row>
    <row r="29455" ht="15.75" customHeight="1">
      <c r="A29455" s="35"/>
      <c r="C29455" s="442"/>
      <c r="P29455" s="235"/>
      <c r="AI29455" s="38"/>
    </row>
    <row r="29456" ht="15.75" customHeight="1">
      <c r="A29456" s="35"/>
      <c r="C29456" s="442"/>
      <c r="P29456" s="235"/>
      <c r="AI29456" s="38"/>
    </row>
    <row r="29457" ht="15.75" customHeight="1">
      <c r="A29457" s="35"/>
      <c r="C29457" s="442"/>
      <c r="P29457" s="235"/>
      <c r="AI29457" s="38"/>
    </row>
    <row r="29458" ht="15.75" customHeight="1">
      <c r="A29458" s="35"/>
      <c r="C29458" s="442"/>
      <c r="P29458" s="235"/>
      <c r="AI29458" s="38"/>
    </row>
    <row r="29459" ht="15.75" customHeight="1">
      <c r="A29459" s="35"/>
      <c r="C29459" s="442"/>
      <c r="P29459" s="235"/>
      <c r="AI29459" s="38"/>
    </row>
    <row r="29460" ht="15.75" customHeight="1">
      <c r="A29460" s="35"/>
      <c r="C29460" s="442"/>
      <c r="P29460" s="235"/>
      <c r="AI29460" s="38"/>
    </row>
    <row r="29461" ht="15.75" customHeight="1">
      <c r="A29461" s="35"/>
      <c r="C29461" s="442"/>
      <c r="P29461" s="235"/>
      <c r="AI29461" s="38"/>
    </row>
    <row r="29462" ht="15.75" customHeight="1">
      <c r="A29462" s="35"/>
      <c r="C29462" s="442"/>
      <c r="P29462" s="235"/>
      <c r="AI29462" s="38"/>
    </row>
    <row r="29463" ht="15.75" customHeight="1">
      <c r="A29463" s="35"/>
      <c r="C29463" s="442"/>
      <c r="P29463" s="235"/>
      <c r="AI29463" s="38"/>
    </row>
    <row r="29464" ht="15.75" customHeight="1">
      <c r="A29464" s="35"/>
      <c r="C29464" s="442"/>
      <c r="P29464" s="235"/>
      <c r="AI29464" s="38"/>
    </row>
    <row r="29465" ht="15.75" customHeight="1">
      <c r="A29465" s="35"/>
      <c r="C29465" s="442"/>
      <c r="P29465" s="235"/>
      <c r="AI29465" s="38"/>
    </row>
    <row r="29466" ht="15.75" customHeight="1">
      <c r="A29466" s="35"/>
      <c r="C29466" s="442"/>
      <c r="P29466" s="235"/>
      <c r="AI29466" s="38"/>
    </row>
    <row r="29467" ht="15.75" customHeight="1">
      <c r="A29467" s="35"/>
      <c r="C29467" s="442"/>
      <c r="P29467" s="235"/>
      <c r="AI29467" s="38"/>
    </row>
    <row r="29468" ht="15.75" customHeight="1">
      <c r="A29468" s="35"/>
      <c r="C29468" s="442"/>
      <c r="P29468" s="235"/>
      <c r="AI29468" s="38"/>
    </row>
    <row r="29469" ht="15.75" customHeight="1">
      <c r="A29469" s="35"/>
      <c r="C29469" s="442"/>
      <c r="P29469" s="235"/>
      <c r="AI29469" s="38"/>
    </row>
    <row r="29470" ht="15.75" customHeight="1">
      <c r="A29470" s="35"/>
      <c r="C29470" s="442"/>
      <c r="P29470" s="235"/>
      <c r="AI29470" s="38"/>
    </row>
    <row r="29471" ht="15.75" customHeight="1">
      <c r="A29471" s="35"/>
      <c r="C29471" s="442"/>
      <c r="P29471" s="235"/>
      <c r="AI29471" s="38"/>
    </row>
    <row r="29472" ht="15.75" customHeight="1">
      <c r="A29472" s="35"/>
      <c r="C29472" s="442"/>
      <c r="P29472" s="235"/>
      <c r="AI29472" s="38"/>
    </row>
    <row r="29473" ht="15.75" customHeight="1">
      <c r="A29473" s="35"/>
      <c r="C29473" s="442"/>
      <c r="P29473" s="235"/>
      <c r="AI29473" s="38"/>
    </row>
    <row r="29474" ht="15.75" customHeight="1">
      <c r="A29474" s="35"/>
      <c r="C29474" s="442"/>
      <c r="P29474" s="235"/>
      <c r="AI29474" s="38"/>
    </row>
    <row r="29475" ht="15.75" customHeight="1">
      <c r="A29475" s="35"/>
      <c r="C29475" s="442"/>
      <c r="P29475" s="235"/>
      <c r="AI29475" s="38"/>
    </row>
    <row r="29476" ht="15.75" customHeight="1">
      <c r="A29476" s="35"/>
      <c r="C29476" s="442"/>
      <c r="P29476" s="235"/>
      <c r="AI29476" s="38"/>
    </row>
    <row r="29477" ht="15.75" customHeight="1">
      <c r="A29477" s="35"/>
      <c r="C29477" s="442"/>
      <c r="P29477" s="235"/>
      <c r="AI29477" s="38"/>
    </row>
    <row r="29478" ht="15.75" customHeight="1">
      <c r="A29478" s="35"/>
      <c r="C29478" s="442"/>
      <c r="P29478" s="235"/>
      <c r="AI29478" s="38"/>
    </row>
    <row r="29479" ht="15.75" customHeight="1">
      <c r="A29479" s="35"/>
      <c r="C29479" s="442"/>
      <c r="P29479" s="235"/>
      <c r="AI29479" s="38"/>
    </row>
    <row r="29480" ht="15.75" customHeight="1">
      <c r="A29480" s="35"/>
      <c r="C29480" s="442"/>
      <c r="P29480" s="235"/>
      <c r="AI29480" s="38"/>
    </row>
    <row r="29481" ht="15.75" customHeight="1">
      <c r="A29481" s="35"/>
      <c r="C29481" s="442"/>
      <c r="P29481" s="235"/>
      <c r="AI29481" s="38"/>
    </row>
    <row r="29482" ht="15.75" customHeight="1">
      <c r="A29482" s="35"/>
      <c r="C29482" s="442"/>
      <c r="P29482" s="235"/>
      <c r="AI29482" s="38"/>
    </row>
    <row r="29483" ht="15.75" customHeight="1">
      <c r="A29483" s="35"/>
      <c r="C29483" s="442"/>
      <c r="P29483" s="235"/>
      <c r="AI29483" s="38"/>
    </row>
    <row r="29484" ht="15.75" customHeight="1">
      <c r="A29484" s="35"/>
      <c r="C29484" s="442"/>
      <c r="P29484" s="235"/>
      <c r="AI29484" s="38"/>
    </row>
    <row r="29485" ht="15.75" customHeight="1">
      <c r="A29485" s="35"/>
      <c r="C29485" s="442"/>
      <c r="P29485" s="235"/>
      <c r="AI29485" s="38"/>
    </row>
    <row r="29486" ht="15.75" customHeight="1">
      <c r="A29486" s="35"/>
      <c r="C29486" s="442"/>
      <c r="P29486" s="235"/>
      <c r="AI29486" s="38"/>
    </row>
    <row r="29487" ht="15.75" customHeight="1">
      <c r="A29487" s="35"/>
      <c r="C29487" s="442"/>
      <c r="P29487" s="235"/>
      <c r="AI29487" s="38"/>
    </row>
    <row r="29488" ht="15.75" customHeight="1">
      <c r="A29488" s="35"/>
      <c r="C29488" s="442"/>
      <c r="P29488" s="235"/>
      <c r="AI29488" s="38"/>
    </row>
    <row r="29489" ht="15.75" customHeight="1">
      <c r="A29489" s="35"/>
      <c r="C29489" s="442"/>
      <c r="P29489" s="235"/>
      <c r="AI29489" s="38"/>
    </row>
    <row r="29490" ht="15.75" customHeight="1">
      <c r="A29490" s="35"/>
      <c r="C29490" s="442"/>
      <c r="P29490" s="235"/>
      <c r="AI29490" s="38"/>
    </row>
    <row r="29491" ht="15.75" customHeight="1">
      <c r="A29491" s="35"/>
      <c r="C29491" s="442"/>
      <c r="P29491" s="235"/>
      <c r="AI29491" s="38"/>
    </row>
    <row r="29492" ht="15.75" customHeight="1">
      <c r="A29492" s="35"/>
      <c r="C29492" s="442"/>
      <c r="P29492" s="235"/>
      <c r="AI29492" s="38"/>
    </row>
    <row r="29493" ht="15.75" customHeight="1">
      <c r="A29493" s="35"/>
      <c r="C29493" s="442"/>
      <c r="P29493" s="235"/>
      <c r="AI29493" s="38"/>
    </row>
    <row r="29494" ht="15.75" customHeight="1">
      <c r="A29494" s="35"/>
      <c r="C29494" s="442"/>
      <c r="P29494" s="235"/>
      <c r="AI29494" s="38"/>
    </row>
    <row r="29495" ht="15.75" customHeight="1">
      <c r="A29495" s="35"/>
      <c r="C29495" s="442"/>
      <c r="P29495" s="235"/>
      <c r="AI29495" s="38"/>
    </row>
    <row r="29496" ht="15.75" customHeight="1">
      <c r="A29496" s="35"/>
      <c r="C29496" s="442"/>
      <c r="P29496" s="235"/>
      <c r="AI29496" s="38"/>
    </row>
    <row r="29497" ht="15.75" customHeight="1">
      <c r="A29497" s="35"/>
      <c r="C29497" s="442"/>
      <c r="P29497" s="235"/>
      <c r="AI29497" s="38"/>
    </row>
    <row r="29498" ht="15.75" customHeight="1">
      <c r="A29498" s="35"/>
      <c r="C29498" s="442"/>
      <c r="P29498" s="235"/>
      <c r="AI29498" s="38"/>
    </row>
    <row r="29499" ht="15.75" customHeight="1">
      <c r="A29499" s="35"/>
      <c r="C29499" s="442"/>
      <c r="P29499" s="235"/>
      <c r="AI29499" s="38"/>
    </row>
    <row r="29500" ht="15.75" customHeight="1">
      <c r="A29500" s="35"/>
      <c r="C29500" s="442"/>
      <c r="P29500" s="235"/>
      <c r="AI29500" s="38"/>
    </row>
    <row r="29501" ht="15.75" customHeight="1">
      <c r="A29501" s="35"/>
      <c r="C29501" s="442"/>
      <c r="P29501" s="235"/>
      <c r="AI29501" s="38"/>
    </row>
    <row r="29502" ht="15.75" customHeight="1">
      <c r="A29502" s="35"/>
      <c r="C29502" s="442"/>
      <c r="P29502" s="235"/>
      <c r="AI29502" s="38"/>
    </row>
    <row r="29503" ht="15.75" customHeight="1">
      <c r="A29503" s="35"/>
      <c r="C29503" s="442"/>
      <c r="P29503" s="235"/>
      <c r="AI29503" s="38"/>
    </row>
    <row r="29504" ht="15.75" customHeight="1">
      <c r="A29504" s="35"/>
      <c r="C29504" s="442"/>
      <c r="P29504" s="235"/>
      <c r="AI29504" s="38"/>
    </row>
    <row r="29505" ht="15.75" customHeight="1">
      <c r="A29505" s="35"/>
      <c r="C29505" s="442"/>
      <c r="P29505" s="235"/>
      <c r="AI29505" s="38"/>
    </row>
    <row r="29506" ht="15.75" customHeight="1">
      <c r="A29506" s="35"/>
      <c r="C29506" s="442"/>
      <c r="P29506" s="235"/>
      <c r="AI29506" s="38"/>
    </row>
    <row r="29507" ht="15.75" customHeight="1">
      <c r="A29507" s="35"/>
      <c r="C29507" s="442"/>
      <c r="P29507" s="235"/>
      <c r="AI29507" s="38"/>
    </row>
    <row r="29508" ht="15.75" customHeight="1">
      <c r="A29508" s="35"/>
      <c r="C29508" s="442"/>
      <c r="P29508" s="235"/>
      <c r="AI29508" s="38"/>
    </row>
    <row r="29509" ht="15.75" customHeight="1">
      <c r="A29509" s="35"/>
      <c r="C29509" s="442"/>
      <c r="P29509" s="235"/>
      <c r="AI29509" s="38"/>
    </row>
    <row r="29510" ht="15.75" customHeight="1">
      <c r="A29510" s="35"/>
      <c r="C29510" s="442"/>
      <c r="P29510" s="235"/>
      <c r="AI29510" s="38"/>
    </row>
    <row r="29511" ht="15.75" customHeight="1">
      <c r="A29511" s="35"/>
      <c r="C29511" s="442"/>
      <c r="P29511" s="235"/>
      <c r="AI29511" s="38"/>
    </row>
    <row r="29512" ht="15.75" customHeight="1">
      <c r="A29512" s="35"/>
      <c r="C29512" s="442"/>
      <c r="P29512" s="235"/>
      <c r="AI29512" s="38"/>
    </row>
    <row r="29513" ht="15.75" customHeight="1">
      <c r="A29513" s="35"/>
      <c r="C29513" s="442"/>
      <c r="P29513" s="235"/>
      <c r="AI29513" s="38"/>
    </row>
    <row r="29514" ht="15.75" customHeight="1">
      <c r="A29514" s="35"/>
      <c r="C29514" s="442"/>
      <c r="P29514" s="235"/>
      <c r="AI29514" s="38"/>
    </row>
    <row r="29515" ht="15.75" customHeight="1">
      <c r="A29515" s="35"/>
      <c r="C29515" s="442"/>
      <c r="P29515" s="235"/>
      <c r="AI29515" s="38"/>
    </row>
    <row r="29516" ht="15.75" customHeight="1">
      <c r="A29516" s="35"/>
      <c r="C29516" s="442"/>
      <c r="P29516" s="235"/>
      <c r="AI29516" s="38"/>
    </row>
    <row r="29517" ht="15.75" customHeight="1">
      <c r="A29517" s="35"/>
      <c r="C29517" s="442"/>
      <c r="P29517" s="235"/>
      <c r="AI29517" s="38"/>
    </row>
    <row r="29518" ht="15.75" customHeight="1">
      <c r="A29518" s="35"/>
      <c r="C29518" s="442"/>
      <c r="P29518" s="235"/>
      <c r="AI29518" s="38"/>
    </row>
    <row r="29519" ht="15.75" customHeight="1">
      <c r="A29519" s="35"/>
      <c r="C29519" s="442"/>
      <c r="P29519" s="235"/>
      <c r="AI29519" s="38"/>
    </row>
    <row r="29520" ht="15.75" customHeight="1">
      <c r="A29520" s="35"/>
      <c r="C29520" s="442"/>
      <c r="P29520" s="235"/>
      <c r="AI29520" s="38"/>
    </row>
    <row r="29521" ht="15.75" customHeight="1">
      <c r="A29521" s="35"/>
      <c r="C29521" s="442"/>
      <c r="P29521" s="235"/>
      <c r="AI29521" s="38"/>
    </row>
    <row r="29522" ht="15.75" customHeight="1">
      <c r="A29522" s="35"/>
      <c r="C29522" s="442"/>
      <c r="P29522" s="235"/>
      <c r="AI29522" s="38"/>
    </row>
    <row r="29523" ht="15.75" customHeight="1">
      <c r="A29523" s="35"/>
      <c r="C29523" s="442"/>
      <c r="P29523" s="235"/>
      <c r="AI29523" s="38"/>
    </row>
    <row r="29524" ht="15.75" customHeight="1">
      <c r="A29524" s="35"/>
      <c r="C29524" s="442"/>
      <c r="P29524" s="235"/>
      <c r="AI29524" s="38"/>
    </row>
    <row r="29525" ht="15.75" customHeight="1">
      <c r="A29525" s="35"/>
      <c r="C29525" s="442"/>
      <c r="P29525" s="235"/>
      <c r="AI29525" s="38"/>
    </row>
    <row r="29526" ht="15.75" customHeight="1">
      <c r="A29526" s="35"/>
      <c r="C29526" s="442"/>
      <c r="P29526" s="235"/>
      <c r="AI29526" s="38"/>
    </row>
    <row r="29527" ht="15.75" customHeight="1">
      <c r="A29527" s="35"/>
      <c r="C29527" s="442"/>
      <c r="P29527" s="235"/>
      <c r="AI29527" s="38"/>
    </row>
    <row r="29528" ht="15.75" customHeight="1">
      <c r="A29528" s="35"/>
      <c r="C29528" s="442"/>
      <c r="P29528" s="235"/>
      <c r="AI29528" s="38"/>
    </row>
    <row r="29529" ht="15.75" customHeight="1">
      <c r="A29529" s="35"/>
      <c r="C29529" s="442"/>
      <c r="P29529" s="235"/>
      <c r="AI29529" s="38"/>
    </row>
    <row r="29530" ht="15.75" customHeight="1">
      <c r="A29530" s="35"/>
      <c r="C29530" s="442"/>
      <c r="P29530" s="235"/>
      <c r="AI29530" s="38"/>
    </row>
    <row r="29531" ht="15.75" customHeight="1">
      <c r="A29531" s="35"/>
      <c r="C29531" s="442"/>
      <c r="P29531" s="235"/>
      <c r="AI29531" s="38"/>
    </row>
    <row r="29532" ht="15.75" customHeight="1">
      <c r="A29532" s="35"/>
      <c r="C29532" s="442"/>
      <c r="P29532" s="235"/>
      <c r="AI29532" s="38"/>
    </row>
    <row r="29533" ht="15.75" customHeight="1">
      <c r="A29533" s="35"/>
      <c r="C29533" s="442"/>
      <c r="P29533" s="235"/>
      <c r="AI29533" s="38"/>
    </row>
    <row r="29534" ht="15.75" customHeight="1">
      <c r="A29534" s="35"/>
      <c r="C29534" s="442"/>
      <c r="P29534" s="235"/>
      <c r="AI29534" s="38"/>
    </row>
    <row r="29535" ht="15.75" customHeight="1">
      <c r="A29535" s="35"/>
      <c r="C29535" s="442"/>
      <c r="P29535" s="235"/>
      <c r="AI29535" s="38"/>
    </row>
    <row r="29536" ht="15.75" customHeight="1">
      <c r="A29536" s="35"/>
      <c r="C29536" s="442"/>
      <c r="P29536" s="235"/>
      <c r="AI29536" s="38"/>
    </row>
    <row r="29537" ht="15.75" customHeight="1">
      <c r="A29537" s="35"/>
      <c r="C29537" s="442"/>
      <c r="P29537" s="235"/>
      <c r="AI29537" s="38"/>
    </row>
    <row r="29538" ht="15.75" customHeight="1">
      <c r="A29538" s="35"/>
      <c r="C29538" s="442"/>
      <c r="P29538" s="235"/>
      <c r="AI29538" s="38"/>
    </row>
    <row r="29539" ht="15.75" customHeight="1">
      <c r="A29539" s="35"/>
      <c r="C29539" s="442"/>
      <c r="P29539" s="235"/>
      <c r="AI29539" s="38"/>
    </row>
    <row r="29540" ht="15.75" customHeight="1">
      <c r="A29540" s="35"/>
      <c r="C29540" s="442"/>
      <c r="P29540" s="235"/>
      <c r="AI29540" s="38"/>
    </row>
    <row r="29541" ht="15.75" customHeight="1">
      <c r="A29541" s="35"/>
      <c r="C29541" s="442"/>
      <c r="P29541" s="235"/>
      <c r="AI29541" s="38"/>
    </row>
    <row r="29542" ht="15.75" customHeight="1">
      <c r="A29542" s="35"/>
      <c r="C29542" s="442"/>
      <c r="P29542" s="235"/>
      <c r="AI29542" s="38"/>
    </row>
    <row r="29543" ht="15.75" customHeight="1">
      <c r="A29543" s="35"/>
      <c r="C29543" s="442"/>
      <c r="P29543" s="235"/>
      <c r="AI29543" s="38"/>
    </row>
    <row r="29544" ht="15.75" customHeight="1">
      <c r="A29544" s="35"/>
      <c r="C29544" s="442"/>
      <c r="P29544" s="235"/>
      <c r="AI29544" s="38"/>
    </row>
    <row r="29545" ht="15.75" customHeight="1">
      <c r="A29545" s="35"/>
      <c r="C29545" s="442"/>
      <c r="P29545" s="235"/>
      <c r="AI29545" s="38"/>
    </row>
    <row r="29546" ht="15.75" customHeight="1">
      <c r="A29546" s="35"/>
      <c r="C29546" s="442"/>
      <c r="P29546" s="235"/>
      <c r="AI29546" s="38"/>
    </row>
    <row r="29547" ht="15.75" customHeight="1">
      <c r="A29547" s="35"/>
      <c r="C29547" s="442"/>
      <c r="P29547" s="235"/>
      <c r="AI29547" s="38"/>
    </row>
    <row r="29548" ht="15.75" customHeight="1">
      <c r="A29548" s="35"/>
      <c r="C29548" s="442"/>
      <c r="P29548" s="235"/>
      <c r="AI29548" s="38"/>
    </row>
    <row r="29549" ht="15.75" customHeight="1">
      <c r="A29549" s="35"/>
      <c r="C29549" s="442"/>
      <c r="P29549" s="235"/>
      <c r="AI29549" s="38"/>
    </row>
    <row r="29550" ht="15.75" customHeight="1">
      <c r="A29550" s="35"/>
      <c r="C29550" s="442"/>
      <c r="P29550" s="235"/>
      <c r="AI29550" s="38"/>
    </row>
    <row r="29551" ht="15.75" customHeight="1">
      <c r="A29551" s="35"/>
      <c r="C29551" s="442"/>
      <c r="P29551" s="235"/>
      <c r="AI29551" s="38"/>
    </row>
    <row r="29552" ht="15.75" customHeight="1">
      <c r="A29552" s="35"/>
      <c r="C29552" s="442"/>
      <c r="P29552" s="235"/>
      <c r="AI29552" s="38"/>
    </row>
    <row r="29553" ht="15.75" customHeight="1">
      <c r="A29553" s="35"/>
      <c r="C29553" s="442"/>
      <c r="P29553" s="235"/>
      <c r="AI29553" s="38"/>
    </row>
    <row r="29554" ht="15.75" customHeight="1">
      <c r="A29554" s="35"/>
      <c r="C29554" s="442"/>
      <c r="P29554" s="235"/>
      <c r="AI29554" s="38"/>
    </row>
    <row r="29555" ht="15.75" customHeight="1">
      <c r="A29555" s="35"/>
      <c r="C29555" s="442"/>
      <c r="P29555" s="235"/>
      <c r="AI29555" s="38"/>
    </row>
    <row r="29556" ht="15.75" customHeight="1">
      <c r="A29556" s="35"/>
      <c r="C29556" s="442"/>
      <c r="P29556" s="235"/>
      <c r="AI29556" s="38"/>
    </row>
    <row r="29557" ht="15.75" customHeight="1">
      <c r="A29557" s="35"/>
      <c r="C29557" s="442"/>
      <c r="P29557" s="235"/>
      <c r="AI29557" s="38"/>
    </row>
    <row r="29558" ht="15.75" customHeight="1">
      <c r="A29558" s="35"/>
      <c r="C29558" s="442"/>
      <c r="P29558" s="235"/>
      <c r="AI29558" s="38"/>
    </row>
    <row r="29559" ht="15.75" customHeight="1">
      <c r="A29559" s="35"/>
      <c r="C29559" s="442"/>
      <c r="P29559" s="235"/>
      <c r="AI29559" s="38"/>
    </row>
    <row r="29560" ht="15.75" customHeight="1">
      <c r="A29560" s="35"/>
      <c r="C29560" s="442"/>
      <c r="P29560" s="235"/>
      <c r="AI29560" s="38"/>
    </row>
    <row r="29561" ht="15.75" customHeight="1">
      <c r="A29561" s="35"/>
      <c r="C29561" s="442"/>
      <c r="P29561" s="235"/>
      <c r="AI29561" s="38"/>
    </row>
    <row r="29562" ht="15.75" customHeight="1">
      <c r="A29562" s="35"/>
      <c r="C29562" s="442"/>
      <c r="P29562" s="235"/>
      <c r="AI29562" s="38"/>
    </row>
    <row r="29563" ht="15.75" customHeight="1">
      <c r="A29563" s="35"/>
      <c r="C29563" s="442"/>
      <c r="P29563" s="235"/>
      <c r="AI29563" s="38"/>
    </row>
    <row r="29564" ht="15.75" customHeight="1">
      <c r="A29564" s="35"/>
      <c r="C29564" s="442"/>
      <c r="P29564" s="235"/>
      <c r="AI29564" s="38"/>
    </row>
    <row r="29565" ht="15.75" customHeight="1">
      <c r="A29565" s="35"/>
      <c r="C29565" s="442"/>
      <c r="P29565" s="235"/>
      <c r="AI29565" s="38"/>
    </row>
    <row r="29566" ht="15.75" customHeight="1">
      <c r="A29566" s="35"/>
      <c r="C29566" s="442"/>
      <c r="P29566" s="235"/>
      <c r="AI29566" s="38"/>
    </row>
    <row r="29567" ht="15.75" customHeight="1">
      <c r="A29567" s="35"/>
      <c r="C29567" s="442"/>
      <c r="P29567" s="235"/>
      <c r="AI29567" s="38"/>
    </row>
    <row r="29568" ht="15.75" customHeight="1">
      <c r="A29568" s="35"/>
      <c r="C29568" s="442"/>
      <c r="P29568" s="235"/>
      <c r="AI29568" s="38"/>
    </row>
    <row r="29569" ht="15.75" customHeight="1">
      <c r="A29569" s="35"/>
      <c r="C29569" s="442"/>
      <c r="P29569" s="235"/>
      <c r="AI29569" s="38"/>
    </row>
    <row r="29570" ht="15.75" customHeight="1">
      <c r="A29570" s="35"/>
      <c r="C29570" s="442"/>
      <c r="P29570" s="235"/>
      <c r="AI29570" s="38"/>
    </row>
    <row r="29571" ht="15.75" customHeight="1">
      <c r="A29571" s="35"/>
      <c r="C29571" s="442"/>
      <c r="P29571" s="235"/>
      <c r="AI29571" s="38"/>
    </row>
    <row r="29572" ht="15.75" customHeight="1">
      <c r="A29572" s="35"/>
      <c r="C29572" s="442"/>
      <c r="P29572" s="235"/>
      <c r="AI29572" s="38"/>
    </row>
    <row r="29573" ht="15.75" customHeight="1">
      <c r="A29573" s="35"/>
      <c r="C29573" s="442"/>
      <c r="P29573" s="235"/>
      <c r="AI29573" s="38"/>
    </row>
    <row r="29574" ht="15.75" customHeight="1">
      <c r="A29574" s="35"/>
      <c r="C29574" s="442"/>
      <c r="P29574" s="235"/>
      <c r="AI29574" s="38"/>
    </row>
    <row r="29575" ht="15.75" customHeight="1">
      <c r="A29575" s="35"/>
      <c r="C29575" s="442"/>
      <c r="P29575" s="235"/>
      <c r="AI29575" s="38"/>
    </row>
    <row r="29576" ht="15.75" customHeight="1">
      <c r="A29576" s="35"/>
      <c r="C29576" s="442"/>
      <c r="P29576" s="235"/>
      <c r="AI29576" s="38"/>
    </row>
    <row r="29577" ht="15.75" customHeight="1">
      <c r="A29577" s="35"/>
      <c r="C29577" s="442"/>
      <c r="P29577" s="235"/>
      <c r="AI29577" s="38"/>
    </row>
    <row r="29578" ht="15.75" customHeight="1">
      <c r="A29578" s="35"/>
      <c r="C29578" s="442"/>
      <c r="P29578" s="235"/>
      <c r="AI29578" s="38"/>
    </row>
    <row r="29579" ht="15.75" customHeight="1">
      <c r="A29579" s="35"/>
      <c r="C29579" s="442"/>
      <c r="P29579" s="235"/>
      <c r="AI29579" s="38"/>
    </row>
    <row r="29580" ht="15.75" customHeight="1">
      <c r="A29580" s="35"/>
      <c r="C29580" s="442"/>
      <c r="P29580" s="235"/>
      <c r="AI29580" s="38"/>
    </row>
    <row r="29581" ht="15.75" customHeight="1">
      <c r="A29581" s="35"/>
      <c r="C29581" s="442"/>
      <c r="P29581" s="235"/>
      <c r="AI29581" s="38"/>
    </row>
    <row r="29582" ht="15.75" customHeight="1">
      <c r="A29582" s="35"/>
      <c r="C29582" s="442"/>
      <c r="P29582" s="235"/>
      <c r="AI29582" s="38"/>
    </row>
    <row r="29583" ht="15.75" customHeight="1">
      <c r="A29583" s="35"/>
      <c r="C29583" s="442"/>
      <c r="P29583" s="235"/>
      <c r="AI29583" s="38"/>
    </row>
    <row r="29584" ht="15.75" customHeight="1">
      <c r="A29584" s="35"/>
      <c r="C29584" s="442"/>
      <c r="P29584" s="235"/>
      <c r="AI29584" s="38"/>
    </row>
    <row r="29585" ht="15.75" customHeight="1">
      <c r="A29585" s="35"/>
      <c r="C29585" s="442"/>
      <c r="P29585" s="235"/>
      <c r="AI29585" s="38"/>
    </row>
    <row r="29586" ht="15.75" customHeight="1">
      <c r="A29586" s="35"/>
      <c r="C29586" s="442"/>
      <c r="P29586" s="235"/>
      <c r="AI29586" s="38"/>
    </row>
    <row r="29587" ht="15.75" customHeight="1">
      <c r="A29587" s="35"/>
      <c r="C29587" s="442"/>
      <c r="P29587" s="235"/>
      <c r="AI29587" s="38"/>
    </row>
    <row r="29588" ht="15.75" customHeight="1">
      <c r="A29588" s="35"/>
      <c r="C29588" s="442"/>
      <c r="P29588" s="235"/>
      <c r="AI29588" s="38"/>
    </row>
    <row r="29589" ht="15.75" customHeight="1">
      <c r="A29589" s="35"/>
      <c r="C29589" s="442"/>
      <c r="P29589" s="235"/>
      <c r="AI29589" s="38"/>
    </row>
    <row r="29590" ht="15.75" customHeight="1">
      <c r="A29590" s="35"/>
      <c r="C29590" s="442"/>
      <c r="P29590" s="235"/>
      <c r="AI29590" s="38"/>
    </row>
    <row r="29591" ht="15.75" customHeight="1">
      <c r="A29591" s="35"/>
      <c r="C29591" s="442"/>
      <c r="P29591" s="235"/>
      <c r="AI29591" s="38"/>
    </row>
    <row r="29592" ht="15.75" customHeight="1">
      <c r="A29592" s="35"/>
      <c r="C29592" s="442"/>
      <c r="P29592" s="235"/>
      <c r="AI29592" s="38"/>
    </row>
    <row r="29593" ht="15.75" customHeight="1">
      <c r="A29593" s="35"/>
      <c r="C29593" s="442"/>
      <c r="P29593" s="235"/>
      <c r="AI29593" s="38"/>
    </row>
    <row r="29594" ht="15.75" customHeight="1">
      <c r="A29594" s="35"/>
      <c r="C29594" s="442"/>
      <c r="P29594" s="235"/>
      <c r="AI29594" s="38"/>
    </row>
    <row r="29595" ht="15.75" customHeight="1">
      <c r="A29595" s="35"/>
      <c r="C29595" s="442"/>
      <c r="P29595" s="235"/>
      <c r="AI29595" s="38"/>
    </row>
    <row r="29596" ht="15.75" customHeight="1">
      <c r="A29596" s="35"/>
      <c r="C29596" s="442"/>
      <c r="P29596" s="235"/>
      <c r="AI29596" s="38"/>
    </row>
    <row r="29597" ht="15.75" customHeight="1">
      <c r="A29597" s="35"/>
      <c r="C29597" s="442"/>
      <c r="P29597" s="235"/>
      <c r="AI29597" s="38"/>
    </row>
    <row r="29598" ht="15.75" customHeight="1">
      <c r="A29598" s="35"/>
      <c r="C29598" s="442"/>
      <c r="P29598" s="235"/>
      <c r="AI29598" s="38"/>
    </row>
    <row r="29599" ht="15.75" customHeight="1">
      <c r="A29599" s="35"/>
      <c r="C29599" s="442"/>
      <c r="P29599" s="235"/>
      <c r="AI29599" s="38"/>
    </row>
    <row r="29600" ht="15.75" customHeight="1">
      <c r="A29600" s="35"/>
      <c r="C29600" s="442"/>
      <c r="P29600" s="235"/>
      <c r="AI29600" s="38"/>
    </row>
    <row r="29601" ht="15.75" customHeight="1">
      <c r="A29601" s="35"/>
      <c r="C29601" s="442"/>
      <c r="P29601" s="235"/>
      <c r="AI29601" s="38"/>
    </row>
    <row r="29602" ht="15.75" customHeight="1">
      <c r="A29602" s="35"/>
      <c r="C29602" s="442"/>
      <c r="P29602" s="235"/>
      <c r="AI29602" s="38"/>
    </row>
    <row r="29603" ht="15.75" customHeight="1">
      <c r="A29603" s="35"/>
      <c r="C29603" s="442"/>
      <c r="P29603" s="235"/>
      <c r="AI29603" s="38"/>
    </row>
    <row r="29604" ht="15.75" customHeight="1">
      <c r="A29604" s="35"/>
      <c r="C29604" s="442"/>
      <c r="P29604" s="235"/>
      <c r="AI29604" s="38"/>
    </row>
    <row r="29605" ht="15.75" customHeight="1">
      <c r="A29605" s="35"/>
      <c r="C29605" s="442"/>
      <c r="P29605" s="235"/>
      <c r="AI29605" s="38"/>
    </row>
    <row r="29606" ht="15.75" customHeight="1">
      <c r="A29606" s="35"/>
      <c r="C29606" s="442"/>
      <c r="P29606" s="235"/>
      <c r="AI29606" s="38"/>
    </row>
    <row r="29607" ht="15.75" customHeight="1">
      <c r="A29607" s="35"/>
      <c r="C29607" s="442"/>
      <c r="P29607" s="235"/>
      <c r="AI29607" s="38"/>
    </row>
    <row r="29608" ht="15.75" customHeight="1">
      <c r="A29608" s="35"/>
      <c r="C29608" s="442"/>
      <c r="P29608" s="235"/>
      <c r="AI29608" s="38"/>
    </row>
    <row r="29609" ht="15.75" customHeight="1">
      <c r="A29609" s="35"/>
      <c r="C29609" s="442"/>
      <c r="P29609" s="235"/>
      <c r="AI29609" s="38"/>
    </row>
    <row r="29610" ht="15.75" customHeight="1">
      <c r="A29610" s="35"/>
      <c r="C29610" s="442"/>
      <c r="P29610" s="235"/>
      <c r="AI29610" s="38"/>
    </row>
    <row r="29611" ht="15.75" customHeight="1">
      <c r="A29611" s="35"/>
      <c r="C29611" s="442"/>
      <c r="P29611" s="235"/>
      <c r="AI29611" s="38"/>
    </row>
    <row r="29612" ht="15.75" customHeight="1">
      <c r="A29612" s="35"/>
      <c r="C29612" s="442"/>
      <c r="P29612" s="235"/>
      <c r="AI29612" s="38"/>
    </row>
    <row r="29613" ht="15.75" customHeight="1">
      <c r="A29613" s="35"/>
      <c r="C29613" s="442"/>
      <c r="P29613" s="235"/>
      <c r="AI29613" s="38"/>
    </row>
    <row r="29614" ht="15.75" customHeight="1">
      <c r="A29614" s="35"/>
      <c r="C29614" s="442"/>
      <c r="P29614" s="235"/>
      <c r="AI29614" s="38"/>
    </row>
    <row r="29615" ht="15.75" customHeight="1">
      <c r="A29615" s="35"/>
      <c r="C29615" s="442"/>
      <c r="P29615" s="235"/>
      <c r="AI29615" s="38"/>
    </row>
    <row r="29616" ht="15.75" customHeight="1">
      <c r="A29616" s="35"/>
      <c r="C29616" s="442"/>
      <c r="P29616" s="235"/>
      <c r="AI29616" s="38"/>
    </row>
    <row r="29617" ht="15.75" customHeight="1">
      <c r="A29617" s="35"/>
      <c r="C29617" s="442"/>
      <c r="P29617" s="235"/>
      <c r="AI29617" s="38"/>
    </row>
    <row r="29618" ht="15.75" customHeight="1">
      <c r="A29618" s="35"/>
      <c r="C29618" s="442"/>
      <c r="P29618" s="235"/>
      <c r="AI29618" s="38"/>
    </row>
    <row r="29619" ht="15.75" customHeight="1">
      <c r="A29619" s="35"/>
      <c r="C29619" s="442"/>
      <c r="P29619" s="235"/>
      <c r="AI29619" s="38"/>
    </row>
    <row r="29620" ht="15.75" customHeight="1">
      <c r="A29620" s="35"/>
      <c r="C29620" s="442"/>
      <c r="P29620" s="235"/>
      <c r="AI29620" s="38"/>
    </row>
    <row r="29621" ht="15.75" customHeight="1">
      <c r="A29621" s="35"/>
      <c r="C29621" s="442"/>
      <c r="P29621" s="235"/>
      <c r="AI29621" s="38"/>
    </row>
    <row r="29622" ht="15.75" customHeight="1">
      <c r="A29622" s="35"/>
      <c r="C29622" s="442"/>
      <c r="P29622" s="235"/>
      <c r="AI29622" s="38"/>
    </row>
    <row r="29623" ht="15.75" customHeight="1">
      <c r="A29623" s="35"/>
      <c r="C29623" s="442"/>
      <c r="P29623" s="235"/>
      <c r="AI29623" s="38"/>
    </row>
    <row r="29624" ht="15.75" customHeight="1">
      <c r="A29624" s="35"/>
      <c r="C29624" s="442"/>
      <c r="P29624" s="235"/>
      <c r="AI29624" s="38"/>
    </row>
    <row r="29625" ht="15.75" customHeight="1">
      <c r="A29625" s="35"/>
      <c r="C29625" s="442"/>
      <c r="P29625" s="235"/>
      <c r="AI29625" s="38"/>
    </row>
    <row r="29626" ht="15.75" customHeight="1">
      <c r="A29626" s="35"/>
      <c r="C29626" s="442"/>
      <c r="P29626" s="235"/>
      <c r="AI29626" s="38"/>
    </row>
    <row r="29627" ht="15.75" customHeight="1">
      <c r="A29627" s="35"/>
      <c r="C29627" s="442"/>
      <c r="P29627" s="235"/>
      <c r="AI29627" s="38"/>
    </row>
    <row r="29628" ht="15.75" customHeight="1">
      <c r="A29628" s="35"/>
      <c r="C29628" s="442"/>
      <c r="P29628" s="235"/>
      <c r="AI29628" s="38"/>
    </row>
    <row r="29629" ht="15.75" customHeight="1">
      <c r="A29629" s="35"/>
      <c r="C29629" s="442"/>
      <c r="P29629" s="235"/>
      <c r="AI29629" s="38"/>
    </row>
    <row r="29630" ht="15.75" customHeight="1">
      <c r="A29630" s="35"/>
      <c r="C29630" s="442"/>
      <c r="P29630" s="235"/>
      <c r="AI29630" s="38"/>
    </row>
    <row r="29631" ht="15.75" customHeight="1">
      <c r="A29631" s="35"/>
      <c r="C29631" s="442"/>
      <c r="P29631" s="235"/>
      <c r="AI29631" s="38"/>
    </row>
    <row r="29632" ht="15.75" customHeight="1">
      <c r="A29632" s="35"/>
      <c r="C29632" s="442"/>
      <c r="P29632" s="235"/>
      <c r="AI29632" s="38"/>
    </row>
    <row r="29633" ht="15.75" customHeight="1">
      <c r="A29633" s="35"/>
      <c r="C29633" s="442"/>
      <c r="P29633" s="235"/>
      <c r="AI29633" s="38"/>
    </row>
    <row r="29634" ht="15.75" customHeight="1">
      <c r="A29634" s="35"/>
      <c r="C29634" s="442"/>
      <c r="P29634" s="235"/>
      <c r="AI29634" s="38"/>
    </row>
    <row r="29635" ht="15.75" customHeight="1">
      <c r="A29635" s="35"/>
      <c r="C29635" s="442"/>
      <c r="P29635" s="235"/>
      <c r="AI29635" s="38"/>
    </row>
    <row r="29636" ht="15.75" customHeight="1">
      <c r="A29636" s="35"/>
      <c r="C29636" s="442"/>
      <c r="P29636" s="235"/>
      <c r="AI29636" s="38"/>
    </row>
    <row r="29637" ht="15.75" customHeight="1">
      <c r="A29637" s="35"/>
      <c r="C29637" s="442"/>
      <c r="P29637" s="235"/>
      <c r="AI29637" s="38"/>
    </row>
    <row r="29638" ht="15.75" customHeight="1">
      <c r="A29638" s="35"/>
      <c r="C29638" s="442"/>
      <c r="P29638" s="235"/>
      <c r="AI29638" s="38"/>
    </row>
    <row r="29639" ht="15.75" customHeight="1">
      <c r="A29639" s="35"/>
      <c r="C29639" s="442"/>
      <c r="P29639" s="235"/>
      <c r="AI29639" s="38"/>
    </row>
    <row r="29640" ht="15.75" customHeight="1">
      <c r="A29640" s="35"/>
      <c r="C29640" s="442"/>
      <c r="P29640" s="235"/>
      <c r="AI29640" s="38"/>
    </row>
    <row r="29641" ht="15.75" customHeight="1">
      <c r="A29641" s="35"/>
      <c r="C29641" s="442"/>
      <c r="P29641" s="235"/>
      <c r="AI29641" s="38"/>
    </row>
    <row r="29642" ht="15.75" customHeight="1">
      <c r="A29642" s="35"/>
      <c r="C29642" s="442"/>
      <c r="P29642" s="235"/>
      <c r="AI29642" s="38"/>
    </row>
    <row r="29643" ht="15.75" customHeight="1">
      <c r="A29643" s="35"/>
      <c r="C29643" s="442"/>
      <c r="P29643" s="235"/>
      <c r="AI29643" s="38"/>
    </row>
    <row r="29644" ht="15.75" customHeight="1">
      <c r="A29644" s="35"/>
      <c r="C29644" s="442"/>
      <c r="P29644" s="235"/>
      <c r="AI29644" s="38"/>
    </row>
    <row r="29645" ht="15.75" customHeight="1">
      <c r="A29645" s="35"/>
      <c r="C29645" s="442"/>
      <c r="P29645" s="235"/>
      <c r="AI29645" s="38"/>
    </row>
    <row r="29646" ht="15.75" customHeight="1">
      <c r="A29646" s="35"/>
      <c r="C29646" s="442"/>
      <c r="P29646" s="235"/>
      <c r="AI29646" s="38"/>
    </row>
    <row r="29647" ht="15.75" customHeight="1">
      <c r="A29647" s="35"/>
      <c r="C29647" s="442"/>
      <c r="P29647" s="235"/>
      <c r="AI29647" s="38"/>
    </row>
    <row r="29648" ht="15.75" customHeight="1">
      <c r="A29648" s="35"/>
      <c r="C29648" s="442"/>
      <c r="P29648" s="235"/>
      <c r="AI29648" s="38"/>
    </row>
    <row r="29649" ht="15.75" customHeight="1">
      <c r="A29649" s="35"/>
      <c r="C29649" s="442"/>
      <c r="P29649" s="235"/>
      <c r="AI29649" s="38"/>
    </row>
    <row r="29650" ht="15.75" customHeight="1">
      <c r="A29650" s="35"/>
      <c r="C29650" s="442"/>
      <c r="P29650" s="235"/>
      <c r="AI29650" s="38"/>
    </row>
    <row r="29651" ht="15.75" customHeight="1">
      <c r="A29651" s="35"/>
      <c r="C29651" s="442"/>
      <c r="P29651" s="235"/>
      <c r="AI29651" s="38"/>
    </row>
    <row r="29652" ht="15.75" customHeight="1">
      <c r="A29652" s="35"/>
      <c r="C29652" s="442"/>
      <c r="P29652" s="235"/>
      <c r="AI29652" s="38"/>
    </row>
    <row r="29653" ht="15.75" customHeight="1">
      <c r="A29653" s="35"/>
      <c r="C29653" s="442"/>
      <c r="P29653" s="235"/>
      <c r="AI29653" s="38"/>
    </row>
    <row r="29654" ht="15.75" customHeight="1">
      <c r="A29654" s="35"/>
      <c r="C29654" s="442"/>
      <c r="P29654" s="235"/>
      <c r="AI29654" s="38"/>
    </row>
    <row r="29655" ht="15.75" customHeight="1">
      <c r="A29655" s="35"/>
      <c r="C29655" s="442"/>
      <c r="P29655" s="235"/>
      <c r="AI29655" s="38"/>
    </row>
    <row r="29656" ht="15.75" customHeight="1">
      <c r="A29656" s="35"/>
      <c r="C29656" s="442"/>
      <c r="P29656" s="235"/>
      <c r="AI29656" s="38"/>
    </row>
    <row r="29657" ht="15.75" customHeight="1">
      <c r="A29657" s="35"/>
      <c r="C29657" s="442"/>
      <c r="P29657" s="235"/>
      <c r="AI29657" s="38"/>
    </row>
    <row r="29658" ht="15.75" customHeight="1">
      <c r="A29658" s="35"/>
      <c r="C29658" s="442"/>
      <c r="P29658" s="235"/>
      <c r="AI29658" s="38"/>
    </row>
    <row r="29659" ht="15.75" customHeight="1">
      <c r="A29659" s="35"/>
      <c r="C29659" s="442"/>
      <c r="P29659" s="235"/>
      <c r="AI29659" s="38"/>
    </row>
    <row r="29660" ht="15.75" customHeight="1">
      <c r="A29660" s="35"/>
      <c r="C29660" s="442"/>
      <c r="P29660" s="235"/>
      <c r="AI29660" s="38"/>
    </row>
    <row r="29661" ht="15.75" customHeight="1">
      <c r="A29661" s="35"/>
      <c r="C29661" s="442"/>
      <c r="P29661" s="235"/>
      <c r="AI29661" s="38"/>
    </row>
    <row r="29662" ht="15.75" customHeight="1">
      <c r="A29662" s="35"/>
      <c r="C29662" s="442"/>
      <c r="P29662" s="235"/>
      <c r="AI29662" s="38"/>
    </row>
    <row r="29663" ht="15.75" customHeight="1">
      <c r="A29663" s="35"/>
      <c r="C29663" s="442"/>
      <c r="P29663" s="235"/>
      <c r="AI29663" s="38"/>
    </row>
    <row r="29664" ht="15.75" customHeight="1">
      <c r="A29664" s="35"/>
      <c r="C29664" s="442"/>
      <c r="P29664" s="235"/>
      <c r="AI29664" s="38"/>
    </row>
    <row r="29665" ht="15.75" customHeight="1">
      <c r="A29665" s="35"/>
      <c r="C29665" s="442"/>
      <c r="P29665" s="235"/>
      <c r="AI29665" s="38"/>
    </row>
    <row r="29666" ht="15.75" customHeight="1">
      <c r="A29666" s="35"/>
      <c r="C29666" s="442"/>
      <c r="P29666" s="235"/>
      <c r="AI29666" s="38"/>
    </row>
    <row r="29667" ht="15.75" customHeight="1">
      <c r="A29667" s="35"/>
      <c r="C29667" s="442"/>
      <c r="P29667" s="235"/>
      <c r="AI29667" s="38"/>
    </row>
    <row r="29668" ht="15.75" customHeight="1">
      <c r="A29668" s="35"/>
      <c r="C29668" s="442"/>
      <c r="P29668" s="235"/>
      <c r="AI29668" s="38"/>
    </row>
    <row r="29669" ht="15.75" customHeight="1">
      <c r="A29669" s="35"/>
      <c r="C29669" s="442"/>
      <c r="P29669" s="235"/>
      <c r="AI29669" s="38"/>
    </row>
    <row r="29670" ht="15.75" customHeight="1">
      <c r="A29670" s="35"/>
      <c r="C29670" s="442"/>
      <c r="P29670" s="235"/>
      <c r="AI29670" s="38"/>
    </row>
    <row r="29671" ht="15.75" customHeight="1">
      <c r="A29671" s="35"/>
      <c r="C29671" s="442"/>
      <c r="P29671" s="235"/>
      <c r="AI29671" s="38"/>
    </row>
    <row r="29672" ht="15.75" customHeight="1">
      <c r="A29672" s="35"/>
      <c r="C29672" s="442"/>
      <c r="P29672" s="235"/>
      <c r="AI29672" s="38"/>
    </row>
    <row r="29673" ht="15.75" customHeight="1">
      <c r="A29673" s="35"/>
      <c r="C29673" s="442"/>
      <c r="P29673" s="235"/>
      <c r="AI29673" s="38"/>
    </row>
    <row r="29674" ht="15.75" customHeight="1">
      <c r="A29674" s="35"/>
      <c r="C29674" s="442"/>
      <c r="P29674" s="235"/>
      <c r="AI29674" s="38"/>
    </row>
    <row r="29675" ht="15.75" customHeight="1">
      <c r="A29675" s="35"/>
      <c r="C29675" s="442"/>
      <c r="P29675" s="235"/>
      <c r="AI29675" s="38"/>
    </row>
    <row r="29676" ht="15.75" customHeight="1">
      <c r="A29676" s="35"/>
      <c r="C29676" s="442"/>
      <c r="P29676" s="235"/>
      <c r="AI29676" s="38"/>
    </row>
    <row r="29677" ht="15.75" customHeight="1">
      <c r="A29677" s="35"/>
      <c r="C29677" s="442"/>
      <c r="P29677" s="235"/>
      <c r="AI29677" s="38"/>
    </row>
    <row r="29678" ht="15.75" customHeight="1">
      <c r="A29678" s="35"/>
      <c r="C29678" s="442"/>
      <c r="P29678" s="235"/>
      <c r="AI29678" s="38"/>
    </row>
    <row r="29679" ht="15.75" customHeight="1">
      <c r="A29679" s="35"/>
      <c r="C29679" s="442"/>
      <c r="P29679" s="235"/>
      <c r="AI29679" s="38"/>
    </row>
    <row r="29680" ht="15.75" customHeight="1">
      <c r="A29680" s="35"/>
      <c r="C29680" s="442"/>
      <c r="P29680" s="235"/>
      <c r="AI29680" s="38"/>
    </row>
    <row r="29681" ht="15.75" customHeight="1">
      <c r="A29681" s="35"/>
      <c r="C29681" s="442"/>
      <c r="P29681" s="235"/>
      <c r="AI29681" s="38"/>
    </row>
    <row r="29682" ht="15.75" customHeight="1">
      <c r="A29682" s="35"/>
      <c r="C29682" s="442"/>
      <c r="P29682" s="235"/>
      <c r="AI29682" s="38"/>
    </row>
    <row r="29683" ht="15.75" customHeight="1">
      <c r="A29683" s="35"/>
      <c r="C29683" s="442"/>
      <c r="P29683" s="235"/>
      <c r="AI29683" s="38"/>
    </row>
    <row r="29684" ht="15.75" customHeight="1">
      <c r="A29684" s="35"/>
      <c r="C29684" s="442"/>
      <c r="P29684" s="235"/>
      <c r="AI29684" s="38"/>
    </row>
    <row r="29685" ht="15.75" customHeight="1">
      <c r="A29685" s="35"/>
      <c r="C29685" s="442"/>
      <c r="P29685" s="235"/>
      <c r="AI29685" s="38"/>
    </row>
    <row r="29686" ht="15.75" customHeight="1">
      <c r="A29686" s="35"/>
      <c r="C29686" s="442"/>
      <c r="P29686" s="235"/>
      <c r="AI29686" s="38"/>
    </row>
    <row r="29687" ht="15.75" customHeight="1">
      <c r="A29687" s="35"/>
      <c r="C29687" s="442"/>
      <c r="P29687" s="235"/>
      <c r="AI29687" s="38"/>
    </row>
    <row r="29688" ht="15.75" customHeight="1">
      <c r="A29688" s="35"/>
      <c r="C29688" s="442"/>
      <c r="P29688" s="235"/>
      <c r="AI29688" s="38"/>
    </row>
    <row r="29689" ht="15.75" customHeight="1">
      <c r="A29689" s="35"/>
      <c r="C29689" s="442"/>
      <c r="P29689" s="235"/>
      <c r="AI29689" s="38"/>
    </row>
    <row r="29690" ht="15.75" customHeight="1">
      <c r="A29690" s="35"/>
      <c r="C29690" s="442"/>
      <c r="P29690" s="235"/>
      <c r="AI29690" s="38"/>
    </row>
    <row r="29691" ht="15.75" customHeight="1">
      <c r="A29691" s="35"/>
      <c r="C29691" s="442"/>
      <c r="P29691" s="235"/>
      <c r="AI29691" s="38"/>
    </row>
    <row r="29692" ht="15.75" customHeight="1">
      <c r="A29692" s="35"/>
      <c r="C29692" s="442"/>
      <c r="P29692" s="235"/>
      <c r="AI29692" s="38"/>
    </row>
    <row r="29693" ht="15.75" customHeight="1">
      <c r="A29693" s="35"/>
      <c r="C29693" s="442"/>
      <c r="P29693" s="235"/>
      <c r="AI29693" s="38"/>
    </row>
    <row r="29694" ht="15.75" customHeight="1">
      <c r="A29694" s="35"/>
      <c r="C29694" s="442"/>
      <c r="P29694" s="235"/>
      <c r="AI29694" s="38"/>
    </row>
    <row r="29695" ht="15.75" customHeight="1">
      <c r="A29695" s="35"/>
      <c r="C29695" s="442"/>
      <c r="P29695" s="235"/>
      <c r="AI29695" s="38"/>
    </row>
    <row r="29696" ht="15.75" customHeight="1">
      <c r="A29696" s="35"/>
      <c r="C29696" s="442"/>
      <c r="P29696" s="235"/>
      <c r="AI29696" s="38"/>
    </row>
    <row r="29697" ht="15.75" customHeight="1">
      <c r="A29697" s="35"/>
      <c r="C29697" s="442"/>
      <c r="P29697" s="235"/>
      <c r="AI29697" s="38"/>
    </row>
    <row r="29698" ht="15.75" customHeight="1">
      <c r="A29698" s="35"/>
      <c r="C29698" s="442"/>
      <c r="P29698" s="235"/>
      <c r="AI29698" s="38"/>
    </row>
    <row r="29699" ht="15.75" customHeight="1">
      <c r="A29699" s="35"/>
      <c r="C29699" s="442"/>
      <c r="P29699" s="235"/>
      <c r="AI29699" s="38"/>
    </row>
    <row r="29700" ht="15.75" customHeight="1">
      <c r="A29700" s="35"/>
      <c r="C29700" s="442"/>
      <c r="P29700" s="235"/>
      <c r="AI29700" s="38"/>
    </row>
    <row r="29701" ht="15.75" customHeight="1">
      <c r="A29701" s="35"/>
      <c r="C29701" s="442"/>
      <c r="P29701" s="235"/>
      <c r="AI29701" s="38"/>
    </row>
    <row r="29702" ht="15.75" customHeight="1">
      <c r="A29702" s="35"/>
      <c r="C29702" s="442"/>
      <c r="P29702" s="235"/>
      <c r="AI29702" s="38"/>
    </row>
    <row r="29703" ht="15.75" customHeight="1">
      <c r="A29703" s="35"/>
      <c r="C29703" s="442"/>
      <c r="P29703" s="235"/>
      <c r="AI29703" s="38"/>
    </row>
    <row r="29704" ht="15.75" customHeight="1">
      <c r="A29704" s="35"/>
      <c r="C29704" s="442"/>
      <c r="P29704" s="235"/>
      <c r="AI29704" s="38"/>
    </row>
    <row r="29705" ht="15.75" customHeight="1">
      <c r="A29705" s="35"/>
      <c r="C29705" s="442"/>
      <c r="P29705" s="235"/>
      <c r="AI29705" s="38"/>
    </row>
    <row r="29706" ht="15.75" customHeight="1">
      <c r="A29706" s="35"/>
      <c r="C29706" s="442"/>
      <c r="P29706" s="235"/>
      <c r="AI29706" s="38"/>
    </row>
    <row r="29707" ht="15.75" customHeight="1">
      <c r="A29707" s="35"/>
      <c r="C29707" s="442"/>
      <c r="P29707" s="235"/>
      <c r="AI29707" s="38"/>
    </row>
    <row r="29708" ht="15.75" customHeight="1">
      <c r="A29708" s="35"/>
      <c r="C29708" s="442"/>
      <c r="P29708" s="235"/>
      <c r="AI29708" s="38"/>
    </row>
    <row r="29709" ht="15.75" customHeight="1">
      <c r="A29709" s="35"/>
      <c r="C29709" s="442"/>
      <c r="P29709" s="235"/>
      <c r="AI29709" s="38"/>
    </row>
    <row r="29710" ht="15.75" customHeight="1">
      <c r="A29710" s="35"/>
      <c r="C29710" s="442"/>
      <c r="P29710" s="235"/>
      <c r="AI29710" s="38"/>
    </row>
    <row r="29711" ht="15.75" customHeight="1">
      <c r="A29711" s="35"/>
      <c r="C29711" s="442"/>
      <c r="P29711" s="235"/>
      <c r="AI29711" s="38"/>
    </row>
    <row r="29712" ht="15.75" customHeight="1">
      <c r="A29712" s="35"/>
      <c r="C29712" s="442"/>
      <c r="P29712" s="235"/>
      <c r="AI29712" s="38"/>
    </row>
    <row r="29713" ht="15.75" customHeight="1">
      <c r="A29713" s="35"/>
      <c r="C29713" s="442"/>
      <c r="P29713" s="235"/>
      <c r="AI29713" s="38"/>
    </row>
    <row r="29714" ht="15.75" customHeight="1">
      <c r="A29714" s="35"/>
      <c r="C29714" s="442"/>
      <c r="P29714" s="235"/>
      <c r="AI29714" s="38"/>
    </row>
    <row r="29715" ht="15.75" customHeight="1">
      <c r="A29715" s="35"/>
      <c r="C29715" s="442"/>
      <c r="P29715" s="235"/>
      <c r="AI29715" s="38"/>
    </row>
    <row r="29716" ht="15.75" customHeight="1">
      <c r="A29716" s="35"/>
      <c r="C29716" s="442"/>
      <c r="P29716" s="235"/>
      <c r="AI29716" s="38"/>
    </row>
    <row r="29717" ht="15.75" customHeight="1">
      <c r="A29717" s="35"/>
      <c r="C29717" s="442"/>
      <c r="P29717" s="235"/>
      <c r="AI29717" s="38"/>
    </row>
    <row r="29718" ht="15.75" customHeight="1">
      <c r="A29718" s="35"/>
      <c r="C29718" s="442"/>
      <c r="P29718" s="235"/>
      <c r="AI29718" s="38"/>
    </row>
    <row r="29719" ht="15.75" customHeight="1">
      <c r="A29719" s="35"/>
      <c r="C29719" s="442"/>
      <c r="P29719" s="235"/>
      <c r="AI29719" s="38"/>
    </row>
    <row r="29720" ht="15.75" customHeight="1">
      <c r="A29720" s="35"/>
      <c r="C29720" s="442"/>
      <c r="P29720" s="235"/>
      <c r="AI29720" s="38"/>
    </row>
    <row r="29721" ht="15.75" customHeight="1">
      <c r="A29721" s="35"/>
      <c r="C29721" s="442"/>
      <c r="P29721" s="235"/>
      <c r="AI29721" s="38"/>
    </row>
    <row r="29722" ht="15.75" customHeight="1">
      <c r="A29722" s="35"/>
      <c r="C29722" s="442"/>
      <c r="P29722" s="235"/>
      <c r="AI29722" s="38"/>
    </row>
    <row r="29723" ht="15.75" customHeight="1">
      <c r="A29723" s="35"/>
      <c r="C29723" s="442"/>
      <c r="P29723" s="235"/>
      <c r="AI29723" s="38"/>
    </row>
    <row r="29724" ht="15.75" customHeight="1">
      <c r="A29724" s="35"/>
      <c r="C29724" s="442"/>
      <c r="P29724" s="235"/>
      <c r="AI29724" s="38"/>
    </row>
    <row r="29725" ht="15.75" customHeight="1">
      <c r="A29725" s="35"/>
      <c r="C29725" s="442"/>
      <c r="P29725" s="235"/>
      <c r="AI29725" s="38"/>
    </row>
    <row r="29726" ht="15.75" customHeight="1">
      <c r="A29726" s="35"/>
      <c r="C29726" s="442"/>
      <c r="P29726" s="235"/>
      <c r="AI29726" s="38"/>
    </row>
    <row r="29727" ht="15.75" customHeight="1">
      <c r="A29727" s="35"/>
      <c r="C29727" s="442"/>
      <c r="P29727" s="235"/>
      <c r="AI29727" s="38"/>
    </row>
    <row r="29728" ht="15.75" customHeight="1">
      <c r="A29728" s="35"/>
      <c r="C29728" s="442"/>
      <c r="P29728" s="235"/>
      <c r="AI29728" s="38"/>
    </row>
    <row r="29729" ht="15.75" customHeight="1">
      <c r="A29729" s="35"/>
      <c r="C29729" s="442"/>
      <c r="P29729" s="235"/>
      <c r="AI29729" s="38"/>
    </row>
    <row r="29730" ht="15.75" customHeight="1">
      <c r="A29730" s="35"/>
      <c r="C29730" s="442"/>
      <c r="P29730" s="235"/>
      <c r="AI29730" s="38"/>
    </row>
    <row r="29731" ht="15.75" customHeight="1">
      <c r="A29731" s="35"/>
      <c r="C29731" s="442"/>
      <c r="P29731" s="235"/>
      <c r="AI29731" s="38"/>
    </row>
    <row r="29732" ht="15.75" customHeight="1">
      <c r="A29732" s="35"/>
      <c r="C29732" s="442"/>
      <c r="P29732" s="235"/>
      <c r="AI29732" s="38"/>
    </row>
    <row r="29733" ht="15.75" customHeight="1">
      <c r="A29733" s="35"/>
      <c r="C29733" s="442"/>
      <c r="P29733" s="235"/>
      <c r="AI29733" s="38"/>
    </row>
    <row r="29734" ht="15.75" customHeight="1">
      <c r="A29734" s="35"/>
      <c r="C29734" s="442"/>
      <c r="P29734" s="235"/>
      <c r="AI29734" s="38"/>
    </row>
    <row r="29735" ht="15.75" customHeight="1">
      <c r="A29735" s="35"/>
      <c r="C29735" s="442"/>
      <c r="P29735" s="235"/>
      <c r="AI29735" s="38"/>
    </row>
    <row r="29736" ht="15.75" customHeight="1">
      <c r="A29736" s="35"/>
      <c r="C29736" s="442"/>
      <c r="P29736" s="235"/>
      <c r="AI29736" s="38"/>
    </row>
    <row r="29737" ht="15.75" customHeight="1">
      <c r="A29737" s="35"/>
      <c r="C29737" s="442"/>
      <c r="P29737" s="235"/>
      <c r="AI29737" s="38"/>
    </row>
    <row r="29738" ht="15.75" customHeight="1">
      <c r="A29738" s="35"/>
      <c r="C29738" s="442"/>
      <c r="P29738" s="235"/>
      <c r="AI29738" s="38"/>
    </row>
    <row r="29739" ht="15.75" customHeight="1">
      <c r="A29739" s="35"/>
      <c r="C29739" s="442"/>
      <c r="P29739" s="235"/>
      <c r="AI29739" s="38"/>
    </row>
    <row r="29740" ht="15.75" customHeight="1">
      <c r="A29740" s="35"/>
      <c r="C29740" s="442"/>
      <c r="P29740" s="235"/>
      <c r="AI29740" s="38"/>
    </row>
    <row r="29741" ht="15.75" customHeight="1">
      <c r="A29741" s="35"/>
      <c r="C29741" s="442"/>
      <c r="P29741" s="235"/>
      <c r="AI29741" s="38"/>
    </row>
    <row r="29742" ht="15.75" customHeight="1">
      <c r="A29742" s="35"/>
      <c r="C29742" s="442"/>
      <c r="P29742" s="235"/>
      <c r="AI29742" s="38"/>
    </row>
    <row r="29743" ht="15.75" customHeight="1">
      <c r="A29743" s="35"/>
      <c r="C29743" s="442"/>
      <c r="P29743" s="235"/>
      <c r="AI29743" s="38"/>
    </row>
    <row r="29744" ht="15.75" customHeight="1">
      <c r="A29744" s="35"/>
      <c r="C29744" s="442"/>
      <c r="P29744" s="235"/>
      <c r="AI29744" s="38"/>
    </row>
    <row r="29745" ht="15.75" customHeight="1">
      <c r="A29745" s="35"/>
      <c r="C29745" s="442"/>
      <c r="P29745" s="235"/>
      <c r="AI29745" s="38"/>
    </row>
    <row r="29746" ht="15.75" customHeight="1">
      <c r="A29746" s="35"/>
      <c r="C29746" s="442"/>
      <c r="P29746" s="235"/>
      <c r="AI29746" s="38"/>
    </row>
    <row r="29747" ht="15.75" customHeight="1">
      <c r="A29747" s="35"/>
      <c r="C29747" s="442"/>
      <c r="P29747" s="235"/>
      <c r="AI29747" s="38"/>
    </row>
    <row r="29748" ht="15.75" customHeight="1">
      <c r="A29748" s="35"/>
      <c r="C29748" s="442"/>
      <c r="P29748" s="235"/>
      <c r="AI29748" s="38"/>
    </row>
    <row r="29749" ht="15.75" customHeight="1">
      <c r="A29749" s="35"/>
      <c r="C29749" s="442"/>
      <c r="P29749" s="235"/>
      <c r="AI29749" s="38"/>
    </row>
    <row r="29750" ht="15.75" customHeight="1">
      <c r="A29750" s="35"/>
      <c r="C29750" s="442"/>
      <c r="P29750" s="235"/>
      <c r="AI29750" s="38"/>
    </row>
    <row r="29751" ht="15.75" customHeight="1">
      <c r="A29751" s="35"/>
      <c r="C29751" s="442"/>
      <c r="P29751" s="235"/>
      <c r="AI29751" s="38"/>
    </row>
    <row r="29752" ht="15.75" customHeight="1">
      <c r="A29752" s="35"/>
      <c r="C29752" s="442"/>
      <c r="P29752" s="235"/>
      <c r="AI29752" s="38"/>
    </row>
    <row r="29753" ht="15.75" customHeight="1">
      <c r="A29753" s="35"/>
      <c r="C29753" s="442"/>
      <c r="P29753" s="235"/>
      <c r="AI29753" s="38"/>
    </row>
    <row r="29754" ht="15.75" customHeight="1">
      <c r="A29754" s="35"/>
      <c r="C29754" s="442"/>
      <c r="P29754" s="235"/>
      <c r="AI29754" s="38"/>
    </row>
    <row r="29755" ht="15.75" customHeight="1">
      <c r="A29755" s="35"/>
      <c r="C29755" s="442"/>
      <c r="P29755" s="235"/>
      <c r="AI29755" s="38"/>
    </row>
    <row r="29756" ht="15.75" customHeight="1">
      <c r="A29756" s="35"/>
      <c r="C29756" s="442"/>
      <c r="P29756" s="235"/>
      <c r="AI29756" s="38"/>
    </row>
    <row r="29757" ht="15.75" customHeight="1">
      <c r="A29757" s="35"/>
      <c r="C29757" s="442"/>
      <c r="P29757" s="235"/>
      <c r="AI29757" s="38"/>
    </row>
    <row r="29758" ht="15.75" customHeight="1">
      <c r="A29758" s="35"/>
      <c r="C29758" s="442"/>
      <c r="P29758" s="235"/>
      <c r="AI29758" s="38"/>
    </row>
    <row r="29759" ht="15.75" customHeight="1">
      <c r="A29759" s="35"/>
      <c r="C29759" s="442"/>
      <c r="P29759" s="235"/>
      <c r="AI29759" s="38"/>
    </row>
    <row r="29760" ht="15.75" customHeight="1">
      <c r="A29760" s="35"/>
      <c r="C29760" s="442"/>
      <c r="P29760" s="235"/>
      <c r="AI29760" s="38"/>
    </row>
    <row r="29761" ht="15.75" customHeight="1">
      <c r="A29761" s="35"/>
      <c r="C29761" s="442"/>
      <c r="P29761" s="235"/>
      <c r="AI29761" s="38"/>
    </row>
    <row r="29762" ht="15.75" customHeight="1">
      <c r="A29762" s="35"/>
      <c r="C29762" s="442"/>
      <c r="P29762" s="235"/>
      <c r="AI29762" s="38"/>
    </row>
    <row r="29763" ht="15.75" customHeight="1">
      <c r="A29763" s="35"/>
      <c r="C29763" s="442"/>
      <c r="P29763" s="235"/>
      <c r="AI29763" s="38"/>
    </row>
    <row r="29764" ht="15.75" customHeight="1">
      <c r="A29764" s="35"/>
      <c r="C29764" s="442"/>
      <c r="P29764" s="235"/>
      <c r="AI29764" s="38"/>
    </row>
    <row r="29765" ht="15.75" customHeight="1">
      <c r="A29765" s="35"/>
      <c r="C29765" s="442"/>
      <c r="P29765" s="235"/>
      <c r="AI29765" s="38"/>
    </row>
    <row r="29766" ht="15.75" customHeight="1">
      <c r="A29766" s="35"/>
      <c r="C29766" s="442"/>
      <c r="P29766" s="235"/>
      <c r="AI29766" s="38"/>
    </row>
    <row r="29767" ht="15.75" customHeight="1">
      <c r="A29767" s="35"/>
      <c r="C29767" s="442"/>
      <c r="P29767" s="235"/>
      <c r="AI29767" s="38"/>
    </row>
    <row r="29768" ht="15.75" customHeight="1">
      <c r="A29768" s="35"/>
      <c r="C29768" s="442"/>
      <c r="P29768" s="235"/>
      <c r="AI29768" s="38"/>
    </row>
    <row r="29769" ht="15.75" customHeight="1">
      <c r="A29769" s="35"/>
      <c r="C29769" s="442"/>
      <c r="P29769" s="235"/>
      <c r="AI29769" s="38"/>
    </row>
    <row r="29770" ht="15.75" customHeight="1">
      <c r="A29770" s="35"/>
      <c r="C29770" s="442"/>
      <c r="P29770" s="235"/>
      <c r="AI29770" s="38"/>
    </row>
    <row r="29771" ht="15.75" customHeight="1">
      <c r="A29771" s="35"/>
      <c r="C29771" s="442"/>
      <c r="P29771" s="235"/>
      <c r="AI29771" s="38"/>
    </row>
    <row r="29772" ht="15.75" customHeight="1">
      <c r="A29772" s="35"/>
      <c r="C29772" s="442"/>
      <c r="P29772" s="235"/>
      <c r="AI29772" s="38"/>
    </row>
    <row r="29773" ht="15.75" customHeight="1">
      <c r="A29773" s="35"/>
      <c r="C29773" s="442"/>
      <c r="P29773" s="235"/>
      <c r="AI29773" s="38"/>
    </row>
    <row r="29774" ht="15.75" customHeight="1">
      <c r="A29774" s="35"/>
      <c r="C29774" s="442"/>
      <c r="P29774" s="235"/>
      <c r="AI29774" s="38"/>
    </row>
    <row r="29775" ht="15.75" customHeight="1">
      <c r="A29775" s="35"/>
      <c r="C29775" s="442"/>
      <c r="P29775" s="235"/>
      <c r="AI29775" s="38"/>
    </row>
    <row r="29776" ht="15.75" customHeight="1">
      <c r="A29776" s="35"/>
      <c r="C29776" s="442"/>
      <c r="P29776" s="235"/>
      <c r="AI29776" s="38"/>
    </row>
    <row r="29777" ht="15.75" customHeight="1">
      <c r="A29777" s="35"/>
      <c r="C29777" s="442"/>
      <c r="P29777" s="235"/>
      <c r="AI29777" s="38"/>
    </row>
    <row r="29778" ht="15.75" customHeight="1">
      <c r="A29778" s="35"/>
      <c r="C29778" s="442"/>
      <c r="P29778" s="235"/>
      <c r="AI29778" s="38"/>
    </row>
    <row r="29779" ht="15.75" customHeight="1">
      <c r="A29779" s="35"/>
      <c r="C29779" s="442"/>
      <c r="P29779" s="235"/>
      <c r="AI29779" s="38"/>
    </row>
    <row r="29780" ht="15.75" customHeight="1">
      <c r="A29780" s="35"/>
      <c r="C29780" s="442"/>
      <c r="P29780" s="235"/>
      <c r="AI29780" s="38"/>
    </row>
    <row r="29781" ht="15.75" customHeight="1">
      <c r="A29781" s="35"/>
      <c r="C29781" s="442"/>
      <c r="P29781" s="235"/>
      <c r="AI29781" s="38"/>
    </row>
    <row r="29782" ht="15.75" customHeight="1">
      <c r="A29782" s="35"/>
      <c r="C29782" s="442"/>
      <c r="P29782" s="235"/>
      <c r="AI29782" s="38"/>
    </row>
    <row r="29783" ht="15.75" customHeight="1">
      <c r="A29783" s="35"/>
      <c r="C29783" s="442"/>
      <c r="P29783" s="235"/>
      <c r="AI29783" s="38"/>
    </row>
    <row r="29784" ht="15.75" customHeight="1">
      <c r="A29784" s="35"/>
      <c r="C29784" s="442"/>
      <c r="P29784" s="235"/>
      <c r="AI29784" s="38"/>
    </row>
    <row r="29785" ht="15.75" customHeight="1">
      <c r="A29785" s="35"/>
      <c r="C29785" s="442"/>
      <c r="P29785" s="235"/>
      <c r="AI29785" s="38"/>
    </row>
    <row r="29786" ht="15.75" customHeight="1">
      <c r="A29786" s="35"/>
      <c r="C29786" s="442"/>
      <c r="P29786" s="235"/>
      <c r="AI29786" s="38"/>
    </row>
    <row r="29787" ht="15.75" customHeight="1">
      <c r="A29787" s="35"/>
      <c r="C29787" s="442"/>
      <c r="P29787" s="235"/>
      <c r="AI29787" s="38"/>
    </row>
    <row r="29788" ht="15.75" customHeight="1">
      <c r="A29788" s="35"/>
      <c r="C29788" s="442"/>
      <c r="P29788" s="235"/>
      <c r="AI29788" s="38"/>
    </row>
    <row r="29789" ht="15.75" customHeight="1">
      <c r="A29789" s="35"/>
      <c r="C29789" s="442"/>
      <c r="P29789" s="235"/>
      <c r="AI29789" s="38"/>
    </row>
    <row r="29790" ht="15.75" customHeight="1">
      <c r="A29790" s="35"/>
      <c r="C29790" s="442"/>
      <c r="P29790" s="235"/>
      <c r="AI29790" s="38"/>
    </row>
    <row r="29791" ht="15.75" customHeight="1">
      <c r="A29791" s="35"/>
      <c r="C29791" s="442"/>
      <c r="P29791" s="235"/>
      <c r="AI29791" s="38"/>
    </row>
    <row r="29792" ht="15.75" customHeight="1">
      <c r="A29792" s="35"/>
      <c r="C29792" s="442"/>
      <c r="P29792" s="235"/>
      <c r="AI29792" s="38"/>
    </row>
    <row r="29793" ht="15.75" customHeight="1">
      <c r="A29793" s="35"/>
      <c r="C29793" s="442"/>
      <c r="P29793" s="235"/>
      <c r="AI29793" s="38"/>
    </row>
    <row r="29794" ht="15.75" customHeight="1">
      <c r="A29794" s="35"/>
      <c r="C29794" s="442"/>
      <c r="P29794" s="235"/>
      <c r="AI29794" s="38"/>
    </row>
    <row r="29795" ht="15.75" customHeight="1">
      <c r="A29795" s="35"/>
      <c r="C29795" s="442"/>
      <c r="P29795" s="235"/>
      <c r="AI29795" s="38"/>
    </row>
    <row r="29796" ht="15.75" customHeight="1">
      <c r="A29796" s="35"/>
      <c r="C29796" s="442"/>
      <c r="P29796" s="235"/>
      <c r="AI29796" s="38"/>
    </row>
    <row r="29797" ht="15.75" customHeight="1">
      <c r="A29797" s="35"/>
      <c r="C29797" s="442"/>
      <c r="P29797" s="235"/>
      <c r="AI29797" s="38"/>
    </row>
    <row r="29798" ht="15.75" customHeight="1">
      <c r="A29798" s="35"/>
      <c r="C29798" s="442"/>
      <c r="P29798" s="235"/>
      <c r="AI29798" s="38"/>
    </row>
    <row r="29799" ht="15.75" customHeight="1">
      <c r="A29799" s="35"/>
      <c r="C29799" s="442"/>
      <c r="P29799" s="235"/>
      <c r="AI29799" s="38"/>
    </row>
    <row r="29800" ht="15.75" customHeight="1">
      <c r="A29800" s="35"/>
      <c r="C29800" s="442"/>
      <c r="P29800" s="235"/>
      <c r="AI29800" s="38"/>
    </row>
    <row r="29801" ht="15.75" customHeight="1">
      <c r="A29801" s="35"/>
      <c r="C29801" s="442"/>
      <c r="P29801" s="235"/>
      <c r="AI29801" s="38"/>
    </row>
    <row r="29802" ht="15.75" customHeight="1">
      <c r="A29802" s="35"/>
      <c r="C29802" s="442"/>
      <c r="P29802" s="235"/>
      <c r="AI29802" s="38"/>
    </row>
    <row r="29803" ht="15.75" customHeight="1">
      <c r="A29803" s="35"/>
      <c r="C29803" s="442"/>
      <c r="P29803" s="235"/>
      <c r="AI29803" s="38"/>
    </row>
    <row r="29804" ht="15.75" customHeight="1">
      <c r="A29804" s="35"/>
      <c r="C29804" s="442"/>
      <c r="P29804" s="235"/>
      <c r="AI29804" s="38"/>
    </row>
    <row r="29805" ht="15.75" customHeight="1">
      <c r="A29805" s="35"/>
      <c r="C29805" s="442"/>
      <c r="P29805" s="235"/>
      <c r="AI29805" s="38"/>
    </row>
    <row r="29806" ht="15.75" customHeight="1">
      <c r="A29806" s="35"/>
      <c r="C29806" s="442"/>
      <c r="P29806" s="235"/>
      <c r="AI29806" s="38"/>
    </row>
    <row r="29807" ht="15.75" customHeight="1">
      <c r="A29807" s="35"/>
      <c r="C29807" s="442"/>
      <c r="P29807" s="235"/>
      <c r="AI29807" s="38"/>
    </row>
    <row r="29808" ht="15.75" customHeight="1">
      <c r="A29808" s="35"/>
      <c r="C29808" s="442"/>
      <c r="P29808" s="235"/>
      <c r="AI29808" s="38"/>
    </row>
    <row r="29809" ht="15.75" customHeight="1">
      <c r="A29809" s="35"/>
      <c r="C29809" s="442"/>
      <c r="P29809" s="235"/>
      <c r="AI29809" s="38"/>
    </row>
    <row r="29810" ht="15.75" customHeight="1">
      <c r="A29810" s="35"/>
      <c r="C29810" s="442"/>
      <c r="P29810" s="235"/>
      <c r="AI29810" s="38"/>
    </row>
    <row r="29811" ht="15.75" customHeight="1">
      <c r="A29811" s="35"/>
      <c r="C29811" s="442"/>
      <c r="P29811" s="235"/>
      <c r="AI29811" s="38"/>
    </row>
    <row r="29812" ht="15.75" customHeight="1">
      <c r="A29812" s="35"/>
      <c r="C29812" s="442"/>
      <c r="P29812" s="235"/>
      <c r="AI29812" s="38"/>
    </row>
    <row r="29813" ht="15.75" customHeight="1">
      <c r="A29813" s="35"/>
      <c r="C29813" s="442"/>
      <c r="P29813" s="235"/>
      <c r="AI29813" s="38"/>
    </row>
    <row r="29814" ht="15.75" customHeight="1">
      <c r="A29814" s="35"/>
      <c r="C29814" s="442"/>
      <c r="P29814" s="235"/>
      <c r="AI29814" s="38"/>
    </row>
    <row r="29815" ht="15.75" customHeight="1">
      <c r="A29815" s="35"/>
      <c r="C29815" s="442"/>
      <c r="P29815" s="235"/>
      <c r="AI29815" s="38"/>
    </row>
    <row r="29816" ht="15.75" customHeight="1">
      <c r="A29816" s="35"/>
      <c r="C29816" s="442"/>
      <c r="P29816" s="235"/>
      <c r="AI29816" s="38"/>
    </row>
    <row r="29817" ht="15.75" customHeight="1">
      <c r="A29817" s="35"/>
      <c r="C29817" s="442"/>
      <c r="P29817" s="235"/>
      <c r="AI29817" s="38"/>
    </row>
    <row r="29818" ht="15.75" customHeight="1">
      <c r="A29818" s="35"/>
      <c r="C29818" s="442"/>
      <c r="P29818" s="235"/>
      <c r="AI29818" s="38"/>
    </row>
    <row r="29819" ht="15.75" customHeight="1">
      <c r="A29819" s="35"/>
      <c r="C29819" s="442"/>
      <c r="P29819" s="235"/>
      <c r="AI29819" s="38"/>
    </row>
    <row r="29820" ht="15.75" customHeight="1">
      <c r="A29820" s="35"/>
      <c r="C29820" s="442"/>
      <c r="P29820" s="235"/>
      <c r="AI29820" s="38"/>
    </row>
    <row r="29821" ht="15.75" customHeight="1">
      <c r="A29821" s="35"/>
      <c r="C29821" s="442"/>
      <c r="P29821" s="235"/>
      <c r="AI29821" s="38"/>
    </row>
    <row r="29822" ht="15.75" customHeight="1">
      <c r="A29822" s="35"/>
      <c r="C29822" s="442"/>
      <c r="P29822" s="235"/>
      <c r="AI29822" s="38"/>
    </row>
    <row r="29823" ht="15.75" customHeight="1">
      <c r="A29823" s="35"/>
      <c r="C29823" s="442"/>
      <c r="P29823" s="235"/>
      <c r="AI29823" s="38"/>
    </row>
    <row r="29824" ht="15.75" customHeight="1">
      <c r="A29824" s="35"/>
      <c r="C29824" s="442"/>
      <c r="P29824" s="235"/>
      <c r="AI29824" s="38"/>
    </row>
    <row r="29825" ht="15.75" customHeight="1">
      <c r="A29825" s="35"/>
      <c r="C29825" s="442"/>
      <c r="P29825" s="235"/>
      <c r="AI29825" s="38"/>
    </row>
    <row r="29826" ht="15.75" customHeight="1">
      <c r="A29826" s="35"/>
      <c r="C29826" s="442"/>
      <c r="P29826" s="235"/>
      <c r="AI29826" s="38"/>
    </row>
    <row r="29827" ht="15.75" customHeight="1">
      <c r="A29827" s="35"/>
      <c r="C29827" s="442"/>
      <c r="P29827" s="235"/>
      <c r="AI29827" s="38"/>
    </row>
    <row r="29828" ht="15.75" customHeight="1">
      <c r="A29828" s="35"/>
      <c r="C29828" s="442"/>
      <c r="P29828" s="235"/>
      <c r="AI29828" s="38"/>
    </row>
    <row r="29829" ht="15.75" customHeight="1">
      <c r="A29829" s="35"/>
      <c r="C29829" s="442"/>
      <c r="P29829" s="235"/>
      <c r="AI29829" s="38"/>
    </row>
    <row r="29830" ht="15.75" customHeight="1">
      <c r="A29830" s="35"/>
      <c r="C29830" s="442"/>
      <c r="P29830" s="235"/>
      <c r="AI29830" s="38"/>
    </row>
    <row r="29831" ht="15.75" customHeight="1">
      <c r="A29831" s="35"/>
      <c r="C29831" s="442"/>
      <c r="P29831" s="235"/>
      <c r="AI29831" s="38"/>
    </row>
    <row r="29832" ht="15.75" customHeight="1">
      <c r="A29832" s="35"/>
      <c r="C29832" s="442"/>
      <c r="P29832" s="235"/>
      <c r="AI29832" s="38"/>
    </row>
    <row r="29833" ht="15.75" customHeight="1">
      <c r="A29833" s="35"/>
      <c r="C29833" s="442"/>
      <c r="P29833" s="235"/>
      <c r="AI29833" s="38"/>
    </row>
    <row r="29834" ht="15.75" customHeight="1">
      <c r="A29834" s="35"/>
      <c r="C29834" s="442"/>
      <c r="P29834" s="235"/>
      <c r="AI29834" s="38"/>
    </row>
    <row r="29835" ht="15.75" customHeight="1">
      <c r="A29835" s="35"/>
      <c r="C29835" s="442"/>
      <c r="P29835" s="235"/>
      <c r="AI29835" s="38"/>
    </row>
    <row r="29836" ht="15.75" customHeight="1">
      <c r="A29836" s="35"/>
      <c r="C29836" s="442"/>
      <c r="P29836" s="235"/>
      <c r="AI29836" s="38"/>
    </row>
    <row r="29837" ht="15.75" customHeight="1">
      <c r="A29837" s="35"/>
      <c r="C29837" s="442"/>
      <c r="P29837" s="235"/>
      <c r="AI29837" s="38"/>
    </row>
    <row r="29838" ht="15.75" customHeight="1">
      <c r="A29838" s="35"/>
      <c r="C29838" s="442"/>
      <c r="P29838" s="235"/>
      <c r="AI29838" s="38"/>
    </row>
    <row r="29839" ht="15.75" customHeight="1">
      <c r="A29839" s="35"/>
      <c r="C29839" s="442"/>
      <c r="P29839" s="235"/>
      <c r="AI29839" s="38"/>
    </row>
    <row r="29840" ht="15.75" customHeight="1">
      <c r="A29840" s="35"/>
      <c r="C29840" s="442"/>
      <c r="P29840" s="235"/>
      <c r="AI29840" s="38"/>
    </row>
    <row r="29841" ht="15.75" customHeight="1">
      <c r="A29841" s="35"/>
      <c r="C29841" s="442"/>
      <c r="P29841" s="235"/>
      <c r="AI29841" s="38"/>
    </row>
    <row r="29842" ht="15.75" customHeight="1">
      <c r="A29842" s="35"/>
      <c r="C29842" s="442"/>
      <c r="P29842" s="235"/>
      <c r="AI29842" s="38"/>
    </row>
    <row r="29843" ht="15.75" customHeight="1">
      <c r="A29843" s="35"/>
      <c r="C29843" s="442"/>
      <c r="P29843" s="235"/>
      <c r="AI29843" s="38"/>
    </row>
    <row r="29844" ht="15.75" customHeight="1">
      <c r="A29844" s="35"/>
      <c r="C29844" s="442"/>
      <c r="P29844" s="235"/>
      <c r="AI29844" s="38"/>
    </row>
    <row r="29845" ht="15.75" customHeight="1">
      <c r="A29845" s="35"/>
      <c r="C29845" s="442"/>
      <c r="P29845" s="235"/>
      <c r="AI29845" s="38"/>
    </row>
    <row r="29846" ht="15.75" customHeight="1">
      <c r="A29846" s="35"/>
      <c r="C29846" s="442"/>
      <c r="P29846" s="235"/>
      <c r="AI29846" s="38"/>
    </row>
    <row r="29847" ht="15.75" customHeight="1">
      <c r="A29847" s="35"/>
      <c r="C29847" s="442"/>
      <c r="P29847" s="235"/>
      <c r="AI29847" s="38"/>
    </row>
    <row r="29848" ht="15.75" customHeight="1">
      <c r="A29848" s="35"/>
      <c r="C29848" s="442"/>
      <c r="P29848" s="235"/>
      <c r="AI29848" s="38"/>
    </row>
    <row r="29849" ht="15.75" customHeight="1">
      <c r="A29849" s="35"/>
      <c r="C29849" s="442"/>
      <c r="P29849" s="235"/>
      <c r="AI29849" s="38"/>
    </row>
    <row r="29850" ht="15.75" customHeight="1">
      <c r="A29850" s="35"/>
      <c r="C29850" s="442"/>
      <c r="P29850" s="235"/>
      <c r="AI29850" s="38"/>
    </row>
    <row r="29851" ht="15.75" customHeight="1">
      <c r="A29851" s="35"/>
      <c r="C29851" s="442"/>
      <c r="P29851" s="235"/>
      <c r="AI29851" s="38"/>
    </row>
    <row r="29852" ht="15.75" customHeight="1">
      <c r="A29852" s="35"/>
      <c r="C29852" s="442"/>
      <c r="P29852" s="235"/>
      <c r="AI29852" s="38"/>
    </row>
    <row r="29853" ht="15.75" customHeight="1">
      <c r="A29853" s="35"/>
      <c r="C29853" s="442"/>
      <c r="P29853" s="235"/>
      <c r="AI29853" s="38"/>
    </row>
    <row r="29854" ht="15.75" customHeight="1">
      <c r="A29854" s="35"/>
      <c r="C29854" s="442"/>
      <c r="P29854" s="235"/>
      <c r="AI29854" s="38"/>
    </row>
    <row r="29855" ht="15.75" customHeight="1">
      <c r="A29855" s="35"/>
      <c r="C29855" s="442"/>
      <c r="P29855" s="235"/>
      <c r="AI29855" s="38"/>
    </row>
    <row r="29856" ht="15.75" customHeight="1">
      <c r="A29856" s="35"/>
      <c r="C29856" s="442"/>
      <c r="P29856" s="235"/>
      <c r="AI29856" s="38"/>
    </row>
    <row r="29857" ht="15.75" customHeight="1">
      <c r="A29857" s="35"/>
      <c r="C29857" s="442"/>
      <c r="P29857" s="235"/>
      <c r="AI29857" s="38"/>
    </row>
    <row r="29858" ht="15.75" customHeight="1">
      <c r="A29858" s="35"/>
      <c r="C29858" s="442"/>
      <c r="P29858" s="235"/>
      <c r="AI29858" s="38"/>
    </row>
    <row r="29859" ht="15.75" customHeight="1">
      <c r="A29859" s="35"/>
      <c r="C29859" s="442"/>
      <c r="P29859" s="235"/>
      <c r="AI29859" s="38"/>
    </row>
    <row r="29860" ht="15.75" customHeight="1">
      <c r="A29860" s="35"/>
      <c r="C29860" s="442"/>
      <c r="P29860" s="235"/>
      <c r="AI29860" s="38"/>
    </row>
    <row r="29861" ht="15.75" customHeight="1">
      <c r="A29861" s="35"/>
      <c r="C29861" s="442"/>
      <c r="P29861" s="235"/>
      <c r="AI29861" s="38"/>
    </row>
    <row r="29862" ht="15.75" customHeight="1">
      <c r="A29862" s="35"/>
      <c r="C29862" s="442"/>
      <c r="P29862" s="235"/>
      <c r="AI29862" s="38"/>
    </row>
    <row r="29863" ht="15.75" customHeight="1">
      <c r="A29863" s="35"/>
      <c r="C29863" s="442"/>
      <c r="P29863" s="235"/>
      <c r="AI29863" s="38"/>
    </row>
    <row r="29864" ht="15.75" customHeight="1">
      <c r="A29864" s="35"/>
      <c r="C29864" s="442"/>
      <c r="P29864" s="235"/>
      <c r="AI29864" s="38"/>
    </row>
    <row r="29865" ht="15.75" customHeight="1">
      <c r="A29865" s="35"/>
      <c r="C29865" s="442"/>
      <c r="P29865" s="235"/>
      <c r="AI29865" s="38"/>
    </row>
    <row r="29866" ht="15.75" customHeight="1">
      <c r="A29866" s="35"/>
      <c r="C29866" s="442"/>
      <c r="P29866" s="235"/>
      <c r="AI29866" s="38"/>
    </row>
    <row r="29867" ht="15.75" customHeight="1">
      <c r="A29867" s="35"/>
      <c r="C29867" s="442"/>
      <c r="P29867" s="235"/>
      <c r="AI29867" s="38"/>
    </row>
    <row r="29868" ht="15.75" customHeight="1">
      <c r="A29868" s="35"/>
      <c r="C29868" s="442"/>
      <c r="P29868" s="235"/>
      <c r="AI29868" s="38"/>
    </row>
    <row r="29869" ht="15.75" customHeight="1">
      <c r="A29869" s="35"/>
      <c r="C29869" s="442"/>
      <c r="P29869" s="235"/>
      <c r="AI29869" s="38"/>
    </row>
    <row r="29870" ht="15.75" customHeight="1">
      <c r="A29870" s="35"/>
      <c r="C29870" s="442"/>
      <c r="P29870" s="235"/>
      <c r="AI29870" s="38"/>
    </row>
    <row r="29871" ht="15.75" customHeight="1">
      <c r="A29871" s="35"/>
      <c r="C29871" s="442"/>
      <c r="P29871" s="235"/>
      <c r="AI29871" s="38"/>
    </row>
    <row r="29872" ht="15.75" customHeight="1">
      <c r="A29872" s="35"/>
      <c r="C29872" s="442"/>
      <c r="P29872" s="235"/>
      <c r="AI29872" s="38"/>
    </row>
    <row r="29873" ht="15.75" customHeight="1">
      <c r="A29873" s="35"/>
      <c r="C29873" s="442"/>
      <c r="P29873" s="235"/>
      <c r="AI29873" s="38"/>
    </row>
    <row r="29874" ht="15.75" customHeight="1">
      <c r="A29874" s="35"/>
      <c r="C29874" s="442"/>
      <c r="P29874" s="235"/>
      <c r="AI29874" s="38"/>
    </row>
    <row r="29875" ht="15.75" customHeight="1">
      <c r="A29875" s="35"/>
      <c r="C29875" s="442"/>
      <c r="P29875" s="235"/>
      <c r="AI29875" s="38"/>
    </row>
    <row r="29876" ht="15.75" customHeight="1">
      <c r="A29876" s="35"/>
      <c r="C29876" s="442"/>
      <c r="P29876" s="235"/>
      <c r="AI29876" s="38"/>
    </row>
    <row r="29877" ht="15.75" customHeight="1">
      <c r="A29877" s="35"/>
      <c r="C29877" s="442"/>
      <c r="P29877" s="235"/>
      <c r="AI29877" s="38"/>
    </row>
    <row r="29878" ht="15.75" customHeight="1">
      <c r="A29878" s="35"/>
      <c r="C29878" s="442"/>
      <c r="P29878" s="235"/>
      <c r="AI29878" s="38"/>
    </row>
    <row r="29879" ht="15.75" customHeight="1">
      <c r="A29879" s="35"/>
      <c r="C29879" s="442"/>
      <c r="P29879" s="235"/>
      <c r="AI29879" s="38"/>
    </row>
    <row r="29880" ht="15.75" customHeight="1">
      <c r="A29880" s="35"/>
      <c r="C29880" s="442"/>
      <c r="P29880" s="235"/>
      <c r="AI29880" s="38"/>
    </row>
    <row r="29881" ht="15.75" customHeight="1">
      <c r="A29881" s="35"/>
      <c r="C29881" s="442"/>
      <c r="P29881" s="235"/>
      <c r="AI29881" s="38"/>
    </row>
    <row r="29882" ht="15.75" customHeight="1">
      <c r="A29882" s="35"/>
      <c r="C29882" s="442"/>
      <c r="P29882" s="235"/>
      <c r="AI29882" s="38"/>
    </row>
    <row r="29883" ht="15.75" customHeight="1">
      <c r="A29883" s="35"/>
      <c r="C29883" s="442"/>
      <c r="P29883" s="235"/>
      <c r="AI29883" s="38"/>
    </row>
    <row r="29884" ht="15.75" customHeight="1">
      <c r="A29884" s="35"/>
      <c r="C29884" s="442"/>
      <c r="P29884" s="235"/>
      <c r="AI29884" s="38"/>
    </row>
    <row r="29885" ht="15.75" customHeight="1">
      <c r="A29885" s="35"/>
      <c r="C29885" s="442"/>
      <c r="P29885" s="235"/>
      <c r="AI29885" s="38"/>
    </row>
    <row r="29886" ht="15.75" customHeight="1">
      <c r="A29886" s="35"/>
      <c r="C29886" s="442"/>
      <c r="P29886" s="235"/>
      <c r="AI29886" s="38"/>
    </row>
    <row r="29887" ht="15.75" customHeight="1">
      <c r="A29887" s="35"/>
      <c r="C29887" s="442"/>
      <c r="P29887" s="235"/>
      <c r="AI29887" s="38"/>
    </row>
    <row r="29888" ht="15.75" customHeight="1">
      <c r="A29888" s="35"/>
      <c r="C29888" s="442"/>
      <c r="P29888" s="235"/>
      <c r="AI29888" s="38"/>
    </row>
    <row r="29889" ht="15.75" customHeight="1">
      <c r="A29889" s="35"/>
      <c r="C29889" s="442"/>
      <c r="P29889" s="235"/>
      <c r="AI29889" s="38"/>
    </row>
    <row r="29890" ht="15.75" customHeight="1">
      <c r="A29890" s="35"/>
      <c r="C29890" s="442"/>
      <c r="P29890" s="235"/>
      <c r="AI29890" s="38"/>
    </row>
    <row r="29891" ht="15.75" customHeight="1">
      <c r="A29891" s="35"/>
      <c r="C29891" s="442"/>
      <c r="P29891" s="235"/>
      <c r="AI29891" s="38"/>
    </row>
    <row r="29892" ht="15.75" customHeight="1">
      <c r="A29892" s="35"/>
      <c r="C29892" s="442"/>
      <c r="P29892" s="235"/>
      <c r="AI29892" s="38"/>
    </row>
    <row r="29893" ht="15.75" customHeight="1">
      <c r="A29893" s="35"/>
      <c r="C29893" s="442"/>
      <c r="P29893" s="235"/>
      <c r="AI29893" s="38"/>
    </row>
    <row r="29894" ht="15.75" customHeight="1">
      <c r="A29894" s="35"/>
      <c r="C29894" s="442"/>
      <c r="P29894" s="235"/>
      <c r="AI29894" s="38"/>
    </row>
    <row r="29895" ht="15.75" customHeight="1">
      <c r="A29895" s="35"/>
      <c r="C29895" s="442"/>
      <c r="P29895" s="235"/>
      <c r="AI29895" s="38"/>
    </row>
    <row r="29896" ht="15.75" customHeight="1">
      <c r="A29896" s="35"/>
      <c r="C29896" s="442"/>
      <c r="P29896" s="235"/>
      <c r="AI29896" s="38"/>
    </row>
    <row r="29897" ht="15.75" customHeight="1">
      <c r="A29897" s="35"/>
      <c r="C29897" s="442"/>
      <c r="P29897" s="235"/>
      <c r="AI29897" s="38"/>
    </row>
    <row r="29898" ht="15.75" customHeight="1">
      <c r="A29898" s="35"/>
      <c r="C29898" s="442"/>
      <c r="P29898" s="235"/>
      <c r="AI29898" s="38"/>
    </row>
    <row r="29899" ht="15.75" customHeight="1">
      <c r="A29899" s="35"/>
      <c r="C29899" s="442"/>
      <c r="P29899" s="235"/>
      <c r="AI29899" s="38"/>
    </row>
    <row r="29900" ht="15.75" customHeight="1">
      <c r="A29900" s="35"/>
      <c r="C29900" s="442"/>
      <c r="P29900" s="235"/>
      <c r="AI29900" s="38"/>
    </row>
    <row r="29901" ht="15.75" customHeight="1">
      <c r="A29901" s="35"/>
      <c r="C29901" s="442"/>
      <c r="P29901" s="235"/>
      <c r="AI29901" s="38"/>
    </row>
    <row r="29902" ht="15.75" customHeight="1">
      <c r="A29902" s="35"/>
      <c r="C29902" s="442"/>
      <c r="P29902" s="235"/>
      <c r="AI29902" s="38"/>
    </row>
    <row r="29903" ht="15.75" customHeight="1">
      <c r="A29903" s="35"/>
      <c r="C29903" s="442"/>
      <c r="P29903" s="235"/>
      <c r="AI29903" s="38"/>
    </row>
    <row r="29904" ht="15.75" customHeight="1">
      <c r="A29904" s="35"/>
      <c r="C29904" s="442"/>
      <c r="P29904" s="235"/>
      <c r="AI29904" s="38"/>
    </row>
    <row r="29905" ht="15.75" customHeight="1">
      <c r="A29905" s="35"/>
      <c r="C29905" s="442"/>
      <c r="P29905" s="235"/>
      <c r="AI29905" s="38"/>
    </row>
    <row r="29906" ht="15.75" customHeight="1">
      <c r="A29906" s="35"/>
      <c r="C29906" s="442"/>
      <c r="P29906" s="235"/>
      <c r="AI29906" s="38"/>
    </row>
    <row r="29907" ht="15.75" customHeight="1">
      <c r="A29907" s="35"/>
      <c r="C29907" s="442"/>
      <c r="P29907" s="235"/>
      <c r="AI29907" s="38"/>
    </row>
    <row r="29908" ht="15.75" customHeight="1">
      <c r="A29908" s="35"/>
      <c r="C29908" s="442"/>
      <c r="P29908" s="235"/>
      <c r="AI29908" s="38"/>
    </row>
    <row r="29909" ht="15.75" customHeight="1">
      <c r="A29909" s="35"/>
      <c r="C29909" s="442"/>
      <c r="P29909" s="235"/>
      <c r="AI29909" s="38"/>
    </row>
    <row r="29910" ht="15.75" customHeight="1">
      <c r="A29910" s="35"/>
      <c r="C29910" s="442"/>
      <c r="P29910" s="235"/>
      <c r="AI29910" s="38"/>
    </row>
    <row r="29911" ht="15.75" customHeight="1">
      <c r="A29911" s="35"/>
      <c r="C29911" s="442"/>
      <c r="P29911" s="235"/>
      <c r="AI29911" s="38"/>
    </row>
    <row r="29912" ht="15.75" customHeight="1">
      <c r="A29912" s="35"/>
      <c r="C29912" s="442"/>
      <c r="P29912" s="235"/>
      <c r="AI29912" s="38"/>
    </row>
    <row r="29913" ht="15.75" customHeight="1">
      <c r="A29913" s="35"/>
      <c r="C29913" s="442"/>
      <c r="P29913" s="235"/>
      <c r="AI29913" s="38"/>
    </row>
    <row r="29914" ht="15.75" customHeight="1">
      <c r="A29914" s="35"/>
      <c r="C29914" s="442"/>
      <c r="P29914" s="235"/>
      <c r="AI29914" s="38"/>
    </row>
    <row r="29915" ht="15.75" customHeight="1">
      <c r="A29915" s="35"/>
      <c r="C29915" s="442"/>
      <c r="P29915" s="235"/>
      <c r="AI29915" s="38"/>
    </row>
    <row r="29916" ht="15.75" customHeight="1">
      <c r="A29916" s="35"/>
      <c r="C29916" s="442"/>
      <c r="P29916" s="235"/>
      <c r="AI29916" s="38"/>
    </row>
    <row r="29917" ht="15.75" customHeight="1">
      <c r="A29917" s="35"/>
      <c r="C29917" s="442"/>
      <c r="P29917" s="235"/>
      <c r="AI29917" s="38"/>
    </row>
    <row r="29918" ht="15.75" customHeight="1">
      <c r="A29918" s="35"/>
      <c r="C29918" s="442"/>
      <c r="P29918" s="235"/>
      <c r="AI29918" s="38"/>
    </row>
    <row r="29919" ht="15.75" customHeight="1">
      <c r="A29919" s="35"/>
      <c r="C29919" s="442"/>
      <c r="P29919" s="235"/>
      <c r="AI29919" s="38"/>
    </row>
    <row r="29920" ht="15.75" customHeight="1">
      <c r="A29920" s="35"/>
      <c r="C29920" s="442"/>
      <c r="P29920" s="235"/>
      <c r="AI29920" s="38"/>
    </row>
    <row r="29921" ht="15.75" customHeight="1">
      <c r="A29921" s="35"/>
      <c r="C29921" s="442"/>
      <c r="P29921" s="235"/>
      <c r="AI29921" s="38"/>
    </row>
    <row r="29922" ht="15.75" customHeight="1">
      <c r="A29922" s="35"/>
      <c r="C29922" s="442"/>
      <c r="P29922" s="235"/>
      <c r="AI29922" s="38"/>
    </row>
    <row r="29923" ht="15.75" customHeight="1">
      <c r="A29923" s="35"/>
      <c r="C29923" s="442"/>
      <c r="P29923" s="235"/>
      <c r="AI29923" s="38"/>
    </row>
    <row r="29924" ht="15.75" customHeight="1">
      <c r="A29924" s="35"/>
      <c r="C29924" s="442"/>
      <c r="P29924" s="235"/>
      <c r="AI29924" s="38"/>
    </row>
    <row r="29925" ht="15.75" customHeight="1">
      <c r="A29925" s="35"/>
      <c r="C29925" s="442"/>
      <c r="P29925" s="235"/>
      <c r="AI29925" s="38"/>
    </row>
    <row r="29926" ht="15.75" customHeight="1">
      <c r="A29926" s="35"/>
      <c r="C29926" s="442"/>
      <c r="P29926" s="235"/>
      <c r="AI29926" s="38"/>
    </row>
    <row r="29927" ht="15.75" customHeight="1">
      <c r="A29927" s="35"/>
      <c r="C29927" s="442"/>
      <c r="P29927" s="235"/>
      <c r="AI29927" s="38"/>
    </row>
    <row r="29928" ht="15.75" customHeight="1">
      <c r="A29928" s="35"/>
      <c r="C29928" s="442"/>
      <c r="P29928" s="235"/>
      <c r="AI29928" s="38"/>
    </row>
    <row r="29929" ht="15.75" customHeight="1">
      <c r="A29929" s="35"/>
      <c r="C29929" s="442"/>
      <c r="P29929" s="235"/>
      <c r="AI29929" s="38"/>
    </row>
    <row r="29930" ht="15.75" customHeight="1">
      <c r="A29930" s="35"/>
      <c r="C29930" s="442"/>
      <c r="P29930" s="235"/>
      <c r="AI29930" s="38"/>
    </row>
    <row r="29931" ht="15.75" customHeight="1">
      <c r="A29931" s="35"/>
      <c r="C29931" s="442"/>
      <c r="P29931" s="235"/>
      <c r="AI29931" s="38"/>
    </row>
    <row r="29932" ht="15.75" customHeight="1">
      <c r="A29932" s="35"/>
      <c r="C29932" s="442"/>
      <c r="P29932" s="235"/>
      <c r="AI29932" s="38"/>
    </row>
    <row r="29933" ht="15.75" customHeight="1">
      <c r="A29933" s="35"/>
      <c r="C29933" s="442"/>
      <c r="P29933" s="235"/>
      <c r="AI29933" s="38"/>
    </row>
    <row r="29934" ht="15.75" customHeight="1">
      <c r="A29934" s="35"/>
      <c r="C29934" s="442"/>
      <c r="P29934" s="235"/>
      <c r="AI29934" s="38"/>
    </row>
    <row r="29935" ht="15.75" customHeight="1">
      <c r="A29935" s="35"/>
      <c r="C29935" s="442"/>
      <c r="P29935" s="235"/>
      <c r="AI29935" s="38"/>
    </row>
    <row r="29936" ht="15.75" customHeight="1">
      <c r="A29936" s="35"/>
      <c r="C29936" s="442"/>
      <c r="P29936" s="235"/>
      <c r="AI29936" s="38"/>
    </row>
    <row r="29937" ht="15.75" customHeight="1">
      <c r="A29937" s="35"/>
      <c r="C29937" s="442"/>
      <c r="P29937" s="235"/>
      <c r="AI29937" s="38"/>
    </row>
    <row r="29938" ht="15.75" customHeight="1">
      <c r="A29938" s="35"/>
      <c r="C29938" s="442"/>
      <c r="P29938" s="235"/>
      <c r="AI29938" s="38"/>
    </row>
    <row r="29939" ht="15.75" customHeight="1">
      <c r="A29939" s="35"/>
      <c r="C29939" s="442"/>
      <c r="P29939" s="235"/>
      <c r="AI29939" s="38"/>
    </row>
    <row r="29940" ht="15.75" customHeight="1">
      <c r="A29940" s="35"/>
      <c r="C29940" s="442"/>
      <c r="P29940" s="235"/>
      <c r="AI29940" s="38"/>
    </row>
    <row r="29941" ht="15.75" customHeight="1">
      <c r="A29941" s="35"/>
      <c r="C29941" s="442"/>
      <c r="P29941" s="235"/>
      <c r="AI29941" s="38"/>
    </row>
    <row r="29942" ht="15.75" customHeight="1">
      <c r="A29942" s="35"/>
      <c r="C29942" s="442"/>
      <c r="P29942" s="235"/>
      <c r="AI29942" s="38"/>
    </row>
    <row r="29943" ht="15.75" customHeight="1">
      <c r="A29943" s="35"/>
      <c r="C29943" s="442"/>
      <c r="P29943" s="235"/>
      <c r="AI29943" s="38"/>
    </row>
    <row r="29944" ht="15.75" customHeight="1">
      <c r="A29944" s="35"/>
      <c r="C29944" s="442"/>
      <c r="P29944" s="235"/>
      <c r="AI29944" s="38"/>
    </row>
    <row r="29945" ht="15.75" customHeight="1">
      <c r="A29945" s="35"/>
      <c r="C29945" s="442"/>
      <c r="P29945" s="235"/>
      <c r="AI29945" s="38"/>
    </row>
    <row r="29946" ht="15.75" customHeight="1">
      <c r="A29946" s="35"/>
      <c r="C29946" s="442"/>
      <c r="P29946" s="235"/>
      <c r="AI29946" s="38"/>
    </row>
    <row r="29947" ht="15.75" customHeight="1">
      <c r="A29947" s="35"/>
      <c r="C29947" s="442"/>
      <c r="P29947" s="235"/>
      <c r="AI29947" s="38"/>
    </row>
    <row r="29948" ht="15.75" customHeight="1">
      <c r="A29948" s="35"/>
      <c r="C29948" s="442"/>
      <c r="P29948" s="235"/>
      <c r="AI29948" s="38"/>
    </row>
    <row r="29949" ht="15.75" customHeight="1">
      <c r="A29949" s="35"/>
      <c r="C29949" s="442"/>
      <c r="P29949" s="235"/>
      <c r="AI29949" s="38"/>
    </row>
    <row r="29950" ht="15.75" customHeight="1">
      <c r="A29950" s="35"/>
      <c r="C29950" s="442"/>
      <c r="P29950" s="235"/>
      <c r="AI29950" s="38"/>
    </row>
    <row r="29951" ht="15.75" customHeight="1">
      <c r="A29951" s="35"/>
      <c r="C29951" s="442"/>
      <c r="P29951" s="235"/>
      <c r="AI29951" s="38"/>
    </row>
    <row r="29952" ht="15.75" customHeight="1">
      <c r="A29952" s="35"/>
      <c r="C29952" s="442"/>
      <c r="P29952" s="235"/>
      <c r="AI29952" s="38"/>
    </row>
    <row r="29953" ht="15.75" customHeight="1">
      <c r="A29953" s="35"/>
      <c r="C29953" s="442"/>
      <c r="P29953" s="235"/>
      <c r="AI29953" s="38"/>
    </row>
    <row r="29954" ht="15.75" customHeight="1">
      <c r="A29954" s="35"/>
      <c r="C29954" s="442"/>
      <c r="P29954" s="235"/>
      <c r="AI29954" s="38"/>
    </row>
    <row r="29955" ht="15.75" customHeight="1">
      <c r="A29955" s="35"/>
      <c r="C29955" s="442"/>
      <c r="P29955" s="235"/>
      <c r="AI29955" s="38"/>
    </row>
    <row r="29956" ht="15.75" customHeight="1">
      <c r="A29956" s="35"/>
      <c r="C29956" s="442"/>
      <c r="P29956" s="235"/>
      <c r="AI29956" s="38"/>
    </row>
    <row r="29957" ht="15.75" customHeight="1">
      <c r="A29957" s="35"/>
      <c r="C29957" s="442"/>
      <c r="P29957" s="235"/>
      <c r="AI29957" s="38"/>
    </row>
    <row r="29958" ht="15.75" customHeight="1">
      <c r="A29958" s="35"/>
      <c r="C29958" s="442"/>
      <c r="P29958" s="235"/>
      <c r="AI29958" s="38"/>
    </row>
    <row r="29959" ht="15.75" customHeight="1">
      <c r="A29959" s="35"/>
      <c r="C29959" s="442"/>
      <c r="P29959" s="235"/>
      <c r="AI29959" s="38"/>
    </row>
    <row r="29960" ht="15.75" customHeight="1">
      <c r="A29960" s="35"/>
      <c r="C29960" s="442"/>
      <c r="P29960" s="235"/>
      <c r="AI29960" s="38"/>
    </row>
    <row r="29961" ht="15.75" customHeight="1">
      <c r="A29961" s="35"/>
      <c r="C29961" s="442"/>
      <c r="P29961" s="235"/>
      <c r="AI29961" s="38"/>
    </row>
    <row r="29962" ht="15.75" customHeight="1">
      <c r="A29962" s="35"/>
      <c r="C29962" s="442"/>
      <c r="P29962" s="235"/>
      <c r="AI29962" s="38"/>
    </row>
    <row r="29963" ht="15.75" customHeight="1">
      <c r="A29963" s="35"/>
      <c r="C29963" s="442"/>
      <c r="P29963" s="235"/>
      <c r="AI29963" s="38"/>
    </row>
    <row r="29964" ht="15.75" customHeight="1">
      <c r="A29964" s="35"/>
      <c r="C29964" s="442"/>
      <c r="P29964" s="235"/>
      <c r="AI29964" s="38"/>
    </row>
    <row r="29965" ht="15.75" customHeight="1">
      <c r="A29965" s="35"/>
      <c r="C29965" s="442"/>
      <c r="P29965" s="235"/>
      <c r="AI29965" s="38"/>
    </row>
    <row r="29966" ht="15.75" customHeight="1">
      <c r="A29966" s="35"/>
      <c r="C29966" s="442"/>
      <c r="P29966" s="235"/>
      <c r="AI29966" s="38"/>
    </row>
    <row r="29967" ht="15.75" customHeight="1">
      <c r="A29967" s="35"/>
      <c r="C29967" s="442"/>
      <c r="P29967" s="235"/>
      <c r="AI29967" s="38"/>
    </row>
    <row r="29968" ht="15.75" customHeight="1">
      <c r="A29968" s="35"/>
      <c r="C29968" s="442"/>
      <c r="P29968" s="235"/>
      <c r="AI29968" s="38"/>
    </row>
    <row r="29969" ht="15.75" customHeight="1">
      <c r="A29969" s="35"/>
      <c r="C29969" s="442"/>
      <c r="P29969" s="235"/>
      <c r="AI29969" s="38"/>
    </row>
    <row r="29970" ht="15.75" customHeight="1">
      <c r="A29970" s="35"/>
      <c r="C29970" s="442"/>
      <c r="P29970" s="235"/>
      <c r="AI29970" s="38"/>
    </row>
    <row r="29971" ht="15.75" customHeight="1">
      <c r="A29971" s="35"/>
      <c r="C29971" s="442"/>
      <c r="P29971" s="235"/>
      <c r="AI29971" s="38"/>
    </row>
    <row r="29972" ht="15.75" customHeight="1">
      <c r="A29972" s="35"/>
      <c r="C29972" s="442"/>
      <c r="P29972" s="235"/>
      <c r="AI29972" s="38"/>
    </row>
    <row r="29973" ht="15.75" customHeight="1">
      <c r="A29973" s="35"/>
      <c r="C29973" s="442"/>
      <c r="P29973" s="235"/>
      <c r="AI29973" s="38"/>
    </row>
    <row r="29974" ht="15.75" customHeight="1">
      <c r="A29974" s="35"/>
      <c r="C29974" s="442"/>
      <c r="P29974" s="235"/>
      <c r="AI29974" s="38"/>
    </row>
    <row r="29975" ht="15.75" customHeight="1">
      <c r="A29975" s="35"/>
      <c r="C29975" s="442"/>
      <c r="P29975" s="235"/>
      <c r="AI29975" s="38"/>
    </row>
    <row r="29976" ht="15.75" customHeight="1">
      <c r="A29976" s="35"/>
      <c r="C29976" s="442"/>
      <c r="P29976" s="235"/>
      <c r="AI29976" s="38"/>
    </row>
    <row r="29977" ht="15.75" customHeight="1">
      <c r="A29977" s="35"/>
      <c r="C29977" s="442"/>
      <c r="P29977" s="235"/>
      <c r="AI29977" s="38"/>
    </row>
    <row r="29978" ht="15.75" customHeight="1">
      <c r="A29978" s="35"/>
      <c r="C29978" s="442"/>
      <c r="P29978" s="235"/>
      <c r="AI29978" s="38"/>
    </row>
    <row r="29979" ht="15.75" customHeight="1">
      <c r="A29979" s="35"/>
      <c r="C29979" s="442"/>
      <c r="P29979" s="235"/>
      <c r="AI29979" s="38"/>
    </row>
    <row r="29980" ht="15.75" customHeight="1">
      <c r="A29980" s="35"/>
      <c r="C29980" s="442"/>
      <c r="P29980" s="235"/>
      <c r="AI29980" s="38"/>
    </row>
    <row r="29981" ht="15.75" customHeight="1">
      <c r="A29981" s="35"/>
      <c r="C29981" s="442"/>
      <c r="P29981" s="235"/>
      <c r="AI29981" s="38"/>
    </row>
    <row r="29982" ht="15.75" customHeight="1">
      <c r="A29982" s="35"/>
      <c r="C29982" s="442"/>
      <c r="P29982" s="235"/>
      <c r="AI29982" s="38"/>
    </row>
    <row r="29983" ht="15.75" customHeight="1">
      <c r="A29983" s="35"/>
      <c r="C29983" s="442"/>
      <c r="P29983" s="235"/>
      <c r="AI29983" s="38"/>
    </row>
    <row r="29984" ht="15.75" customHeight="1">
      <c r="A29984" s="35"/>
      <c r="C29984" s="442"/>
      <c r="P29984" s="235"/>
      <c r="AI29984" s="38"/>
    </row>
    <row r="29985" ht="15.75" customHeight="1">
      <c r="A29985" s="35"/>
      <c r="C29985" s="442"/>
      <c r="P29985" s="235"/>
      <c r="AI29985" s="38"/>
    </row>
    <row r="29986" ht="15.75" customHeight="1">
      <c r="A29986" s="35"/>
      <c r="C29986" s="442"/>
      <c r="P29986" s="235"/>
      <c r="AI29986" s="38"/>
    </row>
    <row r="29987" ht="15.75" customHeight="1">
      <c r="A29987" s="35"/>
      <c r="C29987" s="442"/>
      <c r="P29987" s="235"/>
      <c r="AI29987" s="38"/>
    </row>
    <row r="29988" ht="15.75" customHeight="1">
      <c r="A29988" s="35"/>
      <c r="C29988" s="442"/>
      <c r="P29988" s="235"/>
      <c r="AI29988" s="38"/>
    </row>
    <row r="29989" ht="15.75" customHeight="1">
      <c r="A29989" s="35"/>
      <c r="C29989" s="442"/>
      <c r="P29989" s="235"/>
      <c r="AI29989" s="38"/>
    </row>
    <row r="29990" ht="15.75" customHeight="1">
      <c r="A29990" s="35"/>
      <c r="C29990" s="442"/>
      <c r="P29990" s="235"/>
      <c r="AI29990" s="38"/>
    </row>
    <row r="29991" ht="15.75" customHeight="1">
      <c r="A29991" s="35"/>
      <c r="C29991" s="442"/>
      <c r="P29991" s="235"/>
      <c r="AI29991" s="38"/>
    </row>
    <row r="29992" ht="15.75" customHeight="1">
      <c r="A29992" s="35"/>
      <c r="C29992" s="442"/>
      <c r="P29992" s="235"/>
      <c r="AI29992" s="38"/>
    </row>
    <row r="29993" ht="15.75" customHeight="1">
      <c r="A29993" s="35"/>
      <c r="C29993" s="442"/>
      <c r="P29993" s="235"/>
      <c r="AI29993" s="38"/>
    </row>
    <row r="29994" ht="15.75" customHeight="1">
      <c r="A29994" s="35"/>
      <c r="C29994" s="442"/>
      <c r="P29994" s="235"/>
      <c r="AI29994" s="38"/>
    </row>
    <row r="29995" ht="15.75" customHeight="1">
      <c r="A29995" s="35"/>
      <c r="C29995" s="442"/>
      <c r="P29995" s="235"/>
      <c r="AI29995" s="38"/>
    </row>
    <row r="29996" ht="15.75" customHeight="1">
      <c r="A29996" s="35"/>
      <c r="C29996" s="442"/>
      <c r="P29996" s="235"/>
      <c r="AI29996" s="38"/>
    </row>
    <row r="29997" ht="15.75" customHeight="1">
      <c r="A29997" s="35"/>
      <c r="C29997" s="442"/>
      <c r="P29997" s="235"/>
      <c r="AI29997" s="38"/>
    </row>
    <row r="29998" ht="15.75" customHeight="1">
      <c r="A29998" s="35"/>
      <c r="C29998" s="442"/>
      <c r="P29998" s="235"/>
      <c r="AI29998" s="38"/>
    </row>
    <row r="29999" ht="15.75" customHeight="1">
      <c r="A29999" s="35"/>
      <c r="C29999" s="442"/>
      <c r="P29999" s="235"/>
      <c r="AI29999" s="38"/>
    </row>
    <row r="30000" ht="15.75" customHeight="1">
      <c r="A30000" s="35"/>
      <c r="C30000" s="442"/>
      <c r="P30000" s="235"/>
      <c r="AI30000" s="38"/>
    </row>
    <row r="30001" ht="15.75" customHeight="1">
      <c r="A30001" s="35"/>
      <c r="C30001" s="442"/>
      <c r="P30001" s="235"/>
      <c r="AI30001" s="38"/>
    </row>
    <row r="30002" ht="15.75" customHeight="1">
      <c r="A30002" s="35"/>
      <c r="C30002" s="442"/>
      <c r="P30002" s="235"/>
      <c r="AI30002" s="38"/>
    </row>
    <row r="30003" ht="15.75" customHeight="1">
      <c r="A30003" s="35"/>
      <c r="C30003" s="442"/>
      <c r="P30003" s="235"/>
      <c r="AI30003" s="38"/>
    </row>
    <row r="30004" ht="15.75" customHeight="1">
      <c r="A30004" s="35"/>
      <c r="C30004" s="442"/>
      <c r="P30004" s="235"/>
      <c r="AI30004" s="38"/>
    </row>
    <row r="30005" ht="15.75" customHeight="1">
      <c r="A30005" s="35"/>
      <c r="C30005" s="442"/>
      <c r="P30005" s="235"/>
      <c r="AI30005" s="38"/>
    </row>
    <row r="30006" ht="15.75" customHeight="1">
      <c r="A30006" s="35"/>
      <c r="C30006" s="442"/>
      <c r="P30006" s="235"/>
      <c r="AI30006" s="38"/>
    </row>
    <row r="30007" ht="15.75" customHeight="1">
      <c r="A30007" s="35"/>
      <c r="C30007" s="442"/>
      <c r="P30007" s="235"/>
      <c r="AI30007" s="38"/>
    </row>
    <row r="30008" ht="15.75" customHeight="1">
      <c r="A30008" s="35"/>
      <c r="C30008" s="442"/>
      <c r="P30008" s="235"/>
      <c r="AI30008" s="38"/>
    </row>
    <row r="30009" ht="15.75" customHeight="1">
      <c r="A30009" s="35"/>
      <c r="C30009" s="442"/>
      <c r="P30009" s="235"/>
      <c r="AI30009" s="38"/>
    </row>
    <row r="30010" ht="15.75" customHeight="1">
      <c r="A30010" s="35"/>
      <c r="C30010" s="442"/>
      <c r="P30010" s="235"/>
      <c r="AI30010" s="38"/>
    </row>
    <row r="30011" ht="15.75" customHeight="1">
      <c r="A30011" s="35"/>
      <c r="C30011" s="442"/>
      <c r="P30011" s="235"/>
      <c r="AI30011" s="38"/>
    </row>
    <row r="30012" ht="15.75" customHeight="1">
      <c r="A30012" s="35"/>
      <c r="C30012" s="442"/>
      <c r="P30012" s="235"/>
      <c r="AI30012" s="38"/>
    </row>
    <row r="30013" ht="15.75" customHeight="1">
      <c r="A30013" s="35"/>
      <c r="C30013" s="442"/>
      <c r="P30013" s="235"/>
      <c r="AI30013" s="38"/>
    </row>
    <row r="30014" ht="15.75" customHeight="1">
      <c r="A30014" s="35"/>
      <c r="C30014" s="442"/>
      <c r="P30014" s="235"/>
      <c r="AI30014" s="38"/>
    </row>
    <row r="30015" ht="15.75" customHeight="1">
      <c r="A30015" s="35"/>
      <c r="C30015" s="442"/>
      <c r="P30015" s="235"/>
      <c r="AI30015" s="38"/>
    </row>
    <row r="30016" ht="15.75" customHeight="1">
      <c r="A30016" s="35"/>
      <c r="C30016" s="442"/>
      <c r="P30016" s="235"/>
      <c r="AI30016" s="38"/>
    </row>
    <row r="30017" ht="15.75" customHeight="1">
      <c r="A30017" s="35"/>
      <c r="C30017" s="442"/>
      <c r="P30017" s="235"/>
      <c r="AI30017" s="38"/>
    </row>
    <row r="30018" ht="15.75" customHeight="1">
      <c r="A30018" s="35"/>
      <c r="C30018" s="442"/>
      <c r="P30018" s="235"/>
      <c r="AI30018" s="38"/>
    </row>
    <row r="30019" ht="15.75" customHeight="1">
      <c r="A30019" s="35"/>
      <c r="C30019" s="442"/>
      <c r="P30019" s="235"/>
      <c r="AI30019" s="38"/>
    </row>
    <row r="30020" ht="15.75" customHeight="1">
      <c r="A30020" s="35"/>
      <c r="C30020" s="442"/>
      <c r="P30020" s="235"/>
      <c r="AI30020" s="38"/>
    </row>
    <row r="30021" ht="15.75" customHeight="1">
      <c r="A30021" s="35"/>
      <c r="C30021" s="442"/>
      <c r="P30021" s="235"/>
      <c r="AI30021" s="38"/>
    </row>
    <row r="30022" ht="15.75" customHeight="1">
      <c r="A30022" s="35"/>
      <c r="C30022" s="442"/>
      <c r="P30022" s="235"/>
      <c r="AI30022" s="38"/>
    </row>
    <row r="30023" ht="15.75" customHeight="1">
      <c r="A30023" s="35"/>
      <c r="C30023" s="442"/>
      <c r="P30023" s="235"/>
      <c r="AI30023" s="38"/>
    </row>
    <row r="30024" ht="15.75" customHeight="1">
      <c r="A30024" s="35"/>
      <c r="C30024" s="442"/>
      <c r="P30024" s="235"/>
      <c r="AI30024" s="38"/>
    </row>
    <row r="30025" ht="15.75" customHeight="1">
      <c r="A30025" s="35"/>
      <c r="C30025" s="442"/>
      <c r="P30025" s="235"/>
      <c r="AI30025" s="38"/>
    </row>
    <row r="30026" ht="15.75" customHeight="1">
      <c r="A30026" s="35"/>
      <c r="C30026" s="442"/>
      <c r="P30026" s="235"/>
      <c r="AI30026" s="38"/>
    </row>
    <row r="30027" ht="15.75" customHeight="1">
      <c r="A30027" s="35"/>
      <c r="C30027" s="442"/>
      <c r="P30027" s="235"/>
      <c r="AI30027" s="38"/>
    </row>
    <row r="30028" ht="15.75" customHeight="1">
      <c r="A30028" s="35"/>
      <c r="C30028" s="442"/>
      <c r="P30028" s="235"/>
      <c r="AI30028" s="38"/>
    </row>
    <row r="30029" ht="15.75" customHeight="1">
      <c r="A30029" s="35"/>
      <c r="C30029" s="442"/>
      <c r="P30029" s="235"/>
      <c r="AI30029" s="38"/>
    </row>
    <row r="30030" ht="15.75" customHeight="1">
      <c r="A30030" s="35"/>
      <c r="C30030" s="442"/>
      <c r="P30030" s="235"/>
      <c r="AI30030" s="38"/>
    </row>
    <row r="30031" ht="15.75" customHeight="1">
      <c r="A30031" s="35"/>
      <c r="C30031" s="442"/>
      <c r="P30031" s="235"/>
      <c r="AI30031" s="38"/>
    </row>
    <row r="30032" ht="15.75" customHeight="1">
      <c r="A30032" s="35"/>
      <c r="C30032" s="442"/>
      <c r="P30032" s="235"/>
      <c r="AI30032" s="38"/>
    </row>
    <row r="30033" ht="15.75" customHeight="1">
      <c r="A30033" s="35"/>
      <c r="C30033" s="442"/>
      <c r="P30033" s="235"/>
      <c r="AI30033" s="38"/>
    </row>
    <row r="30034" ht="15.75" customHeight="1">
      <c r="A30034" s="35"/>
      <c r="C30034" s="442"/>
      <c r="P30034" s="235"/>
      <c r="AI30034" s="38"/>
    </row>
    <row r="30035" ht="15.75" customHeight="1">
      <c r="A30035" s="35"/>
      <c r="C30035" s="442"/>
      <c r="P30035" s="235"/>
      <c r="AI30035" s="38"/>
    </row>
    <row r="30036" ht="15.75" customHeight="1">
      <c r="A30036" s="35"/>
      <c r="C30036" s="442"/>
      <c r="P30036" s="235"/>
      <c r="AI30036" s="38"/>
    </row>
    <row r="30037" ht="15.75" customHeight="1">
      <c r="A30037" s="35"/>
      <c r="C30037" s="442"/>
      <c r="P30037" s="235"/>
      <c r="AI30037" s="38"/>
    </row>
    <row r="30038" ht="15.75" customHeight="1">
      <c r="A30038" s="35"/>
      <c r="C30038" s="442"/>
      <c r="P30038" s="235"/>
      <c r="AI30038" s="38"/>
    </row>
    <row r="30039" ht="15.75" customHeight="1">
      <c r="A30039" s="35"/>
      <c r="C30039" s="442"/>
      <c r="P30039" s="235"/>
      <c r="AI30039" s="38"/>
    </row>
    <row r="30040" ht="15.75" customHeight="1">
      <c r="A30040" s="35"/>
      <c r="C30040" s="442"/>
      <c r="P30040" s="235"/>
      <c r="AI30040" s="38"/>
    </row>
    <row r="30041" ht="15.75" customHeight="1">
      <c r="A30041" s="35"/>
      <c r="C30041" s="442"/>
      <c r="P30041" s="235"/>
      <c r="AI30041" s="38"/>
    </row>
    <row r="30042" ht="15.75" customHeight="1">
      <c r="A30042" s="35"/>
      <c r="C30042" s="442"/>
      <c r="P30042" s="235"/>
      <c r="AI30042" s="38"/>
    </row>
    <row r="30043" ht="15.75" customHeight="1">
      <c r="A30043" s="35"/>
      <c r="C30043" s="442"/>
      <c r="P30043" s="235"/>
      <c r="AI30043" s="38"/>
    </row>
    <row r="30044" ht="15.75" customHeight="1">
      <c r="A30044" s="35"/>
      <c r="C30044" s="442"/>
      <c r="P30044" s="235"/>
      <c r="AI30044" s="38"/>
    </row>
    <row r="30045" ht="15.75" customHeight="1">
      <c r="A30045" s="35"/>
      <c r="C30045" s="442"/>
      <c r="P30045" s="235"/>
      <c r="AI30045" s="38"/>
    </row>
    <row r="30046" ht="15.75" customHeight="1">
      <c r="A30046" s="35"/>
      <c r="C30046" s="442"/>
      <c r="P30046" s="235"/>
      <c r="AI30046" s="38"/>
    </row>
    <row r="30047" ht="15.75" customHeight="1">
      <c r="A30047" s="35"/>
      <c r="C30047" s="442"/>
      <c r="P30047" s="235"/>
      <c r="AI30047" s="38"/>
    </row>
    <row r="30048" ht="15.75" customHeight="1">
      <c r="A30048" s="35"/>
      <c r="C30048" s="442"/>
      <c r="P30048" s="235"/>
      <c r="AI30048" s="38"/>
    </row>
    <row r="30049" ht="15.75" customHeight="1">
      <c r="A30049" s="35"/>
      <c r="C30049" s="442"/>
      <c r="P30049" s="235"/>
      <c r="AI30049" s="38"/>
    </row>
    <row r="30050" ht="15.75" customHeight="1">
      <c r="A30050" s="35"/>
      <c r="C30050" s="442"/>
      <c r="P30050" s="235"/>
      <c r="AI30050" s="38"/>
    </row>
    <row r="30051" ht="15.75" customHeight="1">
      <c r="A30051" s="35"/>
      <c r="C30051" s="442"/>
      <c r="P30051" s="235"/>
      <c r="AI30051" s="38"/>
    </row>
    <row r="30052" ht="15.75" customHeight="1">
      <c r="A30052" s="35"/>
      <c r="C30052" s="442"/>
      <c r="P30052" s="235"/>
      <c r="AI30052" s="38"/>
    </row>
    <row r="30053" ht="15.75" customHeight="1">
      <c r="A30053" s="35"/>
      <c r="C30053" s="442"/>
      <c r="P30053" s="235"/>
      <c r="AI30053" s="38"/>
    </row>
    <row r="30054" ht="15.75" customHeight="1">
      <c r="A30054" s="35"/>
      <c r="C30054" s="442"/>
      <c r="P30054" s="235"/>
      <c r="AI30054" s="38"/>
    </row>
    <row r="30055" ht="15.75" customHeight="1">
      <c r="A30055" s="35"/>
      <c r="C30055" s="442"/>
      <c r="P30055" s="235"/>
      <c r="AI30055" s="38"/>
    </row>
    <row r="30056" ht="15.75" customHeight="1">
      <c r="A30056" s="35"/>
      <c r="C30056" s="442"/>
      <c r="P30056" s="235"/>
      <c r="AI30056" s="38"/>
    </row>
    <row r="30057" ht="15.75" customHeight="1">
      <c r="A30057" s="35"/>
      <c r="C30057" s="442"/>
      <c r="P30057" s="235"/>
      <c r="AI30057" s="38"/>
    </row>
    <row r="30058" ht="15.75" customHeight="1">
      <c r="A30058" s="35"/>
      <c r="C30058" s="442"/>
      <c r="P30058" s="235"/>
      <c r="AI30058" s="38"/>
    </row>
    <row r="30059" ht="15.75" customHeight="1">
      <c r="A30059" s="35"/>
      <c r="C30059" s="442"/>
      <c r="P30059" s="235"/>
      <c r="AI30059" s="38"/>
    </row>
    <row r="30060" ht="15.75" customHeight="1">
      <c r="A30060" s="35"/>
      <c r="C30060" s="442"/>
      <c r="P30060" s="235"/>
      <c r="AI30060" s="38"/>
    </row>
    <row r="30061" ht="15.75" customHeight="1">
      <c r="A30061" s="35"/>
      <c r="C30061" s="442"/>
      <c r="P30061" s="235"/>
      <c r="AI30061" s="38"/>
    </row>
    <row r="30062" ht="15.75" customHeight="1">
      <c r="A30062" s="35"/>
      <c r="C30062" s="442"/>
      <c r="P30062" s="235"/>
      <c r="AI30062" s="38"/>
    </row>
    <row r="30063" ht="15.75" customHeight="1">
      <c r="A30063" s="35"/>
      <c r="C30063" s="442"/>
      <c r="P30063" s="235"/>
      <c r="AI30063" s="38"/>
    </row>
    <row r="30064" ht="15.75" customHeight="1">
      <c r="A30064" s="35"/>
      <c r="C30064" s="442"/>
      <c r="P30064" s="235"/>
      <c r="AI30064" s="38"/>
    </row>
    <row r="30065" ht="15.75" customHeight="1">
      <c r="A30065" s="35"/>
      <c r="C30065" s="442"/>
      <c r="P30065" s="235"/>
      <c r="AI30065" s="38"/>
    </row>
    <row r="30066" ht="15.75" customHeight="1">
      <c r="A30066" s="35"/>
      <c r="C30066" s="442"/>
      <c r="P30066" s="235"/>
      <c r="AI30066" s="38"/>
    </row>
    <row r="30067" ht="15.75" customHeight="1">
      <c r="A30067" s="35"/>
      <c r="C30067" s="442"/>
      <c r="P30067" s="235"/>
      <c r="AI30067" s="38"/>
    </row>
    <row r="30068" ht="15.75" customHeight="1">
      <c r="A30068" s="35"/>
      <c r="C30068" s="442"/>
      <c r="P30068" s="235"/>
      <c r="AI30068" s="38"/>
    </row>
    <row r="30069" ht="15.75" customHeight="1">
      <c r="A30069" s="35"/>
      <c r="C30069" s="442"/>
      <c r="P30069" s="235"/>
      <c r="AI30069" s="38"/>
    </row>
    <row r="30070" ht="15.75" customHeight="1">
      <c r="A30070" s="35"/>
      <c r="C30070" s="442"/>
      <c r="P30070" s="235"/>
      <c r="AI30070" s="38"/>
    </row>
    <row r="30071" ht="15.75" customHeight="1">
      <c r="A30071" s="35"/>
      <c r="C30071" s="442"/>
      <c r="P30071" s="235"/>
      <c r="AI30071" s="38"/>
    </row>
    <row r="30072" ht="15.75" customHeight="1">
      <c r="A30072" s="35"/>
      <c r="C30072" s="442"/>
      <c r="P30072" s="235"/>
      <c r="AI30072" s="38"/>
    </row>
    <row r="30073" ht="15.75" customHeight="1">
      <c r="A30073" s="35"/>
      <c r="C30073" s="442"/>
      <c r="P30073" s="235"/>
      <c r="AI30073" s="38"/>
    </row>
    <row r="30074" ht="15.75" customHeight="1">
      <c r="A30074" s="35"/>
      <c r="C30074" s="442"/>
      <c r="P30074" s="235"/>
      <c r="AI30074" s="38"/>
    </row>
    <row r="30075" ht="15.75" customHeight="1">
      <c r="A30075" s="35"/>
      <c r="C30075" s="442"/>
      <c r="P30075" s="235"/>
      <c r="AI30075" s="38"/>
    </row>
    <row r="30076" ht="15.75" customHeight="1">
      <c r="A30076" s="35"/>
      <c r="C30076" s="442"/>
      <c r="P30076" s="235"/>
      <c r="AI30076" s="38"/>
    </row>
    <row r="30077" ht="15.75" customHeight="1">
      <c r="A30077" s="35"/>
      <c r="C30077" s="442"/>
      <c r="P30077" s="235"/>
      <c r="AI30077" s="38"/>
    </row>
    <row r="30078" ht="15.75" customHeight="1">
      <c r="A30078" s="35"/>
      <c r="C30078" s="442"/>
      <c r="P30078" s="235"/>
      <c r="AI30078" s="38"/>
    </row>
    <row r="30079" ht="15.75" customHeight="1">
      <c r="A30079" s="35"/>
      <c r="C30079" s="442"/>
      <c r="P30079" s="235"/>
      <c r="AI30079" s="38"/>
    </row>
    <row r="30080" ht="15.75" customHeight="1">
      <c r="A30080" s="35"/>
      <c r="C30080" s="442"/>
      <c r="P30080" s="235"/>
      <c r="AI30080" s="38"/>
    </row>
    <row r="30081" ht="15.75" customHeight="1">
      <c r="A30081" s="35"/>
      <c r="C30081" s="442"/>
      <c r="P30081" s="235"/>
      <c r="AI30081" s="38"/>
    </row>
    <row r="30082" ht="15.75" customHeight="1">
      <c r="A30082" s="35"/>
      <c r="C30082" s="442"/>
      <c r="P30082" s="235"/>
      <c r="AI30082" s="38"/>
    </row>
    <row r="30083" ht="15.75" customHeight="1">
      <c r="A30083" s="35"/>
      <c r="C30083" s="442"/>
      <c r="P30083" s="235"/>
      <c r="AI30083" s="38"/>
    </row>
    <row r="30084" ht="15.75" customHeight="1">
      <c r="A30084" s="35"/>
      <c r="C30084" s="442"/>
      <c r="P30084" s="235"/>
      <c r="AI30084" s="38"/>
    </row>
    <row r="30085" ht="15.75" customHeight="1">
      <c r="A30085" s="35"/>
      <c r="C30085" s="442"/>
      <c r="P30085" s="235"/>
      <c r="AI30085" s="38"/>
    </row>
    <row r="30086" ht="15.75" customHeight="1">
      <c r="A30086" s="35"/>
      <c r="C30086" s="442"/>
      <c r="P30086" s="235"/>
      <c r="AI30086" s="38"/>
    </row>
    <row r="30087" ht="15.75" customHeight="1">
      <c r="A30087" s="35"/>
      <c r="C30087" s="442"/>
      <c r="P30087" s="235"/>
      <c r="AI30087" s="38"/>
    </row>
    <row r="30088" ht="15.75" customHeight="1">
      <c r="A30088" s="35"/>
      <c r="C30088" s="442"/>
      <c r="P30088" s="235"/>
      <c r="AI30088" s="38"/>
    </row>
    <row r="30089" ht="15.75" customHeight="1">
      <c r="A30089" s="35"/>
      <c r="C30089" s="442"/>
      <c r="P30089" s="235"/>
      <c r="AI30089" s="38"/>
    </row>
    <row r="30090" ht="15.75" customHeight="1">
      <c r="A30090" s="35"/>
      <c r="C30090" s="442"/>
      <c r="P30090" s="235"/>
      <c r="AI30090" s="38"/>
    </row>
    <row r="30091" ht="15.75" customHeight="1">
      <c r="A30091" s="35"/>
      <c r="C30091" s="442"/>
      <c r="P30091" s="235"/>
      <c r="AI30091" s="38"/>
    </row>
    <row r="30092" ht="15.75" customHeight="1">
      <c r="A30092" s="35"/>
      <c r="C30092" s="442"/>
      <c r="P30092" s="235"/>
      <c r="AI30092" s="38"/>
    </row>
    <row r="30093" ht="15.75" customHeight="1">
      <c r="A30093" s="35"/>
      <c r="C30093" s="442"/>
      <c r="P30093" s="235"/>
      <c r="AI30093" s="38"/>
    </row>
    <row r="30094" ht="15.75" customHeight="1">
      <c r="A30094" s="35"/>
      <c r="C30094" s="442"/>
      <c r="P30094" s="235"/>
      <c r="AI30094" s="38"/>
    </row>
    <row r="30095" ht="15.75" customHeight="1">
      <c r="A30095" s="35"/>
      <c r="C30095" s="442"/>
      <c r="P30095" s="235"/>
      <c r="AI30095" s="38"/>
    </row>
    <row r="30096" ht="15.75" customHeight="1">
      <c r="A30096" s="35"/>
      <c r="C30096" s="442"/>
      <c r="P30096" s="235"/>
      <c r="AI30096" s="38"/>
    </row>
    <row r="30097" ht="15.75" customHeight="1">
      <c r="A30097" s="35"/>
      <c r="C30097" s="442"/>
      <c r="P30097" s="235"/>
      <c r="AI30097" s="38"/>
    </row>
    <row r="30098" ht="15.75" customHeight="1">
      <c r="A30098" s="35"/>
      <c r="C30098" s="442"/>
      <c r="P30098" s="235"/>
      <c r="AI30098" s="38"/>
    </row>
    <row r="30099" ht="15.75" customHeight="1">
      <c r="A30099" s="35"/>
      <c r="C30099" s="442"/>
      <c r="P30099" s="235"/>
      <c r="AI30099" s="38"/>
    </row>
    <row r="30100" ht="15.75" customHeight="1">
      <c r="A30100" s="35"/>
      <c r="C30100" s="442"/>
      <c r="P30100" s="235"/>
      <c r="AI30100" s="38"/>
    </row>
    <row r="30101" ht="15.75" customHeight="1">
      <c r="A30101" s="35"/>
      <c r="C30101" s="442"/>
      <c r="P30101" s="235"/>
      <c r="AI30101" s="38"/>
    </row>
    <row r="30102" ht="15.75" customHeight="1">
      <c r="A30102" s="35"/>
      <c r="C30102" s="442"/>
      <c r="P30102" s="235"/>
      <c r="AI30102" s="38"/>
    </row>
    <row r="30103" ht="15.75" customHeight="1">
      <c r="A30103" s="35"/>
      <c r="C30103" s="442"/>
      <c r="P30103" s="235"/>
      <c r="AI30103" s="38"/>
    </row>
    <row r="30104" ht="15.75" customHeight="1">
      <c r="A30104" s="35"/>
      <c r="C30104" s="442"/>
      <c r="P30104" s="235"/>
      <c r="AI30104" s="38"/>
    </row>
    <row r="30105" ht="15.75" customHeight="1">
      <c r="A30105" s="35"/>
      <c r="C30105" s="442"/>
      <c r="P30105" s="235"/>
      <c r="AI30105" s="38"/>
    </row>
    <row r="30106" ht="15.75" customHeight="1">
      <c r="A30106" s="35"/>
      <c r="C30106" s="442"/>
      <c r="P30106" s="235"/>
      <c r="AI30106" s="38"/>
    </row>
    <row r="30107" ht="15.75" customHeight="1">
      <c r="A30107" s="35"/>
      <c r="C30107" s="442"/>
      <c r="P30107" s="235"/>
      <c r="AI30107" s="38"/>
    </row>
    <row r="30108" ht="15.75" customHeight="1">
      <c r="A30108" s="35"/>
      <c r="C30108" s="442"/>
      <c r="P30108" s="235"/>
      <c r="AI30108" s="38"/>
    </row>
    <row r="30109" ht="15.75" customHeight="1">
      <c r="A30109" s="35"/>
      <c r="C30109" s="442"/>
      <c r="P30109" s="235"/>
      <c r="AI30109" s="38"/>
    </row>
    <row r="30110" ht="15.75" customHeight="1">
      <c r="A30110" s="35"/>
      <c r="C30110" s="442"/>
      <c r="P30110" s="235"/>
      <c r="AI30110" s="38"/>
    </row>
    <row r="30111" ht="15.75" customHeight="1">
      <c r="A30111" s="35"/>
      <c r="C30111" s="442"/>
      <c r="P30111" s="235"/>
      <c r="AI30111" s="38"/>
    </row>
    <row r="30112" ht="15.75" customHeight="1">
      <c r="A30112" s="35"/>
      <c r="C30112" s="442"/>
      <c r="P30112" s="235"/>
      <c r="AI30112" s="38"/>
    </row>
    <row r="30113" ht="15.75" customHeight="1">
      <c r="A30113" s="35"/>
      <c r="C30113" s="442"/>
      <c r="P30113" s="235"/>
      <c r="AI30113" s="38"/>
    </row>
    <row r="30114" ht="15.75" customHeight="1">
      <c r="A30114" s="35"/>
      <c r="C30114" s="442"/>
      <c r="P30114" s="235"/>
      <c r="AI30114" s="38"/>
    </row>
    <row r="30115" ht="15.75" customHeight="1">
      <c r="A30115" s="35"/>
      <c r="C30115" s="442"/>
      <c r="P30115" s="235"/>
      <c r="AI30115" s="38"/>
    </row>
    <row r="30116" ht="15.75" customHeight="1">
      <c r="A30116" s="35"/>
      <c r="C30116" s="442"/>
      <c r="P30116" s="235"/>
      <c r="AI30116" s="38"/>
    </row>
    <row r="30117" ht="15.75" customHeight="1">
      <c r="A30117" s="35"/>
      <c r="C30117" s="442"/>
      <c r="P30117" s="235"/>
      <c r="AI30117" s="38"/>
    </row>
    <row r="30118" ht="15.75" customHeight="1">
      <c r="A30118" s="35"/>
      <c r="C30118" s="442"/>
      <c r="P30118" s="235"/>
      <c r="AI30118" s="38"/>
    </row>
    <row r="30119" ht="15.75" customHeight="1">
      <c r="A30119" s="35"/>
      <c r="C30119" s="442"/>
      <c r="P30119" s="235"/>
      <c r="AI30119" s="38"/>
    </row>
    <row r="30120" ht="15.75" customHeight="1">
      <c r="A30120" s="35"/>
      <c r="C30120" s="442"/>
      <c r="P30120" s="235"/>
      <c r="AI30120" s="38"/>
    </row>
    <row r="30121" ht="15.75" customHeight="1">
      <c r="A30121" s="35"/>
      <c r="C30121" s="442"/>
      <c r="P30121" s="235"/>
      <c r="AI30121" s="38"/>
    </row>
    <row r="30122" ht="15.75" customHeight="1">
      <c r="A30122" s="35"/>
      <c r="C30122" s="442"/>
      <c r="P30122" s="235"/>
      <c r="AI30122" s="38"/>
    </row>
    <row r="30123" ht="15.75" customHeight="1">
      <c r="A30123" s="35"/>
      <c r="C30123" s="442"/>
      <c r="P30123" s="235"/>
      <c r="AI30123" s="38"/>
    </row>
    <row r="30124" ht="15.75" customHeight="1">
      <c r="A30124" s="35"/>
      <c r="C30124" s="442"/>
      <c r="P30124" s="235"/>
      <c r="AI30124" s="38"/>
    </row>
    <row r="30125" ht="15.75" customHeight="1">
      <c r="A30125" s="35"/>
      <c r="C30125" s="442"/>
      <c r="P30125" s="235"/>
      <c r="AI30125" s="38"/>
    </row>
    <row r="30126" ht="15.75" customHeight="1">
      <c r="A30126" s="35"/>
      <c r="C30126" s="442"/>
      <c r="P30126" s="235"/>
      <c r="AI30126" s="38"/>
    </row>
    <row r="30127" ht="15.75" customHeight="1">
      <c r="A30127" s="35"/>
      <c r="C30127" s="442"/>
      <c r="P30127" s="235"/>
      <c r="AI30127" s="38"/>
    </row>
    <row r="30128" ht="15.75" customHeight="1">
      <c r="A30128" s="35"/>
      <c r="C30128" s="442"/>
      <c r="P30128" s="235"/>
      <c r="AI30128" s="38"/>
    </row>
    <row r="30129" ht="15.75" customHeight="1">
      <c r="A30129" s="35"/>
      <c r="C30129" s="442"/>
      <c r="P30129" s="235"/>
      <c r="AI30129" s="38"/>
    </row>
    <row r="30130" ht="15.75" customHeight="1">
      <c r="A30130" s="35"/>
      <c r="C30130" s="442"/>
      <c r="P30130" s="235"/>
      <c r="AI30130" s="38"/>
    </row>
    <row r="30131" ht="15.75" customHeight="1">
      <c r="A30131" s="35"/>
      <c r="C30131" s="442"/>
      <c r="P30131" s="235"/>
      <c r="AI30131" s="38"/>
    </row>
    <row r="30132" ht="15.75" customHeight="1">
      <c r="A30132" s="35"/>
      <c r="C30132" s="442"/>
      <c r="P30132" s="235"/>
      <c r="AI30132" s="38"/>
    </row>
    <row r="30133" ht="15.75" customHeight="1">
      <c r="A30133" s="35"/>
      <c r="C30133" s="442"/>
      <c r="P30133" s="235"/>
      <c r="AI30133" s="38"/>
    </row>
    <row r="30134" ht="15.75" customHeight="1">
      <c r="A30134" s="35"/>
      <c r="C30134" s="442"/>
      <c r="P30134" s="235"/>
      <c r="AI30134" s="38"/>
    </row>
    <row r="30135" ht="15.75" customHeight="1">
      <c r="A30135" s="35"/>
      <c r="C30135" s="442"/>
      <c r="P30135" s="235"/>
      <c r="AI30135" s="38"/>
    </row>
    <row r="30136" ht="15.75" customHeight="1">
      <c r="A30136" s="35"/>
      <c r="C30136" s="442"/>
      <c r="P30136" s="235"/>
      <c r="AI30136" s="38"/>
    </row>
    <row r="30137" ht="15.75" customHeight="1">
      <c r="A30137" s="35"/>
      <c r="C30137" s="442"/>
      <c r="P30137" s="235"/>
      <c r="AI30137" s="38"/>
    </row>
    <row r="30138" ht="15.75" customHeight="1">
      <c r="A30138" s="35"/>
      <c r="C30138" s="442"/>
      <c r="P30138" s="235"/>
      <c r="AI30138" s="38"/>
    </row>
    <row r="30139" ht="15.75" customHeight="1">
      <c r="A30139" s="35"/>
      <c r="C30139" s="442"/>
      <c r="P30139" s="235"/>
      <c r="AI30139" s="38"/>
    </row>
    <row r="30140" ht="15.75" customHeight="1">
      <c r="A30140" s="35"/>
      <c r="C30140" s="442"/>
      <c r="P30140" s="235"/>
      <c r="AI30140" s="38"/>
    </row>
    <row r="30141" ht="15.75" customHeight="1">
      <c r="A30141" s="35"/>
      <c r="C30141" s="442"/>
      <c r="P30141" s="235"/>
      <c r="AI30141" s="38"/>
    </row>
    <row r="30142" ht="15.75" customHeight="1">
      <c r="A30142" s="35"/>
      <c r="C30142" s="442"/>
      <c r="P30142" s="235"/>
      <c r="AI30142" s="38"/>
    </row>
    <row r="30143" ht="15.75" customHeight="1">
      <c r="A30143" s="35"/>
      <c r="C30143" s="442"/>
      <c r="P30143" s="235"/>
      <c r="AI30143" s="38"/>
    </row>
    <row r="30144" ht="15.75" customHeight="1">
      <c r="A30144" s="35"/>
      <c r="C30144" s="442"/>
      <c r="P30144" s="235"/>
      <c r="AI30144" s="38"/>
    </row>
    <row r="30145" ht="15.75" customHeight="1">
      <c r="A30145" s="35"/>
      <c r="C30145" s="442"/>
      <c r="P30145" s="235"/>
      <c r="AI30145" s="38"/>
    </row>
    <row r="30146" ht="15.75" customHeight="1">
      <c r="A30146" s="35"/>
      <c r="C30146" s="442"/>
      <c r="P30146" s="235"/>
      <c r="AI30146" s="38"/>
    </row>
    <row r="30147" ht="15.75" customHeight="1">
      <c r="A30147" s="35"/>
      <c r="C30147" s="442"/>
      <c r="P30147" s="235"/>
      <c r="AI30147" s="38"/>
    </row>
    <row r="30148" ht="15.75" customHeight="1">
      <c r="A30148" s="35"/>
      <c r="C30148" s="442"/>
      <c r="P30148" s="235"/>
      <c r="AI30148" s="38"/>
    </row>
    <row r="30149" ht="15.75" customHeight="1">
      <c r="A30149" s="35"/>
      <c r="C30149" s="442"/>
      <c r="P30149" s="235"/>
      <c r="AI30149" s="38"/>
    </row>
    <row r="30150" ht="15.75" customHeight="1">
      <c r="A30150" s="35"/>
      <c r="C30150" s="442"/>
      <c r="P30150" s="235"/>
      <c r="AI30150" s="38"/>
    </row>
    <row r="30151" ht="15.75" customHeight="1">
      <c r="A30151" s="35"/>
      <c r="C30151" s="442"/>
      <c r="P30151" s="235"/>
      <c r="AI30151" s="38"/>
    </row>
    <row r="30152" ht="15.75" customHeight="1">
      <c r="A30152" s="35"/>
      <c r="C30152" s="442"/>
      <c r="P30152" s="235"/>
      <c r="AI30152" s="38"/>
    </row>
    <row r="30153" ht="15.75" customHeight="1">
      <c r="A30153" s="35"/>
      <c r="C30153" s="442"/>
      <c r="P30153" s="235"/>
      <c r="AI30153" s="38"/>
    </row>
    <row r="30154" ht="15.75" customHeight="1">
      <c r="A30154" s="35"/>
      <c r="C30154" s="442"/>
      <c r="P30154" s="235"/>
      <c r="AI30154" s="38"/>
    </row>
    <row r="30155" ht="15.75" customHeight="1">
      <c r="A30155" s="35"/>
      <c r="C30155" s="442"/>
      <c r="P30155" s="235"/>
      <c r="AI30155" s="38"/>
    </row>
    <row r="30156" ht="15.75" customHeight="1">
      <c r="A30156" s="35"/>
      <c r="C30156" s="442"/>
      <c r="P30156" s="235"/>
      <c r="AI30156" s="38"/>
    </row>
    <row r="30157" ht="15.75" customHeight="1">
      <c r="A30157" s="35"/>
      <c r="C30157" s="442"/>
      <c r="P30157" s="235"/>
      <c r="AI30157" s="38"/>
    </row>
    <row r="30158" ht="15.75" customHeight="1">
      <c r="A30158" s="35"/>
      <c r="C30158" s="442"/>
      <c r="P30158" s="235"/>
      <c r="AI30158" s="38"/>
    </row>
    <row r="30159" ht="15.75" customHeight="1">
      <c r="A30159" s="35"/>
      <c r="C30159" s="442"/>
      <c r="P30159" s="235"/>
      <c r="AI30159" s="38"/>
    </row>
    <row r="30160" ht="15.75" customHeight="1">
      <c r="A30160" s="35"/>
      <c r="C30160" s="442"/>
      <c r="P30160" s="235"/>
      <c r="AI30160" s="38"/>
    </row>
    <row r="30161" ht="15.75" customHeight="1">
      <c r="A30161" s="35"/>
      <c r="C30161" s="442"/>
      <c r="P30161" s="235"/>
      <c r="AI30161" s="38"/>
    </row>
    <row r="30162" ht="15.75" customHeight="1">
      <c r="A30162" s="35"/>
      <c r="C30162" s="442"/>
      <c r="P30162" s="235"/>
      <c r="AI30162" s="38"/>
    </row>
    <row r="30163" ht="15.75" customHeight="1">
      <c r="A30163" s="35"/>
      <c r="C30163" s="442"/>
      <c r="P30163" s="235"/>
      <c r="AI30163" s="38"/>
    </row>
    <row r="30164" ht="15.75" customHeight="1">
      <c r="A30164" s="35"/>
      <c r="C30164" s="442"/>
      <c r="P30164" s="235"/>
      <c r="AI30164" s="38"/>
    </row>
    <row r="30165" ht="15.75" customHeight="1">
      <c r="A30165" s="35"/>
      <c r="C30165" s="442"/>
      <c r="P30165" s="235"/>
      <c r="AI30165" s="38"/>
    </row>
    <row r="30166" ht="15.75" customHeight="1">
      <c r="A30166" s="35"/>
      <c r="C30166" s="442"/>
      <c r="P30166" s="235"/>
      <c r="AI30166" s="38"/>
    </row>
    <row r="30167" ht="15.75" customHeight="1">
      <c r="A30167" s="35"/>
      <c r="C30167" s="442"/>
      <c r="P30167" s="235"/>
      <c r="AI30167" s="38"/>
    </row>
    <row r="30168" ht="15.75" customHeight="1">
      <c r="A30168" s="35"/>
      <c r="C30168" s="442"/>
      <c r="P30168" s="235"/>
      <c r="AI30168" s="38"/>
    </row>
    <row r="30169" ht="15.75" customHeight="1">
      <c r="A30169" s="35"/>
      <c r="C30169" s="442"/>
      <c r="P30169" s="235"/>
      <c r="AI30169" s="38"/>
    </row>
    <row r="30170" ht="15.75" customHeight="1">
      <c r="A30170" s="35"/>
      <c r="C30170" s="442"/>
      <c r="P30170" s="235"/>
      <c r="AI30170" s="38"/>
    </row>
    <row r="30171" ht="15.75" customHeight="1">
      <c r="A30171" s="35"/>
      <c r="C30171" s="442"/>
      <c r="P30171" s="235"/>
      <c r="AI30171" s="38"/>
    </row>
    <row r="30172" ht="15.75" customHeight="1">
      <c r="A30172" s="35"/>
      <c r="C30172" s="442"/>
      <c r="P30172" s="235"/>
      <c r="AI30172" s="38"/>
    </row>
    <row r="30173" ht="15.75" customHeight="1">
      <c r="A30173" s="35"/>
      <c r="C30173" s="442"/>
      <c r="P30173" s="235"/>
      <c r="AI30173" s="38"/>
    </row>
    <row r="30174" ht="15.75" customHeight="1">
      <c r="A30174" s="35"/>
      <c r="C30174" s="442"/>
      <c r="P30174" s="235"/>
      <c r="AI30174" s="38"/>
    </row>
    <row r="30175" ht="15.75" customHeight="1">
      <c r="A30175" s="35"/>
      <c r="C30175" s="442"/>
      <c r="P30175" s="235"/>
      <c r="AI30175" s="38"/>
    </row>
    <row r="30176" ht="15.75" customHeight="1">
      <c r="A30176" s="35"/>
      <c r="C30176" s="442"/>
      <c r="P30176" s="235"/>
      <c r="AI30176" s="38"/>
    </row>
    <row r="30177" ht="15.75" customHeight="1">
      <c r="A30177" s="35"/>
      <c r="C30177" s="442"/>
      <c r="P30177" s="235"/>
      <c r="AI30177" s="38"/>
    </row>
    <row r="30178" ht="15.75" customHeight="1">
      <c r="A30178" s="35"/>
      <c r="C30178" s="442"/>
      <c r="P30178" s="235"/>
      <c r="AI30178" s="38"/>
    </row>
    <row r="30179" ht="15.75" customHeight="1">
      <c r="A30179" s="35"/>
      <c r="C30179" s="442"/>
      <c r="P30179" s="235"/>
      <c r="AI30179" s="38"/>
    </row>
    <row r="30180" ht="15.75" customHeight="1">
      <c r="A30180" s="35"/>
      <c r="C30180" s="442"/>
      <c r="P30180" s="235"/>
      <c r="AI30180" s="38"/>
    </row>
    <row r="30181" ht="15.75" customHeight="1">
      <c r="A30181" s="35"/>
      <c r="C30181" s="442"/>
      <c r="P30181" s="235"/>
      <c r="AI30181" s="38"/>
    </row>
    <row r="30182" ht="15.75" customHeight="1">
      <c r="A30182" s="35"/>
      <c r="C30182" s="442"/>
      <c r="P30182" s="235"/>
      <c r="AI30182" s="38"/>
    </row>
    <row r="30183" ht="15.75" customHeight="1">
      <c r="A30183" s="35"/>
      <c r="C30183" s="442"/>
      <c r="P30183" s="235"/>
      <c r="AI30183" s="38"/>
    </row>
    <row r="30184" ht="15.75" customHeight="1">
      <c r="A30184" s="35"/>
      <c r="C30184" s="442"/>
      <c r="P30184" s="235"/>
      <c r="AI30184" s="38"/>
    </row>
    <row r="30185" ht="15.75" customHeight="1">
      <c r="A30185" s="35"/>
      <c r="C30185" s="442"/>
      <c r="P30185" s="235"/>
      <c r="AI30185" s="38"/>
    </row>
    <row r="30186" ht="15.75" customHeight="1">
      <c r="A30186" s="35"/>
      <c r="C30186" s="442"/>
      <c r="P30186" s="235"/>
      <c r="AI30186" s="38"/>
    </row>
    <row r="30187" ht="15.75" customHeight="1">
      <c r="A30187" s="35"/>
      <c r="C30187" s="442"/>
      <c r="P30187" s="235"/>
      <c r="AI30187" s="38"/>
    </row>
    <row r="30188" ht="15.75" customHeight="1">
      <c r="A30188" s="35"/>
      <c r="C30188" s="442"/>
      <c r="P30188" s="235"/>
      <c r="AI30188" s="38"/>
    </row>
    <row r="30189" ht="15.75" customHeight="1">
      <c r="A30189" s="35"/>
      <c r="C30189" s="442"/>
      <c r="P30189" s="235"/>
      <c r="AI30189" s="38"/>
    </row>
    <row r="30190" ht="15.75" customHeight="1">
      <c r="A30190" s="35"/>
      <c r="C30190" s="442"/>
      <c r="P30190" s="235"/>
      <c r="AI30190" s="38"/>
    </row>
    <row r="30191" ht="15.75" customHeight="1">
      <c r="A30191" s="35"/>
      <c r="C30191" s="442"/>
      <c r="P30191" s="235"/>
      <c r="AI30191" s="38"/>
    </row>
    <row r="30192" ht="15.75" customHeight="1">
      <c r="A30192" s="35"/>
      <c r="C30192" s="442"/>
      <c r="P30192" s="235"/>
      <c r="AI30192" s="38"/>
    </row>
    <row r="30193" ht="15.75" customHeight="1">
      <c r="A30193" s="35"/>
      <c r="C30193" s="442"/>
      <c r="P30193" s="235"/>
      <c r="AI30193" s="38"/>
    </row>
    <row r="30194" ht="15.75" customHeight="1">
      <c r="A30194" s="35"/>
      <c r="C30194" s="442"/>
      <c r="P30194" s="235"/>
      <c r="AI30194" s="38"/>
    </row>
    <row r="30195" ht="15.75" customHeight="1">
      <c r="A30195" s="35"/>
      <c r="C30195" s="442"/>
      <c r="P30195" s="235"/>
      <c r="AI30195" s="38"/>
    </row>
    <row r="30196" ht="15.75" customHeight="1">
      <c r="A30196" s="35"/>
      <c r="C30196" s="442"/>
      <c r="P30196" s="235"/>
      <c r="AI30196" s="38"/>
    </row>
    <row r="30197" ht="15.75" customHeight="1">
      <c r="A30197" s="35"/>
      <c r="C30197" s="442"/>
      <c r="P30197" s="235"/>
      <c r="AI30197" s="38"/>
    </row>
    <row r="30198" ht="15.75" customHeight="1">
      <c r="A30198" s="35"/>
      <c r="C30198" s="442"/>
      <c r="P30198" s="235"/>
      <c r="AI30198" s="38"/>
    </row>
    <row r="30199" ht="15.75" customHeight="1">
      <c r="A30199" s="35"/>
      <c r="C30199" s="442"/>
      <c r="P30199" s="235"/>
      <c r="AI30199" s="38"/>
    </row>
    <row r="30200" ht="15.75" customHeight="1">
      <c r="A30200" s="35"/>
      <c r="C30200" s="442"/>
      <c r="P30200" s="235"/>
      <c r="AI30200" s="38"/>
    </row>
    <row r="30201" ht="15.75" customHeight="1">
      <c r="A30201" s="35"/>
      <c r="C30201" s="442"/>
      <c r="P30201" s="235"/>
      <c r="AI30201" s="38"/>
    </row>
    <row r="30202" ht="15.75" customHeight="1">
      <c r="A30202" s="35"/>
      <c r="C30202" s="442"/>
      <c r="P30202" s="235"/>
      <c r="AI30202" s="38"/>
    </row>
    <row r="30203" ht="15.75" customHeight="1">
      <c r="A30203" s="35"/>
      <c r="C30203" s="442"/>
      <c r="P30203" s="235"/>
      <c r="AI30203" s="38"/>
    </row>
    <row r="30204" ht="15.75" customHeight="1">
      <c r="A30204" s="35"/>
      <c r="C30204" s="442"/>
      <c r="P30204" s="235"/>
      <c r="AI30204" s="38"/>
    </row>
    <row r="30205" ht="15.75" customHeight="1">
      <c r="A30205" s="35"/>
      <c r="C30205" s="442"/>
      <c r="P30205" s="235"/>
      <c r="AI30205" s="38"/>
    </row>
    <row r="30206" ht="15.75" customHeight="1">
      <c r="A30206" s="35"/>
      <c r="C30206" s="442"/>
      <c r="P30206" s="235"/>
      <c r="AI30206" s="38"/>
    </row>
    <row r="30207" ht="15.75" customHeight="1">
      <c r="A30207" s="35"/>
      <c r="C30207" s="442"/>
      <c r="P30207" s="235"/>
      <c r="AI30207" s="38"/>
    </row>
    <row r="30208" ht="15.75" customHeight="1">
      <c r="A30208" s="35"/>
      <c r="C30208" s="442"/>
      <c r="P30208" s="235"/>
      <c r="AI30208" s="38"/>
    </row>
    <row r="30209" ht="15.75" customHeight="1">
      <c r="A30209" s="35"/>
      <c r="C30209" s="442"/>
      <c r="P30209" s="235"/>
      <c r="AI30209" s="38"/>
    </row>
    <row r="30210" ht="15.75" customHeight="1">
      <c r="A30210" s="35"/>
      <c r="C30210" s="442"/>
      <c r="P30210" s="235"/>
      <c r="AI30210" s="38"/>
    </row>
    <row r="30211" ht="15.75" customHeight="1">
      <c r="A30211" s="35"/>
      <c r="C30211" s="442"/>
      <c r="P30211" s="235"/>
      <c r="AI30211" s="38"/>
    </row>
    <row r="30212" ht="15.75" customHeight="1">
      <c r="A30212" s="35"/>
      <c r="C30212" s="442"/>
      <c r="P30212" s="235"/>
      <c r="AI30212" s="38"/>
    </row>
    <row r="30213" ht="15.75" customHeight="1">
      <c r="A30213" s="35"/>
      <c r="C30213" s="442"/>
      <c r="P30213" s="235"/>
      <c r="AI30213" s="38"/>
    </row>
    <row r="30214" ht="15.75" customHeight="1">
      <c r="A30214" s="35"/>
      <c r="C30214" s="442"/>
      <c r="P30214" s="235"/>
      <c r="AI30214" s="38"/>
    </row>
    <row r="30215" ht="15.75" customHeight="1">
      <c r="A30215" s="35"/>
      <c r="C30215" s="442"/>
      <c r="P30215" s="235"/>
      <c r="AI30215" s="38"/>
    </row>
    <row r="30216" ht="15.75" customHeight="1">
      <c r="A30216" s="35"/>
      <c r="C30216" s="442"/>
      <c r="P30216" s="235"/>
      <c r="AI30216" s="38"/>
    </row>
    <row r="30217" ht="15.75" customHeight="1">
      <c r="A30217" s="35"/>
      <c r="C30217" s="442"/>
      <c r="P30217" s="235"/>
      <c r="AI30217" s="38"/>
    </row>
    <row r="30218" ht="15.75" customHeight="1">
      <c r="A30218" s="35"/>
      <c r="C30218" s="442"/>
      <c r="P30218" s="235"/>
      <c r="AI30218" s="38"/>
    </row>
    <row r="30219" ht="15.75" customHeight="1">
      <c r="A30219" s="35"/>
      <c r="C30219" s="442"/>
      <c r="P30219" s="235"/>
      <c r="AI30219" s="38"/>
    </row>
    <row r="30220" ht="15.75" customHeight="1">
      <c r="A30220" s="35"/>
      <c r="C30220" s="442"/>
      <c r="P30220" s="235"/>
      <c r="AI30220" s="38"/>
    </row>
    <row r="30221" ht="15.75" customHeight="1">
      <c r="A30221" s="35"/>
      <c r="C30221" s="442"/>
      <c r="P30221" s="235"/>
      <c r="AI30221" s="38"/>
    </row>
    <row r="30222" ht="15.75" customHeight="1">
      <c r="A30222" s="35"/>
      <c r="C30222" s="442"/>
      <c r="P30222" s="235"/>
      <c r="AI30222" s="38"/>
    </row>
    <row r="30223" ht="15.75" customHeight="1">
      <c r="A30223" s="35"/>
      <c r="C30223" s="442"/>
      <c r="P30223" s="235"/>
      <c r="AI30223" s="38"/>
    </row>
    <row r="30224" ht="15.75" customHeight="1">
      <c r="A30224" s="35"/>
      <c r="C30224" s="442"/>
      <c r="P30224" s="235"/>
      <c r="AI30224" s="38"/>
    </row>
    <row r="30225" ht="15.75" customHeight="1">
      <c r="A30225" s="35"/>
      <c r="C30225" s="442"/>
      <c r="P30225" s="235"/>
      <c r="AI30225" s="38"/>
    </row>
    <row r="30226" ht="15.75" customHeight="1">
      <c r="A30226" s="35"/>
      <c r="C30226" s="442"/>
      <c r="P30226" s="235"/>
      <c r="AI30226" s="38"/>
    </row>
    <row r="30227" ht="15.75" customHeight="1">
      <c r="A30227" s="35"/>
      <c r="C30227" s="442"/>
      <c r="P30227" s="235"/>
      <c r="AI30227" s="38"/>
    </row>
    <row r="30228" ht="15.75" customHeight="1">
      <c r="A30228" s="35"/>
      <c r="C30228" s="442"/>
      <c r="P30228" s="235"/>
      <c r="AI30228" s="38"/>
    </row>
    <row r="30229" ht="15.75" customHeight="1">
      <c r="A30229" s="35"/>
      <c r="C30229" s="442"/>
      <c r="P30229" s="235"/>
      <c r="AI30229" s="38"/>
    </row>
    <row r="30230" ht="15.75" customHeight="1">
      <c r="A30230" s="35"/>
      <c r="C30230" s="442"/>
      <c r="P30230" s="235"/>
      <c r="AI30230" s="38"/>
    </row>
    <row r="30231" ht="15.75" customHeight="1">
      <c r="A30231" s="35"/>
      <c r="C30231" s="442"/>
      <c r="P30231" s="235"/>
      <c r="AI30231" s="38"/>
    </row>
    <row r="30232" ht="15.75" customHeight="1">
      <c r="A30232" s="35"/>
      <c r="C30232" s="442"/>
      <c r="P30232" s="235"/>
      <c r="AI30232" s="38"/>
    </row>
    <row r="30233" ht="15.75" customHeight="1">
      <c r="A30233" s="35"/>
      <c r="C30233" s="442"/>
      <c r="P30233" s="235"/>
      <c r="AI30233" s="38"/>
    </row>
    <row r="30234" ht="15.75" customHeight="1">
      <c r="A30234" s="35"/>
      <c r="C30234" s="442"/>
      <c r="P30234" s="235"/>
      <c r="AI30234" s="38"/>
    </row>
    <row r="30235" ht="15.75" customHeight="1">
      <c r="A30235" s="35"/>
      <c r="C30235" s="442"/>
      <c r="P30235" s="235"/>
      <c r="AI30235" s="38"/>
    </row>
    <row r="30236" ht="15.75" customHeight="1">
      <c r="A30236" s="35"/>
      <c r="C30236" s="442"/>
      <c r="P30236" s="235"/>
      <c r="AI30236" s="38"/>
    </row>
    <row r="30237" ht="15.75" customHeight="1">
      <c r="A30237" s="35"/>
      <c r="C30237" s="442"/>
      <c r="P30237" s="235"/>
      <c r="AI30237" s="38"/>
    </row>
    <row r="30238" ht="15.75" customHeight="1">
      <c r="A30238" s="35"/>
      <c r="C30238" s="442"/>
      <c r="P30238" s="235"/>
      <c r="AI30238" s="38"/>
    </row>
    <row r="30239" ht="15.75" customHeight="1">
      <c r="A30239" s="35"/>
      <c r="C30239" s="442"/>
      <c r="P30239" s="235"/>
      <c r="AI30239" s="38"/>
    </row>
    <row r="30240" ht="15.75" customHeight="1">
      <c r="A30240" s="35"/>
      <c r="C30240" s="442"/>
      <c r="P30240" s="235"/>
      <c r="AI30240" s="38"/>
    </row>
    <row r="30241" ht="15.75" customHeight="1">
      <c r="A30241" s="35"/>
      <c r="C30241" s="442"/>
      <c r="P30241" s="235"/>
      <c r="AI30241" s="38"/>
    </row>
    <row r="30242" ht="15.75" customHeight="1">
      <c r="A30242" s="35"/>
      <c r="C30242" s="442"/>
      <c r="P30242" s="235"/>
      <c r="AI30242" s="38"/>
    </row>
    <row r="30243" ht="15.75" customHeight="1">
      <c r="A30243" s="35"/>
      <c r="C30243" s="442"/>
      <c r="P30243" s="235"/>
      <c r="AI30243" s="38"/>
    </row>
    <row r="30244" ht="15.75" customHeight="1">
      <c r="A30244" s="35"/>
      <c r="C30244" s="442"/>
      <c r="P30244" s="235"/>
      <c r="AI30244" s="38"/>
    </row>
    <row r="30245" ht="15.75" customHeight="1">
      <c r="A30245" s="35"/>
      <c r="C30245" s="442"/>
      <c r="P30245" s="235"/>
      <c r="AI30245" s="38"/>
    </row>
    <row r="30246" ht="15.75" customHeight="1">
      <c r="A30246" s="35"/>
      <c r="C30246" s="442"/>
      <c r="P30246" s="235"/>
      <c r="AI30246" s="38"/>
    </row>
    <row r="30247" ht="15.75" customHeight="1">
      <c r="A30247" s="35"/>
      <c r="C30247" s="442"/>
      <c r="P30247" s="235"/>
      <c r="AI30247" s="38"/>
    </row>
    <row r="30248" ht="15.75" customHeight="1">
      <c r="A30248" s="35"/>
      <c r="C30248" s="442"/>
      <c r="P30248" s="235"/>
      <c r="AI30248" s="38"/>
    </row>
    <row r="30249" ht="15.75" customHeight="1">
      <c r="A30249" s="35"/>
      <c r="C30249" s="442"/>
      <c r="P30249" s="235"/>
      <c r="AI30249" s="38"/>
    </row>
    <row r="30250" ht="15.75" customHeight="1">
      <c r="A30250" s="35"/>
      <c r="C30250" s="442"/>
      <c r="P30250" s="235"/>
      <c r="AI30250" s="38"/>
    </row>
    <row r="30251" ht="15.75" customHeight="1">
      <c r="A30251" s="35"/>
      <c r="C30251" s="442"/>
      <c r="P30251" s="235"/>
      <c r="AI30251" s="38"/>
    </row>
    <row r="30252" ht="15.75" customHeight="1">
      <c r="A30252" s="35"/>
      <c r="C30252" s="442"/>
      <c r="P30252" s="235"/>
      <c r="AI30252" s="38"/>
    </row>
    <row r="30253" ht="15.75" customHeight="1">
      <c r="A30253" s="35"/>
      <c r="C30253" s="442"/>
      <c r="P30253" s="235"/>
      <c r="AI30253" s="38"/>
    </row>
    <row r="30254" ht="15.75" customHeight="1">
      <c r="A30254" s="35"/>
      <c r="C30254" s="442"/>
      <c r="P30254" s="235"/>
      <c r="AI30254" s="38"/>
    </row>
    <row r="30255" ht="15.75" customHeight="1">
      <c r="A30255" s="35"/>
      <c r="C30255" s="442"/>
      <c r="P30255" s="235"/>
      <c r="AI30255" s="38"/>
    </row>
    <row r="30256" ht="15.75" customHeight="1">
      <c r="A30256" s="35"/>
      <c r="C30256" s="442"/>
      <c r="P30256" s="235"/>
      <c r="AI30256" s="38"/>
    </row>
    <row r="30257" ht="15.75" customHeight="1">
      <c r="A30257" s="35"/>
      <c r="C30257" s="442"/>
      <c r="P30257" s="235"/>
      <c r="AI30257" s="38"/>
    </row>
    <row r="30258" ht="15.75" customHeight="1">
      <c r="A30258" s="35"/>
      <c r="C30258" s="442"/>
      <c r="P30258" s="235"/>
      <c r="AI30258" s="38"/>
    </row>
    <row r="30259" ht="15.75" customHeight="1">
      <c r="A30259" s="35"/>
      <c r="C30259" s="442"/>
      <c r="P30259" s="235"/>
      <c r="AI30259" s="38"/>
    </row>
    <row r="30260" ht="15.75" customHeight="1">
      <c r="A30260" s="35"/>
      <c r="C30260" s="442"/>
      <c r="P30260" s="235"/>
      <c r="AI30260" s="38"/>
    </row>
    <row r="30261" ht="15.75" customHeight="1">
      <c r="A30261" s="35"/>
      <c r="C30261" s="442"/>
      <c r="P30261" s="235"/>
      <c r="AI30261" s="38"/>
    </row>
    <row r="30262" ht="15.75" customHeight="1">
      <c r="A30262" s="35"/>
      <c r="C30262" s="442"/>
      <c r="P30262" s="235"/>
      <c r="AI30262" s="38"/>
    </row>
    <row r="30263" ht="15.75" customHeight="1">
      <c r="A30263" s="35"/>
      <c r="C30263" s="442"/>
      <c r="P30263" s="235"/>
      <c r="AI30263" s="38"/>
    </row>
    <row r="30264" ht="15.75" customHeight="1">
      <c r="A30264" s="35"/>
      <c r="C30264" s="442"/>
      <c r="P30264" s="235"/>
      <c r="AI30264" s="38"/>
    </row>
    <row r="30265" ht="15.75" customHeight="1">
      <c r="A30265" s="35"/>
      <c r="C30265" s="442"/>
      <c r="P30265" s="235"/>
      <c r="AI30265" s="38"/>
    </row>
    <row r="30266" ht="15.75" customHeight="1">
      <c r="A30266" s="35"/>
      <c r="C30266" s="442"/>
      <c r="P30266" s="235"/>
      <c r="AI30266" s="38"/>
    </row>
    <row r="30267" ht="15.75" customHeight="1">
      <c r="A30267" s="35"/>
      <c r="C30267" s="442"/>
      <c r="P30267" s="235"/>
      <c r="AI30267" s="38"/>
    </row>
    <row r="30268" ht="15.75" customHeight="1">
      <c r="A30268" s="35"/>
      <c r="C30268" s="442"/>
      <c r="P30268" s="235"/>
      <c r="AI30268" s="38"/>
    </row>
    <row r="30269" ht="15.75" customHeight="1">
      <c r="A30269" s="35"/>
      <c r="C30269" s="442"/>
      <c r="P30269" s="235"/>
      <c r="AI30269" s="38"/>
    </row>
    <row r="30270" ht="15.75" customHeight="1">
      <c r="A30270" s="35"/>
      <c r="C30270" s="442"/>
      <c r="P30270" s="235"/>
      <c r="AI30270" s="38"/>
    </row>
    <row r="30271" ht="15.75" customHeight="1">
      <c r="A30271" s="35"/>
      <c r="C30271" s="442"/>
      <c r="P30271" s="235"/>
      <c r="AI30271" s="38"/>
    </row>
    <row r="30272" ht="15.75" customHeight="1">
      <c r="A30272" s="35"/>
      <c r="C30272" s="442"/>
      <c r="P30272" s="235"/>
      <c r="AI30272" s="38"/>
    </row>
    <row r="30273" ht="15.75" customHeight="1">
      <c r="A30273" s="35"/>
      <c r="C30273" s="442"/>
      <c r="P30273" s="235"/>
      <c r="AI30273" s="38"/>
    </row>
    <row r="30274" ht="15.75" customHeight="1">
      <c r="A30274" s="35"/>
      <c r="C30274" s="442"/>
      <c r="P30274" s="235"/>
      <c r="AI30274" s="38"/>
    </row>
    <row r="30275" ht="15.75" customHeight="1">
      <c r="A30275" s="35"/>
      <c r="C30275" s="442"/>
      <c r="P30275" s="235"/>
      <c r="AI30275" s="38"/>
    </row>
    <row r="30276" ht="15.75" customHeight="1">
      <c r="A30276" s="35"/>
      <c r="C30276" s="442"/>
      <c r="P30276" s="235"/>
      <c r="AI30276" s="38"/>
    </row>
    <row r="30277" ht="15.75" customHeight="1">
      <c r="A30277" s="35"/>
      <c r="C30277" s="442"/>
      <c r="P30277" s="235"/>
      <c r="AI30277" s="38"/>
    </row>
    <row r="30278" ht="15.75" customHeight="1">
      <c r="A30278" s="35"/>
      <c r="C30278" s="442"/>
      <c r="P30278" s="235"/>
      <c r="AI30278" s="38"/>
    </row>
    <row r="30279" ht="15.75" customHeight="1">
      <c r="A30279" s="35"/>
      <c r="C30279" s="442"/>
      <c r="P30279" s="235"/>
      <c r="AI30279" s="38"/>
    </row>
    <row r="30280" ht="15.75" customHeight="1">
      <c r="A30280" s="35"/>
      <c r="C30280" s="442"/>
      <c r="P30280" s="235"/>
      <c r="AI30280" s="38"/>
    </row>
    <row r="30281" ht="15.75" customHeight="1">
      <c r="A30281" s="35"/>
      <c r="C30281" s="442"/>
      <c r="P30281" s="235"/>
      <c r="AI30281" s="38"/>
    </row>
    <row r="30282" ht="15.75" customHeight="1">
      <c r="A30282" s="35"/>
      <c r="C30282" s="442"/>
      <c r="P30282" s="235"/>
      <c r="AI30282" s="38"/>
    </row>
    <row r="30283" ht="15.75" customHeight="1">
      <c r="A30283" s="35"/>
      <c r="C30283" s="442"/>
      <c r="P30283" s="235"/>
      <c r="AI30283" s="38"/>
    </row>
    <row r="30284" ht="15.75" customHeight="1">
      <c r="A30284" s="35"/>
      <c r="C30284" s="442"/>
      <c r="P30284" s="235"/>
      <c r="AI30284" s="38"/>
    </row>
    <row r="30285" ht="15.75" customHeight="1">
      <c r="A30285" s="35"/>
      <c r="C30285" s="442"/>
      <c r="P30285" s="235"/>
      <c r="AI30285" s="38"/>
    </row>
    <row r="30286" ht="15.75" customHeight="1">
      <c r="A30286" s="35"/>
      <c r="C30286" s="442"/>
      <c r="P30286" s="235"/>
      <c r="AI30286" s="38"/>
    </row>
    <row r="30287" ht="15.75" customHeight="1">
      <c r="A30287" s="35"/>
      <c r="C30287" s="442"/>
      <c r="P30287" s="235"/>
      <c r="AI30287" s="38"/>
    </row>
    <row r="30288" ht="15.75" customHeight="1">
      <c r="A30288" s="35"/>
      <c r="C30288" s="442"/>
      <c r="P30288" s="235"/>
      <c r="AI30288" s="38"/>
    </row>
    <row r="30289" ht="15.75" customHeight="1">
      <c r="A30289" s="35"/>
      <c r="C30289" s="442"/>
      <c r="P30289" s="235"/>
      <c r="AI30289" s="38"/>
    </row>
    <row r="30290" ht="15.75" customHeight="1">
      <c r="A30290" s="35"/>
      <c r="C30290" s="442"/>
      <c r="P30290" s="235"/>
      <c r="AI30290" s="38"/>
    </row>
    <row r="30291" ht="15.75" customHeight="1">
      <c r="A30291" s="35"/>
      <c r="C30291" s="442"/>
      <c r="P30291" s="235"/>
      <c r="AI30291" s="38"/>
    </row>
    <row r="30292" ht="15.75" customHeight="1">
      <c r="A30292" s="35"/>
      <c r="C30292" s="442"/>
      <c r="P30292" s="235"/>
      <c r="AI30292" s="38"/>
    </row>
    <row r="30293" ht="15.75" customHeight="1">
      <c r="A30293" s="35"/>
      <c r="C30293" s="442"/>
      <c r="P30293" s="235"/>
      <c r="AI30293" s="38"/>
    </row>
    <row r="30294" ht="15.75" customHeight="1">
      <c r="A30294" s="35"/>
      <c r="C30294" s="442"/>
      <c r="P30294" s="235"/>
      <c r="AI30294" s="38"/>
    </row>
    <row r="30295" ht="15.75" customHeight="1">
      <c r="A30295" s="35"/>
      <c r="C30295" s="442"/>
      <c r="P30295" s="235"/>
      <c r="AI30295" s="38"/>
    </row>
    <row r="30296" ht="15.75" customHeight="1">
      <c r="A30296" s="35"/>
      <c r="C30296" s="442"/>
      <c r="P30296" s="235"/>
      <c r="AI30296" s="38"/>
    </row>
    <row r="30297" ht="15.75" customHeight="1">
      <c r="A30297" s="35"/>
      <c r="C30297" s="442"/>
      <c r="P30297" s="235"/>
      <c r="AI30297" s="38"/>
    </row>
    <row r="30298" ht="15.75" customHeight="1">
      <c r="A30298" s="35"/>
      <c r="C30298" s="442"/>
      <c r="P30298" s="235"/>
      <c r="AI30298" s="38"/>
    </row>
    <row r="30299" ht="15.75" customHeight="1">
      <c r="A30299" s="35"/>
      <c r="C30299" s="442"/>
      <c r="P30299" s="235"/>
      <c r="AI30299" s="38"/>
    </row>
    <row r="30300" ht="15.75" customHeight="1">
      <c r="A30300" s="35"/>
      <c r="C30300" s="442"/>
      <c r="P30300" s="235"/>
      <c r="AI30300" s="38"/>
    </row>
    <row r="30301" ht="15.75" customHeight="1">
      <c r="A30301" s="35"/>
      <c r="C30301" s="442"/>
      <c r="P30301" s="235"/>
      <c r="AI30301" s="38"/>
    </row>
    <row r="30302" ht="15.75" customHeight="1">
      <c r="A30302" s="35"/>
      <c r="C30302" s="442"/>
      <c r="P30302" s="235"/>
      <c r="AI30302" s="38"/>
    </row>
    <row r="30303" ht="15.75" customHeight="1">
      <c r="A30303" s="35"/>
      <c r="C30303" s="442"/>
      <c r="P30303" s="235"/>
      <c r="AI30303" s="38"/>
    </row>
    <row r="30304" ht="15.75" customHeight="1">
      <c r="A30304" s="35"/>
      <c r="C30304" s="442"/>
      <c r="P30304" s="235"/>
      <c r="AI30304" s="38"/>
    </row>
    <row r="30305" ht="15.75" customHeight="1">
      <c r="A30305" s="35"/>
      <c r="C30305" s="442"/>
      <c r="P30305" s="235"/>
      <c r="AI30305" s="38"/>
    </row>
    <row r="30306" ht="15.75" customHeight="1">
      <c r="A30306" s="35"/>
      <c r="C30306" s="442"/>
      <c r="P30306" s="235"/>
      <c r="AI30306" s="38"/>
    </row>
    <row r="30307" ht="15.75" customHeight="1">
      <c r="A30307" s="35"/>
      <c r="C30307" s="442"/>
      <c r="P30307" s="235"/>
      <c r="AI30307" s="38"/>
    </row>
    <row r="30308" ht="15.75" customHeight="1">
      <c r="A30308" s="35"/>
      <c r="C30308" s="442"/>
      <c r="P30308" s="235"/>
      <c r="AI30308" s="38"/>
    </row>
    <row r="30309" ht="15.75" customHeight="1">
      <c r="A30309" s="35"/>
      <c r="C30309" s="442"/>
      <c r="P30309" s="235"/>
      <c r="AI30309" s="38"/>
    </row>
    <row r="30310" ht="15.75" customHeight="1">
      <c r="A30310" s="35"/>
      <c r="C30310" s="442"/>
      <c r="P30310" s="235"/>
      <c r="AI30310" s="38"/>
    </row>
    <row r="30311" ht="15.75" customHeight="1">
      <c r="A30311" s="35"/>
      <c r="C30311" s="442"/>
      <c r="P30311" s="235"/>
      <c r="AI30311" s="38"/>
    </row>
    <row r="30312" ht="15.75" customHeight="1">
      <c r="A30312" s="35"/>
      <c r="C30312" s="442"/>
      <c r="P30312" s="235"/>
      <c r="AI30312" s="38"/>
    </row>
    <row r="30313" ht="15.75" customHeight="1">
      <c r="A30313" s="35"/>
      <c r="C30313" s="442"/>
      <c r="P30313" s="235"/>
      <c r="AI30313" s="38"/>
    </row>
    <row r="30314" ht="15.75" customHeight="1">
      <c r="A30314" s="35"/>
      <c r="C30314" s="442"/>
      <c r="P30314" s="235"/>
      <c r="AI30314" s="38"/>
    </row>
    <row r="30315" ht="15.75" customHeight="1">
      <c r="A30315" s="35"/>
      <c r="C30315" s="442"/>
      <c r="P30315" s="235"/>
      <c r="AI30315" s="38"/>
    </row>
    <row r="30316" ht="15.75" customHeight="1">
      <c r="A30316" s="35"/>
      <c r="C30316" s="442"/>
      <c r="P30316" s="235"/>
      <c r="AI30316" s="38"/>
    </row>
    <row r="30317" ht="15.75" customHeight="1">
      <c r="A30317" s="35"/>
      <c r="C30317" s="442"/>
      <c r="P30317" s="235"/>
      <c r="AI30317" s="38"/>
    </row>
    <row r="30318" ht="15.75" customHeight="1">
      <c r="A30318" s="35"/>
      <c r="C30318" s="442"/>
      <c r="P30318" s="235"/>
      <c r="AI30318" s="38"/>
    </row>
    <row r="30319" ht="15.75" customHeight="1">
      <c r="A30319" s="35"/>
      <c r="C30319" s="442"/>
      <c r="P30319" s="235"/>
      <c r="AI30319" s="38"/>
    </row>
    <row r="30320" ht="15.75" customHeight="1">
      <c r="A30320" s="35"/>
      <c r="C30320" s="442"/>
      <c r="P30320" s="235"/>
      <c r="AI30320" s="38"/>
    </row>
    <row r="30321" ht="15.75" customHeight="1">
      <c r="A30321" s="35"/>
      <c r="C30321" s="442"/>
      <c r="P30321" s="235"/>
      <c r="AI30321" s="38"/>
    </row>
    <row r="30322" ht="15.75" customHeight="1">
      <c r="A30322" s="35"/>
      <c r="C30322" s="442"/>
      <c r="P30322" s="235"/>
      <c r="AI30322" s="38"/>
    </row>
    <row r="30323" ht="15.75" customHeight="1">
      <c r="A30323" s="35"/>
      <c r="C30323" s="442"/>
      <c r="P30323" s="235"/>
      <c r="AI30323" s="38"/>
    </row>
    <row r="30324" ht="15.75" customHeight="1">
      <c r="A30324" s="35"/>
      <c r="C30324" s="442"/>
      <c r="P30324" s="235"/>
      <c r="AI30324" s="38"/>
    </row>
    <row r="30325" ht="15.75" customHeight="1">
      <c r="A30325" s="35"/>
      <c r="C30325" s="442"/>
      <c r="P30325" s="235"/>
      <c r="AI30325" s="38"/>
    </row>
    <row r="30326" ht="15.75" customHeight="1">
      <c r="A30326" s="35"/>
      <c r="C30326" s="442"/>
      <c r="P30326" s="235"/>
      <c r="AI30326" s="38"/>
    </row>
    <row r="30327" ht="15.75" customHeight="1">
      <c r="A30327" s="35"/>
      <c r="C30327" s="442"/>
      <c r="P30327" s="235"/>
      <c r="AI30327" s="38"/>
    </row>
    <row r="30328" ht="15.75" customHeight="1">
      <c r="A30328" s="35"/>
      <c r="C30328" s="442"/>
      <c r="P30328" s="235"/>
      <c r="AI30328" s="38"/>
    </row>
    <row r="30329" ht="15.75" customHeight="1">
      <c r="A30329" s="35"/>
      <c r="C30329" s="442"/>
      <c r="P30329" s="235"/>
      <c r="AI30329" s="38"/>
    </row>
    <row r="30330" ht="15.75" customHeight="1">
      <c r="A30330" s="35"/>
      <c r="C30330" s="442"/>
      <c r="P30330" s="235"/>
      <c r="AI30330" s="38"/>
    </row>
    <row r="30331" ht="15.75" customHeight="1">
      <c r="A30331" s="35"/>
      <c r="C30331" s="442"/>
      <c r="P30331" s="235"/>
      <c r="AI30331" s="38"/>
    </row>
    <row r="30332" ht="15.75" customHeight="1">
      <c r="A30332" s="35"/>
      <c r="C30332" s="442"/>
      <c r="P30332" s="235"/>
      <c r="AI30332" s="38"/>
    </row>
    <row r="30333" ht="15.75" customHeight="1">
      <c r="A30333" s="35"/>
      <c r="C30333" s="442"/>
      <c r="P30333" s="235"/>
      <c r="AI30333" s="38"/>
    </row>
    <row r="30334" ht="15.75" customHeight="1">
      <c r="A30334" s="35"/>
      <c r="C30334" s="442"/>
      <c r="P30334" s="235"/>
      <c r="AI30334" s="38"/>
    </row>
    <row r="30335" ht="15.75" customHeight="1">
      <c r="A30335" s="35"/>
      <c r="C30335" s="442"/>
      <c r="P30335" s="235"/>
      <c r="AI30335" s="38"/>
    </row>
    <row r="30336" ht="15.75" customHeight="1">
      <c r="A30336" s="35"/>
      <c r="C30336" s="442"/>
      <c r="P30336" s="235"/>
      <c r="AI30336" s="38"/>
    </row>
    <row r="30337" ht="15.75" customHeight="1">
      <c r="A30337" s="35"/>
      <c r="C30337" s="442"/>
      <c r="P30337" s="235"/>
      <c r="AI30337" s="38"/>
    </row>
    <row r="30338" ht="15.75" customHeight="1">
      <c r="A30338" s="35"/>
      <c r="C30338" s="442"/>
      <c r="P30338" s="235"/>
      <c r="AI30338" s="38"/>
    </row>
    <row r="30339" ht="15.75" customHeight="1">
      <c r="A30339" s="35"/>
      <c r="C30339" s="442"/>
      <c r="P30339" s="235"/>
      <c r="AI30339" s="38"/>
    </row>
    <row r="30340" ht="15.75" customHeight="1">
      <c r="A30340" s="35"/>
      <c r="C30340" s="442"/>
      <c r="P30340" s="235"/>
      <c r="AI30340" s="38"/>
    </row>
    <row r="30341" ht="15.75" customHeight="1">
      <c r="A30341" s="35"/>
      <c r="C30341" s="442"/>
      <c r="P30341" s="235"/>
      <c r="AI30341" s="38"/>
    </row>
    <row r="30342" ht="15.75" customHeight="1">
      <c r="A30342" s="35"/>
      <c r="C30342" s="442"/>
      <c r="P30342" s="235"/>
      <c r="AI30342" s="38"/>
    </row>
    <row r="30343" ht="15.75" customHeight="1">
      <c r="A30343" s="35"/>
      <c r="C30343" s="442"/>
      <c r="P30343" s="235"/>
      <c r="AI30343" s="38"/>
    </row>
    <row r="30344" ht="15.75" customHeight="1">
      <c r="A30344" s="35"/>
      <c r="C30344" s="442"/>
      <c r="P30344" s="235"/>
      <c r="AI30344" s="38"/>
    </row>
    <row r="30345" ht="15.75" customHeight="1">
      <c r="A30345" s="35"/>
      <c r="C30345" s="442"/>
      <c r="P30345" s="235"/>
      <c r="AI30345" s="38"/>
    </row>
    <row r="30346" ht="15.75" customHeight="1">
      <c r="A30346" s="35"/>
      <c r="C30346" s="442"/>
      <c r="P30346" s="235"/>
      <c r="AI30346" s="38"/>
    </row>
    <row r="30347" ht="15.75" customHeight="1">
      <c r="A30347" s="35"/>
      <c r="C30347" s="442"/>
      <c r="P30347" s="235"/>
      <c r="AI30347" s="38"/>
    </row>
    <row r="30348" ht="15.75" customHeight="1">
      <c r="A30348" s="35"/>
      <c r="C30348" s="442"/>
      <c r="P30348" s="235"/>
      <c r="AI30348" s="38"/>
    </row>
    <row r="30349" ht="15.75" customHeight="1">
      <c r="A30349" s="35"/>
      <c r="C30349" s="442"/>
      <c r="P30349" s="235"/>
      <c r="AI30349" s="38"/>
    </row>
    <row r="30350" ht="15.75" customHeight="1">
      <c r="A30350" s="35"/>
      <c r="C30350" s="442"/>
      <c r="P30350" s="235"/>
      <c r="AI30350" s="38"/>
    </row>
    <row r="30351" ht="15.75" customHeight="1">
      <c r="A30351" s="35"/>
      <c r="C30351" s="442"/>
      <c r="P30351" s="235"/>
      <c r="AI30351" s="38"/>
    </row>
    <row r="30352" ht="15.75" customHeight="1">
      <c r="A30352" s="35"/>
      <c r="C30352" s="442"/>
      <c r="P30352" s="235"/>
      <c r="AI30352" s="38"/>
    </row>
    <row r="30353" ht="15.75" customHeight="1">
      <c r="A30353" s="35"/>
      <c r="C30353" s="442"/>
      <c r="P30353" s="235"/>
      <c r="AI30353" s="38"/>
    </row>
    <row r="30354" ht="15.75" customHeight="1">
      <c r="A30354" s="35"/>
      <c r="C30354" s="442"/>
      <c r="P30354" s="235"/>
      <c r="AI30354" s="38"/>
    </row>
    <row r="30355" ht="15.75" customHeight="1">
      <c r="A30355" s="35"/>
      <c r="C30355" s="442"/>
      <c r="P30355" s="235"/>
      <c r="AI30355" s="38"/>
    </row>
    <row r="30356" ht="15.75" customHeight="1">
      <c r="A30356" s="35"/>
      <c r="C30356" s="442"/>
      <c r="P30356" s="235"/>
      <c r="AI30356" s="38"/>
    </row>
    <row r="30357" ht="15.75" customHeight="1">
      <c r="A30357" s="35"/>
      <c r="C30357" s="442"/>
      <c r="P30357" s="235"/>
      <c r="AI30357" s="38"/>
    </row>
    <row r="30358" ht="15.75" customHeight="1">
      <c r="A30358" s="35"/>
      <c r="C30358" s="442"/>
      <c r="P30358" s="235"/>
      <c r="AI30358" s="38"/>
    </row>
    <row r="30359" ht="15.75" customHeight="1">
      <c r="A30359" s="35"/>
      <c r="C30359" s="442"/>
      <c r="P30359" s="235"/>
      <c r="AI30359" s="38"/>
    </row>
    <row r="30360" ht="15.75" customHeight="1">
      <c r="A30360" s="35"/>
      <c r="C30360" s="442"/>
      <c r="P30360" s="235"/>
      <c r="AI30360" s="38"/>
    </row>
    <row r="30361" ht="15.75" customHeight="1">
      <c r="A30361" s="35"/>
      <c r="C30361" s="442"/>
      <c r="P30361" s="235"/>
      <c r="AI30361" s="38"/>
    </row>
    <row r="30362" ht="15.75" customHeight="1">
      <c r="A30362" s="35"/>
      <c r="C30362" s="442"/>
      <c r="P30362" s="235"/>
      <c r="AI30362" s="38"/>
    </row>
    <row r="30363" ht="15.75" customHeight="1">
      <c r="A30363" s="35"/>
      <c r="C30363" s="442"/>
      <c r="P30363" s="235"/>
      <c r="AI30363" s="38"/>
    </row>
    <row r="30364" ht="15.75" customHeight="1">
      <c r="A30364" s="35"/>
      <c r="C30364" s="442"/>
      <c r="P30364" s="235"/>
      <c r="AI30364" s="38"/>
    </row>
    <row r="30365" ht="15.75" customHeight="1">
      <c r="A30365" s="35"/>
      <c r="C30365" s="442"/>
      <c r="P30365" s="235"/>
      <c r="AI30365" s="38"/>
    </row>
    <row r="30366" ht="15.75" customHeight="1">
      <c r="A30366" s="35"/>
      <c r="C30366" s="442"/>
      <c r="P30366" s="235"/>
      <c r="AI30366" s="38"/>
    </row>
    <row r="30367" ht="15.75" customHeight="1">
      <c r="A30367" s="35"/>
      <c r="C30367" s="442"/>
      <c r="P30367" s="235"/>
      <c r="AI30367" s="38"/>
    </row>
    <row r="30368" ht="15.75" customHeight="1">
      <c r="A30368" s="35"/>
      <c r="C30368" s="442"/>
      <c r="P30368" s="235"/>
      <c r="AI30368" s="38"/>
    </row>
    <row r="30369" ht="15.75" customHeight="1">
      <c r="A30369" s="35"/>
      <c r="C30369" s="442"/>
      <c r="P30369" s="235"/>
      <c r="AI30369" s="38"/>
    </row>
    <row r="30370" ht="15.75" customHeight="1">
      <c r="A30370" s="35"/>
      <c r="C30370" s="442"/>
      <c r="P30370" s="235"/>
      <c r="AI30370" s="38"/>
    </row>
    <row r="30371" ht="15.75" customHeight="1">
      <c r="A30371" s="35"/>
      <c r="C30371" s="442"/>
      <c r="P30371" s="235"/>
      <c r="AI30371" s="38"/>
    </row>
    <row r="30372" ht="15.75" customHeight="1">
      <c r="A30372" s="35"/>
      <c r="C30372" s="442"/>
      <c r="P30372" s="235"/>
      <c r="AI30372" s="38"/>
    </row>
    <row r="30373" ht="15.75" customHeight="1">
      <c r="A30373" s="35"/>
      <c r="C30373" s="442"/>
      <c r="P30373" s="235"/>
      <c r="AI30373" s="38"/>
    </row>
    <row r="30374" ht="15.75" customHeight="1">
      <c r="A30374" s="35"/>
      <c r="C30374" s="442"/>
      <c r="P30374" s="235"/>
      <c r="AI30374" s="38"/>
    </row>
    <row r="30375" ht="15.75" customHeight="1">
      <c r="A30375" s="35"/>
      <c r="C30375" s="442"/>
      <c r="P30375" s="235"/>
      <c r="AI30375" s="38"/>
    </row>
    <row r="30376" ht="15.75" customHeight="1">
      <c r="A30376" s="35"/>
      <c r="C30376" s="442"/>
      <c r="P30376" s="235"/>
      <c r="AI30376" s="38"/>
    </row>
    <row r="30377" ht="15.75" customHeight="1">
      <c r="A30377" s="35"/>
      <c r="C30377" s="442"/>
      <c r="P30377" s="235"/>
      <c r="AI30377" s="38"/>
    </row>
    <row r="30378" ht="15.75" customHeight="1">
      <c r="A30378" s="35"/>
      <c r="C30378" s="442"/>
      <c r="P30378" s="235"/>
      <c r="AI30378" s="38"/>
    </row>
    <row r="30379" ht="15.75" customHeight="1">
      <c r="A30379" s="35"/>
      <c r="C30379" s="442"/>
      <c r="P30379" s="235"/>
      <c r="AI30379" s="38"/>
    </row>
    <row r="30380" ht="15.75" customHeight="1">
      <c r="A30380" s="35"/>
      <c r="C30380" s="442"/>
      <c r="P30380" s="235"/>
      <c r="AI30380" s="38"/>
    </row>
    <row r="30381" ht="15.75" customHeight="1">
      <c r="A30381" s="35"/>
      <c r="C30381" s="442"/>
      <c r="P30381" s="235"/>
      <c r="AI30381" s="38"/>
    </row>
    <row r="30382" ht="15.75" customHeight="1">
      <c r="A30382" s="35"/>
      <c r="C30382" s="442"/>
      <c r="P30382" s="235"/>
      <c r="AI30382" s="38"/>
    </row>
    <row r="30383" ht="15.75" customHeight="1">
      <c r="A30383" s="35"/>
      <c r="C30383" s="442"/>
      <c r="P30383" s="235"/>
      <c r="AI30383" s="38"/>
    </row>
    <row r="30384" ht="15.75" customHeight="1">
      <c r="A30384" s="35"/>
      <c r="C30384" s="442"/>
      <c r="P30384" s="235"/>
      <c r="AI30384" s="38"/>
    </row>
    <row r="30385" ht="15.75" customHeight="1">
      <c r="A30385" s="35"/>
      <c r="C30385" s="442"/>
      <c r="P30385" s="235"/>
      <c r="AI30385" s="38"/>
    </row>
    <row r="30386" ht="15.75" customHeight="1">
      <c r="A30386" s="35"/>
      <c r="C30386" s="442"/>
      <c r="P30386" s="235"/>
      <c r="AI30386" s="38"/>
    </row>
    <row r="30387" ht="15.75" customHeight="1">
      <c r="A30387" s="35"/>
      <c r="C30387" s="442"/>
      <c r="P30387" s="235"/>
      <c r="AI30387" s="38"/>
    </row>
    <row r="30388" ht="15.75" customHeight="1">
      <c r="A30388" s="35"/>
      <c r="C30388" s="442"/>
      <c r="P30388" s="235"/>
      <c r="AI30388" s="38"/>
    </row>
    <row r="30389" ht="15.75" customHeight="1">
      <c r="A30389" s="35"/>
      <c r="C30389" s="442"/>
      <c r="P30389" s="235"/>
      <c r="AI30389" s="38"/>
    </row>
    <row r="30390" ht="15.75" customHeight="1">
      <c r="A30390" s="35"/>
      <c r="C30390" s="442"/>
      <c r="P30390" s="235"/>
      <c r="AI30390" s="38"/>
    </row>
    <row r="30391" ht="15.75" customHeight="1">
      <c r="A30391" s="35"/>
      <c r="C30391" s="442"/>
      <c r="P30391" s="235"/>
      <c r="AI30391" s="38"/>
    </row>
    <row r="30392" ht="15.75" customHeight="1">
      <c r="A30392" s="35"/>
      <c r="C30392" s="442"/>
      <c r="P30392" s="235"/>
      <c r="AI30392" s="38"/>
    </row>
    <row r="30393" ht="15.75" customHeight="1">
      <c r="A30393" s="35"/>
      <c r="C30393" s="442"/>
      <c r="P30393" s="235"/>
      <c r="AI30393" s="38"/>
    </row>
    <row r="30394" ht="15.75" customHeight="1">
      <c r="A30394" s="35"/>
      <c r="C30394" s="442"/>
      <c r="P30394" s="235"/>
      <c r="AI30394" s="38"/>
    </row>
    <row r="30395" ht="15.75" customHeight="1">
      <c r="A30395" s="35"/>
      <c r="C30395" s="442"/>
      <c r="P30395" s="235"/>
      <c r="AI30395" s="38"/>
    </row>
    <row r="30396" ht="15.75" customHeight="1">
      <c r="A30396" s="35"/>
      <c r="C30396" s="442"/>
      <c r="P30396" s="235"/>
      <c r="AI30396" s="38"/>
    </row>
    <row r="30397" ht="15.75" customHeight="1">
      <c r="A30397" s="35"/>
      <c r="C30397" s="442"/>
      <c r="P30397" s="235"/>
      <c r="AI30397" s="38"/>
    </row>
    <row r="30398" ht="15.75" customHeight="1">
      <c r="A30398" s="35"/>
      <c r="C30398" s="442"/>
      <c r="P30398" s="235"/>
      <c r="AI30398" s="38"/>
    </row>
    <row r="30399" ht="15.75" customHeight="1">
      <c r="A30399" s="35"/>
      <c r="C30399" s="442"/>
      <c r="P30399" s="235"/>
      <c r="AI30399" s="38"/>
    </row>
    <row r="30400" ht="15.75" customHeight="1">
      <c r="A30400" s="35"/>
      <c r="C30400" s="442"/>
      <c r="P30400" s="235"/>
      <c r="AI30400" s="38"/>
    </row>
    <row r="30401" ht="15.75" customHeight="1">
      <c r="A30401" s="35"/>
      <c r="C30401" s="442"/>
      <c r="P30401" s="235"/>
      <c r="AI30401" s="38"/>
    </row>
    <row r="30402" ht="15.75" customHeight="1">
      <c r="A30402" s="35"/>
      <c r="C30402" s="442"/>
      <c r="P30402" s="235"/>
      <c r="AI30402" s="38"/>
    </row>
    <row r="30403" ht="15.75" customHeight="1">
      <c r="A30403" s="35"/>
      <c r="C30403" s="442"/>
      <c r="P30403" s="235"/>
      <c r="AI30403" s="38"/>
    </row>
    <row r="30404" ht="15.75" customHeight="1">
      <c r="A30404" s="35"/>
      <c r="C30404" s="442"/>
      <c r="P30404" s="235"/>
      <c r="AI30404" s="38"/>
    </row>
    <row r="30405" ht="15.75" customHeight="1">
      <c r="A30405" s="35"/>
      <c r="C30405" s="442"/>
      <c r="P30405" s="235"/>
      <c r="AI30405" s="38"/>
    </row>
    <row r="30406" ht="15.75" customHeight="1">
      <c r="A30406" s="35"/>
      <c r="C30406" s="442"/>
      <c r="P30406" s="235"/>
      <c r="AI30406" s="38"/>
    </row>
    <row r="30407" ht="15.75" customHeight="1">
      <c r="A30407" s="35"/>
      <c r="C30407" s="442"/>
      <c r="P30407" s="235"/>
      <c r="AI30407" s="38"/>
    </row>
    <row r="30408" ht="15.75" customHeight="1">
      <c r="A30408" s="35"/>
      <c r="C30408" s="442"/>
      <c r="P30408" s="235"/>
      <c r="AI30408" s="38"/>
    </row>
    <row r="30409" ht="15.75" customHeight="1">
      <c r="A30409" s="35"/>
      <c r="C30409" s="442"/>
      <c r="P30409" s="235"/>
      <c r="AI30409" s="38"/>
    </row>
    <row r="30410" ht="15.75" customHeight="1">
      <c r="A30410" s="35"/>
      <c r="C30410" s="442"/>
      <c r="P30410" s="235"/>
      <c r="AI30410" s="38"/>
    </row>
    <row r="30411" ht="15.75" customHeight="1">
      <c r="A30411" s="35"/>
      <c r="C30411" s="442"/>
      <c r="P30411" s="235"/>
      <c r="AI30411" s="38"/>
    </row>
    <row r="30412" ht="15.75" customHeight="1">
      <c r="A30412" s="35"/>
      <c r="C30412" s="442"/>
      <c r="P30412" s="235"/>
      <c r="AI30412" s="38"/>
    </row>
    <row r="30413" ht="15.75" customHeight="1">
      <c r="A30413" s="35"/>
      <c r="C30413" s="442"/>
      <c r="P30413" s="235"/>
      <c r="AI30413" s="38"/>
    </row>
    <row r="30414" ht="15.75" customHeight="1">
      <c r="A30414" s="35"/>
      <c r="C30414" s="442"/>
      <c r="P30414" s="235"/>
      <c r="AI30414" s="38"/>
    </row>
    <row r="30415" ht="15.75" customHeight="1">
      <c r="A30415" s="35"/>
      <c r="C30415" s="442"/>
      <c r="P30415" s="235"/>
      <c r="AI30415" s="38"/>
    </row>
    <row r="30416" ht="15.75" customHeight="1">
      <c r="A30416" s="35"/>
      <c r="C30416" s="442"/>
      <c r="P30416" s="235"/>
      <c r="AI30416" s="38"/>
    </row>
    <row r="30417" ht="15.75" customHeight="1">
      <c r="A30417" s="35"/>
      <c r="C30417" s="442"/>
      <c r="P30417" s="235"/>
      <c r="AI30417" s="38"/>
    </row>
    <row r="30418" ht="15.75" customHeight="1">
      <c r="A30418" s="35"/>
      <c r="C30418" s="442"/>
      <c r="P30418" s="235"/>
      <c r="AI30418" s="38"/>
    </row>
    <row r="30419" ht="15.75" customHeight="1">
      <c r="A30419" s="35"/>
      <c r="C30419" s="442"/>
      <c r="P30419" s="235"/>
      <c r="AI30419" s="38"/>
    </row>
    <row r="30420" ht="15.75" customHeight="1">
      <c r="A30420" s="35"/>
      <c r="C30420" s="442"/>
      <c r="P30420" s="235"/>
      <c r="AI30420" s="38"/>
    </row>
    <row r="30421" ht="15.75" customHeight="1">
      <c r="A30421" s="35"/>
      <c r="C30421" s="442"/>
      <c r="P30421" s="235"/>
      <c r="AI30421" s="38"/>
    </row>
    <row r="30422" ht="15.75" customHeight="1">
      <c r="A30422" s="35"/>
      <c r="C30422" s="442"/>
      <c r="P30422" s="235"/>
      <c r="AI30422" s="38"/>
    </row>
    <row r="30423" ht="15.75" customHeight="1">
      <c r="A30423" s="35"/>
      <c r="C30423" s="442"/>
      <c r="P30423" s="235"/>
      <c r="AI30423" s="38"/>
    </row>
    <row r="30424" ht="15.75" customHeight="1">
      <c r="A30424" s="35"/>
      <c r="C30424" s="442"/>
      <c r="P30424" s="235"/>
      <c r="AI30424" s="38"/>
    </row>
    <row r="30425" ht="15.75" customHeight="1">
      <c r="A30425" s="35"/>
      <c r="C30425" s="442"/>
      <c r="P30425" s="235"/>
      <c r="AI30425" s="38"/>
    </row>
    <row r="30426" ht="15.75" customHeight="1">
      <c r="A30426" s="35"/>
      <c r="C30426" s="442"/>
      <c r="P30426" s="235"/>
      <c r="AI30426" s="38"/>
    </row>
    <row r="30427" ht="15.75" customHeight="1">
      <c r="A30427" s="35"/>
      <c r="C30427" s="442"/>
      <c r="P30427" s="235"/>
      <c r="AI30427" s="38"/>
    </row>
    <row r="30428" ht="15.75" customHeight="1">
      <c r="A30428" s="35"/>
      <c r="C30428" s="442"/>
      <c r="P30428" s="235"/>
      <c r="AI30428" s="38"/>
    </row>
    <row r="30429" ht="15.75" customHeight="1">
      <c r="A30429" s="35"/>
      <c r="C30429" s="442"/>
      <c r="P30429" s="235"/>
      <c r="AI30429" s="38"/>
    </row>
    <row r="30430" ht="15.75" customHeight="1">
      <c r="A30430" s="35"/>
      <c r="C30430" s="442"/>
      <c r="P30430" s="235"/>
      <c r="AI30430" s="38"/>
    </row>
    <row r="30431" ht="15.75" customHeight="1">
      <c r="A30431" s="35"/>
      <c r="C30431" s="442"/>
      <c r="P30431" s="235"/>
      <c r="AI30431" s="38"/>
    </row>
    <row r="30432" ht="15.75" customHeight="1">
      <c r="A30432" s="35"/>
      <c r="C30432" s="442"/>
      <c r="P30432" s="235"/>
      <c r="AI30432" s="38"/>
    </row>
    <row r="30433" ht="15.75" customHeight="1">
      <c r="A30433" s="35"/>
      <c r="C30433" s="442"/>
      <c r="P30433" s="235"/>
      <c r="AI30433" s="38"/>
    </row>
    <row r="30434" ht="15.75" customHeight="1">
      <c r="A30434" s="35"/>
      <c r="C30434" s="442"/>
      <c r="P30434" s="235"/>
      <c r="AI30434" s="38"/>
    </row>
    <row r="30435" ht="15.75" customHeight="1">
      <c r="A30435" s="35"/>
      <c r="C30435" s="442"/>
      <c r="P30435" s="235"/>
      <c r="AI30435" s="38"/>
    </row>
    <row r="30436" ht="15.75" customHeight="1">
      <c r="A30436" s="35"/>
      <c r="C30436" s="442"/>
      <c r="P30436" s="235"/>
      <c r="AI30436" s="38"/>
    </row>
    <row r="30437" ht="15.75" customHeight="1">
      <c r="A30437" s="35"/>
      <c r="C30437" s="442"/>
      <c r="P30437" s="235"/>
      <c r="AI30437" s="38"/>
    </row>
    <row r="30438" ht="15.75" customHeight="1">
      <c r="A30438" s="35"/>
      <c r="C30438" s="442"/>
      <c r="P30438" s="235"/>
      <c r="AI30438" s="38"/>
    </row>
    <row r="30439" ht="15.75" customHeight="1">
      <c r="A30439" s="35"/>
      <c r="C30439" s="442"/>
      <c r="P30439" s="235"/>
      <c r="AI30439" s="38"/>
    </row>
    <row r="30440" ht="15.75" customHeight="1">
      <c r="A30440" s="35"/>
      <c r="C30440" s="442"/>
      <c r="P30440" s="235"/>
      <c r="AI30440" s="38"/>
    </row>
    <row r="30441" ht="15.75" customHeight="1">
      <c r="A30441" s="35"/>
      <c r="C30441" s="442"/>
      <c r="P30441" s="235"/>
      <c r="AI30441" s="38"/>
    </row>
    <row r="30442" ht="15.75" customHeight="1">
      <c r="A30442" s="35"/>
      <c r="C30442" s="442"/>
      <c r="P30442" s="235"/>
      <c r="AI30442" s="38"/>
    </row>
    <row r="30443" ht="15.75" customHeight="1">
      <c r="A30443" s="35"/>
      <c r="C30443" s="442"/>
      <c r="P30443" s="235"/>
      <c r="AI30443" s="38"/>
    </row>
    <row r="30444" ht="15.75" customHeight="1">
      <c r="A30444" s="35"/>
      <c r="C30444" s="442"/>
      <c r="P30444" s="235"/>
      <c r="AI30444" s="38"/>
    </row>
    <row r="30445" ht="15.75" customHeight="1">
      <c r="A30445" s="35"/>
      <c r="C30445" s="442"/>
      <c r="P30445" s="235"/>
      <c r="AI30445" s="38"/>
    </row>
    <row r="30446" ht="15.75" customHeight="1">
      <c r="A30446" s="35"/>
      <c r="C30446" s="442"/>
      <c r="P30446" s="235"/>
      <c r="AI30446" s="38"/>
    </row>
    <row r="30447" ht="15.75" customHeight="1">
      <c r="A30447" s="35"/>
      <c r="C30447" s="442"/>
      <c r="P30447" s="235"/>
      <c r="AI30447" s="38"/>
    </row>
    <row r="30448" ht="15.75" customHeight="1">
      <c r="A30448" s="35"/>
      <c r="C30448" s="442"/>
      <c r="P30448" s="235"/>
      <c r="AI30448" s="38"/>
    </row>
    <row r="30449" ht="15.75" customHeight="1">
      <c r="A30449" s="35"/>
      <c r="C30449" s="442"/>
      <c r="P30449" s="235"/>
      <c r="AI30449" s="38"/>
    </row>
    <row r="30450" ht="15.75" customHeight="1">
      <c r="A30450" s="35"/>
      <c r="C30450" s="442"/>
      <c r="P30450" s="235"/>
      <c r="AI30450" s="38"/>
    </row>
    <row r="30451" ht="15.75" customHeight="1">
      <c r="A30451" s="35"/>
      <c r="C30451" s="442"/>
      <c r="P30451" s="235"/>
      <c r="AI30451" s="38"/>
    </row>
    <row r="30452" ht="15.75" customHeight="1">
      <c r="A30452" s="35"/>
      <c r="C30452" s="442"/>
      <c r="P30452" s="235"/>
      <c r="AI30452" s="38"/>
    </row>
    <row r="30453" ht="15.75" customHeight="1">
      <c r="A30453" s="35"/>
      <c r="C30453" s="442"/>
      <c r="P30453" s="235"/>
      <c r="AI30453" s="38"/>
    </row>
    <row r="30454" ht="15.75" customHeight="1">
      <c r="A30454" s="35"/>
      <c r="C30454" s="442"/>
      <c r="P30454" s="235"/>
      <c r="AI30454" s="38"/>
    </row>
    <row r="30455" ht="15.75" customHeight="1">
      <c r="A30455" s="35"/>
      <c r="C30455" s="442"/>
      <c r="P30455" s="235"/>
      <c r="AI30455" s="38"/>
    </row>
    <row r="30456" ht="15.75" customHeight="1">
      <c r="A30456" s="35"/>
      <c r="C30456" s="442"/>
      <c r="P30456" s="235"/>
      <c r="AI30456" s="38"/>
    </row>
    <row r="30457" ht="15.75" customHeight="1">
      <c r="A30457" s="35"/>
      <c r="C30457" s="442"/>
      <c r="P30457" s="235"/>
      <c r="AI30457" s="38"/>
    </row>
    <row r="30458" ht="15.75" customHeight="1">
      <c r="A30458" s="35"/>
      <c r="C30458" s="442"/>
      <c r="P30458" s="235"/>
      <c r="AI30458" s="38"/>
    </row>
    <row r="30459" ht="15.75" customHeight="1">
      <c r="A30459" s="35"/>
      <c r="C30459" s="442"/>
      <c r="P30459" s="235"/>
      <c r="AI30459" s="38"/>
    </row>
    <row r="30460" ht="15.75" customHeight="1">
      <c r="A30460" s="35"/>
      <c r="C30460" s="442"/>
      <c r="P30460" s="235"/>
      <c r="AI30460" s="38"/>
    </row>
    <row r="30461" ht="15.75" customHeight="1">
      <c r="A30461" s="35"/>
      <c r="C30461" s="442"/>
      <c r="P30461" s="235"/>
      <c r="AI30461" s="38"/>
    </row>
    <row r="30462" ht="15.75" customHeight="1">
      <c r="A30462" s="35"/>
      <c r="C30462" s="442"/>
      <c r="P30462" s="235"/>
      <c r="AI30462" s="38"/>
    </row>
    <row r="30463" ht="15.75" customHeight="1">
      <c r="A30463" s="35"/>
      <c r="C30463" s="442"/>
      <c r="P30463" s="235"/>
      <c r="AI30463" s="38"/>
    </row>
    <row r="30464" ht="15.75" customHeight="1">
      <c r="A30464" s="35"/>
      <c r="C30464" s="442"/>
      <c r="P30464" s="235"/>
      <c r="AI30464" s="38"/>
    </row>
    <row r="30465" ht="15.75" customHeight="1">
      <c r="A30465" s="35"/>
      <c r="C30465" s="442"/>
      <c r="P30465" s="235"/>
      <c r="AI30465" s="38"/>
    </row>
    <row r="30466" ht="15.75" customHeight="1">
      <c r="A30466" s="35"/>
      <c r="C30466" s="442"/>
      <c r="P30466" s="235"/>
      <c r="AI30466" s="38"/>
    </row>
    <row r="30467" ht="15.75" customHeight="1">
      <c r="A30467" s="35"/>
      <c r="C30467" s="442"/>
      <c r="P30467" s="235"/>
      <c r="AI30467" s="38"/>
    </row>
    <row r="30468" ht="15.75" customHeight="1">
      <c r="A30468" s="35"/>
      <c r="C30468" s="442"/>
      <c r="P30468" s="235"/>
      <c r="AI30468" s="38"/>
    </row>
    <row r="30469" ht="15.75" customHeight="1">
      <c r="A30469" s="35"/>
      <c r="C30469" s="442"/>
      <c r="P30469" s="235"/>
      <c r="AI30469" s="38"/>
    </row>
    <row r="30470" ht="15.75" customHeight="1">
      <c r="A30470" s="35"/>
      <c r="C30470" s="442"/>
      <c r="P30470" s="235"/>
      <c r="AI30470" s="38"/>
    </row>
    <row r="30471" ht="15.75" customHeight="1">
      <c r="A30471" s="35"/>
      <c r="C30471" s="442"/>
      <c r="P30471" s="235"/>
      <c r="AI30471" s="38"/>
    </row>
    <row r="30472" ht="15.75" customHeight="1">
      <c r="A30472" s="35"/>
      <c r="C30472" s="442"/>
      <c r="P30472" s="235"/>
      <c r="AI30472" s="38"/>
    </row>
    <row r="30473" ht="15.75" customHeight="1">
      <c r="A30473" s="35"/>
      <c r="C30473" s="442"/>
      <c r="P30473" s="235"/>
      <c r="AI30473" s="38"/>
    </row>
    <row r="30474" ht="15.75" customHeight="1">
      <c r="A30474" s="35"/>
      <c r="C30474" s="442"/>
      <c r="P30474" s="235"/>
      <c r="AI30474" s="38"/>
    </row>
    <row r="30475" ht="15.75" customHeight="1">
      <c r="A30475" s="35"/>
      <c r="C30475" s="442"/>
      <c r="P30475" s="235"/>
      <c r="AI30475" s="38"/>
    </row>
    <row r="30476" ht="15.75" customHeight="1">
      <c r="A30476" s="35"/>
      <c r="C30476" s="442"/>
      <c r="P30476" s="235"/>
      <c r="AI30476" s="38"/>
    </row>
    <row r="30477" ht="15.75" customHeight="1">
      <c r="A30477" s="35"/>
      <c r="C30477" s="442"/>
      <c r="P30477" s="235"/>
      <c r="AI30477" s="38"/>
    </row>
    <row r="30478" ht="15.75" customHeight="1">
      <c r="A30478" s="35"/>
      <c r="C30478" s="442"/>
      <c r="P30478" s="235"/>
      <c r="AI30478" s="38"/>
    </row>
    <row r="30479" ht="15.75" customHeight="1">
      <c r="A30479" s="35"/>
      <c r="C30479" s="442"/>
      <c r="P30479" s="235"/>
      <c r="AI30479" s="38"/>
    </row>
    <row r="30480" ht="15.75" customHeight="1">
      <c r="A30480" s="35"/>
      <c r="C30480" s="442"/>
      <c r="P30480" s="235"/>
      <c r="AI30480" s="38"/>
    </row>
    <row r="30481" ht="15.75" customHeight="1">
      <c r="A30481" s="35"/>
      <c r="C30481" s="442"/>
      <c r="P30481" s="235"/>
      <c r="AI30481" s="38"/>
    </row>
    <row r="30482" ht="15.75" customHeight="1">
      <c r="A30482" s="35"/>
      <c r="C30482" s="442"/>
      <c r="P30482" s="235"/>
      <c r="AI30482" s="38"/>
    </row>
    <row r="30483" ht="15.75" customHeight="1">
      <c r="A30483" s="35"/>
      <c r="C30483" s="442"/>
      <c r="P30483" s="235"/>
      <c r="AI30483" s="38"/>
    </row>
    <row r="30484" ht="15.75" customHeight="1">
      <c r="A30484" s="35"/>
      <c r="C30484" s="442"/>
      <c r="P30484" s="235"/>
      <c r="AI30484" s="38"/>
    </row>
    <row r="30485" ht="15.75" customHeight="1">
      <c r="A30485" s="35"/>
      <c r="C30485" s="442"/>
      <c r="P30485" s="235"/>
      <c r="AI30485" s="38"/>
    </row>
    <row r="30486" ht="15.75" customHeight="1">
      <c r="A30486" s="35"/>
      <c r="C30486" s="442"/>
      <c r="P30486" s="235"/>
      <c r="AI30486" s="38"/>
    </row>
    <row r="30487" ht="15.75" customHeight="1">
      <c r="A30487" s="35"/>
      <c r="C30487" s="442"/>
      <c r="P30487" s="235"/>
      <c r="AI30487" s="38"/>
    </row>
    <row r="30488" ht="15.75" customHeight="1">
      <c r="A30488" s="35"/>
      <c r="C30488" s="442"/>
      <c r="P30488" s="235"/>
      <c r="AI30488" s="38"/>
    </row>
    <row r="30489" ht="15.75" customHeight="1">
      <c r="A30489" s="35"/>
      <c r="C30489" s="442"/>
      <c r="P30489" s="235"/>
      <c r="AI30489" s="38"/>
    </row>
    <row r="30490" ht="15.75" customHeight="1">
      <c r="A30490" s="35"/>
      <c r="C30490" s="442"/>
      <c r="P30490" s="235"/>
      <c r="AI30490" s="38"/>
    </row>
    <row r="30491" ht="15.75" customHeight="1">
      <c r="A30491" s="35"/>
      <c r="C30491" s="442"/>
      <c r="P30491" s="235"/>
      <c r="AI30491" s="38"/>
    </row>
    <row r="30492" ht="15.75" customHeight="1">
      <c r="A30492" s="35"/>
      <c r="C30492" s="442"/>
      <c r="P30492" s="235"/>
      <c r="AI30492" s="38"/>
    </row>
    <row r="30493" ht="15.75" customHeight="1">
      <c r="A30493" s="35"/>
      <c r="C30493" s="442"/>
      <c r="P30493" s="235"/>
      <c r="AI30493" s="38"/>
    </row>
    <row r="30494" ht="15.75" customHeight="1">
      <c r="A30494" s="35"/>
      <c r="C30494" s="442"/>
      <c r="P30494" s="235"/>
      <c r="AI30494" s="38"/>
    </row>
    <row r="30495" ht="15.75" customHeight="1">
      <c r="A30495" s="35"/>
      <c r="C30495" s="442"/>
      <c r="P30495" s="235"/>
      <c r="AI30495" s="38"/>
    </row>
    <row r="30496" ht="15.75" customHeight="1">
      <c r="A30496" s="35"/>
      <c r="C30496" s="442"/>
      <c r="P30496" s="235"/>
      <c r="AI30496" s="38"/>
    </row>
    <row r="30497" ht="15.75" customHeight="1">
      <c r="A30497" s="35"/>
      <c r="C30497" s="442"/>
      <c r="P30497" s="235"/>
      <c r="AI30497" s="38"/>
    </row>
    <row r="30498" ht="15.75" customHeight="1">
      <c r="A30498" s="35"/>
      <c r="C30498" s="442"/>
      <c r="P30498" s="235"/>
      <c r="AI30498" s="38"/>
    </row>
    <row r="30499" ht="15.75" customHeight="1">
      <c r="A30499" s="35"/>
      <c r="C30499" s="442"/>
      <c r="P30499" s="235"/>
      <c r="AI30499" s="38"/>
    </row>
    <row r="30500" ht="15.75" customHeight="1">
      <c r="A30500" s="35"/>
      <c r="C30500" s="442"/>
      <c r="P30500" s="235"/>
      <c r="AI30500" s="38"/>
    </row>
    <row r="30501" ht="15.75" customHeight="1">
      <c r="A30501" s="35"/>
      <c r="C30501" s="442"/>
      <c r="P30501" s="235"/>
      <c r="AI30501" s="38"/>
    </row>
    <row r="30502" ht="15.75" customHeight="1">
      <c r="A30502" s="35"/>
      <c r="C30502" s="442"/>
      <c r="P30502" s="235"/>
      <c r="AI30502" s="38"/>
    </row>
    <row r="30503" ht="15.75" customHeight="1">
      <c r="A30503" s="35"/>
      <c r="C30503" s="442"/>
      <c r="P30503" s="235"/>
      <c r="AI30503" s="38"/>
    </row>
    <row r="30504" ht="15.75" customHeight="1">
      <c r="A30504" s="35"/>
      <c r="C30504" s="442"/>
      <c r="P30504" s="235"/>
      <c r="AI30504" s="38"/>
    </row>
    <row r="30505" ht="15.75" customHeight="1">
      <c r="A30505" s="35"/>
      <c r="C30505" s="442"/>
      <c r="P30505" s="235"/>
      <c r="AI30505" s="38"/>
    </row>
    <row r="30506" ht="15.75" customHeight="1">
      <c r="A30506" s="35"/>
      <c r="C30506" s="442"/>
      <c r="P30506" s="235"/>
      <c r="AI30506" s="38"/>
    </row>
    <row r="30507" ht="15.75" customHeight="1">
      <c r="A30507" s="35"/>
      <c r="C30507" s="442"/>
      <c r="P30507" s="235"/>
      <c r="AI30507" s="38"/>
    </row>
    <row r="30508" ht="15.75" customHeight="1">
      <c r="A30508" s="35"/>
      <c r="C30508" s="442"/>
      <c r="P30508" s="235"/>
      <c r="AI30508" s="38"/>
    </row>
    <row r="30509" ht="15.75" customHeight="1">
      <c r="A30509" s="35"/>
      <c r="C30509" s="442"/>
      <c r="P30509" s="235"/>
      <c r="AI30509" s="38"/>
    </row>
    <row r="30510" ht="15.75" customHeight="1">
      <c r="A30510" s="35"/>
      <c r="C30510" s="442"/>
      <c r="P30510" s="235"/>
      <c r="AI30510" s="38"/>
    </row>
    <row r="30511" ht="15.75" customHeight="1">
      <c r="A30511" s="35"/>
      <c r="C30511" s="442"/>
      <c r="P30511" s="235"/>
      <c r="AI30511" s="38"/>
    </row>
    <row r="30512" ht="15.75" customHeight="1">
      <c r="A30512" s="35"/>
      <c r="C30512" s="442"/>
      <c r="P30512" s="235"/>
      <c r="AI30512" s="38"/>
    </row>
    <row r="30513" ht="15.75" customHeight="1">
      <c r="A30513" s="35"/>
      <c r="C30513" s="442"/>
      <c r="P30513" s="235"/>
      <c r="AI30513" s="38"/>
    </row>
    <row r="30514" ht="15.75" customHeight="1">
      <c r="A30514" s="35"/>
      <c r="C30514" s="442"/>
      <c r="P30514" s="235"/>
      <c r="AI30514" s="38"/>
    </row>
    <row r="30515" ht="15.75" customHeight="1">
      <c r="A30515" s="35"/>
      <c r="C30515" s="442"/>
      <c r="P30515" s="235"/>
      <c r="AI30515" s="38"/>
    </row>
    <row r="30516" ht="15.75" customHeight="1">
      <c r="A30516" s="35"/>
      <c r="C30516" s="442"/>
      <c r="P30516" s="235"/>
      <c r="AI30516" s="38"/>
    </row>
    <row r="30517" ht="15.75" customHeight="1">
      <c r="A30517" s="35"/>
      <c r="C30517" s="442"/>
      <c r="P30517" s="235"/>
      <c r="AI30517" s="38"/>
    </row>
    <row r="30518" ht="15.75" customHeight="1">
      <c r="A30518" s="35"/>
      <c r="C30518" s="442"/>
      <c r="P30518" s="235"/>
      <c r="AI30518" s="38"/>
    </row>
    <row r="30519" ht="15.75" customHeight="1">
      <c r="A30519" s="35"/>
      <c r="C30519" s="442"/>
      <c r="P30519" s="235"/>
      <c r="AI30519" s="38"/>
    </row>
    <row r="30520" ht="15.75" customHeight="1">
      <c r="A30520" s="35"/>
      <c r="C30520" s="442"/>
      <c r="P30520" s="235"/>
      <c r="AI30520" s="38"/>
    </row>
    <row r="30521" ht="15.75" customHeight="1">
      <c r="A30521" s="35"/>
      <c r="C30521" s="442"/>
      <c r="P30521" s="235"/>
      <c r="AI30521" s="38"/>
    </row>
    <row r="30522" ht="15.75" customHeight="1">
      <c r="A30522" s="35"/>
      <c r="C30522" s="442"/>
      <c r="P30522" s="235"/>
      <c r="AI30522" s="38"/>
    </row>
    <row r="30523" ht="15.75" customHeight="1">
      <c r="A30523" s="35"/>
      <c r="C30523" s="442"/>
      <c r="P30523" s="235"/>
      <c r="AI30523" s="38"/>
    </row>
    <row r="30524" ht="15.75" customHeight="1">
      <c r="A30524" s="35"/>
      <c r="C30524" s="442"/>
      <c r="P30524" s="235"/>
      <c r="AI30524" s="38"/>
    </row>
    <row r="30525" ht="15.75" customHeight="1">
      <c r="A30525" s="35"/>
      <c r="C30525" s="442"/>
      <c r="P30525" s="235"/>
      <c r="AI30525" s="38"/>
    </row>
    <row r="30526" ht="15.75" customHeight="1">
      <c r="A30526" s="35"/>
      <c r="C30526" s="442"/>
      <c r="P30526" s="235"/>
      <c r="AI30526" s="38"/>
    </row>
    <row r="30527" ht="15.75" customHeight="1">
      <c r="A30527" s="35"/>
      <c r="C30527" s="442"/>
      <c r="P30527" s="235"/>
      <c r="AI30527" s="38"/>
    </row>
    <row r="30528" ht="15.75" customHeight="1">
      <c r="A30528" s="35"/>
      <c r="C30528" s="442"/>
      <c r="P30528" s="235"/>
      <c r="AI30528" s="38"/>
    </row>
    <row r="30529" ht="15.75" customHeight="1">
      <c r="A30529" s="35"/>
      <c r="C30529" s="442"/>
      <c r="P30529" s="235"/>
      <c r="AI30529" s="38"/>
    </row>
    <row r="30530" ht="15.75" customHeight="1">
      <c r="A30530" s="35"/>
      <c r="C30530" s="442"/>
      <c r="P30530" s="235"/>
      <c r="AI30530" s="38"/>
    </row>
    <row r="30531" ht="15.75" customHeight="1">
      <c r="A30531" s="35"/>
      <c r="C30531" s="442"/>
      <c r="P30531" s="235"/>
      <c r="AI30531" s="38"/>
    </row>
    <row r="30532" ht="15.75" customHeight="1">
      <c r="A30532" s="35"/>
      <c r="C30532" s="442"/>
      <c r="P30532" s="235"/>
      <c r="AI30532" s="38"/>
    </row>
    <row r="30533" ht="15.75" customHeight="1">
      <c r="A30533" s="35"/>
      <c r="C30533" s="442"/>
      <c r="P30533" s="235"/>
      <c r="AI30533" s="38"/>
    </row>
    <row r="30534" ht="15.75" customHeight="1">
      <c r="A30534" s="35"/>
      <c r="C30534" s="442"/>
      <c r="P30534" s="235"/>
      <c r="AI30534" s="38"/>
    </row>
    <row r="30535" ht="15.75" customHeight="1">
      <c r="A30535" s="35"/>
      <c r="C30535" s="442"/>
      <c r="P30535" s="235"/>
      <c r="AI30535" s="38"/>
    </row>
    <row r="30536" ht="15.75" customHeight="1">
      <c r="A30536" s="35"/>
      <c r="C30536" s="442"/>
      <c r="P30536" s="235"/>
      <c r="AI30536" s="38"/>
    </row>
    <row r="30537" ht="15.75" customHeight="1">
      <c r="A30537" s="35"/>
      <c r="C30537" s="442"/>
      <c r="P30537" s="235"/>
      <c r="AI30537" s="38"/>
    </row>
    <row r="30538" ht="15.75" customHeight="1">
      <c r="A30538" s="35"/>
      <c r="C30538" s="442"/>
      <c r="P30538" s="235"/>
      <c r="AI30538" s="38"/>
    </row>
    <row r="30539" ht="15.75" customHeight="1">
      <c r="A30539" s="35"/>
      <c r="C30539" s="442"/>
      <c r="P30539" s="235"/>
      <c r="AI30539" s="38"/>
    </row>
    <row r="30540" ht="15.75" customHeight="1">
      <c r="A30540" s="35"/>
      <c r="C30540" s="442"/>
      <c r="P30540" s="235"/>
      <c r="AI30540" s="38"/>
    </row>
    <row r="30541" ht="15.75" customHeight="1">
      <c r="A30541" s="35"/>
      <c r="C30541" s="442"/>
      <c r="P30541" s="235"/>
      <c r="AI30541" s="38"/>
    </row>
    <row r="30542" ht="15.75" customHeight="1">
      <c r="A30542" s="35"/>
      <c r="C30542" s="442"/>
      <c r="P30542" s="235"/>
      <c r="AI30542" s="38"/>
    </row>
    <row r="30543" ht="15.75" customHeight="1">
      <c r="A30543" s="35"/>
      <c r="C30543" s="442"/>
      <c r="P30543" s="235"/>
      <c r="AI30543" s="38"/>
    </row>
    <row r="30544" ht="15.75" customHeight="1">
      <c r="A30544" s="35"/>
      <c r="C30544" s="442"/>
      <c r="P30544" s="235"/>
      <c r="AI30544" s="38"/>
    </row>
    <row r="30545" ht="15.75" customHeight="1">
      <c r="A30545" s="35"/>
      <c r="C30545" s="442"/>
      <c r="P30545" s="235"/>
      <c r="AI30545" s="38"/>
    </row>
    <row r="30546" ht="15.75" customHeight="1">
      <c r="A30546" s="35"/>
      <c r="C30546" s="442"/>
      <c r="P30546" s="235"/>
      <c r="AI30546" s="38"/>
    </row>
    <row r="30547" ht="15.75" customHeight="1">
      <c r="A30547" s="35"/>
      <c r="C30547" s="442"/>
      <c r="P30547" s="235"/>
      <c r="AI30547" s="38"/>
    </row>
    <row r="30548" ht="15.75" customHeight="1">
      <c r="A30548" s="35"/>
      <c r="C30548" s="442"/>
      <c r="P30548" s="235"/>
      <c r="AI30548" s="38"/>
    </row>
    <row r="30549" ht="15.75" customHeight="1">
      <c r="A30549" s="35"/>
      <c r="C30549" s="442"/>
      <c r="P30549" s="235"/>
      <c r="AI30549" s="38"/>
    </row>
    <row r="30550" ht="15.75" customHeight="1">
      <c r="A30550" s="35"/>
      <c r="C30550" s="442"/>
      <c r="P30550" s="235"/>
      <c r="AI30550" s="38"/>
    </row>
    <row r="30551" ht="15.75" customHeight="1">
      <c r="A30551" s="35"/>
      <c r="C30551" s="442"/>
      <c r="P30551" s="235"/>
      <c r="AI30551" s="38"/>
    </row>
    <row r="30552" ht="15.75" customHeight="1">
      <c r="A30552" s="35"/>
      <c r="C30552" s="442"/>
      <c r="P30552" s="235"/>
      <c r="AI30552" s="38"/>
    </row>
    <row r="30553" ht="15.75" customHeight="1">
      <c r="A30553" s="35"/>
      <c r="C30553" s="442"/>
      <c r="P30553" s="235"/>
      <c r="AI30553" s="38"/>
    </row>
    <row r="30554" ht="15.75" customHeight="1">
      <c r="A30554" s="35"/>
      <c r="C30554" s="442"/>
      <c r="P30554" s="235"/>
      <c r="AI30554" s="38"/>
    </row>
    <row r="30555" ht="15.75" customHeight="1">
      <c r="A30555" s="35"/>
      <c r="C30555" s="442"/>
      <c r="P30555" s="235"/>
      <c r="AI30555" s="38"/>
    </row>
    <row r="30556" ht="15.75" customHeight="1">
      <c r="A30556" s="35"/>
      <c r="C30556" s="442"/>
      <c r="P30556" s="235"/>
      <c r="AI30556" s="38"/>
    </row>
    <row r="30557" ht="15.75" customHeight="1">
      <c r="A30557" s="35"/>
      <c r="C30557" s="442"/>
      <c r="P30557" s="235"/>
      <c r="AI30557" s="38"/>
    </row>
    <row r="30558" ht="15.75" customHeight="1">
      <c r="A30558" s="35"/>
      <c r="C30558" s="442"/>
      <c r="P30558" s="235"/>
      <c r="AI30558" s="38"/>
    </row>
    <row r="30559" ht="15.75" customHeight="1">
      <c r="A30559" s="35"/>
      <c r="C30559" s="442"/>
      <c r="P30559" s="235"/>
      <c r="AI30559" s="38"/>
    </row>
    <row r="30560" ht="15.75" customHeight="1">
      <c r="A30560" s="35"/>
      <c r="C30560" s="442"/>
      <c r="P30560" s="235"/>
      <c r="AI30560" s="38"/>
    </row>
    <row r="30561" ht="15.75" customHeight="1">
      <c r="A30561" s="35"/>
      <c r="C30561" s="442"/>
      <c r="P30561" s="235"/>
      <c r="AI30561" s="38"/>
    </row>
    <row r="30562" ht="15.75" customHeight="1">
      <c r="A30562" s="35"/>
      <c r="C30562" s="442"/>
      <c r="P30562" s="235"/>
      <c r="AI30562" s="38"/>
    </row>
    <row r="30563" ht="15.75" customHeight="1">
      <c r="A30563" s="35"/>
      <c r="C30563" s="442"/>
      <c r="P30563" s="235"/>
      <c r="AI30563" s="38"/>
    </row>
    <row r="30564" ht="15.75" customHeight="1">
      <c r="A30564" s="35"/>
      <c r="C30564" s="442"/>
      <c r="P30564" s="235"/>
      <c r="AI30564" s="38"/>
    </row>
    <row r="30565" ht="15.75" customHeight="1">
      <c r="A30565" s="35"/>
      <c r="C30565" s="442"/>
      <c r="P30565" s="235"/>
      <c r="AI30565" s="38"/>
    </row>
    <row r="30566" ht="15.75" customHeight="1">
      <c r="A30566" s="35"/>
      <c r="C30566" s="442"/>
      <c r="P30566" s="235"/>
      <c r="AI30566" s="38"/>
    </row>
    <row r="30567" ht="15.75" customHeight="1">
      <c r="A30567" s="35"/>
      <c r="C30567" s="442"/>
      <c r="P30567" s="235"/>
      <c r="AI30567" s="38"/>
    </row>
    <row r="30568" ht="15.75" customHeight="1">
      <c r="A30568" s="35"/>
      <c r="C30568" s="442"/>
      <c r="P30568" s="235"/>
      <c r="AI30568" s="38"/>
    </row>
    <row r="30569" ht="15.75" customHeight="1">
      <c r="A30569" s="35"/>
      <c r="C30569" s="442"/>
      <c r="P30569" s="235"/>
      <c r="AI30569" s="38"/>
    </row>
    <row r="30570" ht="15.75" customHeight="1">
      <c r="A30570" s="35"/>
      <c r="C30570" s="442"/>
      <c r="P30570" s="235"/>
      <c r="AI30570" s="38"/>
    </row>
    <row r="30571" ht="15.75" customHeight="1">
      <c r="A30571" s="35"/>
      <c r="C30571" s="442"/>
      <c r="P30571" s="235"/>
      <c r="AI30571" s="38"/>
    </row>
    <row r="30572" ht="15.75" customHeight="1">
      <c r="A30572" s="35"/>
      <c r="C30572" s="442"/>
      <c r="P30572" s="235"/>
      <c r="AI30572" s="38"/>
    </row>
    <row r="30573" ht="15.75" customHeight="1">
      <c r="A30573" s="35"/>
      <c r="C30573" s="442"/>
      <c r="P30573" s="235"/>
      <c r="AI30573" s="38"/>
    </row>
    <row r="30574" ht="15.75" customHeight="1">
      <c r="A30574" s="35"/>
      <c r="C30574" s="442"/>
      <c r="P30574" s="235"/>
      <c r="AI30574" s="38"/>
    </row>
    <row r="30575" ht="15.75" customHeight="1">
      <c r="A30575" s="35"/>
      <c r="C30575" s="442"/>
      <c r="P30575" s="235"/>
      <c r="AI30575" s="38"/>
    </row>
    <row r="30576" ht="15.75" customHeight="1">
      <c r="A30576" s="35"/>
      <c r="C30576" s="442"/>
      <c r="P30576" s="235"/>
      <c r="AI30576" s="38"/>
    </row>
    <row r="30577" ht="15.75" customHeight="1">
      <c r="A30577" s="35"/>
      <c r="C30577" s="442"/>
      <c r="P30577" s="235"/>
      <c r="AI30577" s="38"/>
    </row>
    <row r="30578" ht="15.75" customHeight="1">
      <c r="A30578" s="35"/>
      <c r="C30578" s="442"/>
      <c r="P30578" s="235"/>
      <c r="AI30578" s="38"/>
    </row>
    <row r="30579" ht="15.75" customHeight="1">
      <c r="A30579" s="35"/>
      <c r="C30579" s="442"/>
      <c r="P30579" s="235"/>
      <c r="AI30579" s="38"/>
    </row>
    <row r="30580" ht="15.75" customHeight="1">
      <c r="A30580" s="35"/>
      <c r="C30580" s="442"/>
      <c r="P30580" s="235"/>
      <c r="AI30580" s="38"/>
    </row>
    <row r="30581" ht="15.75" customHeight="1">
      <c r="A30581" s="35"/>
      <c r="C30581" s="442"/>
      <c r="P30581" s="235"/>
      <c r="AI30581" s="38"/>
    </row>
    <row r="30582" ht="15.75" customHeight="1">
      <c r="A30582" s="35"/>
      <c r="C30582" s="442"/>
      <c r="P30582" s="235"/>
      <c r="AI30582" s="38"/>
    </row>
    <row r="30583" ht="15.75" customHeight="1">
      <c r="A30583" s="35"/>
      <c r="C30583" s="442"/>
      <c r="P30583" s="235"/>
      <c r="AI30583" s="38"/>
    </row>
    <row r="30584" ht="15.75" customHeight="1">
      <c r="A30584" s="35"/>
      <c r="C30584" s="442"/>
      <c r="P30584" s="235"/>
      <c r="AI30584" s="38"/>
    </row>
    <row r="30585" ht="15.75" customHeight="1">
      <c r="A30585" s="35"/>
      <c r="C30585" s="442"/>
      <c r="P30585" s="235"/>
      <c r="AI30585" s="38"/>
    </row>
    <row r="30586" ht="15.75" customHeight="1">
      <c r="A30586" s="35"/>
      <c r="C30586" s="442"/>
      <c r="P30586" s="235"/>
      <c r="AI30586" s="38"/>
    </row>
    <row r="30587" ht="15.75" customHeight="1">
      <c r="A30587" s="35"/>
      <c r="C30587" s="442"/>
      <c r="P30587" s="235"/>
      <c r="AI30587" s="38"/>
    </row>
    <row r="30588" ht="15.75" customHeight="1">
      <c r="A30588" s="35"/>
      <c r="C30588" s="442"/>
      <c r="P30588" s="235"/>
      <c r="AI30588" s="38"/>
    </row>
    <row r="30589" ht="15.75" customHeight="1">
      <c r="A30589" s="35"/>
      <c r="C30589" s="442"/>
      <c r="P30589" s="235"/>
      <c r="AI30589" s="38"/>
    </row>
    <row r="30590" ht="15.75" customHeight="1">
      <c r="A30590" s="35"/>
      <c r="C30590" s="442"/>
      <c r="P30590" s="235"/>
      <c r="AI30590" s="38"/>
    </row>
    <row r="30591" ht="15.75" customHeight="1">
      <c r="A30591" s="35"/>
      <c r="C30591" s="442"/>
      <c r="P30591" s="235"/>
      <c r="AI30591" s="38"/>
    </row>
    <row r="30592" ht="15.75" customHeight="1">
      <c r="A30592" s="35"/>
      <c r="C30592" s="442"/>
      <c r="P30592" s="235"/>
      <c r="AI30592" s="38"/>
    </row>
    <row r="30593" ht="15.75" customHeight="1">
      <c r="A30593" s="35"/>
      <c r="C30593" s="442"/>
      <c r="P30593" s="235"/>
      <c r="AI30593" s="38"/>
    </row>
    <row r="30594" ht="15.75" customHeight="1">
      <c r="A30594" s="35"/>
      <c r="C30594" s="442"/>
      <c r="P30594" s="235"/>
      <c r="AI30594" s="38"/>
    </row>
    <row r="30595" ht="15.75" customHeight="1">
      <c r="A30595" s="35"/>
      <c r="C30595" s="442"/>
      <c r="P30595" s="235"/>
      <c r="AI30595" s="38"/>
    </row>
    <row r="30596" ht="15.75" customHeight="1">
      <c r="A30596" s="35"/>
      <c r="C30596" s="442"/>
      <c r="P30596" s="235"/>
      <c r="AI30596" s="38"/>
    </row>
    <row r="30597" ht="15.75" customHeight="1">
      <c r="A30597" s="35"/>
      <c r="C30597" s="442"/>
      <c r="P30597" s="235"/>
      <c r="AI30597" s="38"/>
    </row>
    <row r="30598" ht="15.75" customHeight="1">
      <c r="A30598" s="35"/>
      <c r="C30598" s="442"/>
      <c r="P30598" s="235"/>
      <c r="AI30598" s="38"/>
    </row>
    <row r="30599" ht="15.75" customHeight="1">
      <c r="A30599" s="35"/>
      <c r="C30599" s="442"/>
      <c r="P30599" s="235"/>
      <c r="AI30599" s="38"/>
    </row>
    <row r="30600" ht="15.75" customHeight="1">
      <c r="A30600" s="35"/>
      <c r="C30600" s="442"/>
      <c r="P30600" s="235"/>
      <c r="AI30600" s="38"/>
    </row>
    <row r="30601" ht="15.75" customHeight="1">
      <c r="A30601" s="35"/>
      <c r="C30601" s="442"/>
      <c r="P30601" s="235"/>
      <c r="AI30601" s="38"/>
    </row>
    <row r="30602" ht="15.75" customHeight="1">
      <c r="A30602" s="35"/>
      <c r="C30602" s="442"/>
      <c r="P30602" s="235"/>
      <c r="AI30602" s="38"/>
    </row>
    <row r="30603" ht="15.75" customHeight="1">
      <c r="A30603" s="35"/>
      <c r="C30603" s="442"/>
      <c r="P30603" s="235"/>
      <c r="AI30603" s="38"/>
    </row>
    <row r="30604" ht="15.75" customHeight="1">
      <c r="A30604" s="35"/>
      <c r="C30604" s="442"/>
      <c r="P30604" s="235"/>
      <c r="AI30604" s="38"/>
    </row>
    <row r="30605" ht="15.75" customHeight="1">
      <c r="A30605" s="35"/>
      <c r="C30605" s="442"/>
      <c r="P30605" s="235"/>
      <c r="AI30605" s="38"/>
    </row>
    <row r="30606" ht="15.75" customHeight="1">
      <c r="A30606" s="35"/>
      <c r="C30606" s="442"/>
      <c r="P30606" s="235"/>
      <c r="AI30606" s="38"/>
    </row>
    <row r="30607" ht="15.75" customHeight="1">
      <c r="A30607" s="35"/>
      <c r="C30607" s="442"/>
      <c r="P30607" s="235"/>
      <c r="AI30607" s="38"/>
    </row>
    <row r="30608" ht="15.75" customHeight="1">
      <c r="A30608" s="35"/>
      <c r="C30608" s="442"/>
      <c r="P30608" s="235"/>
      <c r="AI30608" s="38"/>
    </row>
    <row r="30609" ht="15.75" customHeight="1">
      <c r="A30609" s="35"/>
      <c r="C30609" s="442"/>
      <c r="P30609" s="235"/>
      <c r="AI30609" s="38"/>
    </row>
    <row r="30610" ht="15.75" customHeight="1">
      <c r="A30610" s="35"/>
      <c r="C30610" s="442"/>
      <c r="P30610" s="235"/>
      <c r="AI30610" s="38"/>
    </row>
    <row r="30611" ht="15.75" customHeight="1">
      <c r="A30611" s="35"/>
      <c r="C30611" s="442"/>
      <c r="P30611" s="235"/>
      <c r="AI30611" s="38"/>
    </row>
    <row r="30612" ht="15.75" customHeight="1">
      <c r="A30612" s="35"/>
      <c r="C30612" s="442"/>
      <c r="P30612" s="235"/>
      <c r="AI30612" s="38"/>
    </row>
    <row r="30613" ht="15.75" customHeight="1">
      <c r="A30613" s="35"/>
      <c r="C30613" s="442"/>
      <c r="P30613" s="235"/>
      <c r="AI30613" s="38"/>
    </row>
    <row r="30614" ht="15.75" customHeight="1">
      <c r="A30614" s="35"/>
      <c r="C30614" s="442"/>
      <c r="P30614" s="235"/>
      <c r="AI30614" s="38"/>
    </row>
    <row r="30615" ht="15.75" customHeight="1">
      <c r="A30615" s="35"/>
      <c r="C30615" s="442"/>
      <c r="P30615" s="235"/>
      <c r="AI30615" s="38"/>
    </row>
    <row r="30616" ht="15.75" customHeight="1">
      <c r="A30616" s="35"/>
      <c r="C30616" s="442"/>
      <c r="P30616" s="235"/>
      <c r="AI30616" s="38"/>
    </row>
    <row r="30617" ht="15.75" customHeight="1">
      <c r="A30617" s="35"/>
      <c r="C30617" s="442"/>
      <c r="P30617" s="235"/>
      <c r="AI30617" s="38"/>
    </row>
    <row r="30618" ht="15.75" customHeight="1">
      <c r="A30618" s="35"/>
      <c r="C30618" s="442"/>
      <c r="P30618" s="235"/>
      <c r="AI30618" s="38"/>
    </row>
    <row r="30619" ht="15.75" customHeight="1">
      <c r="A30619" s="35"/>
      <c r="C30619" s="442"/>
      <c r="P30619" s="235"/>
      <c r="AI30619" s="38"/>
    </row>
    <row r="30620" ht="15.75" customHeight="1">
      <c r="A30620" s="35"/>
      <c r="C30620" s="442"/>
      <c r="P30620" s="235"/>
      <c r="AI30620" s="38"/>
    </row>
    <row r="30621" ht="15.75" customHeight="1">
      <c r="A30621" s="35"/>
      <c r="C30621" s="442"/>
      <c r="P30621" s="235"/>
      <c r="AI30621" s="38"/>
    </row>
    <row r="30622" ht="15.75" customHeight="1">
      <c r="A30622" s="35"/>
      <c r="C30622" s="442"/>
      <c r="P30622" s="235"/>
      <c r="AI30622" s="38"/>
    </row>
    <row r="30623" ht="15.75" customHeight="1">
      <c r="A30623" s="35"/>
      <c r="C30623" s="442"/>
      <c r="P30623" s="235"/>
      <c r="AI30623" s="38"/>
    </row>
    <row r="30624" ht="15.75" customHeight="1">
      <c r="A30624" s="35"/>
      <c r="C30624" s="442"/>
      <c r="P30624" s="235"/>
      <c r="AI30624" s="38"/>
    </row>
    <row r="30625" ht="15.75" customHeight="1">
      <c r="A30625" s="35"/>
      <c r="C30625" s="442"/>
      <c r="P30625" s="235"/>
      <c r="AI30625" s="38"/>
    </row>
    <row r="30626" ht="15.75" customHeight="1">
      <c r="A30626" s="35"/>
      <c r="C30626" s="442"/>
      <c r="P30626" s="235"/>
      <c r="AI30626" s="38"/>
    </row>
    <row r="30627" ht="15.75" customHeight="1">
      <c r="A30627" s="35"/>
      <c r="C30627" s="442"/>
      <c r="P30627" s="235"/>
      <c r="AI30627" s="38"/>
    </row>
    <row r="30628" ht="15.75" customHeight="1">
      <c r="A30628" s="35"/>
      <c r="C30628" s="442"/>
      <c r="P30628" s="235"/>
      <c r="AI30628" s="38"/>
    </row>
    <row r="30629" ht="15.75" customHeight="1">
      <c r="A30629" s="35"/>
      <c r="C30629" s="442"/>
      <c r="P30629" s="235"/>
      <c r="AI30629" s="38"/>
    </row>
    <row r="30630" ht="15.75" customHeight="1">
      <c r="A30630" s="35"/>
      <c r="C30630" s="442"/>
      <c r="P30630" s="235"/>
      <c r="AI30630" s="38"/>
    </row>
    <row r="30631" ht="15.75" customHeight="1">
      <c r="A30631" s="35"/>
      <c r="C30631" s="442"/>
      <c r="P30631" s="235"/>
      <c r="AI30631" s="38"/>
    </row>
    <row r="30632" ht="15.75" customHeight="1">
      <c r="A30632" s="35"/>
      <c r="C30632" s="442"/>
      <c r="P30632" s="235"/>
      <c r="AI30632" s="38"/>
    </row>
    <row r="30633" ht="15.75" customHeight="1">
      <c r="A30633" s="35"/>
      <c r="C30633" s="442"/>
      <c r="P30633" s="235"/>
      <c r="AI30633" s="38"/>
    </row>
    <row r="30634" ht="15.75" customHeight="1">
      <c r="A30634" s="35"/>
      <c r="C30634" s="442"/>
      <c r="P30634" s="235"/>
      <c r="AI30634" s="38"/>
    </row>
    <row r="30635" ht="15.75" customHeight="1">
      <c r="A30635" s="35"/>
      <c r="C30635" s="442"/>
      <c r="P30635" s="235"/>
      <c r="AI30635" s="38"/>
    </row>
    <row r="30636" ht="15.75" customHeight="1">
      <c r="A30636" s="35"/>
      <c r="C30636" s="442"/>
      <c r="P30636" s="235"/>
      <c r="AI30636" s="38"/>
    </row>
    <row r="30637" ht="15.75" customHeight="1">
      <c r="A30637" s="35"/>
      <c r="C30637" s="442"/>
      <c r="P30637" s="235"/>
      <c r="AI30637" s="38"/>
    </row>
    <row r="30638" ht="15.75" customHeight="1">
      <c r="A30638" s="35"/>
      <c r="C30638" s="442"/>
      <c r="P30638" s="235"/>
      <c r="AI30638" s="38"/>
    </row>
    <row r="30639" ht="15.75" customHeight="1">
      <c r="A30639" s="35"/>
      <c r="C30639" s="442"/>
      <c r="P30639" s="235"/>
      <c r="AI30639" s="38"/>
    </row>
    <row r="30640" ht="15.75" customHeight="1">
      <c r="A30640" s="35"/>
      <c r="C30640" s="442"/>
      <c r="P30640" s="235"/>
      <c r="AI30640" s="38"/>
    </row>
    <row r="30641" ht="15.75" customHeight="1">
      <c r="A30641" s="35"/>
      <c r="C30641" s="442"/>
      <c r="P30641" s="235"/>
      <c r="AI30641" s="38"/>
    </row>
    <row r="30642" ht="15.75" customHeight="1">
      <c r="A30642" s="35"/>
      <c r="C30642" s="442"/>
      <c r="P30642" s="235"/>
      <c r="AI30642" s="38"/>
    </row>
    <row r="30643" ht="15.75" customHeight="1">
      <c r="A30643" s="35"/>
      <c r="C30643" s="442"/>
      <c r="P30643" s="235"/>
      <c r="AI30643" s="38"/>
    </row>
    <row r="30644" ht="15.75" customHeight="1">
      <c r="A30644" s="35"/>
      <c r="C30644" s="442"/>
      <c r="P30644" s="235"/>
      <c r="AI30644" s="38"/>
    </row>
    <row r="30645" ht="15.75" customHeight="1">
      <c r="A30645" s="35"/>
      <c r="C30645" s="442"/>
      <c r="P30645" s="235"/>
      <c r="AI30645" s="38"/>
    </row>
    <row r="30646" ht="15.75" customHeight="1">
      <c r="A30646" s="35"/>
      <c r="C30646" s="442"/>
      <c r="P30646" s="235"/>
      <c r="AI30646" s="38"/>
    </row>
    <row r="30647" ht="15.75" customHeight="1">
      <c r="A30647" s="35"/>
      <c r="C30647" s="442"/>
      <c r="P30647" s="235"/>
      <c r="AI30647" s="38"/>
    </row>
    <row r="30648" ht="15.75" customHeight="1">
      <c r="A30648" s="35"/>
      <c r="C30648" s="442"/>
      <c r="P30648" s="235"/>
      <c r="AI30648" s="38"/>
    </row>
    <row r="30649" ht="15.75" customHeight="1">
      <c r="A30649" s="35"/>
      <c r="C30649" s="442"/>
      <c r="P30649" s="235"/>
      <c r="AI30649" s="38"/>
    </row>
    <row r="30650" ht="15.75" customHeight="1">
      <c r="A30650" s="35"/>
      <c r="C30650" s="442"/>
      <c r="P30650" s="235"/>
      <c r="AI30650" s="38"/>
    </row>
    <row r="30651" ht="15.75" customHeight="1">
      <c r="A30651" s="35"/>
      <c r="C30651" s="442"/>
      <c r="P30651" s="235"/>
      <c r="AI30651" s="38"/>
    </row>
    <row r="30652" ht="15.75" customHeight="1">
      <c r="A30652" s="35"/>
      <c r="C30652" s="442"/>
      <c r="P30652" s="235"/>
      <c r="AI30652" s="38"/>
    </row>
    <row r="30653" ht="15.75" customHeight="1">
      <c r="A30653" s="35"/>
      <c r="C30653" s="442"/>
      <c r="P30653" s="235"/>
      <c r="AI30653" s="38"/>
    </row>
    <row r="30654" ht="15.75" customHeight="1">
      <c r="A30654" s="35"/>
      <c r="C30654" s="442"/>
      <c r="P30654" s="235"/>
      <c r="AI30654" s="38"/>
    </row>
    <row r="30655" ht="15.75" customHeight="1">
      <c r="A30655" s="35"/>
      <c r="C30655" s="442"/>
      <c r="P30655" s="235"/>
      <c r="AI30655" s="38"/>
    </row>
    <row r="30656" ht="15.75" customHeight="1">
      <c r="A30656" s="35"/>
      <c r="C30656" s="442"/>
      <c r="P30656" s="235"/>
      <c r="AI30656" s="38"/>
    </row>
    <row r="30657" ht="15.75" customHeight="1">
      <c r="A30657" s="35"/>
      <c r="C30657" s="442"/>
      <c r="P30657" s="235"/>
      <c r="AI30657" s="38"/>
    </row>
    <row r="30658" ht="15.75" customHeight="1">
      <c r="A30658" s="35"/>
      <c r="C30658" s="442"/>
      <c r="P30658" s="235"/>
      <c r="AI30658" s="38"/>
    </row>
    <row r="30659" ht="15.75" customHeight="1">
      <c r="A30659" s="35"/>
      <c r="C30659" s="442"/>
      <c r="P30659" s="235"/>
      <c r="AI30659" s="38"/>
    </row>
    <row r="30660" ht="15.75" customHeight="1">
      <c r="A30660" s="35"/>
      <c r="C30660" s="442"/>
      <c r="P30660" s="235"/>
      <c r="AI30660" s="38"/>
    </row>
    <row r="30661" ht="15.75" customHeight="1">
      <c r="A30661" s="35"/>
      <c r="C30661" s="442"/>
      <c r="P30661" s="235"/>
      <c r="AI30661" s="38"/>
    </row>
    <row r="30662" ht="15.75" customHeight="1">
      <c r="A30662" s="35"/>
      <c r="C30662" s="442"/>
      <c r="P30662" s="235"/>
      <c r="AI30662" s="38"/>
    </row>
    <row r="30663" ht="15.75" customHeight="1">
      <c r="A30663" s="35"/>
      <c r="C30663" s="442"/>
      <c r="P30663" s="235"/>
      <c r="AI30663" s="38"/>
    </row>
    <row r="30664" ht="15.75" customHeight="1">
      <c r="A30664" s="35"/>
      <c r="C30664" s="442"/>
      <c r="P30664" s="235"/>
      <c r="AI30664" s="38"/>
    </row>
    <row r="30665" ht="15.75" customHeight="1">
      <c r="A30665" s="35"/>
      <c r="C30665" s="442"/>
      <c r="P30665" s="235"/>
      <c r="AI30665" s="38"/>
    </row>
    <row r="30666" ht="15.75" customHeight="1">
      <c r="A30666" s="35"/>
      <c r="C30666" s="442"/>
      <c r="P30666" s="235"/>
      <c r="AI30666" s="38"/>
    </row>
    <row r="30667" ht="15.75" customHeight="1">
      <c r="A30667" s="35"/>
      <c r="C30667" s="442"/>
      <c r="P30667" s="235"/>
      <c r="AI30667" s="38"/>
    </row>
    <row r="30668" ht="15.75" customHeight="1">
      <c r="A30668" s="35"/>
      <c r="C30668" s="442"/>
      <c r="P30668" s="235"/>
      <c r="AI30668" s="38"/>
    </row>
    <row r="30669" ht="15.75" customHeight="1">
      <c r="A30669" s="35"/>
      <c r="C30669" s="442"/>
      <c r="P30669" s="235"/>
      <c r="AI30669" s="38"/>
    </row>
    <row r="30670" ht="15.75" customHeight="1">
      <c r="A30670" s="35"/>
      <c r="C30670" s="442"/>
      <c r="P30670" s="235"/>
      <c r="AI30670" s="38"/>
    </row>
    <row r="30671" ht="15.75" customHeight="1">
      <c r="A30671" s="35"/>
      <c r="C30671" s="442"/>
      <c r="P30671" s="235"/>
      <c r="AI30671" s="38"/>
    </row>
    <row r="30672" ht="15.75" customHeight="1">
      <c r="A30672" s="35"/>
      <c r="C30672" s="442"/>
      <c r="P30672" s="235"/>
      <c r="AI30672" s="38"/>
    </row>
    <row r="30673" ht="15.75" customHeight="1">
      <c r="A30673" s="35"/>
      <c r="C30673" s="442"/>
      <c r="P30673" s="235"/>
      <c r="AI30673" s="38"/>
    </row>
    <row r="30674" ht="15.75" customHeight="1">
      <c r="A30674" s="35"/>
      <c r="C30674" s="442"/>
      <c r="P30674" s="235"/>
      <c r="AI30674" s="38"/>
    </row>
    <row r="30675" ht="15.75" customHeight="1">
      <c r="A30675" s="35"/>
      <c r="C30675" s="442"/>
      <c r="P30675" s="235"/>
      <c r="AI30675" s="38"/>
    </row>
    <row r="30676" ht="15.75" customHeight="1">
      <c r="A30676" s="35"/>
      <c r="C30676" s="442"/>
      <c r="P30676" s="235"/>
      <c r="AI30676" s="38"/>
    </row>
    <row r="30677" ht="15.75" customHeight="1">
      <c r="A30677" s="35"/>
      <c r="C30677" s="442"/>
      <c r="P30677" s="235"/>
      <c r="AI30677" s="38"/>
    </row>
    <row r="30678" ht="15.75" customHeight="1">
      <c r="A30678" s="35"/>
      <c r="C30678" s="442"/>
      <c r="P30678" s="235"/>
      <c r="AI30678" s="38"/>
    </row>
    <row r="30679" ht="15.75" customHeight="1">
      <c r="A30679" s="35"/>
      <c r="C30679" s="442"/>
      <c r="P30679" s="235"/>
      <c r="AI30679" s="38"/>
    </row>
    <row r="30680" ht="15.75" customHeight="1">
      <c r="A30680" s="35"/>
      <c r="C30680" s="442"/>
      <c r="P30680" s="235"/>
      <c r="AI30680" s="38"/>
    </row>
    <row r="30681" ht="15.75" customHeight="1">
      <c r="A30681" s="35"/>
      <c r="C30681" s="442"/>
      <c r="P30681" s="235"/>
      <c r="AI30681" s="38"/>
    </row>
    <row r="30682" ht="15.75" customHeight="1">
      <c r="A30682" s="35"/>
      <c r="C30682" s="442"/>
      <c r="P30682" s="235"/>
      <c r="AI30682" s="38"/>
    </row>
    <row r="30683" ht="15.75" customHeight="1">
      <c r="A30683" s="35"/>
      <c r="C30683" s="442"/>
      <c r="P30683" s="235"/>
      <c r="AI30683" s="38"/>
    </row>
    <row r="30684" ht="15.75" customHeight="1">
      <c r="A30684" s="35"/>
      <c r="C30684" s="442"/>
      <c r="P30684" s="235"/>
      <c r="AI30684" s="38"/>
    </row>
    <row r="30685" ht="15.75" customHeight="1">
      <c r="A30685" s="35"/>
      <c r="C30685" s="442"/>
      <c r="P30685" s="235"/>
      <c r="AI30685" s="38"/>
    </row>
    <row r="30686" ht="15.75" customHeight="1">
      <c r="A30686" s="35"/>
      <c r="C30686" s="442"/>
      <c r="P30686" s="235"/>
      <c r="AI30686" s="38"/>
    </row>
    <row r="30687" ht="15.75" customHeight="1">
      <c r="A30687" s="35"/>
      <c r="C30687" s="442"/>
      <c r="P30687" s="235"/>
      <c r="AI30687" s="38"/>
    </row>
    <row r="30688" ht="15.75" customHeight="1">
      <c r="A30688" s="35"/>
      <c r="C30688" s="442"/>
      <c r="P30688" s="235"/>
      <c r="AI30688" s="38"/>
    </row>
    <row r="30689" ht="15.75" customHeight="1">
      <c r="A30689" s="35"/>
      <c r="C30689" s="442"/>
      <c r="P30689" s="235"/>
      <c r="AI30689" s="38"/>
    </row>
    <row r="30690" ht="15.75" customHeight="1">
      <c r="A30690" s="35"/>
      <c r="C30690" s="442"/>
      <c r="P30690" s="235"/>
      <c r="AI30690" s="38"/>
    </row>
    <row r="30691" ht="15.75" customHeight="1">
      <c r="A30691" s="35"/>
      <c r="C30691" s="442"/>
      <c r="P30691" s="235"/>
      <c r="AI30691" s="38"/>
    </row>
    <row r="30692" ht="15.75" customHeight="1">
      <c r="A30692" s="35"/>
      <c r="C30692" s="442"/>
      <c r="P30692" s="235"/>
      <c r="AI30692" s="38"/>
    </row>
    <row r="30693" ht="15.75" customHeight="1">
      <c r="A30693" s="35"/>
      <c r="C30693" s="442"/>
      <c r="P30693" s="235"/>
      <c r="AI30693" s="38"/>
    </row>
    <row r="30694" ht="15.75" customHeight="1">
      <c r="A30694" s="35"/>
      <c r="C30694" s="442"/>
      <c r="P30694" s="235"/>
      <c r="AI30694" s="38"/>
    </row>
    <row r="30695" ht="15.75" customHeight="1">
      <c r="A30695" s="35"/>
      <c r="C30695" s="442"/>
      <c r="P30695" s="235"/>
      <c r="AI30695" s="38"/>
    </row>
    <row r="30696" ht="15.75" customHeight="1">
      <c r="A30696" s="35"/>
      <c r="C30696" s="442"/>
      <c r="P30696" s="235"/>
      <c r="AI30696" s="38"/>
    </row>
    <row r="30697" ht="15.75" customHeight="1">
      <c r="A30697" s="35"/>
      <c r="C30697" s="442"/>
      <c r="P30697" s="235"/>
      <c r="AI30697" s="38"/>
    </row>
    <row r="30698" ht="15.75" customHeight="1">
      <c r="A30698" s="35"/>
      <c r="C30698" s="442"/>
      <c r="P30698" s="235"/>
      <c r="AI30698" s="38"/>
    </row>
    <row r="30699" ht="15.75" customHeight="1">
      <c r="A30699" s="35"/>
      <c r="C30699" s="442"/>
      <c r="P30699" s="235"/>
      <c r="AI30699" s="38"/>
    </row>
    <row r="30700" ht="15.75" customHeight="1">
      <c r="A30700" s="35"/>
      <c r="C30700" s="442"/>
      <c r="P30700" s="235"/>
      <c r="AI30700" s="38"/>
    </row>
    <row r="30701" ht="15.75" customHeight="1">
      <c r="A30701" s="35"/>
      <c r="C30701" s="442"/>
      <c r="P30701" s="235"/>
      <c r="AI30701" s="38"/>
    </row>
    <row r="30702" ht="15.75" customHeight="1">
      <c r="A30702" s="35"/>
      <c r="C30702" s="442"/>
      <c r="P30702" s="235"/>
      <c r="AI30702" s="38"/>
    </row>
    <row r="30703" ht="15.75" customHeight="1">
      <c r="A30703" s="35"/>
      <c r="C30703" s="442"/>
      <c r="P30703" s="235"/>
      <c r="AI30703" s="38"/>
    </row>
    <row r="30704" ht="15.75" customHeight="1">
      <c r="A30704" s="35"/>
      <c r="C30704" s="442"/>
      <c r="P30704" s="235"/>
      <c r="AI30704" s="38"/>
    </row>
    <row r="30705" ht="15.75" customHeight="1">
      <c r="A30705" s="35"/>
      <c r="C30705" s="442"/>
      <c r="P30705" s="235"/>
      <c r="AI30705" s="38"/>
    </row>
    <row r="30706" ht="15.75" customHeight="1">
      <c r="A30706" s="35"/>
      <c r="C30706" s="442"/>
      <c r="P30706" s="235"/>
      <c r="AI30706" s="38"/>
    </row>
    <row r="30707" ht="15.75" customHeight="1">
      <c r="A30707" s="35"/>
      <c r="C30707" s="442"/>
      <c r="P30707" s="235"/>
      <c r="AI30707" s="38"/>
    </row>
    <row r="30708" ht="15.75" customHeight="1">
      <c r="A30708" s="35"/>
      <c r="C30708" s="442"/>
      <c r="P30708" s="235"/>
      <c r="AI30708" s="38"/>
    </row>
    <row r="30709" ht="15.75" customHeight="1">
      <c r="A30709" s="35"/>
      <c r="C30709" s="442"/>
      <c r="P30709" s="235"/>
      <c r="AI30709" s="38"/>
    </row>
    <row r="30710" ht="15.75" customHeight="1">
      <c r="A30710" s="35"/>
      <c r="C30710" s="442"/>
      <c r="P30710" s="235"/>
      <c r="AI30710" s="38"/>
    </row>
    <row r="30711" ht="15.75" customHeight="1">
      <c r="A30711" s="35"/>
      <c r="C30711" s="442"/>
      <c r="P30711" s="235"/>
      <c r="AI30711" s="38"/>
    </row>
    <row r="30712" ht="15.75" customHeight="1">
      <c r="A30712" s="35"/>
      <c r="C30712" s="442"/>
      <c r="P30712" s="235"/>
      <c r="AI30712" s="38"/>
    </row>
    <row r="30713" ht="15.75" customHeight="1">
      <c r="A30713" s="35"/>
      <c r="C30713" s="442"/>
      <c r="P30713" s="235"/>
      <c r="AI30713" s="38"/>
    </row>
    <row r="30714" ht="15.75" customHeight="1">
      <c r="A30714" s="35"/>
      <c r="C30714" s="442"/>
      <c r="P30714" s="235"/>
      <c r="AI30714" s="38"/>
    </row>
    <row r="30715" ht="15.75" customHeight="1">
      <c r="A30715" s="35"/>
      <c r="C30715" s="442"/>
      <c r="P30715" s="235"/>
      <c r="AI30715" s="38"/>
    </row>
    <row r="30716" ht="15.75" customHeight="1">
      <c r="A30716" s="35"/>
      <c r="C30716" s="442"/>
      <c r="P30716" s="235"/>
      <c r="AI30716" s="38"/>
    </row>
    <row r="30717" ht="15.75" customHeight="1">
      <c r="A30717" s="35"/>
      <c r="C30717" s="442"/>
      <c r="P30717" s="235"/>
      <c r="AI30717" s="38"/>
    </row>
    <row r="30718" ht="15.75" customHeight="1">
      <c r="A30718" s="35"/>
      <c r="C30718" s="442"/>
      <c r="P30718" s="235"/>
      <c r="AI30718" s="38"/>
    </row>
    <row r="30719" ht="15.75" customHeight="1">
      <c r="A30719" s="35"/>
      <c r="C30719" s="442"/>
      <c r="P30719" s="235"/>
      <c r="AI30719" s="38"/>
    </row>
    <row r="30720" ht="15.75" customHeight="1">
      <c r="A30720" s="35"/>
      <c r="C30720" s="442"/>
      <c r="P30720" s="235"/>
      <c r="AI30720" s="38"/>
    </row>
    <row r="30721" ht="15.75" customHeight="1">
      <c r="A30721" s="35"/>
      <c r="C30721" s="442"/>
      <c r="P30721" s="235"/>
      <c r="AI30721" s="38"/>
    </row>
    <row r="30722" ht="15.75" customHeight="1">
      <c r="A30722" s="35"/>
      <c r="C30722" s="442"/>
      <c r="P30722" s="235"/>
      <c r="AI30722" s="38"/>
    </row>
    <row r="30723" ht="15.75" customHeight="1">
      <c r="A30723" s="35"/>
      <c r="C30723" s="442"/>
      <c r="P30723" s="235"/>
      <c r="AI30723" s="38"/>
    </row>
    <row r="30724" ht="15.75" customHeight="1">
      <c r="A30724" s="35"/>
      <c r="C30724" s="442"/>
      <c r="P30724" s="235"/>
      <c r="AI30724" s="38"/>
    </row>
    <row r="30725" ht="15.75" customHeight="1">
      <c r="A30725" s="35"/>
      <c r="C30725" s="442"/>
      <c r="P30725" s="235"/>
      <c r="AI30725" s="38"/>
    </row>
    <row r="30726" ht="15.75" customHeight="1">
      <c r="A30726" s="35"/>
      <c r="C30726" s="442"/>
      <c r="P30726" s="235"/>
      <c r="AI30726" s="38"/>
    </row>
    <row r="30727" ht="15.75" customHeight="1">
      <c r="A30727" s="35"/>
      <c r="C30727" s="442"/>
      <c r="P30727" s="235"/>
      <c r="AI30727" s="38"/>
    </row>
    <row r="30728" ht="15.75" customHeight="1">
      <c r="A30728" s="35"/>
      <c r="C30728" s="442"/>
      <c r="P30728" s="235"/>
      <c r="AI30728" s="38"/>
    </row>
    <row r="30729" ht="15.75" customHeight="1">
      <c r="A30729" s="35"/>
      <c r="C30729" s="442"/>
      <c r="P30729" s="235"/>
      <c r="AI30729" s="38"/>
    </row>
    <row r="30730" ht="15.75" customHeight="1">
      <c r="A30730" s="35"/>
      <c r="C30730" s="442"/>
      <c r="P30730" s="235"/>
      <c r="AI30730" s="38"/>
    </row>
    <row r="30731" ht="15.75" customHeight="1">
      <c r="A30731" s="35"/>
      <c r="C30731" s="442"/>
      <c r="P30731" s="235"/>
      <c r="AI30731" s="38"/>
    </row>
    <row r="30732" ht="15.75" customHeight="1">
      <c r="A30732" s="35"/>
      <c r="C30732" s="442"/>
      <c r="P30732" s="235"/>
      <c r="AI30732" s="38"/>
    </row>
    <row r="30733" ht="15.75" customHeight="1">
      <c r="A30733" s="35"/>
      <c r="C30733" s="442"/>
      <c r="P30733" s="235"/>
      <c r="AI30733" s="38"/>
    </row>
    <row r="30734" ht="15.75" customHeight="1">
      <c r="A30734" s="35"/>
      <c r="C30734" s="442"/>
      <c r="P30734" s="235"/>
      <c r="AI30734" s="38"/>
    </row>
    <row r="30735" ht="15.75" customHeight="1">
      <c r="A30735" s="35"/>
      <c r="C30735" s="442"/>
      <c r="P30735" s="235"/>
      <c r="AI30735" s="38"/>
    </row>
    <row r="30736" ht="15.75" customHeight="1">
      <c r="A30736" s="35"/>
      <c r="C30736" s="442"/>
      <c r="P30736" s="235"/>
      <c r="AI30736" s="38"/>
    </row>
    <row r="30737" ht="15.75" customHeight="1">
      <c r="A30737" s="35"/>
      <c r="C30737" s="442"/>
      <c r="P30737" s="235"/>
      <c r="AI30737" s="38"/>
    </row>
    <row r="30738" ht="15.75" customHeight="1">
      <c r="A30738" s="35"/>
      <c r="C30738" s="442"/>
      <c r="P30738" s="235"/>
      <c r="AI30738" s="38"/>
    </row>
    <row r="30739" ht="15.75" customHeight="1">
      <c r="A30739" s="35"/>
      <c r="C30739" s="442"/>
      <c r="P30739" s="235"/>
      <c r="AI30739" s="38"/>
    </row>
    <row r="30740" ht="15.75" customHeight="1">
      <c r="A30740" s="35"/>
      <c r="C30740" s="442"/>
      <c r="P30740" s="235"/>
      <c r="AI30740" s="38"/>
    </row>
    <row r="30741" ht="15.75" customHeight="1">
      <c r="A30741" s="35"/>
      <c r="C30741" s="442"/>
      <c r="P30741" s="235"/>
      <c r="AI30741" s="38"/>
    </row>
    <row r="30742" ht="15.75" customHeight="1">
      <c r="A30742" s="35"/>
      <c r="C30742" s="442"/>
      <c r="P30742" s="235"/>
      <c r="AI30742" s="38"/>
    </row>
    <row r="30743" ht="15.75" customHeight="1">
      <c r="A30743" s="35"/>
      <c r="C30743" s="442"/>
      <c r="P30743" s="235"/>
      <c r="AI30743" s="38"/>
    </row>
    <row r="30744" ht="15.75" customHeight="1">
      <c r="A30744" s="35"/>
      <c r="C30744" s="442"/>
      <c r="P30744" s="235"/>
      <c r="AI30744" s="38"/>
    </row>
    <row r="30745" ht="15.75" customHeight="1">
      <c r="A30745" s="35"/>
      <c r="C30745" s="442"/>
      <c r="P30745" s="235"/>
      <c r="AI30745" s="38"/>
    </row>
    <row r="30746" ht="15.75" customHeight="1">
      <c r="A30746" s="35"/>
      <c r="C30746" s="442"/>
      <c r="P30746" s="235"/>
      <c r="AI30746" s="38"/>
    </row>
    <row r="30747" ht="15.75" customHeight="1">
      <c r="A30747" s="35"/>
      <c r="C30747" s="442"/>
      <c r="P30747" s="235"/>
      <c r="AI30747" s="38"/>
    </row>
    <row r="30748" ht="15.75" customHeight="1">
      <c r="A30748" s="35"/>
      <c r="C30748" s="442"/>
      <c r="P30748" s="235"/>
      <c r="AI30748" s="38"/>
    </row>
    <row r="30749" ht="15.75" customHeight="1">
      <c r="A30749" s="35"/>
      <c r="C30749" s="442"/>
      <c r="P30749" s="235"/>
      <c r="AI30749" s="38"/>
    </row>
    <row r="30750" ht="15.75" customHeight="1">
      <c r="A30750" s="35"/>
      <c r="C30750" s="442"/>
      <c r="P30750" s="235"/>
      <c r="AI30750" s="38"/>
    </row>
    <row r="30751" ht="15.75" customHeight="1">
      <c r="A30751" s="35"/>
      <c r="C30751" s="442"/>
      <c r="P30751" s="235"/>
      <c r="AI30751" s="38"/>
    </row>
    <row r="30752" ht="15.75" customHeight="1">
      <c r="A30752" s="35"/>
      <c r="C30752" s="442"/>
      <c r="P30752" s="235"/>
      <c r="AI30752" s="38"/>
    </row>
    <row r="30753" ht="15.75" customHeight="1">
      <c r="A30753" s="35"/>
      <c r="C30753" s="442"/>
      <c r="P30753" s="235"/>
      <c r="AI30753" s="38"/>
    </row>
    <row r="30754" ht="15.75" customHeight="1">
      <c r="A30754" s="35"/>
      <c r="C30754" s="442"/>
      <c r="P30754" s="235"/>
      <c r="AI30754" s="38"/>
    </row>
    <row r="30755" ht="15.75" customHeight="1">
      <c r="A30755" s="35"/>
      <c r="C30755" s="442"/>
      <c r="P30755" s="235"/>
      <c r="AI30755" s="38"/>
    </row>
    <row r="30756" ht="15.75" customHeight="1">
      <c r="A30756" s="35"/>
      <c r="C30756" s="442"/>
      <c r="P30756" s="235"/>
      <c r="AI30756" s="38"/>
    </row>
    <row r="30757" ht="15.75" customHeight="1">
      <c r="A30757" s="35"/>
      <c r="C30757" s="442"/>
      <c r="P30757" s="235"/>
      <c r="AI30757" s="38"/>
    </row>
    <row r="30758" ht="15.75" customHeight="1">
      <c r="A30758" s="35"/>
      <c r="C30758" s="442"/>
      <c r="P30758" s="235"/>
      <c r="AI30758" s="38"/>
    </row>
    <row r="30759" ht="15.75" customHeight="1">
      <c r="A30759" s="35"/>
      <c r="C30759" s="442"/>
      <c r="P30759" s="235"/>
      <c r="AI30759" s="38"/>
    </row>
    <row r="30760" ht="15.75" customHeight="1">
      <c r="A30760" s="35"/>
      <c r="C30760" s="442"/>
      <c r="P30760" s="235"/>
      <c r="AI30760" s="38"/>
    </row>
    <row r="30761" ht="15.75" customHeight="1">
      <c r="A30761" s="35"/>
      <c r="C30761" s="442"/>
      <c r="P30761" s="235"/>
      <c r="AI30761" s="38"/>
    </row>
    <row r="30762" ht="15.75" customHeight="1">
      <c r="A30762" s="35"/>
      <c r="C30762" s="442"/>
      <c r="P30762" s="235"/>
      <c r="AI30762" s="38"/>
    </row>
    <row r="30763" ht="15.75" customHeight="1">
      <c r="A30763" s="35"/>
      <c r="C30763" s="442"/>
      <c r="P30763" s="235"/>
      <c r="AI30763" s="38"/>
    </row>
    <row r="30764" ht="15.75" customHeight="1">
      <c r="A30764" s="35"/>
      <c r="C30764" s="442"/>
      <c r="P30764" s="235"/>
      <c r="AI30764" s="38"/>
    </row>
    <row r="30765" ht="15.75" customHeight="1">
      <c r="A30765" s="35"/>
      <c r="C30765" s="442"/>
      <c r="P30765" s="235"/>
      <c r="AI30765" s="38"/>
    </row>
    <row r="30766" ht="15.75" customHeight="1">
      <c r="A30766" s="35"/>
      <c r="C30766" s="442"/>
      <c r="P30766" s="235"/>
      <c r="AI30766" s="38"/>
    </row>
    <row r="30767" ht="15.75" customHeight="1">
      <c r="A30767" s="35"/>
      <c r="C30767" s="442"/>
      <c r="P30767" s="235"/>
      <c r="AI30767" s="38"/>
    </row>
    <row r="30768" ht="15.75" customHeight="1">
      <c r="A30768" s="35"/>
      <c r="C30768" s="442"/>
      <c r="P30768" s="235"/>
      <c r="AI30768" s="38"/>
    </row>
    <row r="30769" ht="15.75" customHeight="1">
      <c r="A30769" s="35"/>
      <c r="C30769" s="442"/>
      <c r="P30769" s="235"/>
      <c r="AI30769" s="38"/>
    </row>
    <row r="30770" ht="15.75" customHeight="1">
      <c r="A30770" s="35"/>
      <c r="C30770" s="442"/>
      <c r="P30770" s="235"/>
      <c r="AI30770" s="38"/>
    </row>
    <row r="30771" ht="15.75" customHeight="1">
      <c r="A30771" s="35"/>
      <c r="C30771" s="442"/>
      <c r="P30771" s="235"/>
      <c r="AI30771" s="38"/>
    </row>
    <row r="30772" ht="15.75" customHeight="1">
      <c r="A30772" s="35"/>
      <c r="C30772" s="442"/>
      <c r="P30772" s="235"/>
      <c r="AI30772" s="38"/>
    </row>
    <row r="30773" ht="15.75" customHeight="1">
      <c r="A30773" s="35"/>
      <c r="C30773" s="442"/>
      <c r="P30773" s="235"/>
      <c r="AI30773" s="38"/>
    </row>
    <row r="30774" ht="15.75" customHeight="1">
      <c r="A30774" s="35"/>
      <c r="C30774" s="442"/>
      <c r="P30774" s="235"/>
      <c r="AI30774" s="38"/>
    </row>
    <row r="30775" ht="15.75" customHeight="1">
      <c r="A30775" s="35"/>
      <c r="C30775" s="442"/>
      <c r="P30775" s="235"/>
      <c r="AI30775" s="38"/>
    </row>
    <row r="30776" ht="15.75" customHeight="1">
      <c r="A30776" s="35"/>
      <c r="C30776" s="442"/>
      <c r="P30776" s="235"/>
      <c r="AI30776" s="38"/>
    </row>
    <row r="30777" ht="15.75" customHeight="1">
      <c r="A30777" s="35"/>
      <c r="C30777" s="442"/>
      <c r="P30777" s="235"/>
      <c r="AI30777" s="38"/>
    </row>
    <row r="30778" ht="15.75" customHeight="1">
      <c r="A30778" s="35"/>
      <c r="C30778" s="442"/>
      <c r="P30778" s="235"/>
      <c r="AI30778" s="38"/>
    </row>
    <row r="30779" ht="15.75" customHeight="1">
      <c r="A30779" s="35"/>
      <c r="C30779" s="442"/>
      <c r="P30779" s="235"/>
      <c r="AI30779" s="38"/>
    </row>
    <row r="30780" ht="15.75" customHeight="1">
      <c r="A30780" s="35"/>
      <c r="C30780" s="442"/>
      <c r="P30780" s="235"/>
      <c r="AI30780" s="38"/>
    </row>
    <row r="30781" ht="15.75" customHeight="1">
      <c r="A30781" s="35"/>
      <c r="C30781" s="442"/>
      <c r="P30781" s="235"/>
      <c r="AI30781" s="38"/>
    </row>
    <row r="30782" ht="15.75" customHeight="1">
      <c r="A30782" s="35"/>
      <c r="C30782" s="442"/>
      <c r="P30782" s="235"/>
      <c r="AI30782" s="38"/>
    </row>
    <row r="30783" ht="15.75" customHeight="1">
      <c r="A30783" s="35"/>
      <c r="C30783" s="442"/>
      <c r="P30783" s="235"/>
      <c r="AI30783" s="38"/>
    </row>
    <row r="30784" ht="15.75" customHeight="1">
      <c r="A30784" s="35"/>
      <c r="C30784" s="442"/>
      <c r="P30784" s="235"/>
      <c r="AI30784" s="38"/>
    </row>
    <row r="30785" ht="15.75" customHeight="1">
      <c r="A30785" s="35"/>
      <c r="C30785" s="442"/>
      <c r="P30785" s="235"/>
      <c r="AI30785" s="38"/>
    </row>
    <row r="30786" ht="15.75" customHeight="1">
      <c r="A30786" s="35"/>
      <c r="C30786" s="442"/>
      <c r="P30786" s="235"/>
      <c r="AI30786" s="38"/>
    </row>
    <row r="30787" ht="15.75" customHeight="1">
      <c r="A30787" s="35"/>
      <c r="C30787" s="442"/>
      <c r="P30787" s="235"/>
      <c r="AI30787" s="38"/>
    </row>
    <row r="30788" ht="15.75" customHeight="1">
      <c r="A30788" s="35"/>
      <c r="C30788" s="442"/>
      <c r="P30788" s="235"/>
      <c r="AI30788" s="38"/>
    </row>
    <row r="30789" ht="15.75" customHeight="1">
      <c r="A30789" s="35"/>
      <c r="C30789" s="442"/>
      <c r="P30789" s="235"/>
      <c r="AI30789" s="38"/>
    </row>
    <row r="30790" ht="15.75" customHeight="1">
      <c r="A30790" s="35"/>
      <c r="C30790" s="442"/>
      <c r="P30790" s="235"/>
      <c r="AI30790" s="38"/>
    </row>
    <row r="30791" ht="15.75" customHeight="1">
      <c r="A30791" s="35"/>
      <c r="C30791" s="442"/>
      <c r="P30791" s="235"/>
      <c r="AI30791" s="38"/>
    </row>
    <row r="30792" ht="15.75" customHeight="1">
      <c r="A30792" s="35"/>
      <c r="C30792" s="442"/>
      <c r="P30792" s="235"/>
      <c r="AI30792" s="38"/>
    </row>
    <row r="30793" ht="15.75" customHeight="1">
      <c r="A30793" s="35"/>
      <c r="C30793" s="442"/>
      <c r="P30793" s="235"/>
      <c r="AI30793" s="38"/>
    </row>
    <row r="30794" ht="15.75" customHeight="1">
      <c r="A30794" s="35"/>
      <c r="C30794" s="442"/>
      <c r="P30794" s="235"/>
      <c r="AI30794" s="38"/>
    </row>
    <row r="30795" ht="15.75" customHeight="1">
      <c r="A30795" s="35"/>
      <c r="C30795" s="442"/>
      <c r="P30795" s="235"/>
      <c r="AI30795" s="38"/>
    </row>
    <row r="30796" ht="15.75" customHeight="1">
      <c r="A30796" s="35"/>
      <c r="C30796" s="442"/>
      <c r="P30796" s="235"/>
      <c r="AI30796" s="38"/>
    </row>
    <row r="30797" ht="15.75" customHeight="1">
      <c r="A30797" s="35"/>
      <c r="C30797" s="442"/>
      <c r="P30797" s="235"/>
      <c r="AI30797" s="38"/>
    </row>
    <row r="30798" ht="15.75" customHeight="1">
      <c r="A30798" s="35"/>
      <c r="C30798" s="442"/>
      <c r="P30798" s="235"/>
      <c r="AI30798" s="38"/>
    </row>
    <row r="30799" ht="15.75" customHeight="1">
      <c r="A30799" s="35"/>
      <c r="C30799" s="442"/>
      <c r="P30799" s="235"/>
      <c r="AI30799" s="38"/>
    </row>
    <row r="30800" ht="15.75" customHeight="1">
      <c r="A30800" s="35"/>
      <c r="C30800" s="442"/>
      <c r="P30800" s="235"/>
      <c r="AI30800" s="38"/>
    </row>
    <row r="30801" ht="15.75" customHeight="1">
      <c r="A30801" s="35"/>
      <c r="C30801" s="442"/>
      <c r="P30801" s="235"/>
      <c r="AI30801" s="38"/>
    </row>
    <row r="30802" ht="15.75" customHeight="1">
      <c r="A30802" s="35"/>
      <c r="C30802" s="442"/>
      <c r="P30802" s="235"/>
      <c r="AI30802" s="38"/>
    </row>
    <row r="30803" ht="15.75" customHeight="1">
      <c r="A30803" s="35"/>
      <c r="C30803" s="442"/>
      <c r="P30803" s="235"/>
      <c r="AI30803" s="38"/>
    </row>
    <row r="30804" ht="15.75" customHeight="1">
      <c r="A30804" s="35"/>
      <c r="C30804" s="442"/>
      <c r="P30804" s="235"/>
      <c r="AI30804" s="38"/>
    </row>
    <row r="30805" ht="15.75" customHeight="1">
      <c r="A30805" s="35"/>
      <c r="C30805" s="442"/>
      <c r="P30805" s="235"/>
      <c r="AI30805" s="38"/>
    </row>
    <row r="30806" ht="15.75" customHeight="1">
      <c r="A30806" s="35"/>
      <c r="C30806" s="442"/>
      <c r="P30806" s="235"/>
      <c r="AI30806" s="38"/>
    </row>
    <row r="30807" ht="15.75" customHeight="1">
      <c r="A30807" s="35"/>
      <c r="C30807" s="442"/>
      <c r="P30807" s="235"/>
      <c r="AI30807" s="38"/>
    </row>
    <row r="30808" ht="15.75" customHeight="1">
      <c r="A30808" s="35"/>
      <c r="C30808" s="442"/>
      <c r="P30808" s="235"/>
      <c r="AI30808" s="38"/>
    </row>
    <row r="30809" ht="15.75" customHeight="1">
      <c r="A30809" s="35"/>
      <c r="C30809" s="442"/>
      <c r="P30809" s="235"/>
      <c r="AI30809" s="38"/>
    </row>
    <row r="30810" ht="15.75" customHeight="1">
      <c r="A30810" s="35"/>
      <c r="C30810" s="442"/>
      <c r="P30810" s="235"/>
      <c r="AI30810" s="38"/>
    </row>
    <row r="30811" ht="15.75" customHeight="1">
      <c r="A30811" s="35"/>
      <c r="C30811" s="442"/>
      <c r="P30811" s="235"/>
      <c r="AI30811" s="38"/>
    </row>
    <row r="30812" ht="15.75" customHeight="1">
      <c r="A30812" s="35"/>
      <c r="C30812" s="442"/>
      <c r="P30812" s="235"/>
      <c r="AI30812" s="38"/>
    </row>
    <row r="30813" ht="15.75" customHeight="1">
      <c r="A30813" s="35"/>
      <c r="C30813" s="442"/>
      <c r="P30813" s="235"/>
      <c r="AI30813" s="38"/>
    </row>
    <row r="30814" ht="15.75" customHeight="1">
      <c r="A30814" s="35"/>
      <c r="C30814" s="442"/>
      <c r="P30814" s="235"/>
      <c r="AI30814" s="38"/>
    </row>
    <row r="30815" ht="15.75" customHeight="1">
      <c r="A30815" s="35"/>
      <c r="C30815" s="442"/>
      <c r="P30815" s="235"/>
      <c r="AI30815" s="38"/>
    </row>
    <row r="30816" ht="15.75" customHeight="1">
      <c r="A30816" s="35"/>
      <c r="C30816" s="442"/>
      <c r="P30816" s="235"/>
      <c r="AI30816" s="38"/>
    </row>
    <row r="30817" ht="15.75" customHeight="1">
      <c r="A30817" s="35"/>
      <c r="C30817" s="442"/>
      <c r="P30817" s="235"/>
      <c r="AI30817" s="38"/>
    </row>
    <row r="30818" ht="15.75" customHeight="1">
      <c r="A30818" s="35"/>
      <c r="C30818" s="442"/>
      <c r="P30818" s="235"/>
      <c r="AI30818" s="38"/>
    </row>
    <row r="30819" ht="15.75" customHeight="1">
      <c r="A30819" s="35"/>
      <c r="C30819" s="442"/>
      <c r="P30819" s="235"/>
      <c r="AI30819" s="38"/>
    </row>
    <row r="30820" ht="15.75" customHeight="1">
      <c r="A30820" s="35"/>
      <c r="C30820" s="442"/>
      <c r="P30820" s="235"/>
      <c r="AI30820" s="38"/>
    </row>
    <row r="30821" ht="15.75" customHeight="1">
      <c r="A30821" s="35"/>
      <c r="C30821" s="442"/>
      <c r="P30821" s="235"/>
      <c r="AI30821" s="38"/>
    </row>
    <row r="30822" ht="15.75" customHeight="1">
      <c r="A30822" s="35"/>
      <c r="C30822" s="442"/>
      <c r="P30822" s="235"/>
      <c r="AI30822" s="38"/>
    </row>
    <row r="30823" ht="15.75" customHeight="1">
      <c r="A30823" s="35"/>
      <c r="C30823" s="442"/>
      <c r="P30823" s="235"/>
      <c r="AI30823" s="38"/>
    </row>
    <row r="30824" ht="15.75" customHeight="1">
      <c r="A30824" s="35"/>
      <c r="C30824" s="442"/>
      <c r="P30824" s="235"/>
      <c r="AI30824" s="38"/>
    </row>
    <row r="30825" ht="15.75" customHeight="1">
      <c r="A30825" s="35"/>
      <c r="C30825" s="442"/>
      <c r="P30825" s="235"/>
      <c r="AI30825" s="38"/>
    </row>
    <row r="30826" ht="15.75" customHeight="1">
      <c r="A30826" s="35"/>
      <c r="C30826" s="442"/>
      <c r="P30826" s="235"/>
      <c r="AI30826" s="38"/>
    </row>
    <row r="30827" ht="15.75" customHeight="1">
      <c r="A30827" s="35"/>
      <c r="C30827" s="442"/>
      <c r="P30827" s="235"/>
      <c r="AI30827" s="38"/>
    </row>
    <row r="30828" ht="15.75" customHeight="1">
      <c r="A30828" s="35"/>
      <c r="C30828" s="442"/>
      <c r="P30828" s="235"/>
      <c r="AI30828" s="38"/>
    </row>
    <row r="30829" ht="15.75" customHeight="1">
      <c r="A30829" s="35"/>
      <c r="C30829" s="442"/>
      <c r="P30829" s="235"/>
      <c r="AI30829" s="38"/>
    </row>
    <row r="30830" ht="15.75" customHeight="1">
      <c r="A30830" s="35"/>
      <c r="C30830" s="442"/>
      <c r="P30830" s="235"/>
      <c r="AI30830" s="38"/>
    </row>
    <row r="30831" ht="15.75" customHeight="1">
      <c r="A30831" s="35"/>
      <c r="C30831" s="442"/>
      <c r="P30831" s="235"/>
      <c r="AI30831" s="38"/>
    </row>
    <row r="30832" ht="15.75" customHeight="1">
      <c r="A30832" s="35"/>
      <c r="C30832" s="442"/>
      <c r="P30832" s="235"/>
      <c r="AI30832" s="38"/>
    </row>
    <row r="30833" ht="15.75" customHeight="1">
      <c r="A30833" s="35"/>
      <c r="C30833" s="442"/>
      <c r="P30833" s="235"/>
      <c r="AI30833" s="38"/>
    </row>
    <row r="30834" ht="15.75" customHeight="1">
      <c r="A30834" s="35"/>
      <c r="C30834" s="442"/>
      <c r="P30834" s="235"/>
      <c r="AI30834" s="38"/>
    </row>
    <row r="30835" ht="15.75" customHeight="1">
      <c r="A30835" s="35"/>
      <c r="C30835" s="442"/>
      <c r="P30835" s="235"/>
      <c r="AI30835" s="38"/>
    </row>
    <row r="30836" ht="15.75" customHeight="1">
      <c r="A30836" s="35"/>
      <c r="C30836" s="442"/>
      <c r="P30836" s="235"/>
      <c r="AI30836" s="38"/>
    </row>
    <row r="30837" ht="15.75" customHeight="1">
      <c r="A30837" s="35"/>
      <c r="C30837" s="442"/>
      <c r="P30837" s="235"/>
      <c r="AI30837" s="38"/>
    </row>
    <row r="30838" ht="15.75" customHeight="1">
      <c r="A30838" s="35"/>
      <c r="C30838" s="442"/>
      <c r="P30838" s="235"/>
      <c r="AI30838" s="38"/>
    </row>
    <row r="30839" ht="15.75" customHeight="1">
      <c r="A30839" s="35"/>
      <c r="C30839" s="442"/>
      <c r="P30839" s="235"/>
      <c r="AI30839" s="38"/>
    </row>
    <row r="30840" ht="15.75" customHeight="1">
      <c r="A30840" s="35"/>
      <c r="C30840" s="442"/>
      <c r="P30840" s="235"/>
      <c r="AI30840" s="38"/>
    </row>
    <row r="30841" ht="15.75" customHeight="1">
      <c r="A30841" s="35"/>
      <c r="C30841" s="442"/>
      <c r="P30841" s="235"/>
      <c r="AI30841" s="38"/>
    </row>
    <row r="30842" ht="15.75" customHeight="1">
      <c r="A30842" s="35"/>
      <c r="C30842" s="442"/>
      <c r="P30842" s="235"/>
      <c r="AI30842" s="38"/>
    </row>
    <row r="30843" ht="15.75" customHeight="1">
      <c r="A30843" s="35"/>
      <c r="C30843" s="442"/>
      <c r="P30843" s="235"/>
      <c r="AI30843" s="38"/>
    </row>
    <row r="30844" ht="15.75" customHeight="1">
      <c r="A30844" s="35"/>
      <c r="C30844" s="442"/>
      <c r="P30844" s="235"/>
      <c r="AI30844" s="38"/>
    </row>
    <row r="30845" ht="15.75" customHeight="1">
      <c r="A30845" s="35"/>
      <c r="C30845" s="442"/>
      <c r="P30845" s="235"/>
      <c r="AI30845" s="38"/>
    </row>
    <row r="30846" ht="15.75" customHeight="1">
      <c r="A30846" s="35"/>
      <c r="C30846" s="442"/>
      <c r="P30846" s="235"/>
      <c r="AI30846" s="38"/>
    </row>
    <row r="30847" ht="15.75" customHeight="1">
      <c r="A30847" s="35"/>
      <c r="C30847" s="442"/>
      <c r="P30847" s="235"/>
      <c r="AI30847" s="38"/>
    </row>
    <row r="30848" ht="15.75" customHeight="1">
      <c r="A30848" s="35"/>
      <c r="C30848" s="442"/>
      <c r="P30848" s="235"/>
      <c r="AI30848" s="38"/>
    </row>
    <row r="30849" ht="15.75" customHeight="1">
      <c r="A30849" s="35"/>
      <c r="C30849" s="442"/>
      <c r="P30849" s="235"/>
      <c r="AI30849" s="38"/>
    </row>
    <row r="30850" ht="15.75" customHeight="1">
      <c r="A30850" s="35"/>
      <c r="C30850" s="442"/>
      <c r="P30850" s="235"/>
      <c r="AI30850" s="38"/>
    </row>
    <row r="30851" ht="15.75" customHeight="1">
      <c r="A30851" s="35"/>
      <c r="C30851" s="442"/>
      <c r="P30851" s="235"/>
      <c r="AI30851" s="38"/>
    </row>
    <row r="30852" ht="15.75" customHeight="1">
      <c r="A30852" s="35"/>
      <c r="C30852" s="442"/>
      <c r="P30852" s="235"/>
      <c r="AI30852" s="38"/>
    </row>
    <row r="30853" ht="15.75" customHeight="1">
      <c r="A30853" s="35"/>
      <c r="C30853" s="442"/>
      <c r="P30853" s="235"/>
      <c r="AI30853" s="38"/>
    </row>
    <row r="30854" ht="15.75" customHeight="1">
      <c r="A30854" s="35"/>
      <c r="C30854" s="442"/>
      <c r="P30854" s="235"/>
      <c r="AI30854" s="38"/>
    </row>
    <row r="30855" ht="15.75" customHeight="1">
      <c r="A30855" s="35"/>
      <c r="C30855" s="442"/>
      <c r="P30855" s="235"/>
      <c r="AI30855" s="38"/>
    </row>
    <row r="30856" ht="15.75" customHeight="1">
      <c r="A30856" s="35"/>
      <c r="C30856" s="442"/>
      <c r="P30856" s="235"/>
      <c r="AI30856" s="38"/>
    </row>
    <row r="30857" ht="15.75" customHeight="1">
      <c r="A30857" s="35"/>
      <c r="C30857" s="442"/>
      <c r="P30857" s="235"/>
      <c r="AI30857" s="38"/>
    </row>
    <row r="30858" ht="15.75" customHeight="1">
      <c r="A30858" s="35"/>
      <c r="C30858" s="442"/>
      <c r="P30858" s="235"/>
      <c r="AI30858" s="38"/>
    </row>
    <row r="30859" ht="15.75" customHeight="1">
      <c r="A30859" s="35"/>
      <c r="C30859" s="442"/>
      <c r="P30859" s="235"/>
      <c r="AI30859" s="38"/>
    </row>
    <row r="30860" ht="15.75" customHeight="1">
      <c r="A30860" s="35"/>
      <c r="C30860" s="442"/>
      <c r="P30860" s="235"/>
      <c r="AI30860" s="38"/>
    </row>
    <row r="30861" ht="15.75" customHeight="1">
      <c r="A30861" s="35"/>
      <c r="C30861" s="442"/>
      <c r="P30861" s="235"/>
      <c r="AI30861" s="38"/>
    </row>
    <row r="30862" ht="15.75" customHeight="1">
      <c r="A30862" s="35"/>
      <c r="C30862" s="442"/>
      <c r="P30862" s="235"/>
      <c r="AI30862" s="38"/>
    </row>
    <row r="30863" ht="15.75" customHeight="1">
      <c r="A30863" s="35"/>
      <c r="C30863" s="442"/>
      <c r="P30863" s="235"/>
      <c r="AI30863" s="38"/>
    </row>
    <row r="30864" ht="15.75" customHeight="1">
      <c r="A30864" s="35"/>
      <c r="C30864" s="442"/>
      <c r="P30864" s="235"/>
      <c r="AI30864" s="38"/>
    </row>
    <row r="30865" ht="15.75" customHeight="1">
      <c r="A30865" s="35"/>
      <c r="C30865" s="442"/>
      <c r="P30865" s="235"/>
      <c r="AI30865" s="38"/>
    </row>
    <row r="30866" ht="15.75" customHeight="1">
      <c r="A30866" s="35"/>
      <c r="C30866" s="442"/>
      <c r="P30866" s="235"/>
      <c r="AI30866" s="38"/>
    </row>
    <row r="30867" ht="15.75" customHeight="1">
      <c r="A30867" s="35"/>
      <c r="C30867" s="442"/>
      <c r="P30867" s="235"/>
      <c r="AI30867" s="38"/>
    </row>
    <row r="30868" ht="15.75" customHeight="1">
      <c r="A30868" s="35"/>
      <c r="C30868" s="442"/>
      <c r="P30868" s="235"/>
      <c r="AI30868" s="38"/>
    </row>
    <row r="30869" ht="15.75" customHeight="1">
      <c r="A30869" s="35"/>
      <c r="C30869" s="442"/>
      <c r="P30869" s="235"/>
      <c r="AI30869" s="38"/>
    </row>
    <row r="30870" ht="15.75" customHeight="1">
      <c r="A30870" s="35"/>
      <c r="C30870" s="442"/>
      <c r="P30870" s="235"/>
      <c r="AI30870" s="38"/>
    </row>
    <row r="30871" ht="15.75" customHeight="1">
      <c r="A30871" s="35"/>
      <c r="C30871" s="442"/>
      <c r="P30871" s="235"/>
      <c r="AI30871" s="38"/>
    </row>
    <row r="30872" ht="15.75" customHeight="1">
      <c r="A30872" s="35"/>
      <c r="C30872" s="442"/>
      <c r="P30872" s="235"/>
      <c r="AI30872" s="38"/>
    </row>
    <row r="30873" ht="15.75" customHeight="1">
      <c r="A30873" s="35"/>
      <c r="C30873" s="442"/>
      <c r="P30873" s="235"/>
      <c r="AI30873" s="38"/>
    </row>
    <row r="30874" ht="15.75" customHeight="1">
      <c r="A30874" s="35"/>
      <c r="C30874" s="442"/>
      <c r="P30874" s="235"/>
      <c r="AI30874" s="38"/>
    </row>
    <row r="30875" ht="15.75" customHeight="1">
      <c r="A30875" s="35"/>
      <c r="C30875" s="442"/>
      <c r="P30875" s="235"/>
      <c r="AI30875" s="38"/>
    </row>
    <row r="30876" ht="15.75" customHeight="1">
      <c r="A30876" s="35"/>
      <c r="C30876" s="442"/>
      <c r="P30876" s="235"/>
      <c r="AI30876" s="38"/>
    </row>
    <row r="30877" ht="15.75" customHeight="1">
      <c r="A30877" s="35"/>
      <c r="C30877" s="442"/>
      <c r="P30877" s="235"/>
      <c r="AI30877" s="38"/>
    </row>
    <row r="30878" ht="15.75" customHeight="1">
      <c r="A30878" s="35"/>
      <c r="C30878" s="442"/>
      <c r="P30878" s="235"/>
      <c r="AI30878" s="38"/>
    </row>
    <row r="30879" ht="15.75" customHeight="1">
      <c r="A30879" s="35"/>
      <c r="C30879" s="442"/>
      <c r="P30879" s="235"/>
      <c r="AI30879" s="38"/>
    </row>
    <row r="30880" ht="15.75" customHeight="1">
      <c r="A30880" s="35"/>
      <c r="C30880" s="442"/>
      <c r="P30880" s="235"/>
      <c r="AI30880" s="38"/>
    </row>
    <row r="30881" ht="15.75" customHeight="1">
      <c r="A30881" s="35"/>
      <c r="C30881" s="442"/>
      <c r="P30881" s="235"/>
      <c r="AI30881" s="38"/>
    </row>
    <row r="30882" ht="15.75" customHeight="1">
      <c r="A30882" s="35"/>
      <c r="C30882" s="442"/>
      <c r="P30882" s="235"/>
      <c r="AI30882" s="38"/>
    </row>
    <row r="30883" ht="15.75" customHeight="1">
      <c r="A30883" s="35"/>
      <c r="C30883" s="442"/>
      <c r="P30883" s="235"/>
      <c r="AI30883" s="38"/>
    </row>
    <row r="30884" ht="15.75" customHeight="1">
      <c r="A30884" s="35"/>
      <c r="C30884" s="442"/>
      <c r="P30884" s="235"/>
      <c r="AI30884" s="38"/>
    </row>
    <row r="30885" ht="15.75" customHeight="1">
      <c r="A30885" s="35"/>
      <c r="C30885" s="442"/>
      <c r="P30885" s="235"/>
      <c r="AI30885" s="38"/>
    </row>
    <row r="30886" ht="15.75" customHeight="1">
      <c r="A30886" s="35"/>
      <c r="C30886" s="442"/>
      <c r="P30886" s="235"/>
      <c r="AI30886" s="38"/>
    </row>
    <row r="30887" ht="15.75" customHeight="1">
      <c r="A30887" s="35"/>
      <c r="C30887" s="442"/>
      <c r="P30887" s="235"/>
      <c r="AI30887" s="38"/>
    </row>
    <row r="30888" ht="15.75" customHeight="1">
      <c r="A30888" s="35"/>
      <c r="C30888" s="442"/>
      <c r="P30888" s="235"/>
      <c r="AI30888" s="38"/>
    </row>
    <row r="30889" ht="15.75" customHeight="1">
      <c r="A30889" s="35"/>
      <c r="C30889" s="442"/>
      <c r="P30889" s="235"/>
      <c r="AI30889" s="38"/>
    </row>
    <row r="30890" ht="15.75" customHeight="1">
      <c r="A30890" s="35"/>
      <c r="C30890" s="442"/>
      <c r="P30890" s="235"/>
      <c r="AI30890" s="38"/>
    </row>
    <row r="30891" ht="15.75" customHeight="1">
      <c r="A30891" s="35"/>
      <c r="C30891" s="442"/>
      <c r="P30891" s="235"/>
      <c r="AI30891" s="38"/>
    </row>
    <row r="30892" ht="15.75" customHeight="1">
      <c r="A30892" s="35"/>
      <c r="C30892" s="442"/>
      <c r="P30892" s="235"/>
      <c r="AI30892" s="38"/>
    </row>
    <row r="30893" ht="15.75" customHeight="1">
      <c r="A30893" s="35"/>
      <c r="C30893" s="442"/>
      <c r="P30893" s="235"/>
      <c r="AI30893" s="38"/>
    </row>
    <row r="30894" ht="15.75" customHeight="1">
      <c r="A30894" s="35"/>
      <c r="C30894" s="442"/>
      <c r="P30894" s="235"/>
      <c r="AI30894" s="38"/>
    </row>
    <row r="30895" ht="15.75" customHeight="1">
      <c r="A30895" s="35"/>
      <c r="C30895" s="442"/>
      <c r="P30895" s="235"/>
      <c r="AI30895" s="38"/>
    </row>
    <row r="30896" ht="15.75" customHeight="1">
      <c r="A30896" s="35"/>
      <c r="C30896" s="442"/>
      <c r="P30896" s="235"/>
      <c r="AI30896" s="38"/>
    </row>
    <row r="30897" ht="15.75" customHeight="1">
      <c r="A30897" s="35"/>
      <c r="C30897" s="442"/>
      <c r="P30897" s="235"/>
      <c r="AI30897" s="38"/>
    </row>
    <row r="30898" ht="15.75" customHeight="1">
      <c r="A30898" s="35"/>
      <c r="C30898" s="442"/>
      <c r="P30898" s="235"/>
      <c r="AI30898" s="38"/>
    </row>
    <row r="30899" ht="15.75" customHeight="1">
      <c r="A30899" s="35"/>
      <c r="C30899" s="442"/>
      <c r="P30899" s="235"/>
      <c r="AI30899" s="38"/>
    </row>
    <row r="30900" ht="15.75" customHeight="1">
      <c r="A30900" s="35"/>
      <c r="C30900" s="442"/>
      <c r="P30900" s="235"/>
      <c r="AI30900" s="38"/>
    </row>
    <row r="30901" ht="15.75" customHeight="1">
      <c r="A30901" s="35"/>
      <c r="C30901" s="442"/>
      <c r="P30901" s="235"/>
      <c r="AI30901" s="38"/>
    </row>
    <row r="30902" ht="15.75" customHeight="1">
      <c r="A30902" s="35"/>
      <c r="C30902" s="442"/>
      <c r="P30902" s="235"/>
      <c r="AI30902" s="38"/>
    </row>
    <row r="30903" ht="15.75" customHeight="1">
      <c r="A30903" s="35"/>
      <c r="C30903" s="442"/>
      <c r="P30903" s="235"/>
      <c r="AI30903" s="38"/>
    </row>
    <row r="30904" ht="15.75" customHeight="1">
      <c r="A30904" s="35"/>
      <c r="C30904" s="442"/>
      <c r="P30904" s="235"/>
      <c r="AI30904" s="38"/>
    </row>
    <row r="30905" ht="15.75" customHeight="1">
      <c r="A30905" s="35"/>
      <c r="C30905" s="442"/>
      <c r="P30905" s="235"/>
      <c r="AI30905" s="38"/>
    </row>
    <row r="30906" ht="15.75" customHeight="1">
      <c r="A30906" s="35"/>
      <c r="C30906" s="442"/>
      <c r="P30906" s="235"/>
      <c r="AI30906" s="38"/>
    </row>
    <row r="30907" ht="15.75" customHeight="1">
      <c r="A30907" s="35"/>
      <c r="C30907" s="442"/>
      <c r="P30907" s="235"/>
      <c r="AI30907" s="38"/>
    </row>
    <row r="30908" ht="15.75" customHeight="1">
      <c r="A30908" s="35"/>
      <c r="C30908" s="442"/>
      <c r="P30908" s="235"/>
      <c r="AI30908" s="38"/>
    </row>
    <row r="30909" ht="15.75" customHeight="1">
      <c r="A30909" s="35"/>
      <c r="C30909" s="442"/>
      <c r="P30909" s="235"/>
      <c r="AI30909" s="38"/>
    </row>
    <row r="30910" ht="15.75" customHeight="1">
      <c r="A30910" s="35"/>
      <c r="C30910" s="442"/>
      <c r="P30910" s="235"/>
      <c r="AI30910" s="38"/>
    </row>
    <row r="30911" ht="15.75" customHeight="1">
      <c r="A30911" s="35"/>
      <c r="C30911" s="442"/>
      <c r="P30911" s="235"/>
      <c r="AI30911" s="38"/>
    </row>
    <row r="30912" ht="15.75" customHeight="1">
      <c r="A30912" s="35"/>
      <c r="C30912" s="442"/>
      <c r="P30912" s="235"/>
      <c r="AI30912" s="38"/>
    </row>
    <row r="30913" ht="15.75" customHeight="1">
      <c r="A30913" s="35"/>
      <c r="C30913" s="442"/>
      <c r="P30913" s="235"/>
      <c r="AI30913" s="38"/>
    </row>
    <row r="30914" ht="15.75" customHeight="1">
      <c r="A30914" s="35"/>
      <c r="C30914" s="442"/>
      <c r="P30914" s="235"/>
      <c r="AI30914" s="38"/>
    </row>
    <row r="30915" ht="15.75" customHeight="1">
      <c r="A30915" s="35"/>
      <c r="C30915" s="442"/>
      <c r="P30915" s="235"/>
      <c r="AI30915" s="38"/>
    </row>
    <row r="30916" ht="15.75" customHeight="1">
      <c r="A30916" s="35"/>
      <c r="C30916" s="442"/>
      <c r="P30916" s="235"/>
      <c r="AI30916" s="38"/>
    </row>
    <row r="30917" ht="15.75" customHeight="1">
      <c r="A30917" s="35"/>
      <c r="C30917" s="442"/>
      <c r="P30917" s="235"/>
      <c r="AI30917" s="38"/>
    </row>
    <row r="30918" ht="15.75" customHeight="1">
      <c r="A30918" s="35"/>
      <c r="C30918" s="442"/>
      <c r="P30918" s="235"/>
      <c r="AI30918" s="38"/>
    </row>
    <row r="30919" ht="15.75" customHeight="1">
      <c r="A30919" s="35"/>
      <c r="C30919" s="442"/>
      <c r="P30919" s="235"/>
      <c r="AI30919" s="38"/>
    </row>
    <row r="30920" ht="15.75" customHeight="1">
      <c r="A30920" s="35"/>
      <c r="C30920" s="442"/>
      <c r="P30920" s="235"/>
      <c r="AI30920" s="38"/>
    </row>
    <row r="30921" ht="15.75" customHeight="1">
      <c r="A30921" s="35"/>
      <c r="C30921" s="442"/>
      <c r="P30921" s="235"/>
      <c r="AI30921" s="38"/>
    </row>
    <row r="30922" ht="15.75" customHeight="1">
      <c r="A30922" s="35"/>
      <c r="C30922" s="442"/>
      <c r="P30922" s="235"/>
      <c r="AI30922" s="38"/>
    </row>
    <row r="30923" ht="15.75" customHeight="1">
      <c r="A30923" s="35"/>
      <c r="C30923" s="442"/>
      <c r="P30923" s="235"/>
      <c r="AI30923" s="38"/>
    </row>
    <row r="30924" ht="15.75" customHeight="1">
      <c r="A30924" s="35"/>
      <c r="C30924" s="442"/>
      <c r="P30924" s="235"/>
      <c r="AI30924" s="38"/>
    </row>
    <row r="30925" ht="15.75" customHeight="1">
      <c r="A30925" s="35"/>
      <c r="C30925" s="442"/>
      <c r="P30925" s="235"/>
      <c r="AI30925" s="38"/>
    </row>
    <row r="30926" ht="15.75" customHeight="1">
      <c r="A30926" s="35"/>
      <c r="C30926" s="442"/>
      <c r="P30926" s="235"/>
      <c r="AI30926" s="38"/>
    </row>
    <row r="30927" ht="15.75" customHeight="1">
      <c r="A30927" s="35"/>
      <c r="C30927" s="442"/>
      <c r="P30927" s="235"/>
      <c r="AI30927" s="38"/>
    </row>
    <row r="30928" ht="15.75" customHeight="1">
      <c r="A30928" s="35"/>
      <c r="C30928" s="442"/>
      <c r="P30928" s="235"/>
      <c r="AI30928" s="38"/>
    </row>
    <row r="30929" ht="15.75" customHeight="1">
      <c r="A30929" s="35"/>
      <c r="C30929" s="442"/>
      <c r="P30929" s="235"/>
      <c r="AI30929" s="38"/>
    </row>
    <row r="30930" ht="15.75" customHeight="1">
      <c r="A30930" s="35"/>
      <c r="C30930" s="442"/>
      <c r="P30930" s="235"/>
      <c r="AI30930" s="38"/>
    </row>
    <row r="30931" ht="15.75" customHeight="1">
      <c r="A30931" s="35"/>
      <c r="C30931" s="442"/>
      <c r="P30931" s="235"/>
      <c r="AI30931" s="38"/>
    </row>
    <row r="30932" ht="15.75" customHeight="1">
      <c r="A30932" s="35"/>
      <c r="C30932" s="442"/>
      <c r="P30932" s="235"/>
      <c r="AI30932" s="38"/>
    </row>
    <row r="30933" ht="15.75" customHeight="1">
      <c r="A30933" s="35"/>
      <c r="C30933" s="442"/>
      <c r="P30933" s="235"/>
      <c r="AI30933" s="38"/>
    </row>
    <row r="30934" ht="15.75" customHeight="1">
      <c r="A30934" s="35"/>
      <c r="C30934" s="442"/>
      <c r="P30934" s="235"/>
      <c r="AI30934" s="38"/>
    </row>
    <row r="30935" ht="15.75" customHeight="1">
      <c r="A30935" s="35"/>
      <c r="C30935" s="442"/>
      <c r="P30935" s="235"/>
      <c r="AI30935" s="38"/>
    </row>
    <row r="30936" ht="15.75" customHeight="1">
      <c r="A30936" s="35"/>
      <c r="C30936" s="442"/>
      <c r="P30936" s="235"/>
      <c r="AI30936" s="38"/>
    </row>
    <row r="30937" ht="15.75" customHeight="1">
      <c r="A30937" s="35"/>
      <c r="C30937" s="442"/>
      <c r="P30937" s="235"/>
      <c r="AI30937" s="38"/>
    </row>
    <row r="30938" ht="15.75" customHeight="1">
      <c r="A30938" s="35"/>
      <c r="C30938" s="442"/>
      <c r="P30938" s="235"/>
      <c r="AI30938" s="38"/>
    </row>
    <row r="30939" ht="15.75" customHeight="1">
      <c r="A30939" s="35"/>
      <c r="C30939" s="442"/>
      <c r="P30939" s="235"/>
      <c r="AI30939" s="38"/>
    </row>
    <row r="30940" ht="15.75" customHeight="1">
      <c r="A30940" s="35"/>
      <c r="C30940" s="442"/>
      <c r="P30940" s="235"/>
      <c r="AI30940" s="38"/>
    </row>
    <row r="30941" ht="15.75" customHeight="1">
      <c r="A30941" s="35"/>
      <c r="C30941" s="442"/>
      <c r="P30941" s="235"/>
      <c r="AI30941" s="38"/>
    </row>
    <row r="30942" ht="15.75" customHeight="1">
      <c r="A30942" s="35"/>
      <c r="C30942" s="442"/>
      <c r="P30942" s="235"/>
      <c r="AI30942" s="38"/>
    </row>
    <row r="30943" ht="15.75" customHeight="1">
      <c r="A30943" s="35"/>
      <c r="C30943" s="442"/>
      <c r="P30943" s="235"/>
      <c r="AI30943" s="38"/>
    </row>
    <row r="30944" ht="15.75" customHeight="1">
      <c r="A30944" s="35"/>
      <c r="C30944" s="442"/>
      <c r="P30944" s="235"/>
      <c r="AI30944" s="38"/>
    </row>
    <row r="30945" ht="15.75" customHeight="1">
      <c r="A30945" s="35"/>
      <c r="C30945" s="442"/>
      <c r="P30945" s="235"/>
      <c r="AI30945" s="38"/>
    </row>
    <row r="30946" ht="15.75" customHeight="1">
      <c r="A30946" s="35"/>
      <c r="C30946" s="442"/>
      <c r="P30946" s="235"/>
      <c r="AI30946" s="38"/>
    </row>
    <row r="30947" ht="15.75" customHeight="1">
      <c r="A30947" s="35"/>
      <c r="C30947" s="442"/>
      <c r="P30947" s="235"/>
      <c r="AI30947" s="38"/>
    </row>
    <row r="30948" ht="15.75" customHeight="1">
      <c r="A30948" s="35"/>
      <c r="C30948" s="442"/>
      <c r="P30948" s="235"/>
      <c r="AI30948" s="38"/>
    </row>
    <row r="30949" ht="15.75" customHeight="1">
      <c r="A30949" s="35"/>
      <c r="C30949" s="442"/>
      <c r="P30949" s="235"/>
      <c r="AI30949" s="38"/>
    </row>
    <row r="30950" ht="15.75" customHeight="1">
      <c r="A30950" s="35"/>
      <c r="C30950" s="442"/>
      <c r="P30950" s="235"/>
      <c r="AI30950" s="38"/>
    </row>
    <row r="30951" ht="15.75" customHeight="1">
      <c r="A30951" s="35"/>
      <c r="C30951" s="442"/>
      <c r="P30951" s="235"/>
      <c r="AI30951" s="38"/>
    </row>
    <row r="30952" ht="15.75" customHeight="1">
      <c r="A30952" s="35"/>
      <c r="C30952" s="442"/>
      <c r="P30952" s="235"/>
      <c r="AI30952" s="38"/>
    </row>
    <row r="30953" ht="15.75" customHeight="1">
      <c r="A30953" s="35"/>
      <c r="C30953" s="442"/>
      <c r="P30953" s="235"/>
      <c r="AI30953" s="38"/>
    </row>
    <row r="30954" ht="15.75" customHeight="1">
      <c r="A30954" s="35"/>
      <c r="C30954" s="442"/>
      <c r="P30954" s="235"/>
      <c r="AI30954" s="38"/>
    </row>
    <row r="30955" ht="15.75" customHeight="1">
      <c r="A30955" s="35"/>
      <c r="C30955" s="442"/>
      <c r="P30955" s="235"/>
      <c r="AI30955" s="38"/>
    </row>
    <row r="30956" ht="15.75" customHeight="1">
      <c r="A30956" s="35"/>
      <c r="C30956" s="442"/>
      <c r="P30956" s="235"/>
      <c r="AI30956" s="38"/>
    </row>
    <row r="30957" ht="15.75" customHeight="1">
      <c r="A30957" s="35"/>
      <c r="C30957" s="442"/>
      <c r="P30957" s="235"/>
      <c r="AI30957" s="38"/>
    </row>
    <row r="30958" ht="15.75" customHeight="1">
      <c r="A30958" s="35"/>
      <c r="C30958" s="442"/>
      <c r="P30958" s="235"/>
      <c r="AI30958" s="38"/>
    </row>
    <row r="30959" ht="15.75" customHeight="1">
      <c r="A30959" s="35"/>
      <c r="C30959" s="442"/>
      <c r="P30959" s="235"/>
      <c r="AI30959" s="38"/>
    </row>
    <row r="30960" ht="15.75" customHeight="1">
      <c r="A30960" s="35"/>
      <c r="C30960" s="442"/>
      <c r="P30960" s="235"/>
      <c r="AI30960" s="38"/>
    </row>
    <row r="30961" ht="15.75" customHeight="1">
      <c r="A30961" s="35"/>
      <c r="C30961" s="442"/>
      <c r="P30961" s="235"/>
      <c r="AI30961" s="38"/>
    </row>
    <row r="30962" ht="15.75" customHeight="1">
      <c r="A30962" s="35"/>
      <c r="C30962" s="442"/>
      <c r="P30962" s="235"/>
      <c r="AI30962" s="38"/>
    </row>
    <row r="30963" ht="15.75" customHeight="1">
      <c r="A30963" s="35"/>
      <c r="C30963" s="442"/>
      <c r="P30963" s="235"/>
      <c r="AI30963" s="38"/>
    </row>
    <row r="30964" ht="15.75" customHeight="1">
      <c r="A30964" s="35"/>
      <c r="C30964" s="442"/>
      <c r="P30964" s="235"/>
      <c r="AI30964" s="38"/>
    </row>
    <row r="30965" ht="15.75" customHeight="1">
      <c r="A30965" s="35"/>
      <c r="C30965" s="442"/>
      <c r="P30965" s="235"/>
      <c r="AI30965" s="38"/>
    </row>
    <row r="30966" ht="15.75" customHeight="1">
      <c r="A30966" s="35"/>
      <c r="C30966" s="442"/>
      <c r="P30966" s="235"/>
      <c r="AI30966" s="38"/>
    </row>
    <row r="30967" ht="15.75" customHeight="1">
      <c r="A30967" s="35"/>
      <c r="C30967" s="442"/>
      <c r="P30967" s="235"/>
      <c r="AI30967" s="38"/>
    </row>
    <row r="30968" ht="15.75" customHeight="1">
      <c r="A30968" s="35"/>
      <c r="C30968" s="442"/>
      <c r="P30968" s="235"/>
      <c r="AI30968" s="38"/>
    </row>
    <row r="30969" ht="15.75" customHeight="1">
      <c r="A30969" s="35"/>
      <c r="C30969" s="442"/>
      <c r="P30969" s="235"/>
      <c r="AI30969" s="38"/>
    </row>
    <row r="30970" ht="15.75" customHeight="1">
      <c r="A30970" s="35"/>
      <c r="C30970" s="442"/>
      <c r="P30970" s="235"/>
      <c r="AI30970" s="38"/>
    </row>
    <row r="30971" ht="15.75" customHeight="1">
      <c r="A30971" s="35"/>
      <c r="C30971" s="442"/>
      <c r="P30971" s="235"/>
      <c r="AI30971" s="38"/>
    </row>
    <row r="30972" ht="15.75" customHeight="1">
      <c r="A30972" s="35"/>
      <c r="C30972" s="442"/>
      <c r="P30972" s="235"/>
      <c r="AI30972" s="38"/>
    </row>
    <row r="30973" ht="15.75" customHeight="1">
      <c r="A30973" s="35"/>
      <c r="C30973" s="442"/>
      <c r="P30973" s="235"/>
      <c r="AI30973" s="38"/>
    </row>
    <row r="30974" ht="15.75" customHeight="1">
      <c r="A30974" s="35"/>
      <c r="C30974" s="442"/>
      <c r="P30974" s="235"/>
      <c r="AI30974" s="38"/>
    </row>
    <row r="30975" ht="15.75" customHeight="1">
      <c r="A30975" s="35"/>
      <c r="C30975" s="442"/>
      <c r="P30975" s="235"/>
      <c r="AI30975" s="38"/>
    </row>
    <row r="30976" ht="15.75" customHeight="1">
      <c r="A30976" s="35"/>
      <c r="C30976" s="442"/>
      <c r="P30976" s="235"/>
      <c r="AI30976" s="38"/>
    </row>
    <row r="30977" ht="15.75" customHeight="1">
      <c r="A30977" s="35"/>
      <c r="C30977" s="442"/>
      <c r="P30977" s="235"/>
      <c r="AI30977" s="38"/>
    </row>
    <row r="30978" ht="15.75" customHeight="1">
      <c r="A30978" s="35"/>
      <c r="C30978" s="442"/>
      <c r="P30978" s="235"/>
      <c r="AI30978" s="38"/>
    </row>
    <row r="30979" ht="15.75" customHeight="1">
      <c r="A30979" s="35"/>
      <c r="C30979" s="442"/>
      <c r="P30979" s="235"/>
      <c r="AI30979" s="38"/>
    </row>
    <row r="30980" ht="15.75" customHeight="1">
      <c r="A30980" s="35"/>
      <c r="C30980" s="442"/>
      <c r="P30980" s="235"/>
      <c r="AI30980" s="38"/>
    </row>
    <row r="30981" ht="15.75" customHeight="1">
      <c r="A30981" s="35"/>
      <c r="C30981" s="442"/>
      <c r="P30981" s="235"/>
      <c r="AI30981" s="38"/>
    </row>
    <row r="30982" ht="15.75" customHeight="1">
      <c r="A30982" s="35"/>
      <c r="C30982" s="442"/>
      <c r="P30982" s="235"/>
      <c r="AI30982" s="38"/>
    </row>
    <row r="30983" ht="15.75" customHeight="1">
      <c r="A30983" s="35"/>
      <c r="C30983" s="442"/>
      <c r="P30983" s="235"/>
      <c r="AI30983" s="38"/>
    </row>
    <row r="30984" ht="15.75" customHeight="1">
      <c r="A30984" s="35"/>
      <c r="C30984" s="442"/>
      <c r="P30984" s="235"/>
      <c r="AI30984" s="38"/>
    </row>
    <row r="30985" ht="15.75" customHeight="1">
      <c r="A30985" s="35"/>
      <c r="C30985" s="442"/>
      <c r="P30985" s="235"/>
      <c r="AI30985" s="38"/>
    </row>
    <row r="30986" ht="15.75" customHeight="1">
      <c r="A30986" s="35"/>
      <c r="C30986" s="442"/>
      <c r="P30986" s="235"/>
      <c r="AI30986" s="38"/>
    </row>
    <row r="30987" ht="15.75" customHeight="1">
      <c r="A30987" s="35"/>
      <c r="C30987" s="442"/>
      <c r="P30987" s="235"/>
      <c r="AI30987" s="38"/>
    </row>
    <row r="30988" ht="15.75" customHeight="1">
      <c r="A30988" s="35"/>
      <c r="C30988" s="442"/>
      <c r="P30988" s="235"/>
      <c r="AI30988" s="38"/>
    </row>
    <row r="30989" ht="15.75" customHeight="1">
      <c r="A30989" s="35"/>
      <c r="C30989" s="442"/>
      <c r="P30989" s="235"/>
      <c r="AI30989" s="38"/>
    </row>
    <row r="30990" ht="15.75" customHeight="1">
      <c r="A30990" s="35"/>
      <c r="C30990" s="442"/>
      <c r="P30990" s="235"/>
      <c r="AI30990" s="38"/>
    </row>
    <row r="30991" ht="15.75" customHeight="1">
      <c r="A30991" s="35"/>
      <c r="C30991" s="442"/>
      <c r="P30991" s="235"/>
      <c r="AI30991" s="38"/>
    </row>
    <row r="30992" ht="15.75" customHeight="1">
      <c r="A30992" s="35"/>
      <c r="C30992" s="442"/>
      <c r="P30992" s="235"/>
      <c r="AI30992" s="38"/>
    </row>
    <row r="30993" ht="15.75" customHeight="1">
      <c r="A30993" s="35"/>
      <c r="C30993" s="442"/>
      <c r="P30993" s="235"/>
      <c r="AI30993" s="38"/>
    </row>
    <row r="30994" ht="15.75" customHeight="1">
      <c r="A30994" s="35"/>
      <c r="C30994" s="442"/>
      <c r="P30994" s="235"/>
      <c r="AI30994" s="38"/>
    </row>
    <row r="30995" ht="15.75" customHeight="1">
      <c r="A30995" s="35"/>
      <c r="C30995" s="442"/>
      <c r="P30995" s="235"/>
      <c r="AI30995" s="38"/>
    </row>
    <row r="30996" ht="15.75" customHeight="1">
      <c r="A30996" s="35"/>
      <c r="C30996" s="442"/>
      <c r="P30996" s="235"/>
      <c r="AI30996" s="38"/>
    </row>
    <row r="30997" ht="15.75" customHeight="1">
      <c r="A30997" s="35"/>
      <c r="C30997" s="442"/>
      <c r="P30997" s="235"/>
      <c r="AI30997" s="38"/>
    </row>
    <row r="30998" ht="15.75" customHeight="1">
      <c r="A30998" s="35"/>
      <c r="C30998" s="442"/>
      <c r="P30998" s="235"/>
      <c r="AI30998" s="38"/>
    </row>
    <row r="30999" ht="15.75" customHeight="1">
      <c r="A30999" s="35"/>
      <c r="C30999" s="442"/>
      <c r="P30999" s="235"/>
      <c r="AI30999" s="38"/>
    </row>
    <row r="31000" ht="15.75" customHeight="1">
      <c r="A31000" s="35"/>
      <c r="C31000" s="442"/>
      <c r="P31000" s="235"/>
      <c r="AI31000" s="38"/>
    </row>
    <row r="31001" ht="15.75" customHeight="1">
      <c r="A31001" s="35"/>
      <c r="C31001" s="442"/>
      <c r="P31001" s="235"/>
      <c r="AI31001" s="38"/>
    </row>
    <row r="31002" ht="15.75" customHeight="1">
      <c r="A31002" s="35"/>
      <c r="C31002" s="442"/>
      <c r="P31002" s="235"/>
      <c r="AI31002" s="38"/>
    </row>
    <row r="31003" ht="15.75" customHeight="1">
      <c r="A31003" s="35"/>
      <c r="C31003" s="442"/>
      <c r="P31003" s="235"/>
      <c r="AI31003" s="38"/>
    </row>
    <row r="31004" ht="15.75" customHeight="1">
      <c r="A31004" s="35"/>
      <c r="C31004" s="442"/>
      <c r="P31004" s="235"/>
      <c r="AI31004" s="38"/>
    </row>
    <row r="31005" ht="15.75" customHeight="1">
      <c r="A31005" s="35"/>
      <c r="C31005" s="442"/>
      <c r="P31005" s="235"/>
      <c r="AI31005" s="38"/>
    </row>
    <row r="31006" ht="15.75" customHeight="1">
      <c r="A31006" s="35"/>
      <c r="C31006" s="442"/>
      <c r="P31006" s="235"/>
      <c r="AI31006" s="38"/>
    </row>
    <row r="31007" ht="15.75" customHeight="1">
      <c r="A31007" s="35"/>
      <c r="C31007" s="442"/>
      <c r="P31007" s="235"/>
      <c r="AI31007" s="38"/>
    </row>
    <row r="31008" ht="15.75" customHeight="1">
      <c r="A31008" s="35"/>
      <c r="C31008" s="442"/>
      <c r="P31008" s="235"/>
      <c r="AI31008" s="38"/>
    </row>
    <row r="31009" ht="15.75" customHeight="1">
      <c r="A31009" s="35"/>
      <c r="C31009" s="442"/>
      <c r="P31009" s="235"/>
      <c r="AI31009" s="38"/>
    </row>
    <row r="31010" ht="15.75" customHeight="1">
      <c r="A31010" s="35"/>
      <c r="C31010" s="442"/>
      <c r="P31010" s="235"/>
      <c r="AI31010" s="38"/>
    </row>
    <row r="31011" ht="15.75" customHeight="1">
      <c r="A31011" s="35"/>
      <c r="C31011" s="442"/>
      <c r="P31011" s="235"/>
      <c r="AI31011" s="38"/>
    </row>
    <row r="31012" ht="15.75" customHeight="1">
      <c r="A31012" s="35"/>
      <c r="C31012" s="442"/>
      <c r="P31012" s="235"/>
      <c r="AI31012" s="38"/>
    </row>
    <row r="31013" ht="15.75" customHeight="1">
      <c r="A31013" s="35"/>
      <c r="C31013" s="442"/>
      <c r="P31013" s="235"/>
      <c r="AI31013" s="38"/>
    </row>
    <row r="31014" ht="15.75" customHeight="1">
      <c r="A31014" s="35"/>
      <c r="C31014" s="442"/>
      <c r="P31014" s="235"/>
      <c r="AI31014" s="38"/>
    </row>
    <row r="31015" ht="15.75" customHeight="1">
      <c r="A31015" s="35"/>
      <c r="C31015" s="442"/>
      <c r="P31015" s="235"/>
      <c r="AI31015" s="38"/>
    </row>
    <row r="31016" ht="15.75" customHeight="1">
      <c r="A31016" s="35"/>
      <c r="C31016" s="442"/>
      <c r="P31016" s="235"/>
      <c r="AI31016" s="38"/>
    </row>
    <row r="31017" ht="15.75" customHeight="1">
      <c r="A31017" s="35"/>
      <c r="C31017" s="442"/>
      <c r="P31017" s="235"/>
      <c r="AI31017" s="38"/>
    </row>
    <row r="31018" ht="15.75" customHeight="1">
      <c r="A31018" s="35"/>
      <c r="C31018" s="442"/>
      <c r="P31018" s="235"/>
      <c r="AI31018" s="38"/>
    </row>
    <row r="31019" ht="15.75" customHeight="1">
      <c r="A31019" s="35"/>
      <c r="C31019" s="442"/>
      <c r="P31019" s="235"/>
      <c r="AI31019" s="38"/>
    </row>
    <row r="31020" ht="15.75" customHeight="1">
      <c r="A31020" s="35"/>
      <c r="C31020" s="442"/>
      <c r="P31020" s="235"/>
      <c r="AI31020" s="38"/>
    </row>
    <row r="31021" ht="15.75" customHeight="1">
      <c r="A31021" s="35"/>
      <c r="C31021" s="442"/>
      <c r="P31021" s="235"/>
      <c r="AI31021" s="38"/>
    </row>
    <row r="31022" ht="15.75" customHeight="1">
      <c r="A31022" s="35"/>
      <c r="C31022" s="442"/>
      <c r="P31022" s="235"/>
      <c r="AI31022" s="38"/>
    </row>
    <row r="31023" ht="15.75" customHeight="1">
      <c r="A31023" s="35"/>
      <c r="C31023" s="442"/>
      <c r="P31023" s="235"/>
      <c r="AI31023" s="38"/>
    </row>
    <row r="31024" ht="15.75" customHeight="1">
      <c r="A31024" s="35"/>
      <c r="C31024" s="442"/>
      <c r="P31024" s="235"/>
      <c r="AI31024" s="38"/>
    </row>
    <row r="31025" ht="15.75" customHeight="1">
      <c r="A31025" s="35"/>
      <c r="C31025" s="442"/>
      <c r="P31025" s="235"/>
      <c r="AI31025" s="38"/>
    </row>
    <row r="31026" ht="15.75" customHeight="1">
      <c r="A31026" s="35"/>
      <c r="C31026" s="442"/>
      <c r="P31026" s="235"/>
      <c r="AI31026" s="38"/>
    </row>
    <row r="31027" ht="15.75" customHeight="1">
      <c r="A31027" s="35"/>
      <c r="C31027" s="442"/>
      <c r="P31027" s="235"/>
      <c r="AI31027" s="38"/>
    </row>
    <row r="31028" ht="15.75" customHeight="1">
      <c r="A31028" s="35"/>
      <c r="C31028" s="442"/>
      <c r="P31028" s="235"/>
      <c r="AI31028" s="38"/>
    </row>
    <row r="31029" ht="15.75" customHeight="1">
      <c r="A31029" s="35"/>
      <c r="C31029" s="442"/>
      <c r="P31029" s="235"/>
      <c r="AI31029" s="38"/>
    </row>
    <row r="31030" ht="15.75" customHeight="1">
      <c r="A31030" s="35"/>
      <c r="C31030" s="442"/>
      <c r="P31030" s="235"/>
      <c r="AI31030" s="38"/>
    </row>
    <row r="31031" ht="15.75" customHeight="1">
      <c r="A31031" s="35"/>
      <c r="C31031" s="442"/>
      <c r="P31031" s="235"/>
      <c r="AI31031" s="38"/>
    </row>
    <row r="31032" ht="15.75" customHeight="1">
      <c r="A31032" s="35"/>
      <c r="C31032" s="442"/>
      <c r="P31032" s="235"/>
      <c r="AI31032" s="38"/>
    </row>
    <row r="31033" ht="15.75" customHeight="1">
      <c r="A31033" s="35"/>
      <c r="C31033" s="442"/>
      <c r="P31033" s="235"/>
      <c r="AI31033" s="38"/>
    </row>
    <row r="31034" ht="15.75" customHeight="1">
      <c r="A31034" s="35"/>
      <c r="C31034" s="442"/>
      <c r="P31034" s="235"/>
      <c r="AI31034" s="38"/>
    </row>
    <row r="31035" ht="15.75" customHeight="1">
      <c r="A31035" s="35"/>
      <c r="C31035" s="442"/>
      <c r="P31035" s="235"/>
      <c r="AI31035" s="38"/>
    </row>
    <row r="31036" ht="15.75" customHeight="1">
      <c r="A31036" s="35"/>
      <c r="C31036" s="442"/>
      <c r="P31036" s="235"/>
      <c r="AI31036" s="38"/>
    </row>
    <row r="31037" ht="15.75" customHeight="1">
      <c r="A31037" s="35"/>
      <c r="C31037" s="442"/>
      <c r="P31037" s="235"/>
      <c r="AI31037" s="38"/>
    </row>
    <row r="31038" ht="15.75" customHeight="1">
      <c r="A31038" s="35"/>
      <c r="C31038" s="442"/>
      <c r="P31038" s="235"/>
      <c r="AI31038" s="38"/>
    </row>
    <row r="31039" ht="15.75" customHeight="1">
      <c r="A31039" s="35"/>
      <c r="C31039" s="442"/>
      <c r="P31039" s="235"/>
      <c r="AI31039" s="38"/>
    </row>
    <row r="31040" ht="15.75" customHeight="1">
      <c r="A31040" s="35"/>
      <c r="C31040" s="442"/>
      <c r="P31040" s="235"/>
      <c r="AI31040" s="38"/>
    </row>
    <row r="31041" ht="15.75" customHeight="1">
      <c r="A31041" s="35"/>
      <c r="C31041" s="442"/>
      <c r="P31041" s="235"/>
      <c r="AI31041" s="38"/>
    </row>
    <row r="31042" ht="15.75" customHeight="1">
      <c r="A31042" s="35"/>
      <c r="C31042" s="442"/>
      <c r="P31042" s="235"/>
      <c r="AI31042" s="38"/>
    </row>
    <row r="31043" ht="15.75" customHeight="1">
      <c r="A31043" s="35"/>
      <c r="C31043" s="442"/>
      <c r="P31043" s="235"/>
      <c r="AI31043" s="38"/>
    </row>
    <row r="31044" ht="15.75" customHeight="1">
      <c r="A31044" s="35"/>
      <c r="C31044" s="442"/>
      <c r="P31044" s="235"/>
      <c r="AI31044" s="38"/>
    </row>
    <row r="31045" ht="15.75" customHeight="1">
      <c r="A31045" s="35"/>
      <c r="C31045" s="442"/>
      <c r="P31045" s="235"/>
      <c r="AI31045" s="38"/>
    </row>
    <row r="31046" ht="15.75" customHeight="1">
      <c r="A31046" s="35"/>
      <c r="C31046" s="442"/>
      <c r="P31046" s="235"/>
      <c r="AI31046" s="38"/>
    </row>
    <row r="31047" ht="15.75" customHeight="1">
      <c r="A31047" s="35"/>
      <c r="C31047" s="442"/>
      <c r="P31047" s="235"/>
      <c r="AI31047" s="38"/>
    </row>
    <row r="31048" ht="15.75" customHeight="1">
      <c r="A31048" s="35"/>
      <c r="C31048" s="442"/>
      <c r="P31048" s="235"/>
      <c r="AI31048" s="38"/>
    </row>
    <row r="31049" ht="15.75" customHeight="1">
      <c r="A31049" s="35"/>
      <c r="C31049" s="442"/>
      <c r="P31049" s="235"/>
      <c r="AI31049" s="38"/>
    </row>
    <row r="31050" ht="15.75" customHeight="1">
      <c r="A31050" s="35"/>
      <c r="C31050" s="442"/>
      <c r="P31050" s="235"/>
      <c r="AI31050" s="38"/>
    </row>
    <row r="31051" ht="15.75" customHeight="1">
      <c r="A31051" s="35"/>
      <c r="C31051" s="442"/>
      <c r="P31051" s="235"/>
      <c r="AI31051" s="38"/>
    </row>
    <row r="31052" ht="15.75" customHeight="1">
      <c r="A31052" s="35"/>
      <c r="C31052" s="442"/>
      <c r="P31052" s="235"/>
      <c r="AI31052" s="38"/>
    </row>
    <row r="31053" ht="15.75" customHeight="1">
      <c r="A31053" s="35"/>
      <c r="C31053" s="442"/>
      <c r="P31053" s="235"/>
      <c r="AI31053" s="38"/>
    </row>
    <row r="31054" ht="15.75" customHeight="1">
      <c r="A31054" s="35"/>
      <c r="C31054" s="442"/>
      <c r="P31054" s="235"/>
      <c r="AI31054" s="38"/>
    </row>
    <row r="31055" ht="15.75" customHeight="1">
      <c r="A31055" s="35"/>
      <c r="C31055" s="442"/>
      <c r="P31055" s="235"/>
      <c r="AI31055" s="38"/>
    </row>
    <row r="31056" ht="15.75" customHeight="1">
      <c r="A31056" s="35"/>
      <c r="C31056" s="442"/>
      <c r="P31056" s="235"/>
      <c r="AI31056" s="38"/>
    </row>
    <row r="31057" ht="15.75" customHeight="1">
      <c r="A31057" s="35"/>
      <c r="C31057" s="442"/>
      <c r="P31057" s="235"/>
      <c r="AI31057" s="38"/>
    </row>
    <row r="31058" ht="15.75" customHeight="1">
      <c r="A31058" s="35"/>
      <c r="C31058" s="442"/>
      <c r="P31058" s="235"/>
      <c r="AI31058" s="38"/>
    </row>
    <row r="31059" ht="15.75" customHeight="1">
      <c r="A31059" s="35"/>
      <c r="C31059" s="442"/>
      <c r="P31059" s="235"/>
      <c r="AI31059" s="38"/>
    </row>
    <row r="31060" ht="15.75" customHeight="1">
      <c r="A31060" s="35"/>
      <c r="C31060" s="442"/>
      <c r="P31060" s="235"/>
      <c r="AI31060" s="38"/>
    </row>
    <row r="31061" ht="15.75" customHeight="1">
      <c r="A31061" s="35"/>
      <c r="C31061" s="442"/>
      <c r="P31061" s="235"/>
      <c r="AI31061" s="38"/>
    </row>
    <row r="31062" ht="15.75" customHeight="1">
      <c r="A31062" s="35"/>
      <c r="C31062" s="442"/>
      <c r="P31062" s="235"/>
      <c r="AI31062" s="38"/>
    </row>
    <row r="31063" ht="15.75" customHeight="1">
      <c r="A31063" s="35"/>
      <c r="C31063" s="442"/>
      <c r="P31063" s="235"/>
      <c r="AI31063" s="38"/>
    </row>
    <row r="31064" ht="15.75" customHeight="1">
      <c r="A31064" s="35"/>
      <c r="C31064" s="442"/>
      <c r="P31064" s="235"/>
      <c r="AI31064" s="38"/>
    </row>
    <row r="31065" ht="15.75" customHeight="1">
      <c r="A31065" s="35"/>
      <c r="C31065" s="442"/>
      <c r="P31065" s="235"/>
      <c r="AI31065" s="38"/>
    </row>
    <row r="31066" ht="15.75" customHeight="1">
      <c r="A31066" s="35"/>
      <c r="C31066" s="442"/>
      <c r="P31066" s="235"/>
      <c r="AI31066" s="38"/>
    </row>
    <row r="31067" ht="15.75" customHeight="1">
      <c r="A31067" s="35"/>
      <c r="C31067" s="442"/>
      <c r="P31067" s="235"/>
      <c r="AI31067" s="38"/>
    </row>
    <row r="31068" ht="15.75" customHeight="1">
      <c r="A31068" s="35"/>
      <c r="C31068" s="442"/>
      <c r="P31068" s="235"/>
      <c r="AI31068" s="38"/>
    </row>
    <row r="31069" ht="15.75" customHeight="1">
      <c r="A31069" s="35"/>
      <c r="C31069" s="442"/>
      <c r="P31069" s="235"/>
      <c r="AI31069" s="38"/>
    </row>
    <row r="31070" ht="15.75" customHeight="1">
      <c r="A31070" s="35"/>
      <c r="C31070" s="442"/>
      <c r="P31070" s="235"/>
      <c r="AI31070" s="38"/>
    </row>
    <row r="31071" ht="15.75" customHeight="1">
      <c r="A31071" s="35"/>
      <c r="C31071" s="442"/>
      <c r="P31071" s="235"/>
      <c r="AI31071" s="38"/>
    </row>
    <row r="31072" ht="15.75" customHeight="1">
      <c r="A31072" s="35"/>
      <c r="C31072" s="442"/>
      <c r="P31072" s="235"/>
      <c r="AI31072" s="38"/>
    </row>
    <row r="31073" ht="15.75" customHeight="1">
      <c r="A31073" s="35"/>
      <c r="C31073" s="442"/>
      <c r="P31073" s="235"/>
      <c r="AI31073" s="38"/>
    </row>
    <row r="31074" ht="15.75" customHeight="1">
      <c r="A31074" s="35"/>
      <c r="C31074" s="442"/>
      <c r="P31074" s="235"/>
      <c r="AI31074" s="38"/>
    </row>
    <row r="31075" ht="15.75" customHeight="1">
      <c r="A31075" s="35"/>
      <c r="C31075" s="442"/>
      <c r="P31075" s="235"/>
      <c r="AI31075" s="38"/>
    </row>
    <row r="31076" ht="15.75" customHeight="1">
      <c r="A31076" s="35"/>
      <c r="C31076" s="442"/>
      <c r="P31076" s="235"/>
      <c r="AI31076" s="38"/>
    </row>
    <row r="31077" ht="15.75" customHeight="1">
      <c r="A31077" s="35"/>
      <c r="C31077" s="442"/>
      <c r="P31077" s="235"/>
      <c r="AI31077" s="38"/>
    </row>
    <row r="31078" ht="15.75" customHeight="1">
      <c r="A31078" s="35"/>
      <c r="C31078" s="442"/>
      <c r="P31078" s="235"/>
      <c r="AI31078" s="38"/>
    </row>
    <row r="31079" ht="15.75" customHeight="1">
      <c r="A31079" s="35"/>
      <c r="C31079" s="442"/>
      <c r="P31079" s="235"/>
      <c r="AI31079" s="38"/>
    </row>
    <row r="31080" ht="15.75" customHeight="1">
      <c r="A31080" s="35"/>
      <c r="C31080" s="442"/>
      <c r="P31080" s="235"/>
      <c r="AI31080" s="38"/>
    </row>
    <row r="31081" ht="15.75" customHeight="1">
      <c r="A31081" s="35"/>
      <c r="C31081" s="442"/>
      <c r="P31081" s="235"/>
      <c r="AI31081" s="38"/>
    </row>
    <row r="31082" ht="15.75" customHeight="1">
      <c r="A31082" s="35"/>
      <c r="C31082" s="442"/>
      <c r="P31082" s="235"/>
      <c r="AI31082" s="38"/>
    </row>
    <row r="31083" ht="15.75" customHeight="1">
      <c r="A31083" s="35"/>
      <c r="C31083" s="442"/>
      <c r="P31083" s="235"/>
      <c r="AI31083" s="38"/>
    </row>
    <row r="31084" ht="15.75" customHeight="1">
      <c r="A31084" s="35"/>
      <c r="C31084" s="442"/>
      <c r="P31084" s="235"/>
      <c r="AI31084" s="38"/>
    </row>
    <row r="31085" ht="15.75" customHeight="1">
      <c r="A31085" s="35"/>
      <c r="C31085" s="442"/>
      <c r="P31085" s="235"/>
      <c r="AI31085" s="38"/>
    </row>
    <row r="31086" ht="15.75" customHeight="1">
      <c r="A31086" s="35"/>
      <c r="C31086" s="442"/>
      <c r="P31086" s="235"/>
      <c r="AI31086" s="38"/>
    </row>
    <row r="31087" ht="15.75" customHeight="1">
      <c r="A31087" s="35"/>
      <c r="C31087" s="442"/>
      <c r="P31087" s="235"/>
      <c r="AI31087" s="38"/>
    </row>
    <row r="31088" ht="15.75" customHeight="1">
      <c r="A31088" s="35"/>
      <c r="C31088" s="442"/>
      <c r="P31088" s="235"/>
      <c r="AI31088" s="38"/>
    </row>
    <row r="31089" ht="15.75" customHeight="1">
      <c r="A31089" s="35"/>
      <c r="C31089" s="442"/>
      <c r="P31089" s="235"/>
      <c r="AI31089" s="38"/>
    </row>
    <row r="31090" ht="15.75" customHeight="1">
      <c r="A31090" s="35"/>
      <c r="C31090" s="442"/>
      <c r="P31090" s="235"/>
      <c r="AI31090" s="38"/>
    </row>
    <row r="31091" ht="15.75" customHeight="1">
      <c r="A31091" s="35"/>
      <c r="C31091" s="442"/>
      <c r="P31091" s="235"/>
      <c r="AI31091" s="38"/>
    </row>
    <row r="31092" ht="15.75" customHeight="1">
      <c r="A31092" s="35"/>
      <c r="C31092" s="442"/>
      <c r="P31092" s="235"/>
      <c r="AI31092" s="38"/>
    </row>
    <row r="31093" ht="15.75" customHeight="1">
      <c r="A31093" s="35"/>
      <c r="C31093" s="442"/>
      <c r="P31093" s="235"/>
      <c r="AI31093" s="38"/>
    </row>
    <row r="31094" ht="15.75" customHeight="1">
      <c r="A31094" s="35"/>
      <c r="C31094" s="442"/>
      <c r="P31094" s="235"/>
      <c r="AI31094" s="38"/>
    </row>
    <row r="31095" ht="15.75" customHeight="1">
      <c r="A31095" s="35"/>
      <c r="C31095" s="442"/>
      <c r="P31095" s="235"/>
      <c r="AI31095" s="38"/>
    </row>
    <row r="31096" ht="15.75" customHeight="1">
      <c r="A31096" s="35"/>
      <c r="C31096" s="442"/>
      <c r="P31096" s="235"/>
      <c r="AI31096" s="38"/>
    </row>
    <row r="31097" ht="15.75" customHeight="1">
      <c r="A31097" s="35"/>
      <c r="C31097" s="442"/>
      <c r="P31097" s="235"/>
      <c r="AI31097" s="38"/>
    </row>
    <row r="31098" ht="15.75" customHeight="1">
      <c r="A31098" s="35"/>
      <c r="C31098" s="442"/>
      <c r="P31098" s="235"/>
      <c r="AI31098" s="38"/>
    </row>
    <row r="31099" ht="15.75" customHeight="1">
      <c r="A31099" s="35"/>
      <c r="C31099" s="442"/>
      <c r="P31099" s="235"/>
      <c r="AI31099" s="38"/>
    </row>
    <row r="31100" ht="15.75" customHeight="1">
      <c r="A31100" s="35"/>
      <c r="C31100" s="442"/>
      <c r="P31100" s="235"/>
      <c r="AI31100" s="38"/>
    </row>
    <row r="31101" ht="15.75" customHeight="1">
      <c r="A31101" s="35"/>
      <c r="C31101" s="442"/>
      <c r="P31101" s="235"/>
      <c r="AI31101" s="38"/>
    </row>
    <row r="31102" ht="15.75" customHeight="1">
      <c r="A31102" s="35"/>
      <c r="C31102" s="442"/>
      <c r="P31102" s="235"/>
      <c r="AI31102" s="38"/>
    </row>
    <row r="31103" ht="15.75" customHeight="1">
      <c r="A31103" s="35"/>
      <c r="C31103" s="442"/>
      <c r="P31103" s="235"/>
      <c r="AI31103" s="38"/>
    </row>
    <row r="31104" ht="15.75" customHeight="1">
      <c r="A31104" s="35"/>
      <c r="C31104" s="442"/>
      <c r="P31104" s="235"/>
      <c r="AI31104" s="38"/>
    </row>
    <row r="31105" ht="15.75" customHeight="1">
      <c r="A31105" s="35"/>
      <c r="C31105" s="442"/>
      <c r="P31105" s="235"/>
      <c r="AI31105" s="38"/>
    </row>
    <row r="31106" ht="15.75" customHeight="1">
      <c r="A31106" s="35"/>
      <c r="C31106" s="442"/>
      <c r="P31106" s="235"/>
      <c r="AI31106" s="38"/>
    </row>
    <row r="31107" ht="15.75" customHeight="1">
      <c r="A31107" s="35"/>
      <c r="C31107" s="442"/>
      <c r="P31107" s="235"/>
      <c r="AI31107" s="38"/>
    </row>
    <row r="31108" ht="15.75" customHeight="1">
      <c r="A31108" s="35"/>
      <c r="C31108" s="442"/>
      <c r="P31108" s="235"/>
      <c r="AI31108" s="38"/>
    </row>
    <row r="31109" ht="15.75" customHeight="1">
      <c r="A31109" s="35"/>
      <c r="C31109" s="442"/>
      <c r="P31109" s="235"/>
      <c r="AI31109" s="38"/>
    </row>
    <row r="31110" ht="15.75" customHeight="1">
      <c r="A31110" s="35"/>
      <c r="C31110" s="442"/>
      <c r="P31110" s="235"/>
      <c r="AI31110" s="38"/>
    </row>
    <row r="31111" ht="15.75" customHeight="1">
      <c r="A31111" s="35"/>
      <c r="C31111" s="442"/>
      <c r="P31111" s="235"/>
      <c r="AI31111" s="38"/>
    </row>
    <row r="31112" ht="15.75" customHeight="1">
      <c r="A31112" s="35"/>
      <c r="C31112" s="442"/>
      <c r="P31112" s="235"/>
      <c r="AI31112" s="38"/>
    </row>
    <row r="31113" ht="15.75" customHeight="1">
      <c r="A31113" s="35"/>
      <c r="C31113" s="442"/>
      <c r="P31113" s="235"/>
      <c r="AI31113" s="38"/>
    </row>
    <row r="31114" ht="15.75" customHeight="1">
      <c r="A31114" s="35"/>
      <c r="C31114" s="442"/>
      <c r="P31114" s="235"/>
      <c r="AI31114" s="38"/>
    </row>
    <row r="31115" ht="15.75" customHeight="1">
      <c r="A31115" s="35"/>
      <c r="C31115" s="442"/>
      <c r="P31115" s="235"/>
      <c r="AI31115" s="38"/>
    </row>
    <row r="31116" ht="15.75" customHeight="1">
      <c r="A31116" s="35"/>
      <c r="C31116" s="442"/>
      <c r="P31116" s="235"/>
      <c r="AI31116" s="38"/>
    </row>
    <row r="31117" ht="15.75" customHeight="1">
      <c r="A31117" s="35"/>
      <c r="C31117" s="442"/>
      <c r="P31117" s="235"/>
      <c r="AI31117" s="38"/>
    </row>
    <row r="31118" ht="15.75" customHeight="1">
      <c r="A31118" s="35"/>
      <c r="C31118" s="442"/>
      <c r="P31118" s="235"/>
      <c r="AI31118" s="38"/>
    </row>
    <row r="31119" ht="15.75" customHeight="1">
      <c r="A31119" s="35"/>
      <c r="C31119" s="442"/>
      <c r="P31119" s="235"/>
      <c r="AI31119" s="38"/>
    </row>
    <row r="31120" ht="15.75" customHeight="1">
      <c r="A31120" s="35"/>
      <c r="C31120" s="442"/>
      <c r="P31120" s="235"/>
      <c r="AI31120" s="38"/>
    </row>
    <row r="31121" ht="15.75" customHeight="1">
      <c r="A31121" s="35"/>
      <c r="C31121" s="442"/>
      <c r="P31121" s="235"/>
      <c r="AI31121" s="38"/>
    </row>
    <row r="31122" ht="15.75" customHeight="1">
      <c r="A31122" s="35"/>
      <c r="C31122" s="442"/>
      <c r="P31122" s="235"/>
      <c r="AI31122" s="38"/>
    </row>
    <row r="31123" ht="15.75" customHeight="1">
      <c r="A31123" s="35"/>
      <c r="C31123" s="442"/>
      <c r="P31123" s="235"/>
      <c r="AI31123" s="38"/>
    </row>
    <row r="31124" ht="15.75" customHeight="1">
      <c r="A31124" s="35"/>
      <c r="C31124" s="442"/>
      <c r="P31124" s="235"/>
      <c r="AI31124" s="38"/>
    </row>
    <row r="31125" ht="15.75" customHeight="1">
      <c r="A31125" s="35"/>
      <c r="C31125" s="442"/>
      <c r="P31125" s="235"/>
      <c r="AI31125" s="38"/>
    </row>
    <row r="31126" ht="15.75" customHeight="1">
      <c r="A31126" s="35"/>
      <c r="C31126" s="442"/>
      <c r="P31126" s="235"/>
      <c r="AI31126" s="38"/>
    </row>
    <row r="31127" ht="15.75" customHeight="1">
      <c r="A31127" s="35"/>
      <c r="C31127" s="442"/>
      <c r="P31127" s="235"/>
      <c r="AI31127" s="38"/>
    </row>
    <row r="31128" ht="15.75" customHeight="1">
      <c r="A31128" s="35"/>
      <c r="C31128" s="442"/>
      <c r="P31128" s="235"/>
      <c r="AI31128" s="38"/>
    </row>
    <row r="31129" ht="15.75" customHeight="1">
      <c r="A31129" s="35"/>
      <c r="C31129" s="442"/>
      <c r="P31129" s="235"/>
      <c r="AI31129" s="38"/>
    </row>
    <row r="31130" ht="15.75" customHeight="1">
      <c r="A31130" s="35"/>
      <c r="C31130" s="442"/>
      <c r="P31130" s="235"/>
      <c r="AI31130" s="38"/>
    </row>
    <row r="31131" ht="15.75" customHeight="1">
      <c r="A31131" s="35"/>
      <c r="C31131" s="442"/>
      <c r="P31131" s="235"/>
      <c r="AI31131" s="38"/>
    </row>
    <row r="31132" ht="15.75" customHeight="1">
      <c r="A31132" s="35"/>
      <c r="C31132" s="442"/>
      <c r="P31132" s="235"/>
      <c r="AI31132" s="38"/>
    </row>
    <row r="31133" ht="15.75" customHeight="1">
      <c r="A31133" s="35"/>
      <c r="C31133" s="442"/>
      <c r="P31133" s="235"/>
      <c r="AI31133" s="38"/>
    </row>
    <row r="31134" ht="15.75" customHeight="1">
      <c r="A31134" s="35"/>
      <c r="C31134" s="442"/>
      <c r="P31134" s="235"/>
      <c r="AI31134" s="38"/>
    </row>
    <row r="31135" ht="15.75" customHeight="1">
      <c r="A31135" s="35"/>
      <c r="C31135" s="442"/>
      <c r="P31135" s="235"/>
      <c r="AI31135" s="38"/>
    </row>
    <row r="31136" ht="15.75" customHeight="1">
      <c r="A31136" s="35"/>
      <c r="C31136" s="442"/>
      <c r="P31136" s="235"/>
      <c r="AI31136" s="38"/>
    </row>
    <row r="31137" ht="15.75" customHeight="1">
      <c r="A31137" s="35"/>
      <c r="C31137" s="442"/>
      <c r="P31137" s="235"/>
      <c r="AI31137" s="38"/>
    </row>
    <row r="31138" ht="15.75" customHeight="1">
      <c r="A31138" s="35"/>
      <c r="C31138" s="442"/>
      <c r="P31138" s="235"/>
      <c r="AI31138" s="38"/>
    </row>
    <row r="31139" ht="15.75" customHeight="1">
      <c r="A31139" s="35"/>
      <c r="C31139" s="442"/>
      <c r="P31139" s="235"/>
      <c r="AI31139" s="38"/>
    </row>
    <row r="31140" ht="15.75" customHeight="1">
      <c r="A31140" s="35"/>
      <c r="C31140" s="442"/>
      <c r="P31140" s="235"/>
      <c r="AI31140" s="38"/>
    </row>
    <row r="31141" ht="15.75" customHeight="1">
      <c r="A31141" s="35"/>
      <c r="C31141" s="442"/>
      <c r="P31141" s="235"/>
      <c r="AI31141" s="38"/>
    </row>
    <row r="31142" ht="15.75" customHeight="1">
      <c r="A31142" s="35"/>
      <c r="C31142" s="442"/>
      <c r="P31142" s="235"/>
      <c r="AI31142" s="38"/>
    </row>
    <row r="31143" ht="15.75" customHeight="1">
      <c r="A31143" s="35"/>
      <c r="C31143" s="442"/>
      <c r="P31143" s="235"/>
      <c r="AI31143" s="38"/>
    </row>
    <row r="31144" ht="15.75" customHeight="1">
      <c r="A31144" s="35"/>
      <c r="C31144" s="442"/>
      <c r="P31144" s="235"/>
      <c r="AI31144" s="38"/>
    </row>
    <row r="31145" ht="15.75" customHeight="1">
      <c r="A31145" s="35"/>
      <c r="C31145" s="442"/>
      <c r="P31145" s="235"/>
      <c r="AI31145" s="38"/>
    </row>
    <row r="31146" ht="15.75" customHeight="1">
      <c r="A31146" s="35"/>
      <c r="C31146" s="442"/>
      <c r="P31146" s="235"/>
      <c r="AI31146" s="38"/>
    </row>
    <row r="31147" ht="15.75" customHeight="1">
      <c r="A31147" s="35"/>
      <c r="C31147" s="442"/>
      <c r="P31147" s="235"/>
      <c r="AI31147" s="38"/>
    </row>
    <row r="31148" ht="15.75" customHeight="1">
      <c r="A31148" s="35"/>
      <c r="C31148" s="442"/>
      <c r="P31148" s="235"/>
      <c r="AI31148" s="38"/>
    </row>
    <row r="31149" ht="15.75" customHeight="1">
      <c r="A31149" s="35"/>
      <c r="C31149" s="442"/>
      <c r="P31149" s="235"/>
      <c r="AI31149" s="38"/>
    </row>
    <row r="31150" ht="15.75" customHeight="1">
      <c r="A31150" s="35"/>
      <c r="C31150" s="442"/>
      <c r="P31150" s="235"/>
      <c r="AI31150" s="38"/>
    </row>
    <row r="31151" ht="15.75" customHeight="1">
      <c r="A31151" s="35"/>
      <c r="C31151" s="442"/>
      <c r="P31151" s="235"/>
      <c r="AI31151" s="38"/>
    </row>
    <row r="31152" ht="15.75" customHeight="1">
      <c r="A31152" s="35"/>
      <c r="C31152" s="442"/>
      <c r="P31152" s="235"/>
      <c r="AI31152" s="38"/>
    </row>
    <row r="31153" ht="15.75" customHeight="1">
      <c r="A31153" s="35"/>
      <c r="C31153" s="442"/>
      <c r="P31153" s="235"/>
      <c r="AI31153" s="38"/>
    </row>
    <row r="31154" ht="15.75" customHeight="1">
      <c r="A31154" s="35"/>
      <c r="C31154" s="442"/>
      <c r="P31154" s="235"/>
      <c r="AI31154" s="38"/>
    </row>
    <row r="31155" ht="15.75" customHeight="1">
      <c r="A31155" s="35"/>
      <c r="C31155" s="442"/>
      <c r="P31155" s="235"/>
      <c r="AI31155" s="38"/>
    </row>
    <row r="31156" ht="15.75" customHeight="1">
      <c r="A31156" s="35"/>
      <c r="C31156" s="442"/>
      <c r="P31156" s="235"/>
      <c r="AI31156" s="38"/>
    </row>
    <row r="31157" ht="15.75" customHeight="1">
      <c r="A31157" s="35"/>
      <c r="C31157" s="442"/>
      <c r="P31157" s="235"/>
      <c r="AI31157" s="38"/>
    </row>
    <row r="31158" ht="15.75" customHeight="1">
      <c r="A31158" s="35"/>
      <c r="C31158" s="442"/>
      <c r="P31158" s="235"/>
      <c r="AI31158" s="38"/>
    </row>
    <row r="31159" ht="15.75" customHeight="1">
      <c r="A31159" s="35"/>
      <c r="C31159" s="442"/>
      <c r="P31159" s="235"/>
      <c r="AI31159" s="38"/>
    </row>
    <row r="31160" ht="15.75" customHeight="1">
      <c r="A31160" s="35"/>
      <c r="C31160" s="442"/>
      <c r="P31160" s="235"/>
      <c r="AI31160" s="38"/>
    </row>
    <row r="31161" ht="15.75" customHeight="1">
      <c r="A31161" s="35"/>
      <c r="C31161" s="442"/>
      <c r="P31161" s="235"/>
      <c r="AI31161" s="38"/>
    </row>
    <row r="31162" ht="15.75" customHeight="1">
      <c r="A31162" s="35"/>
      <c r="C31162" s="442"/>
      <c r="P31162" s="235"/>
      <c r="AI31162" s="38"/>
    </row>
    <row r="31163" ht="15.75" customHeight="1">
      <c r="A31163" s="35"/>
      <c r="C31163" s="442"/>
      <c r="P31163" s="235"/>
      <c r="AI31163" s="38"/>
    </row>
    <row r="31164" ht="15.75" customHeight="1">
      <c r="A31164" s="35"/>
      <c r="C31164" s="442"/>
      <c r="P31164" s="235"/>
      <c r="AI31164" s="38"/>
    </row>
    <row r="31165" ht="15.75" customHeight="1">
      <c r="A31165" s="35"/>
      <c r="C31165" s="442"/>
      <c r="P31165" s="235"/>
      <c r="AI31165" s="38"/>
    </row>
    <row r="31166" ht="15.75" customHeight="1">
      <c r="A31166" s="35"/>
      <c r="C31166" s="442"/>
      <c r="P31166" s="235"/>
      <c r="AI31166" s="38"/>
    </row>
    <row r="31167" ht="15.75" customHeight="1">
      <c r="A31167" s="35"/>
      <c r="C31167" s="442"/>
      <c r="P31167" s="235"/>
      <c r="AI31167" s="38"/>
    </row>
    <row r="31168" ht="15.75" customHeight="1">
      <c r="A31168" s="35"/>
      <c r="C31168" s="442"/>
      <c r="P31168" s="235"/>
      <c r="AI31168" s="38"/>
    </row>
    <row r="31169" ht="15.75" customHeight="1">
      <c r="A31169" s="35"/>
      <c r="C31169" s="442"/>
      <c r="P31169" s="235"/>
      <c r="AI31169" s="38"/>
    </row>
    <row r="31170" ht="15.75" customHeight="1">
      <c r="A31170" s="35"/>
      <c r="C31170" s="442"/>
      <c r="P31170" s="235"/>
      <c r="AI31170" s="38"/>
    </row>
    <row r="31171" ht="15.75" customHeight="1">
      <c r="A31171" s="35"/>
      <c r="C31171" s="442"/>
      <c r="P31171" s="235"/>
      <c r="AI31171" s="38"/>
    </row>
    <row r="31172" ht="15.75" customHeight="1">
      <c r="A31172" s="35"/>
      <c r="C31172" s="442"/>
      <c r="P31172" s="235"/>
      <c r="AI31172" s="38"/>
    </row>
    <row r="31173" ht="15.75" customHeight="1">
      <c r="A31173" s="35"/>
      <c r="C31173" s="442"/>
      <c r="P31173" s="235"/>
      <c r="AI31173" s="38"/>
    </row>
    <row r="31174" ht="15.75" customHeight="1">
      <c r="A31174" s="35"/>
      <c r="C31174" s="442"/>
      <c r="P31174" s="235"/>
      <c r="AI31174" s="38"/>
    </row>
    <row r="31175" ht="15.75" customHeight="1">
      <c r="A31175" s="35"/>
      <c r="C31175" s="442"/>
      <c r="P31175" s="235"/>
      <c r="AI31175" s="38"/>
    </row>
    <row r="31176" ht="15.75" customHeight="1">
      <c r="A31176" s="35"/>
      <c r="C31176" s="442"/>
      <c r="P31176" s="235"/>
      <c r="AI31176" s="38"/>
    </row>
    <row r="31177" ht="15.75" customHeight="1">
      <c r="A31177" s="35"/>
      <c r="C31177" s="442"/>
      <c r="P31177" s="235"/>
      <c r="AI31177" s="38"/>
    </row>
    <row r="31178" ht="15.75" customHeight="1">
      <c r="A31178" s="35"/>
      <c r="C31178" s="442"/>
      <c r="P31178" s="235"/>
      <c r="AI31178" s="38"/>
    </row>
    <row r="31179" ht="15.75" customHeight="1">
      <c r="A31179" s="35"/>
      <c r="C31179" s="442"/>
      <c r="P31179" s="235"/>
      <c r="AI31179" s="38"/>
    </row>
    <row r="31180" ht="15.75" customHeight="1">
      <c r="A31180" s="35"/>
      <c r="C31180" s="442"/>
      <c r="P31180" s="235"/>
      <c r="AI31180" s="38"/>
    </row>
    <row r="31181" ht="15.75" customHeight="1">
      <c r="A31181" s="35"/>
      <c r="C31181" s="442"/>
      <c r="P31181" s="235"/>
      <c r="AI31181" s="38"/>
    </row>
    <row r="31182" ht="15.75" customHeight="1">
      <c r="A31182" s="35"/>
      <c r="C31182" s="442"/>
      <c r="P31182" s="235"/>
      <c r="AI31182" s="38"/>
    </row>
    <row r="31183" ht="15.75" customHeight="1">
      <c r="A31183" s="35"/>
      <c r="C31183" s="442"/>
      <c r="P31183" s="235"/>
      <c r="AI31183" s="38"/>
    </row>
    <row r="31184" ht="15.75" customHeight="1">
      <c r="A31184" s="35"/>
      <c r="C31184" s="442"/>
      <c r="P31184" s="235"/>
      <c r="AI31184" s="38"/>
    </row>
    <row r="31185" ht="15.75" customHeight="1">
      <c r="A31185" s="35"/>
      <c r="C31185" s="442"/>
      <c r="P31185" s="235"/>
      <c r="AI31185" s="38"/>
    </row>
    <row r="31186" ht="15.75" customHeight="1">
      <c r="A31186" s="35"/>
      <c r="C31186" s="442"/>
      <c r="P31186" s="235"/>
      <c r="AI31186" s="38"/>
    </row>
    <row r="31187" ht="15.75" customHeight="1">
      <c r="A31187" s="35"/>
      <c r="C31187" s="442"/>
      <c r="P31187" s="235"/>
      <c r="AI31187" s="38"/>
    </row>
    <row r="31188" ht="15.75" customHeight="1">
      <c r="A31188" s="35"/>
      <c r="C31188" s="442"/>
      <c r="P31188" s="235"/>
      <c r="AI31188" s="38"/>
    </row>
    <row r="31189" ht="15.75" customHeight="1">
      <c r="A31189" s="35"/>
      <c r="C31189" s="442"/>
      <c r="P31189" s="235"/>
      <c r="AI31189" s="38"/>
    </row>
    <row r="31190" ht="15.75" customHeight="1">
      <c r="A31190" s="35"/>
      <c r="C31190" s="442"/>
      <c r="P31190" s="235"/>
      <c r="AI31190" s="38"/>
    </row>
    <row r="31191" ht="15.75" customHeight="1">
      <c r="A31191" s="35"/>
      <c r="C31191" s="442"/>
      <c r="P31191" s="235"/>
      <c r="AI31191" s="38"/>
    </row>
    <row r="31192" ht="15.75" customHeight="1">
      <c r="A31192" s="35"/>
      <c r="C31192" s="442"/>
      <c r="P31192" s="235"/>
      <c r="AI31192" s="38"/>
    </row>
    <row r="31193" ht="15.75" customHeight="1">
      <c r="A31193" s="35"/>
      <c r="C31193" s="442"/>
      <c r="P31193" s="235"/>
      <c r="AI31193" s="38"/>
    </row>
    <row r="31194" ht="15.75" customHeight="1">
      <c r="A31194" s="35"/>
      <c r="C31194" s="442"/>
      <c r="P31194" s="235"/>
      <c r="AI31194" s="38"/>
    </row>
    <row r="31195" ht="15.75" customHeight="1">
      <c r="A31195" s="35"/>
      <c r="C31195" s="442"/>
      <c r="P31195" s="235"/>
      <c r="AI31195" s="38"/>
    </row>
    <row r="31196" ht="15.75" customHeight="1">
      <c r="A31196" s="35"/>
      <c r="C31196" s="442"/>
      <c r="P31196" s="235"/>
      <c r="AI31196" s="38"/>
    </row>
    <row r="31197" ht="15.75" customHeight="1">
      <c r="A31197" s="35"/>
      <c r="C31197" s="442"/>
      <c r="P31197" s="235"/>
      <c r="AI31197" s="38"/>
    </row>
    <row r="31198" ht="15.75" customHeight="1">
      <c r="A31198" s="35"/>
      <c r="C31198" s="442"/>
      <c r="P31198" s="235"/>
      <c r="AI31198" s="38"/>
    </row>
    <row r="31199" ht="15.75" customHeight="1">
      <c r="A31199" s="35"/>
      <c r="C31199" s="442"/>
      <c r="P31199" s="235"/>
      <c r="AI31199" s="38"/>
    </row>
    <row r="31200" ht="15.75" customHeight="1">
      <c r="A31200" s="35"/>
      <c r="C31200" s="442"/>
      <c r="P31200" s="235"/>
      <c r="AI31200" s="38"/>
    </row>
    <row r="31201" ht="15.75" customHeight="1">
      <c r="A31201" s="35"/>
      <c r="C31201" s="442"/>
      <c r="P31201" s="235"/>
      <c r="AI31201" s="38"/>
    </row>
    <row r="31202" ht="15.75" customHeight="1">
      <c r="A31202" s="35"/>
      <c r="C31202" s="442"/>
      <c r="P31202" s="235"/>
      <c r="AI31202" s="38"/>
    </row>
    <row r="31203" ht="15.75" customHeight="1">
      <c r="A31203" s="35"/>
      <c r="C31203" s="442"/>
      <c r="P31203" s="235"/>
      <c r="AI31203" s="38"/>
    </row>
    <row r="31204" ht="15.75" customHeight="1">
      <c r="A31204" s="35"/>
      <c r="C31204" s="442"/>
      <c r="P31204" s="235"/>
      <c r="AI31204" s="38"/>
    </row>
    <row r="31205" ht="15.75" customHeight="1">
      <c r="A31205" s="35"/>
      <c r="C31205" s="442"/>
      <c r="P31205" s="235"/>
      <c r="AI31205" s="38"/>
    </row>
    <row r="31206" ht="15.75" customHeight="1">
      <c r="A31206" s="35"/>
      <c r="C31206" s="442"/>
      <c r="P31206" s="235"/>
      <c r="AI31206" s="38"/>
    </row>
    <row r="31207" ht="15.75" customHeight="1">
      <c r="A31207" s="35"/>
      <c r="C31207" s="442"/>
      <c r="P31207" s="235"/>
      <c r="AI31207" s="38"/>
    </row>
    <row r="31208" ht="15.75" customHeight="1">
      <c r="A31208" s="35"/>
      <c r="C31208" s="442"/>
      <c r="P31208" s="235"/>
      <c r="AI31208" s="38"/>
    </row>
    <row r="31209" ht="15.75" customHeight="1">
      <c r="A31209" s="35"/>
      <c r="C31209" s="442"/>
      <c r="P31209" s="235"/>
      <c r="AI31209" s="38"/>
    </row>
    <row r="31210" ht="15.75" customHeight="1">
      <c r="A31210" s="35"/>
      <c r="C31210" s="442"/>
      <c r="P31210" s="235"/>
      <c r="AI31210" s="38"/>
    </row>
    <row r="31211" ht="15.75" customHeight="1">
      <c r="A31211" s="35"/>
      <c r="C31211" s="442"/>
      <c r="P31211" s="235"/>
      <c r="AI31211" s="38"/>
    </row>
    <row r="31212" ht="15.75" customHeight="1">
      <c r="A31212" s="35"/>
      <c r="C31212" s="442"/>
      <c r="P31212" s="235"/>
      <c r="AI31212" s="38"/>
    </row>
    <row r="31213" ht="15.75" customHeight="1">
      <c r="A31213" s="35"/>
      <c r="C31213" s="442"/>
      <c r="P31213" s="235"/>
      <c r="AI31213" s="38"/>
    </row>
    <row r="31214" ht="15.75" customHeight="1">
      <c r="A31214" s="35"/>
      <c r="C31214" s="442"/>
      <c r="P31214" s="235"/>
      <c r="AI31214" s="38"/>
    </row>
    <row r="31215" ht="15.75" customHeight="1">
      <c r="A31215" s="35"/>
      <c r="C31215" s="442"/>
      <c r="P31215" s="235"/>
      <c r="AI31215" s="38"/>
    </row>
    <row r="31216" ht="15.75" customHeight="1">
      <c r="A31216" s="35"/>
      <c r="C31216" s="442"/>
      <c r="P31216" s="235"/>
      <c r="AI31216" s="38"/>
    </row>
    <row r="31217" ht="15.75" customHeight="1">
      <c r="A31217" s="35"/>
      <c r="C31217" s="442"/>
      <c r="P31217" s="235"/>
      <c r="AI31217" s="38"/>
    </row>
    <row r="31218" ht="15.75" customHeight="1">
      <c r="A31218" s="35"/>
      <c r="C31218" s="442"/>
      <c r="P31218" s="235"/>
      <c r="AI31218" s="38"/>
    </row>
    <row r="31219" ht="15.75" customHeight="1">
      <c r="A31219" s="35"/>
      <c r="C31219" s="442"/>
      <c r="P31219" s="235"/>
      <c r="AI31219" s="38"/>
    </row>
    <row r="31220" ht="15.75" customHeight="1">
      <c r="A31220" s="35"/>
      <c r="C31220" s="442"/>
      <c r="P31220" s="235"/>
      <c r="AI31220" s="38"/>
    </row>
    <row r="31221" ht="15.75" customHeight="1">
      <c r="A31221" s="35"/>
      <c r="C31221" s="442"/>
      <c r="P31221" s="235"/>
      <c r="AI31221" s="38"/>
    </row>
    <row r="31222" ht="15.75" customHeight="1">
      <c r="A31222" s="35"/>
      <c r="C31222" s="442"/>
      <c r="P31222" s="235"/>
      <c r="AI31222" s="38"/>
    </row>
    <row r="31223" ht="15.75" customHeight="1">
      <c r="A31223" s="35"/>
      <c r="C31223" s="442"/>
      <c r="P31223" s="235"/>
      <c r="AI31223" s="38"/>
    </row>
    <row r="31224" ht="15.75" customHeight="1">
      <c r="A31224" s="35"/>
      <c r="C31224" s="442"/>
      <c r="P31224" s="235"/>
      <c r="AI31224" s="38"/>
    </row>
    <row r="31225" ht="15.75" customHeight="1">
      <c r="A31225" s="35"/>
      <c r="C31225" s="442"/>
      <c r="P31225" s="235"/>
      <c r="AI31225" s="38"/>
    </row>
    <row r="31226" ht="15.75" customHeight="1">
      <c r="A31226" s="35"/>
      <c r="C31226" s="442"/>
      <c r="P31226" s="235"/>
      <c r="AI31226" s="38"/>
    </row>
    <row r="31227" ht="15.75" customHeight="1">
      <c r="A31227" s="35"/>
      <c r="C31227" s="442"/>
      <c r="P31227" s="235"/>
      <c r="AI31227" s="38"/>
    </row>
    <row r="31228" ht="15.75" customHeight="1">
      <c r="A31228" s="35"/>
      <c r="C31228" s="442"/>
      <c r="P31228" s="235"/>
      <c r="AI31228" s="38"/>
    </row>
    <row r="31229" ht="15.75" customHeight="1">
      <c r="A31229" s="35"/>
      <c r="C31229" s="442"/>
      <c r="P31229" s="235"/>
      <c r="AI31229" s="38"/>
    </row>
    <row r="31230" ht="15.75" customHeight="1">
      <c r="A31230" s="35"/>
      <c r="C31230" s="442"/>
      <c r="P31230" s="235"/>
      <c r="AI31230" s="38"/>
    </row>
    <row r="31231" ht="15.75" customHeight="1">
      <c r="A31231" s="35"/>
      <c r="C31231" s="442"/>
      <c r="P31231" s="235"/>
      <c r="AI31231" s="38"/>
    </row>
    <row r="31232" ht="15.75" customHeight="1">
      <c r="A31232" s="35"/>
      <c r="C31232" s="442"/>
      <c r="P31232" s="235"/>
      <c r="AI31232" s="38"/>
    </row>
    <row r="31233" ht="15.75" customHeight="1">
      <c r="A31233" s="35"/>
      <c r="C31233" s="442"/>
      <c r="P31233" s="235"/>
      <c r="AI31233" s="38"/>
    </row>
    <row r="31234" ht="15.75" customHeight="1">
      <c r="A31234" s="35"/>
      <c r="C31234" s="442"/>
      <c r="P31234" s="235"/>
      <c r="AI31234" s="38"/>
    </row>
    <row r="31235" ht="15.75" customHeight="1">
      <c r="A31235" s="35"/>
      <c r="C31235" s="442"/>
      <c r="P31235" s="235"/>
      <c r="AI31235" s="38"/>
    </row>
    <row r="31236" ht="15.75" customHeight="1">
      <c r="A31236" s="35"/>
      <c r="C31236" s="442"/>
      <c r="P31236" s="235"/>
      <c r="AI31236" s="38"/>
    </row>
    <row r="31237" ht="15.75" customHeight="1">
      <c r="A31237" s="35"/>
      <c r="C31237" s="442"/>
      <c r="P31237" s="235"/>
      <c r="AI31237" s="38"/>
    </row>
    <row r="31238" ht="15.75" customHeight="1">
      <c r="A31238" s="35"/>
      <c r="C31238" s="442"/>
      <c r="P31238" s="235"/>
      <c r="AI31238" s="38"/>
    </row>
    <row r="31239" ht="15.75" customHeight="1">
      <c r="A31239" s="35"/>
      <c r="C31239" s="442"/>
      <c r="P31239" s="235"/>
      <c r="AI31239" s="38"/>
    </row>
    <row r="31240" ht="15.75" customHeight="1">
      <c r="A31240" s="35"/>
      <c r="C31240" s="442"/>
      <c r="P31240" s="235"/>
      <c r="AI31240" s="38"/>
    </row>
    <row r="31241" ht="15.75" customHeight="1">
      <c r="A31241" s="35"/>
      <c r="C31241" s="442"/>
      <c r="P31241" s="235"/>
      <c r="AI31241" s="38"/>
    </row>
    <row r="31242" ht="15.75" customHeight="1">
      <c r="A31242" s="35"/>
      <c r="C31242" s="442"/>
      <c r="P31242" s="235"/>
      <c r="AI31242" s="38"/>
    </row>
    <row r="31243" ht="15.75" customHeight="1">
      <c r="A31243" s="35"/>
      <c r="C31243" s="442"/>
      <c r="P31243" s="235"/>
      <c r="AI31243" s="38"/>
    </row>
    <row r="31244" ht="15.75" customHeight="1">
      <c r="A31244" s="35"/>
      <c r="C31244" s="442"/>
      <c r="P31244" s="235"/>
      <c r="AI31244" s="38"/>
    </row>
    <row r="31245" ht="15.75" customHeight="1">
      <c r="A31245" s="35"/>
      <c r="C31245" s="442"/>
      <c r="P31245" s="235"/>
      <c r="AI31245" s="38"/>
    </row>
    <row r="31246" ht="15.75" customHeight="1">
      <c r="A31246" s="35"/>
      <c r="C31246" s="442"/>
      <c r="P31246" s="235"/>
      <c r="AI31246" s="38"/>
    </row>
    <row r="31247" ht="15.75" customHeight="1">
      <c r="A31247" s="35"/>
      <c r="C31247" s="442"/>
      <c r="P31247" s="235"/>
      <c r="AI31247" s="38"/>
    </row>
    <row r="31248" ht="15.75" customHeight="1">
      <c r="A31248" s="35"/>
      <c r="C31248" s="442"/>
      <c r="P31248" s="235"/>
      <c r="AI31248" s="38"/>
    </row>
    <row r="31249" ht="15.75" customHeight="1">
      <c r="A31249" s="35"/>
      <c r="C31249" s="442"/>
      <c r="P31249" s="235"/>
      <c r="AI31249" s="38"/>
    </row>
    <row r="31250" ht="15.75" customHeight="1">
      <c r="A31250" s="35"/>
      <c r="C31250" s="442"/>
      <c r="P31250" s="235"/>
      <c r="AI31250" s="38"/>
    </row>
    <row r="31251" ht="15.75" customHeight="1">
      <c r="A31251" s="35"/>
      <c r="C31251" s="442"/>
      <c r="P31251" s="235"/>
      <c r="AI31251" s="38"/>
    </row>
    <row r="31252" ht="15.75" customHeight="1">
      <c r="A31252" s="35"/>
      <c r="C31252" s="442"/>
      <c r="P31252" s="235"/>
      <c r="AI31252" s="38"/>
    </row>
    <row r="31253" ht="15.75" customHeight="1">
      <c r="A31253" s="35"/>
      <c r="C31253" s="442"/>
      <c r="P31253" s="235"/>
      <c r="AI31253" s="38"/>
    </row>
    <row r="31254" ht="15.75" customHeight="1">
      <c r="A31254" s="35"/>
      <c r="C31254" s="442"/>
      <c r="P31254" s="235"/>
      <c r="AI31254" s="38"/>
    </row>
    <row r="31255" ht="15.75" customHeight="1">
      <c r="A31255" s="35"/>
      <c r="C31255" s="442"/>
      <c r="P31255" s="235"/>
      <c r="AI31255" s="38"/>
    </row>
    <row r="31256" ht="15.75" customHeight="1">
      <c r="A31256" s="35"/>
      <c r="C31256" s="442"/>
      <c r="P31256" s="235"/>
      <c r="AI31256" s="38"/>
    </row>
    <row r="31257" ht="15.75" customHeight="1">
      <c r="A31257" s="35"/>
      <c r="C31257" s="442"/>
      <c r="P31257" s="235"/>
      <c r="AI31257" s="38"/>
    </row>
    <row r="31258" ht="15.75" customHeight="1">
      <c r="A31258" s="35"/>
      <c r="C31258" s="442"/>
      <c r="P31258" s="235"/>
      <c r="AI31258" s="38"/>
    </row>
    <row r="31259" ht="15.75" customHeight="1">
      <c r="A31259" s="35"/>
      <c r="C31259" s="442"/>
      <c r="P31259" s="235"/>
      <c r="AI31259" s="38"/>
    </row>
    <row r="31260" ht="15.75" customHeight="1">
      <c r="A31260" s="35"/>
      <c r="C31260" s="442"/>
      <c r="P31260" s="235"/>
      <c r="AI31260" s="38"/>
    </row>
    <row r="31261" ht="15.75" customHeight="1">
      <c r="A31261" s="35"/>
      <c r="C31261" s="442"/>
      <c r="P31261" s="235"/>
      <c r="AI31261" s="38"/>
    </row>
    <row r="31262" ht="15.75" customHeight="1">
      <c r="A31262" s="35"/>
      <c r="C31262" s="442"/>
      <c r="P31262" s="235"/>
      <c r="AI31262" s="38"/>
    </row>
    <row r="31263" ht="15.75" customHeight="1">
      <c r="A31263" s="35"/>
      <c r="C31263" s="442"/>
      <c r="P31263" s="235"/>
      <c r="AI31263" s="38"/>
    </row>
    <row r="31264" ht="15.75" customHeight="1">
      <c r="A31264" s="35"/>
      <c r="C31264" s="442"/>
      <c r="P31264" s="235"/>
      <c r="AI31264" s="38"/>
    </row>
    <row r="31265" ht="15.75" customHeight="1">
      <c r="A31265" s="35"/>
      <c r="C31265" s="442"/>
      <c r="P31265" s="235"/>
      <c r="AI31265" s="38"/>
    </row>
    <row r="31266" ht="15.75" customHeight="1">
      <c r="A31266" s="35"/>
      <c r="C31266" s="442"/>
      <c r="P31266" s="235"/>
      <c r="AI31266" s="38"/>
    </row>
    <row r="31267" ht="15.75" customHeight="1">
      <c r="A31267" s="35"/>
      <c r="C31267" s="442"/>
      <c r="P31267" s="235"/>
      <c r="AI31267" s="38"/>
    </row>
    <row r="31268" ht="15.75" customHeight="1">
      <c r="A31268" s="35"/>
      <c r="C31268" s="442"/>
      <c r="P31268" s="235"/>
      <c r="AI31268" s="38"/>
    </row>
    <row r="31269" ht="15.75" customHeight="1">
      <c r="A31269" s="35"/>
      <c r="C31269" s="442"/>
      <c r="P31269" s="235"/>
      <c r="AI31269" s="38"/>
    </row>
    <row r="31270" ht="15.75" customHeight="1">
      <c r="A31270" s="35"/>
      <c r="C31270" s="442"/>
      <c r="P31270" s="235"/>
      <c r="AI31270" s="38"/>
    </row>
    <row r="31271" ht="15.75" customHeight="1">
      <c r="A31271" s="35"/>
      <c r="C31271" s="442"/>
      <c r="P31271" s="235"/>
      <c r="AI31271" s="38"/>
    </row>
    <row r="31272" ht="15.75" customHeight="1">
      <c r="A31272" s="35"/>
      <c r="C31272" s="442"/>
      <c r="P31272" s="235"/>
      <c r="AI31272" s="38"/>
    </row>
    <row r="31273" ht="15.75" customHeight="1">
      <c r="A31273" s="35"/>
      <c r="C31273" s="442"/>
      <c r="P31273" s="235"/>
      <c r="AI31273" s="38"/>
    </row>
    <row r="31274" ht="15.75" customHeight="1">
      <c r="A31274" s="35"/>
      <c r="C31274" s="442"/>
      <c r="P31274" s="235"/>
      <c r="AI31274" s="38"/>
    </row>
    <row r="31275" ht="15.75" customHeight="1">
      <c r="A31275" s="35"/>
      <c r="C31275" s="442"/>
      <c r="P31275" s="235"/>
      <c r="AI31275" s="38"/>
    </row>
    <row r="31276" ht="15.75" customHeight="1">
      <c r="A31276" s="35"/>
      <c r="C31276" s="442"/>
      <c r="P31276" s="235"/>
      <c r="AI31276" s="38"/>
    </row>
    <row r="31277" ht="15.75" customHeight="1">
      <c r="A31277" s="35"/>
      <c r="C31277" s="442"/>
      <c r="P31277" s="235"/>
      <c r="AI31277" s="38"/>
    </row>
    <row r="31278" ht="15.75" customHeight="1">
      <c r="A31278" s="35"/>
      <c r="C31278" s="442"/>
      <c r="P31278" s="235"/>
      <c r="AI31278" s="38"/>
    </row>
    <row r="31279" ht="15.75" customHeight="1">
      <c r="A31279" s="35"/>
      <c r="C31279" s="442"/>
      <c r="P31279" s="235"/>
      <c r="AI31279" s="38"/>
    </row>
    <row r="31280" ht="15.75" customHeight="1">
      <c r="A31280" s="35"/>
      <c r="C31280" s="442"/>
      <c r="P31280" s="235"/>
      <c r="AI31280" s="38"/>
    </row>
    <row r="31281" ht="15.75" customHeight="1">
      <c r="A31281" s="35"/>
      <c r="C31281" s="442"/>
      <c r="P31281" s="235"/>
      <c r="AI31281" s="38"/>
    </row>
    <row r="31282" ht="15.75" customHeight="1">
      <c r="A31282" s="35"/>
      <c r="C31282" s="442"/>
      <c r="P31282" s="235"/>
      <c r="AI31282" s="38"/>
    </row>
    <row r="31283" ht="15.75" customHeight="1">
      <c r="A31283" s="35"/>
      <c r="C31283" s="442"/>
      <c r="P31283" s="235"/>
      <c r="AI31283" s="38"/>
    </row>
    <row r="31284" ht="15.75" customHeight="1">
      <c r="A31284" s="35"/>
      <c r="C31284" s="442"/>
      <c r="P31284" s="235"/>
      <c r="AI31284" s="38"/>
    </row>
    <row r="31285" ht="15.75" customHeight="1">
      <c r="A31285" s="35"/>
      <c r="C31285" s="442"/>
      <c r="P31285" s="235"/>
      <c r="AI31285" s="38"/>
    </row>
    <row r="31286" ht="15.75" customHeight="1">
      <c r="A31286" s="35"/>
      <c r="C31286" s="442"/>
      <c r="P31286" s="235"/>
      <c r="AI31286" s="38"/>
    </row>
    <row r="31287" ht="15.75" customHeight="1">
      <c r="A31287" s="35"/>
      <c r="C31287" s="442"/>
      <c r="P31287" s="235"/>
      <c r="AI31287" s="38"/>
    </row>
    <row r="31288" ht="15.75" customHeight="1">
      <c r="A31288" s="35"/>
      <c r="C31288" s="442"/>
      <c r="P31288" s="235"/>
      <c r="AI31288" s="38"/>
    </row>
    <row r="31289" ht="15.75" customHeight="1">
      <c r="A31289" s="35"/>
      <c r="C31289" s="442"/>
      <c r="P31289" s="235"/>
      <c r="AI31289" s="38"/>
    </row>
    <row r="31290" ht="15.75" customHeight="1">
      <c r="A31290" s="35"/>
      <c r="C31290" s="442"/>
      <c r="P31290" s="235"/>
      <c r="AI31290" s="38"/>
    </row>
    <row r="31291" ht="15.75" customHeight="1">
      <c r="A31291" s="35"/>
      <c r="C31291" s="442"/>
      <c r="P31291" s="235"/>
      <c r="AI31291" s="38"/>
    </row>
    <row r="31292" ht="15.75" customHeight="1">
      <c r="A31292" s="35"/>
      <c r="C31292" s="442"/>
      <c r="P31292" s="235"/>
      <c r="AI31292" s="38"/>
    </row>
    <row r="31293" ht="15.75" customHeight="1">
      <c r="A31293" s="35"/>
      <c r="C31293" s="442"/>
      <c r="P31293" s="235"/>
      <c r="AI31293" s="38"/>
    </row>
    <row r="31294" ht="15.75" customHeight="1">
      <c r="A31294" s="35"/>
      <c r="C31294" s="442"/>
      <c r="P31294" s="235"/>
      <c r="AI31294" s="38"/>
    </row>
    <row r="31295" ht="15.75" customHeight="1">
      <c r="A31295" s="35"/>
      <c r="C31295" s="442"/>
      <c r="P31295" s="235"/>
      <c r="AI31295" s="38"/>
    </row>
    <row r="31296" ht="15.75" customHeight="1">
      <c r="A31296" s="35"/>
      <c r="C31296" s="442"/>
      <c r="P31296" s="235"/>
      <c r="AI31296" s="38"/>
    </row>
    <row r="31297" ht="15.75" customHeight="1">
      <c r="A31297" s="35"/>
      <c r="C31297" s="442"/>
      <c r="P31297" s="235"/>
      <c r="AI31297" s="38"/>
    </row>
    <row r="31298" ht="15.75" customHeight="1">
      <c r="A31298" s="35"/>
      <c r="C31298" s="442"/>
      <c r="P31298" s="235"/>
      <c r="AI31298" s="38"/>
    </row>
    <row r="31299" ht="15.75" customHeight="1">
      <c r="A31299" s="35"/>
      <c r="C31299" s="442"/>
      <c r="P31299" s="235"/>
      <c r="AI31299" s="38"/>
    </row>
    <row r="31300" ht="15.75" customHeight="1">
      <c r="A31300" s="35"/>
      <c r="C31300" s="442"/>
      <c r="P31300" s="235"/>
      <c r="AI31300" s="38"/>
    </row>
    <row r="31301" ht="15.75" customHeight="1">
      <c r="A31301" s="35"/>
      <c r="C31301" s="442"/>
      <c r="P31301" s="235"/>
      <c r="AI31301" s="38"/>
    </row>
    <row r="31302" ht="15.75" customHeight="1">
      <c r="A31302" s="35"/>
      <c r="C31302" s="442"/>
      <c r="P31302" s="235"/>
      <c r="AI31302" s="38"/>
    </row>
    <row r="31303" ht="15.75" customHeight="1">
      <c r="A31303" s="35"/>
      <c r="C31303" s="442"/>
      <c r="P31303" s="235"/>
      <c r="AI31303" s="38"/>
    </row>
    <row r="31304" ht="15.75" customHeight="1">
      <c r="A31304" s="35"/>
      <c r="C31304" s="442"/>
      <c r="P31304" s="235"/>
      <c r="AI31304" s="38"/>
    </row>
    <row r="31305" ht="15.75" customHeight="1">
      <c r="A31305" s="35"/>
      <c r="C31305" s="442"/>
      <c r="P31305" s="235"/>
      <c r="AI31305" s="38"/>
    </row>
    <row r="31306" ht="15.75" customHeight="1">
      <c r="A31306" s="35"/>
      <c r="C31306" s="442"/>
      <c r="P31306" s="235"/>
      <c r="AI31306" s="38"/>
    </row>
    <row r="31307" ht="15.75" customHeight="1">
      <c r="A31307" s="35"/>
      <c r="C31307" s="442"/>
      <c r="P31307" s="235"/>
      <c r="AI31307" s="38"/>
    </row>
    <row r="31308" ht="15.75" customHeight="1">
      <c r="A31308" s="35"/>
      <c r="C31308" s="442"/>
      <c r="P31308" s="235"/>
      <c r="AI31308" s="38"/>
    </row>
    <row r="31309" ht="15.75" customHeight="1">
      <c r="A31309" s="35"/>
      <c r="C31309" s="442"/>
      <c r="P31309" s="235"/>
      <c r="AI31309" s="38"/>
    </row>
    <row r="31310" ht="15.75" customHeight="1">
      <c r="A31310" s="35"/>
      <c r="C31310" s="442"/>
      <c r="P31310" s="235"/>
      <c r="AI31310" s="38"/>
    </row>
    <row r="31311" ht="15.75" customHeight="1">
      <c r="A31311" s="35"/>
      <c r="C31311" s="442"/>
      <c r="P31311" s="235"/>
      <c r="AI31311" s="38"/>
    </row>
    <row r="31312" ht="15.75" customHeight="1">
      <c r="A31312" s="35"/>
      <c r="C31312" s="442"/>
      <c r="P31312" s="235"/>
      <c r="AI31312" s="38"/>
    </row>
    <row r="31313" ht="15.75" customHeight="1">
      <c r="A31313" s="35"/>
      <c r="C31313" s="442"/>
      <c r="P31313" s="235"/>
      <c r="AI31313" s="38"/>
    </row>
    <row r="31314" ht="15.75" customHeight="1">
      <c r="A31314" s="35"/>
      <c r="C31314" s="442"/>
      <c r="P31314" s="235"/>
      <c r="AI31314" s="38"/>
    </row>
    <row r="31315" ht="15.75" customHeight="1">
      <c r="A31315" s="35"/>
      <c r="C31315" s="442"/>
      <c r="P31315" s="235"/>
      <c r="AI31315" s="38"/>
    </row>
    <row r="31316" ht="15.75" customHeight="1">
      <c r="A31316" s="35"/>
      <c r="C31316" s="442"/>
      <c r="P31316" s="235"/>
      <c r="AI31316" s="38"/>
    </row>
    <row r="31317" ht="15.75" customHeight="1">
      <c r="A31317" s="35"/>
      <c r="C31317" s="442"/>
      <c r="P31317" s="235"/>
      <c r="AI31317" s="38"/>
    </row>
    <row r="31318" ht="15.75" customHeight="1">
      <c r="A31318" s="35"/>
      <c r="C31318" s="442"/>
      <c r="P31318" s="235"/>
      <c r="AI31318" s="38"/>
    </row>
    <row r="31319" ht="15.75" customHeight="1">
      <c r="A31319" s="35"/>
      <c r="C31319" s="442"/>
      <c r="P31319" s="235"/>
      <c r="AI31319" s="38"/>
    </row>
    <row r="31320" ht="15.75" customHeight="1">
      <c r="A31320" s="35"/>
      <c r="C31320" s="442"/>
      <c r="P31320" s="235"/>
      <c r="AI31320" s="38"/>
    </row>
    <row r="31321" ht="15.75" customHeight="1">
      <c r="A31321" s="35"/>
      <c r="C31321" s="442"/>
      <c r="P31321" s="235"/>
      <c r="AI31321" s="38"/>
    </row>
    <row r="31322" ht="15.75" customHeight="1">
      <c r="A31322" s="35"/>
      <c r="C31322" s="442"/>
      <c r="P31322" s="235"/>
      <c r="AI31322" s="38"/>
    </row>
    <row r="31323" ht="15.75" customHeight="1">
      <c r="A31323" s="35"/>
      <c r="C31323" s="442"/>
      <c r="P31323" s="235"/>
      <c r="AI31323" s="38"/>
    </row>
    <row r="31324" ht="15.75" customHeight="1">
      <c r="A31324" s="35"/>
      <c r="C31324" s="442"/>
      <c r="P31324" s="235"/>
      <c r="AI31324" s="38"/>
    </row>
    <row r="31325" ht="15.75" customHeight="1">
      <c r="A31325" s="35"/>
      <c r="C31325" s="442"/>
      <c r="P31325" s="235"/>
      <c r="AI31325" s="38"/>
    </row>
    <row r="31326" ht="15.75" customHeight="1">
      <c r="A31326" s="35"/>
      <c r="C31326" s="442"/>
      <c r="P31326" s="235"/>
      <c r="AI31326" s="38"/>
    </row>
    <row r="31327" ht="15.75" customHeight="1">
      <c r="A31327" s="35"/>
      <c r="C31327" s="442"/>
      <c r="P31327" s="235"/>
      <c r="AI31327" s="38"/>
    </row>
    <row r="31328" ht="15.75" customHeight="1">
      <c r="A31328" s="35"/>
      <c r="C31328" s="442"/>
      <c r="P31328" s="235"/>
      <c r="AI31328" s="38"/>
    </row>
    <row r="31329" ht="15.75" customHeight="1">
      <c r="A31329" s="35"/>
      <c r="C31329" s="442"/>
      <c r="P31329" s="235"/>
      <c r="AI31329" s="38"/>
    </row>
    <row r="31330" ht="15.75" customHeight="1">
      <c r="A31330" s="35"/>
      <c r="C31330" s="442"/>
      <c r="P31330" s="235"/>
      <c r="AI31330" s="38"/>
    </row>
    <row r="31331" ht="15.75" customHeight="1">
      <c r="A31331" s="35"/>
      <c r="C31331" s="442"/>
      <c r="P31331" s="235"/>
      <c r="AI31331" s="38"/>
    </row>
    <row r="31332" ht="15.75" customHeight="1">
      <c r="A31332" s="35"/>
      <c r="C31332" s="442"/>
      <c r="P31332" s="235"/>
      <c r="AI31332" s="38"/>
    </row>
    <row r="31333" ht="15.75" customHeight="1">
      <c r="A31333" s="35"/>
      <c r="C31333" s="442"/>
      <c r="P31333" s="235"/>
      <c r="AI31333" s="38"/>
    </row>
    <row r="31334" ht="15.75" customHeight="1">
      <c r="A31334" s="35"/>
      <c r="C31334" s="442"/>
      <c r="P31334" s="235"/>
      <c r="AI31334" s="38"/>
    </row>
    <row r="31335" ht="15.75" customHeight="1">
      <c r="A31335" s="35"/>
      <c r="C31335" s="442"/>
      <c r="P31335" s="235"/>
      <c r="AI31335" s="38"/>
    </row>
    <row r="31336" ht="15.75" customHeight="1">
      <c r="A31336" s="35"/>
      <c r="C31336" s="442"/>
      <c r="P31336" s="235"/>
      <c r="AI31336" s="38"/>
    </row>
    <row r="31337" ht="15.75" customHeight="1">
      <c r="A31337" s="35"/>
      <c r="C31337" s="442"/>
      <c r="P31337" s="235"/>
      <c r="AI31337" s="38"/>
    </row>
    <row r="31338" ht="15.75" customHeight="1">
      <c r="A31338" s="35"/>
      <c r="C31338" s="442"/>
      <c r="P31338" s="235"/>
      <c r="AI31338" s="38"/>
    </row>
    <row r="31339" ht="15.75" customHeight="1">
      <c r="A31339" s="35"/>
      <c r="C31339" s="442"/>
      <c r="P31339" s="235"/>
      <c r="AI31339" s="38"/>
    </row>
    <row r="31340" ht="15.75" customHeight="1">
      <c r="A31340" s="35"/>
      <c r="C31340" s="442"/>
      <c r="P31340" s="235"/>
      <c r="AI31340" s="38"/>
    </row>
    <row r="31341" ht="15.75" customHeight="1">
      <c r="A31341" s="35"/>
      <c r="C31341" s="442"/>
      <c r="P31341" s="235"/>
      <c r="AI31341" s="38"/>
    </row>
    <row r="31342" ht="15.75" customHeight="1">
      <c r="A31342" s="35"/>
      <c r="C31342" s="442"/>
      <c r="P31342" s="235"/>
      <c r="AI31342" s="38"/>
    </row>
    <row r="31343" ht="15.75" customHeight="1">
      <c r="A31343" s="35"/>
      <c r="C31343" s="442"/>
      <c r="P31343" s="235"/>
      <c r="AI31343" s="38"/>
    </row>
    <row r="31344" ht="15.75" customHeight="1">
      <c r="A31344" s="35"/>
      <c r="C31344" s="442"/>
      <c r="P31344" s="235"/>
      <c r="AI31344" s="38"/>
    </row>
    <row r="31345" ht="15.75" customHeight="1">
      <c r="A31345" s="35"/>
      <c r="C31345" s="442"/>
      <c r="P31345" s="235"/>
      <c r="AI31345" s="38"/>
    </row>
    <row r="31346" ht="15.75" customHeight="1">
      <c r="A31346" s="35"/>
      <c r="C31346" s="442"/>
      <c r="P31346" s="235"/>
      <c r="AI31346" s="38"/>
    </row>
    <row r="31347" ht="15.75" customHeight="1">
      <c r="A31347" s="35"/>
      <c r="C31347" s="442"/>
      <c r="P31347" s="235"/>
      <c r="AI31347" s="38"/>
    </row>
    <row r="31348" ht="15.75" customHeight="1">
      <c r="A31348" s="35"/>
      <c r="C31348" s="442"/>
      <c r="P31348" s="235"/>
      <c r="AI31348" s="38"/>
    </row>
    <row r="31349" ht="15.75" customHeight="1">
      <c r="A31349" s="35"/>
      <c r="C31349" s="442"/>
      <c r="P31349" s="235"/>
      <c r="AI31349" s="38"/>
    </row>
    <row r="31350" ht="15.75" customHeight="1">
      <c r="A31350" s="35"/>
      <c r="C31350" s="442"/>
      <c r="P31350" s="235"/>
      <c r="AI31350" s="38"/>
    </row>
    <row r="31351" ht="15.75" customHeight="1">
      <c r="A31351" s="35"/>
      <c r="C31351" s="442"/>
      <c r="P31351" s="235"/>
      <c r="AI31351" s="38"/>
    </row>
    <row r="31352" ht="15.75" customHeight="1">
      <c r="A31352" s="35"/>
      <c r="C31352" s="442"/>
      <c r="P31352" s="235"/>
      <c r="AI31352" s="38"/>
    </row>
    <row r="31353" ht="15.75" customHeight="1">
      <c r="A31353" s="35"/>
      <c r="C31353" s="442"/>
      <c r="P31353" s="235"/>
      <c r="AI31353" s="38"/>
    </row>
    <row r="31354" ht="15.75" customHeight="1">
      <c r="A31354" s="35"/>
      <c r="C31354" s="442"/>
      <c r="P31354" s="235"/>
      <c r="AI31354" s="38"/>
    </row>
    <row r="31355" ht="15.75" customHeight="1">
      <c r="A31355" s="35"/>
      <c r="C31355" s="442"/>
      <c r="P31355" s="235"/>
      <c r="AI31355" s="38"/>
    </row>
    <row r="31356" ht="15.75" customHeight="1">
      <c r="A31356" s="35"/>
      <c r="C31356" s="442"/>
      <c r="P31356" s="235"/>
      <c r="AI31356" s="38"/>
    </row>
    <row r="31357" ht="15.75" customHeight="1">
      <c r="A31357" s="35"/>
      <c r="C31357" s="442"/>
      <c r="P31357" s="235"/>
      <c r="AI31357" s="38"/>
    </row>
    <row r="31358" ht="15.75" customHeight="1">
      <c r="A31358" s="35"/>
      <c r="C31358" s="442"/>
      <c r="P31358" s="235"/>
      <c r="AI31358" s="38"/>
    </row>
    <row r="31359" ht="15.75" customHeight="1">
      <c r="A31359" s="35"/>
      <c r="C31359" s="442"/>
      <c r="P31359" s="235"/>
      <c r="AI31359" s="38"/>
    </row>
    <row r="31360" ht="15.75" customHeight="1">
      <c r="A31360" s="35"/>
      <c r="C31360" s="442"/>
      <c r="P31360" s="235"/>
      <c r="AI31360" s="38"/>
    </row>
    <row r="31361" ht="15.75" customHeight="1">
      <c r="A31361" s="35"/>
      <c r="C31361" s="442"/>
      <c r="P31361" s="235"/>
      <c r="AI31361" s="38"/>
    </row>
    <row r="31362" ht="15.75" customHeight="1">
      <c r="A31362" s="35"/>
      <c r="C31362" s="442"/>
      <c r="P31362" s="235"/>
      <c r="AI31362" s="38"/>
    </row>
    <row r="31363" ht="15.75" customHeight="1">
      <c r="A31363" s="35"/>
      <c r="C31363" s="442"/>
      <c r="P31363" s="235"/>
      <c r="AI31363" s="38"/>
    </row>
    <row r="31364" ht="15.75" customHeight="1">
      <c r="A31364" s="35"/>
      <c r="C31364" s="442"/>
      <c r="P31364" s="235"/>
      <c r="AI31364" s="38"/>
    </row>
    <row r="31365" ht="15.75" customHeight="1">
      <c r="A31365" s="35"/>
      <c r="C31365" s="442"/>
      <c r="P31365" s="235"/>
      <c r="AI31365" s="38"/>
    </row>
    <row r="31366" ht="15.75" customHeight="1">
      <c r="A31366" s="35"/>
      <c r="C31366" s="442"/>
      <c r="P31366" s="235"/>
      <c r="AI31366" s="38"/>
    </row>
    <row r="31367" ht="15.75" customHeight="1">
      <c r="A31367" s="35"/>
      <c r="C31367" s="442"/>
      <c r="P31367" s="235"/>
      <c r="AI31367" s="38"/>
    </row>
    <row r="31368" ht="15.75" customHeight="1">
      <c r="A31368" s="35"/>
      <c r="C31368" s="442"/>
      <c r="P31368" s="235"/>
      <c r="AI31368" s="38"/>
    </row>
    <row r="31369" ht="15.75" customHeight="1">
      <c r="A31369" s="35"/>
      <c r="C31369" s="442"/>
      <c r="P31369" s="235"/>
      <c r="AI31369" s="38"/>
    </row>
    <row r="31370" ht="15.75" customHeight="1">
      <c r="A31370" s="35"/>
      <c r="C31370" s="442"/>
      <c r="P31370" s="235"/>
      <c r="AI31370" s="38"/>
    </row>
    <row r="31371" ht="15.75" customHeight="1">
      <c r="A31371" s="35"/>
      <c r="C31371" s="442"/>
      <c r="P31371" s="235"/>
      <c r="AI31371" s="38"/>
    </row>
    <row r="31372" ht="15.75" customHeight="1">
      <c r="A31372" s="35"/>
      <c r="C31372" s="442"/>
      <c r="P31372" s="235"/>
      <c r="AI31372" s="38"/>
    </row>
    <row r="31373" ht="15.75" customHeight="1">
      <c r="A31373" s="35"/>
      <c r="C31373" s="442"/>
      <c r="P31373" s="235"/>
      <c r="AI31373" s="38"/>
    </row>
    <row r="31374" ht="15.75" customHeight="1">
      <c r="A31374" s="35"/>
      <c r="C31374" s="442"/>
      <c r="P31374" s="235"/>
      <c r="AI31374" s="38"/>
    </row>
    <row r="31375" ht="15.75" customHeight="1">
      <c r="A31375" s="35"/>
      <c r="C31375" s="442"/>
      <c r="P31375" s="235"/>
      <c r="AI31375" s="38"/>
    </row>
    <row r="31376" ht="15.75" customHeight="1">
      <c r="A31376" s="35"/>
      <c r="C31376" s="442"/>
      <c r="P31376" s="235"/>
      <c r="AI31376" s="38"/>
    </row>
    <row r="31377" ht="15.75" customHeight="1">
      <c r="A31377" s="35"/>
      <c r="C31377" s="442"/>
      <c r="P31377" s="235"/>
      <c r="AI31377" s="38"/>
    </row>
    <row r="31378" ht="15.75" customHeight="1">
      <c r="A31378" s="35"/>
      <c r="C31378" s="442"/>
      <c r="P31378" s="235"/>
      <c r="AI31378" s="38"/>
    </row>
    <row r="31379" ht="15.75" customHeight="1">
      <c r="A31379" s="35"/>
      <c r="C31379" s="442"/>
      <c r="P31379" s="235"/>
      <c r="AI31379" s="38"/>
    </row>
    <row r="31380" ht="15.75" customHeight="1">
      <c r="A31380" s="35"/>
      <c r="C31380" s="442"/>
      <c r="P31380" s="235"/>
      <c r="AI31380" s="38"/>
    </row>
    <row r="31381" ht="15.75" customHeight="1">
      <c r="A31381" s="35"/>
      <c r="C31381" s="442"/>
      <c r="P31381" s="235"/>
      <c r="AI31381" s="38"/>
    </row>
    <row r="31382" ht="15.75" customHeight="1">
      <c r="A31382" s="35"/>
      <c r="C31382" s="442"/>
      <c r="P31382" s="235"/>
      <c r="AI31382" s="38"/>
    </row>
    <row r="31383" ht="15.75" customHeight="1">
      <c r="A31383" s="35"/>
      <c r="C31383" s="442"/>
      <c r="P31383" s="235"/>
      <c r="AI31383" s="38"/>
    </row>
    <row r="31384" ht="15.75" customHeight="1">
      <c r="A31384" s="35"/>
      <c r="C31384" s="442"/>
      <c r="P31384" s="235"/>
      <c r="AI31384" s="38"/>
    </row>
    <row r="31385" ht="15.75" customHeight="1">
      <c r="A31385" s="35"/>
      <c r="C31385" s="442"/>
      <c r="P31385" s="235"/>
      <c r="AI31385" s="38"/>
    </row>
    <row r="31386" ht="15.75" customHeight="1">
      <c r="A31386" s="35"/>
      <c r="C31386" s="442"/>
      <c r="P31386" s="235"/>
      <c r="AI31386" s="38"/>
    </row>
    <row r="31387" ht="15.75" customHeight="1">
      <c r="A31387" s="35"/>
      <c r="C31387" s="442"/>
      <c r="P31387" s="235"/>
      <c r="AI31387" s="38"/>
    </row>
    <row r="31388" ht="15.75" customHeight="1">
      <c r="A31388" s="35"/>
      <c r="C31388" s="442"/>
      <c r="P31388" s="235"/>
      <c r="AI31388" s="38"/>
    </row>
    <row r="31389" ht="15.75" customHeight="1">
      <c r="A31389" s="35"/>
      <c r="C31389" s="442"/>
      <c r="P31389" s="235"/>
      <c r="AI31389" s="38"/>
    </row>
    <row r="31390" ht="15.75" customHeight="1">
      <c r="A31390" s="35"/>
      <c r="C31390" s="442"/>
      <c r="P31390" s="235"/>
      <c r="AI31390" s="38"/>
    </row>
    <row r="31391" ht="15.75" customHeight="1">
      <c r="A31391" s="35"/>
      <c r="C31391" s="442"/>
      <c r="P31391" s="235"/>
      <c r="AI31391" s="38"/>
    </row>
    <row r="31392" ht="15.75" customHeight="1">
      <c r="A31392" s="35"/>
      <c r="C31392" s="442"/>
      <c r="P31392" s="235"/>
      <c r="AI31392" s="38"/>
    </row>
    <row r="31393" ht="15.75" customHeight="1">
      <c r="A31393" s="35"/>
      <c r="C31393" s="442"/>
      <c r="P31393" s="235"/>
      <c r="AI31393" s="38"/>
    </row>
    <row r="31394" ht="15.75" customHeight="1">
      <c r="A31394" s="35"/>
      <c r="C31394" s="442"/>
      <c r="P31394" s="235"/>
      <c r="AI31394" s="38"/>
    </row>
    <row r="31395" ht="15.75" customHeight="1">
      <c r="A31395" s="35"/>
      <c r="C31395" s="442"/>
      <c r="P31395" s="235"/>
      <c r="AI31395" s="38"/>
    </row>
    <row r="31396" ht="15.75" customHeight="1">
      <c r="A31396" s="35"/>
      <c r="C31396" s="442"/>
      <c r="P31396" s="235"/>
      <c r="AI31396" s="38"/>
    </row>
    <row r="31397" ht="15.75" customHeight="1">
      <c r="A31397" s="35"/>
      <c r="C31397" s="442"/>
      <c r="P31397" s="235"/>
      <c r="AI31397" s="38"/>
    </row>
    <row r="31398" ht="15.75" customHeight="1">
      <c r="A31398" s="35"/>
      <c r="C31398" s="442"/>
      <c r="P31398" s="235"/>
      <c r="AI31398" s="38"/>
    </row>
    <row r="31399" ht="15.75" customHeight="1">
      <c r="A31399" s="35"/>
      <c r="C31399" s="442"/>
      <c r="P31399" s="235"/>
      <c r="AI31399" s="38"/>
    </row>
    <row r="31400" ht="15.75" customHeight="1">
      <c r="A31400" s="35"/>
      <c r="C31400" s="442"/>
      <c r="P31400" s="235"/>
      <c r="AI31400" s="38"/>
    </row>
    <row r="31401" ht="15.75" customHeight="1">
      <c r="A31401" s="35"/>
      <c r="C31401" s="442"/>
      <c r="P31401" s="235"/>
      <c r="AI31401" s="38"/>
    </row>
    <row r="31402" ht="15.75" customHeight="1">
      <c r="A31402" s="35"/>
      <c r="C31402" s="442"/>
      <c r="P31402" s="235"/>
      <c r="AI31402" s="38"/>
    </row>
    <row r="31403" ht="15.75" customHeight="1">
      <c r="A31403" s="35"/>
      <c r="C31403" s="442"/>
      <c r="P31403" s="235"/>
      <c r="AI31403" s="38"/>
    </row>
    <row r="31404" ht="15.75" customHeight="1">
      <c r="A31404" s="35"/>
      <c r="C31404" s="442"/>
      <c r="P31404" s="235"/>
      <c r="AI31404" s="38"/>
    </row>
    <row r="31405" ht="15.75" customHeight="1">
      <c r="A31405" s="35"/>
      <c r="C31405" s="442"/>
      <c r="P31405" s="235"/>
      <c r="AI31405" s="38"/>
    </row>
    <row r="31406" ht="15.75" customHeight="1">
      <c r="A31406" s="35"/>
      <c r="C31406" s="442"/>
      <c r="P31406" s="235"/>
      <c r="AI31406" s="38"/>
    </row>
    <row r="31407" ht="15.75" customHeight="1">
      <c r="A31407" s="35"/>
      <c r="C31407" s="442"/>
      <c r="P31407" s="235"/>
      <c r="AI31407" s="38"/>
    </row>
    <row r="31408" ht="15.75" customHeight="1">
      <c r="A31408" s="35"/>
      <c r="C31408" s="442"/>
      <c r="P31408" s="235"/>
      <c r="AI31408" s="38"/>
    </row>
    <row r="31409" ht="15.75" customHeight="1">
      <c r="A31409" s="35"/>
      <c r="C31409" s="442"/>
      <c r="P31409" s="235"/>
      <c r="AI31409" s="38"/>
    </row>
    <row r="31410" ht="15.75" customHeight="1">
      <c r="A31410" s="35"/>
      <c r="C31410" s="442"/>
      <c r="P31410" s="235"/>
      <c r="AI31410" s="38"/>
    </row>
    <row r="31411" ht="15.75" customHeight="1">
      <c r="A31411" s="35"/>
      <c r="C31411" s="442"/>
      <c r="P31411" s="235"/>
      <c r="AI31411" s="38"/>
    </row>
    <row r="31412" ht="15.75" customHeight="1">
      <c r="A31412" s="35"/>
      <c r="C31412" s="442"/>
      <c r="P31412" s="235"/>
      <c r="AI31412" s="38"/>
    </row>
    <row r="31413" ht="15.75" customHeight="1">
      <c r="A31413" s="35"/>
      <c r="C31413" s="442"/>
      <c r="P31413" s="235"/>
      <c r="AI31413" s="38"/>
    </row>
    <row r="31414" ht="15.75" customHeight="1">
      <c r="A31414" s="35"/>
      <c r="C31414" s="442"/>
      <c r="P31414" s="235"/>
      <c r="AI31414" s="38"/>
    </row>
    <row r="31415" ht="15.75" customHeight="1">
      <c r="A31415" s="35"/>
      <c r="C31415" s="442"/>
      <c r="P31415" s="235"/>
      <c r="AI31415" s="38"/>
    </row>
    <row r="31416" ht="15.75" customHeight="1">
      <c r="A31416" s="35"/>
      <c r="C31416" s="442"/>
      <c r="P31416" s="235"/>
      <c r="AI31416" s="38"/>
    </row>
    <row r="31417" ht="15.75" customHeight="1">
      <c r="A31417" s="35"/>
      <c r="C31417" s="442"/>
      <c r="P31417" s="235"/>
      <c r="AI31417" s="38"/>
    </row>
    <row r="31418" ht="15.75" customHeight="1">
      <c r="A31418" s="35"/>
      <c r="C31418" s="442"/>
      <c r="P31418" s="235"/>
      <c r="AI31418" s="38"/>
    </row>
    <row r="31419" ht="15.75" customHeight="1">
      <c r="A31419" s="35"/>
      <c r="C31419" s="442"/>
      <c r="P31419" s="235"/>
      <c r="AI31419" s="38"/>
    </row>
    <row r="31420" ht="15.75" customHeight="1">
      <c r="A31420" s="35"/>
      <c r="C31420" s="442"/>
      <c r="P31420" s="235"/>
      <c r="AI31420" s="38"/>
    </row>
    <row r="31421" ht="15.75" customHeight="1">
      <c r="A31421" s="35"/>
      <c r="C31421" s="442"/>
      <c r="P31421" s="235"/>
      <c r="AI31421" s="38"/>
    </row>
    <row r="31422" ht="15.75" customHeight="1">
      <c r="A31422" s="35"/>
      <c r="C31422" s="442"/>
      <c r="P31422" s="235"/>
      <c r="AI31422" s="38"/>
    </row>
    <row r="31423" ht="15.75" customHeight="1">
      <c r="A31423" s="35"/>
      <c r="C31423" s="442"/>
      <c r="P31423" s="235"/>
      <c r="AI31423" s="38"/>
    </row>
    <row r="31424" ht="15.75" customHeight="1">
      <c r="A31424" s="35"/>
      <c r="C31424" s="442"/>
      <c r="P31424" s="235"/>
      <c r="AI31424" s="38"/>
    </row>
    <row r="31425" ht="15.75" customHeight="1">
      <c r="A31425" s="35"/>
      <c r="C31425" s="442"/>
      <c r="P31425" s="235"/>
      <c r="AI31425" s="38"/>
    </row>
    <row r="31426" ht="15.75" customHeight="1">
      <c r="A31426" s="35"/>
      <c r="C31426" s="442"/>
      <c r="P31426" s="235"/>
      <c r="AI31426" s="38"/>
    </row>
    <row r="31427" ht="15.75" customHeight="1">
      <c r="A31427" s="35"/>
      <c r="C31427" s="442"/>
      <c r="P31427" s="235"/>
      <c r="AI31427" s="38"/>
    </row>
    <row r="31428" ht="15.75" customHeight="1">
      <c r="A31428" s="35"/>
      <c r="C31428" s="442"/>
      <c r="P31428" s="235"/>
      <c r="AI31428" s="38"/>
    </row>
    <row r="31429" ht="15.75" customHeight="1">
      <c r="A31429" s="35"/>
      <c r="C31429" s="442"/>
      <c r="P31429" s="235"/>
      <c r="AI31429" s="38"/>
    </row>
    <row r="31430" ht="15.75" customHeight="1">
      <c r="A31430" s="35"/>
      <c r="C31430" s="442"/>
      <c r="P31430" s="235"/>
      <c r="AI31430" s="38"/>
    </row>
    <row r="31431" ht="15.75" customHeight="1">
      <c r="A31431" s="35"/>
      <c r="C31431" s="442"/>
      <c r="P31431" s="235"/>
      <c r="AI31431" s="38"/>
    </row>
    <row r="31432" ht="15.75" customHeight="1">
      <c r="A31432" s="35"/>
      <c r="C31432" s="442"/>
      <c r="P31432" s="235"/>
      <c r="AI31432" s="38"/>
    </row>
    <row r="31433" ht="15.75" customHeight="1">
      <c r="A31433" s="35"/>
      <c r="C31433" s="442"/>
      <c r="P31433" s="235"/>
      <c r="AI31433" s="38"/>
    </row>
    <row r="31434" ht="15.75" customHeight="1">
      <c r="A31434" s="35"/>
      <c r="C31434" s="442"/>
      <c r="P31434" s="235"/>
      <c r="AI31434" s="38"/>
    </row>
    <row r="31435" ht="15.75" customHeight="1">
      <c r="A31435" s="35"/>
      <c r="C31435" s="442"/>
      <c r="P31435" s="235"/>
      <c r="AI31435" s="38"/>
    </row>
    <row r="31436" ht="15.75" customHeight="1">
      <c r="A31436" s="35"/>
      <c r="C31436" s="442"/>
      <c r="P31436" s="235"/>
      <c r="AI31436" s="38"/>
    </row>
    <row r="31437" ht="15.75" customHeight="1">
      <c r="A31437" s="35"/>
      <c r="C31437" s="442"/>
      <c r="P31437" s="235"/>
      <c r="AI31437" s="38"/>
    </row>
    <row r="31438" ht="15.75" customHeight="1">
      <c r="A31438" s="35"/>
      <c r="C31438" s="442"/>
      <c r="P31438" s="235"/>
      <c r="AI31438" s="38"/>
    </row>
    <row r="31439" ht="15.75" customHeight="1">
      <c r="A31439" s="35"/>
      <c r="C31439" s="442"/>
      <c r="P31439" s="235"/>
      <c r="AI31439" s="38"/>
    </row>
    <row r="31440" ht="15.75" customHeight="1">
      <c r="A31440" s="35"/>
      <c r="C31440" s="442"/>
      <c r="P31440" s="235"/>
      <c r="AI31440" s="38"/>
    </row>
    <row r="31441" ht="15.75" customHeight="1">
      <c r="A31441" s="35"/>
      <c r="C31441" s="442"/>
      <c r="P31441" s="235"/>
      <c r="AI31441" s="38"/>
    </row>
    <row r="31442" ht="15.75" customHeight="1">
      <c r="A31442" s="35"/>
      <c r="C31442" s="442"/>
      <c r="P31442" s="235"/>
      <c r="AI31442" s="38"/>
    </row>
    <row r="31443" ht="15.75" customHeight="1">
      <c r="A31443" s="35"/>
      <c r="C31443" s="442"/>
      <c r="P31443" s="235"/>
      <c r="AI31443" s="38"/>
    </row>
    <row r="31444" ht="15.75" customHeight="1">
      <c r="A31444" s="35"/>
      <c r="C31444" s="442"/>
      <c r="P31444" s="235"/>
      <c r="AI31444" s="38"/>
    </row>
    <row r="31445" ht="15.75" customHeight="1">
      <c r="A31445" s="35"/>
      <c r="C31445" s="442"/>
      <c r="P31445" s="235"/>
      <c r="AI31445" s="38"/>
    </row>
    <row r="31446" ht="15.75" customHeight="1">
      <c r="A31446" s="35"/>
      <c r="C31446" s="442"/>
      <c r="P31446" s="235"/>
      <c r="AI31446" s="38"/>
    </row>
    <row r="31447" ht="15.75" customHeight="1">
      <c r="A31447" s="35"/>
      <c r="C31447" s="442"/>
      <c r="P31447" s="235"/>
      <c r="AI31447" s="38"/>
    </row>
    <row r="31448" ht="15.75" customHeight="1">
      <c r="A31448" s="35"/>
      <c r="C31448" s="442"/>
      <c r="P31448" s="235"/>
      <c r="AI31448" s="38"/>
    </row>
    <row r="31449" ht="15.75" customHeight="1">
      <c r="A31449" s="35"/>
      <c r="C31449" s="442"/>
      <c r="P31449" s="235"/>
      <c r="AI31449" s="38"/>
    </row>
    <row r="31450" ht="15.75" customHeight="1">
      <c r="A31450" s="35"/>
      <c r="C31450" s="442"/>
      <c r="P31450" s="235"/>
      <c r="AI31450" s="38"/>
    </row>
    <row r="31451" ht="15.75" customHeight="1">
      <c r="A31451" s="35"/>
      <c r="C31451" s="442"/>
      <c r="P31451" s="235"/>
      <c r="AI31451" s="38"/>
    </row>
    <row r="31452" ht="15.75" customHeight="1">
      <c r="A31452" s="35"/>
      <c r="C31452" s="442"/>
      <c r="P31452" s="235"/>
      <c r="AI31452" s="38"/>
    </row>
    <row r="31453" ht="15.75" customHeight="1">
      <c r="A31453" s="35"/>
      <c r="C31453" s="442"/>
      <c r="P31453" s="235"/>
      <c r="AI31453" s="38"/>
    </row>
    <row r="31454" ht="15.75" customHeight="1">
      <c r="A31454" s="35"/>
      <c r="C31454" s="442"/>
      <c r="P31454" s="235"/>
      <c r="AI31454" s="38"/>
    </row>
    <row r="31455" ht="15.75" customHeight="1">
      <c r="A31455" s="35"/>
      <c r="C31455" s="442"/>
      <c r="P31455" s="235"/>
      <c r="AI31455" s="38"/>
    </row>
    <row r="31456" ht="15.75" customHeight="1">
      <c r="A31456" s="35"/>
      <c r="C31456" s="442"/>
      <c r="P31456" s="235"/>
      <c r="AI31456" s="38"/>
    </row>
    <row r="31457" ht="15.75" customHeight="1">
      <c r="A31457" s="35"/>
      <c r="C31457" s="442"/>
      <c r="P31457" s="235"/>
      <c r="AI31457" s="38"/>
    </row>
    <row r="31458" ht="15.75" customHeight="1">
      <c r="A31458" s="35"/>
      <c r="C31458" s="442"/>
      <c r="P31458" s="235"/>
      <c r="AI31458" s="38"/>
    </row>
    <row r="31459" ht="15.75" customHeight="1">
      <c r="A31459" s="35"/>
      <c r="C31459" s="442"/>
      <c r="P31459" s="235"/>
      <c r="AI31459" s="38"/>
    </row>
    <row r="31460" ht="15.75" customHeight="1">
      <c r="A31460" s="35"/>
      <c r="C31460" s="442"/>
      <c r="P31460" s="235"/>
      <c r="AI31460" s="38"/>
    </row>
    <row r="31461" ht="15.75" customHeight="1">
      <c r="A31461" s="35"/>
      <c r="C31461" s="442"/>
      <c r="P31461" s="235"/>
      <c r="AI31461" s="38"/>
    </row>
    <row r="31462" ht="15.75" customHeight="1">
      <c r="A31462" s="35"/>
      <c r="C31462" s="442"/>
      <c r="P31462" s="235"/>
      <c r="AI31462" s="38"/>
    </row>
    <row r="31463" ht="15.75" customHeight="1">
      <c r="A31463" s="35"/>
      <c r="C31463" s="442"/>
      <c r="P31463" s="235"/>
      <c r="AI31463" s="38"/>
    </row>
    <row r="31464" ht="15.75" customHeight="1">
      <c r="A31464" s="35"/>
      <c r="C31464" s="442"/>
      <c r="P31464" s="235"/>
      <c r="AI31464" s="38"/>
    </row>
    <row r="31465" ht="15.75" customHeight="1">
      <c r="A31465" s="35"/>
      <c r="C31465" s="442"/>
      <c r="P31465" s="235"/>
      <c r="AI31465" s="38"/>
    </row>
    <row r="31466" ht="15.75" customHeight="1">
      <c r="A31466" s="35"/>
      <c r="C31466" s="442"/>
      <c r="P31466" s="235"/>
      <c r="AI31466" s="38"/>
    </row>
    <row r="31467" ht="15.75" customHeight="1">
      <c r="A31467" s="35"/>
      <c r="C31467" s="442"/>
      <c r="P31467" s="235"/>
      <c r="AI31467" s="38"/>
    </row>
    <row r="31468" ht="15.75" customHeight="1">
      <c r="A31468" s="35"/>
      <c r="C31468" s="442"/>
      <c r="P31468" s="235"/>
      <c r="AI31468" s="38"/>
    </row>
    <row r="31469" ht="15.75" customHeight="1">
      <c r="A31469" s="35"/>
      <c r="C31469" s="442"/>
      <c r="P31469" s="235"/>
      <c r="AI31469" s="38"/>
    </row>
    <row r="31470" ht="15.75" customHeight="1">
      <c r="A31470" s="35"/>
      <c r="C31470" s="442"/>
      <c r="P31470" s="235"/>
      <c r="AI31470" s="38"/>
    </row>
    <row r="31471" ht="15.75" customHeight="1">
      <c r="A31471" s="35"/>
      <c r="C31471" s="442"/>
      <c r="P31471" s="235"/>
      <c r="AI31471" s="38"/>
    </row>
    <row r="31472" ht="15.75" customHeight="1">
      <c r="A31472" s="35"/>
      <c r="C31472" s="442"/>
      <c r="P31472" s="235"/>
      <c r="AI31472" s="38"/>
    </row>
    <row r="31473" ht="15.75" customHeight="1">
      <c r="A31473" s="35"/>
      <c r="C31473" s="442"/>
      <c r="P31473" s="235"/>
      <c r="AI31473" s="38"/>
    </row>
    <row r="31474" ht="15.75" customHeight="1">
      <c r="A31474" s="35"/>
      <c r="C31474" s="442"/>
      <c r="P31474" s="235"/>
      <c r="AI31474" s="38"/>
    </row>
    <row r="31475" ht="15.75" customHeight="1">
      <c r="A31475" s="35"/>
      <c r="C31475" s="442"/>
      <c r="P31475" s="235"/>
      <c r="AI31475" s="38"/>
    </row>
    <row r="31476" ht="15.75" customHeight="1">
      <c r="A31476" s="35"/>
      <c r="C31476" s="442"/>
      <c r="P31476" s="235"/>
      <c r="AI31476" s="38"/>
    </row>
    <row r="31477" ht="15.75" customHeight="1">
      <c r="A31477" s="35"/>
      <c r="C31477" s="442"/>
      <c r="P31477" s="235"/>
      <c r="AI31477" s="38"/>
    </row>
    <row r="31478" ht="15.75" customHeight="1">
      <c r="A31478" s="35"/>
      <c r="C31478" s="442"/>
      <c r="P31478" s="235"/>
      <c r="AI31478" s="38"/>
    </row>
    <row r="31479" ht="15.75" customHeight="1">
      <c r="A31479" s="35"/>
      <c r="C31479" s="442"/>
      <c r="P31479" s="235"/>
      <c r="AI31479" s="38"/>
    </row>
    <row r="31480" ht="15.75" customHeight="1">
      <c r="A31480" s="35"/>
      <c r="C31480" s="442"/>
      <c r="P31480" s="235"/>
      <c r="AI31480" s="38"/>
    </row>
    <row r="31481" ht="15.75" customHeight="1">
      <c r="A31481" s="35"/>
      <c r="C31481" s="442"/>
      <c r="P31481" s="235"/>
      <c r="AI31481" s="38"/>
    </row>
    <row r="31482" ht="15.75" customHeight="1">
      <c r="A31482" s="35"/>
      <c r="C31482" s="442"/>
      <c r="P31482" s="235"/>
      <c r="AI31482" s="38"/>
    </row>
    <row r="31483" ht="15.75" customHeight="1">
      <c r="A31483" s="35"/>
      <c r="C31483" s="442"/>
      <c r="P31483" s="235"/>
      <c r="AI31483" s="38"/>
    </row>
    <row r="31484" ht="15.75" customHeight="1">
      <c r="A31484" s="35"/>
      <c r="C31484" s="442"/>
      <c r="P31484" s="235"/>
      <c r="AI31484" s="38"/>
    </row>
    <row r="31485" ht="15.75" customHeight="1">
      <c r="A31485" s="35"/>
      <c r="C31485" s="442"/>
      <c r="P31485" s="235"/>
      <c r="AI31485" s="38"/>
    </row>
    <row r="31486" ht="15.75" customHeight="1">
      <c r="A31486" s="35"/>
      <c r="C31486" s="442"/>
      <c r="P31486" s="235"/>
      <c r="AI31486" s="38"/>
    </row>
    <row r="31487" ht="15.75" customHeight="1">
      <c r="A31487" s="35"/>
      <c r="C31487" s="442"/>
      <c r="P31487" s="235"/>
      <c r="AI31487" s="38"/>
    </row>
    <row r="31488" ht="15.75" customHeight="1">
      <c r="A31488" s="35"/>
      <c r="C31488" s="442"/>
      <c r="P31488" s="235"/>
      <c r="AI31488" s="38"/>
    </row>
    <row r="31489" ht="15.75" customHeight="1">
      <c r="A31489" s="35"/>
      <c r="C31489" s="442"/>
      <c r="P31489" s="235"/>
      <c r="AI31489" s="38"/>
    </row>
    <row r="31490" ht="15.75" customHeight="1">
      <c r="A31490" s="35"/>
      <c r="C31490" s="442"/>
      <c r="P31490" s="235"/>
      <c r="AI31490" s="38"/>
    </row>
    <row r="31491" ht="15.75" customHeight="1">
      <c r="A31491" s="35"/>
      <c r="C31491" s="442"/>
      <c r="P31491" s="235"/>
      <c r="AI31491" s="38"/>
    </row>
    <row r="31492" ht="15.75" customHeight="1">
      <c r="A31492" s="35"/>
      <c r="C31492" s="442"/>
      <c r="P31492" s="235"/>
      <c r="AI31492" s="38"/>
    </row>
    <row r="31493" ht="15.75" customHeight="1">
      <c r="A31493" s="35"/>
      <c r="C31493" s="442"/>
      <c r="P31493" s="235"/>
      <c r="AI31493" s="38"/>
    </row>
    <row r="31494" ht="15.75" customHeight="1">
      <c r="A31494" s="35"/>
      <c r="C31494" s="442"/>
      <c r="P31494" s="235"/>
      <c r="AI31494" s="38"/>
    </row>
    <row r="31495" ht="15.75" customHeight="1">
      <c r="A31495" s="35"/>
      <c r="C31495" s="442"/>
      <c r="P31495" s="235"/>
      <c r="AI31495" s="38"/>
    </row>
    <row r="31496" ht="15.75" customHeight="1">
      <c r="A31496" s="35"/>
      <c r="C31496" s="442"/>
      <c r="P31496" s="235"/>
      <c r="AI31496" s="38"/>
    </row>
    <row r="31497" ht="15.75" customHeight="1">
      <c r="A31497" s="35"/>
      <c r="C31497" s="442"/>
      <c r="P31497" s="235"/>
      <c r="AI31497" s="38"/>
    </row>
    <row r="31498" ht="15.75" customHeight="1">
      <c r="A31498" s="35"/>
      <c r="C31498" s="442"/>
      <c r="P31498" s="235"/>
      <c r="AI31498" s="38"/>
    </row>
    <row r="31499" ht="15.75" customHeight="1">
      <c r="A31499" s="35"/>
      <c r="C31499" s="442"/>
      <c r="P31499" s="235"/>
      <c r="AI31499" s="38"/>
    </row>
    <row r="31500" ht="15.75" customHeight="1">
      <c r="A31500" s="35"/>
      <c r="C31500" s="442"/>
      <c r="P31500" s="235"/>
      <c r="AI31500" s="38"/>
    </row>
    <row r="31501" ht="15.75" customHeight="1">
      <c r="A31501" s="35"/>
      <c r="C31501" s="442"/>
      <c r="P31501" s="235"/>
      <c r="AI31501" s="38"/>
    </row>
    <row r="31502" ht="15.75" customHeight="1">
      <c r="A31502" s="35"/>
      <c r="C31502" s="442"/>
      <c r="P31502" s="235"/>
      <c r="AI31502" s="38"/>
    </row>
    <row r="31503" ht="15.75" customHeight="1">
      <c r="A31503" s="35"/>
      <c r="C31503" s="442"/>
      <c r="P31503" s="235"/>
      <c r="AI31503" s="38"/>
    </row>
    <row r="31504" ht="15.75" customHeight="1">
      <c r="A31504" s="35"/>
      <c r="C31504" s="442"/>
      <c r="P31504" s="235"/>
      <c r="AI31504" s="38"/>
    </row>
    <row r="31505" ht="15.75" customHeight="1">
      <c r="A31505" s="35"/>
      <c r="C31505" s="442"/>
      <c r="P31505" s="235"/>
      <c r="AI31505" s="38"/>
    </row>
    <row r="31506" ht="15.75" customHeight="1">
      <c r="A31506" s="35"/>
      <c r="C31506" s="442"/>
      <c r="P31506" s="235"/>
      <c r="AI31506" s="38"/>
    </row>
    <row r="31507" ht="15.75" customHeight="1">
      <c r="A31507" s="35"/>
      <c r="C31507" s="442"/>
      <c r="P31507" s="235"/>
      <c r="AI31507" s="38"/>
    </row>
    <row r="31508" ht="15.75" customHeight="1">
      <c r="A31508" s="35"/>
      <c r="C31508" s="442"/>
      <c r="P31508" s="235"/>
      <c r="AI31508" s="38"/>
    </row>
    <row r="31509" ht="15.75" customHeight="1">
      <c r="A31509" s="35"/>
      <c r="C31509" s="442"/>
      <c r="P31509" s="235"/>
      <c r="AI31509" s="38"/>
    </row>
    <row r="31510" ht="15.75" customHeight="1">
      <c r="A31510" s="35"/>
      <c r="C31510" s="442"/>
      <c r="P31510" s="235"/>
      <c r="AI31510" s="38"/>
    </row>
    <row r="31511" ht="15.75" customHeight="1">
      <c r="A31511" s="35"/>
      <c r="C31511" s="442"/>
      <c r="P31511" s="235"/>
      <c r="AI31511" s="38"/>
    </row>
    <row r="31512" ht="15.75" customHeight="1">
      <c r="A31512" s="35"/>
      <c r="C31512" s="442"/>
      <c r="P31512" s="235"/>
      <c r="AI31512" s="38"/>
    </row>
    <row r="31513" ht="15.75" customHeight="1">
      <c r="A31513" s="35"/>
      <c r="C31513" s="442"/>
      <c r="P31513" s="235"/>
      <c r="AI31513" s="38"/>
    </row>
    <row r="31514" ht="15.75" customHeight="1">
      <c r="A31514" s="35"/>
      <c r="C31514" s="442"/>
      <c r="P31514" s="235"/>
      <c r="AI31514" s="38"/>
    </row>
    <row r="31515" ht="15.75" customHeight="1">
      <c r="A31515" s="35"/>
      <c r="C31515" s="442"/>
      <c r="P31515" s="235"/>
      <c r="AI31515" s="38"/>
    </row>
    <row r="31516" ht="15.75" customHeight="1">
      <c r="A31516" s="35"/>
      <c r="C31516" s="442"/>
      <c r="P31516" s="235"/>
      <c r="AI31516" s="38"/>
    </row>
    <row r="31517" ht="15.75" customHeight="1">
      <c r="A31517" s="35"/>
      <c r="C31517" s="442"/>
      <c r="P31517" s="235"/>
      <c r="AI31517" s="38"/>
    </row>
    <row r="31518" ht="15.75" customHeight="1">
      <c r="A31518" s="35"/>
      <c r="C31518" s="442"/>
      <c r="P31518" s="235"/>
      <c r="AI31518" s="38"/>
    </row>
    <row r="31519" ht="15.75" customHeight="1">
      <c r="A31519" s="35"/>
      <c r="C31519" s="442"/>
      <c r="P31519" s="235"/>
      <c r="AI31519" s="38"/>
    </row>
    <row r="31520" ht="15.75" customHeight="1">
      <c r="A31520" s="35"/>
      <c r="C31520" s="442"/>
      <c r="P31520" s="235"/>
      <c r="AI31520" s="38"/>
    </row>
    <row r="31521" ht="15.75" customHeight="1">
      <c r="A31521" s="35"/>
      <c r="C31521" s="442"/>
      <c r="P31521" s="235"/>
      <c r="AI31521" s="38"/>
    </row>
    <row r="31522" ht="15.75" customHeight="1">
      <c r="A31522" s="35"/>
      <c r="C31522" s="442"/>
      <c r="P31522" s="235"/>
      <c r="AI31522" s="38"/>
    </row>
    <row r="31523" ht="15.75" customHeight="1">
      <c r="A31523" s="35"/>
      <c r="C31523" s="442"/>
      <c r="P31523" s="235"/>
      <c r="AI31523" s="38"/>
    </row>
    <row r="31524" ht="15.75" customHeight="1">
      <c r="A31524" s="35"/>
      <c r="C31524" s="442"/>
      <c r="P31524" s="235"/>
      <c r="AI31524" s="38"/>
    </row>
    <row r="31525" ht="15.75" customHeight="1">
      <c r="A31525" s="35"/>
      <c r="C31525" s="442"/>
      <c r="P31525" s="235"/>
      <c r="AI31525" s="38"/>
    </row>
    <row r="31526" ht="15.75" customHeight="1">
      <c r="A31526" s="35"/>
      <c r="C31526" s="442"/>
      <c r="P31526" s="235"/>
      <c r="AI31526" s="38"/>
    </row>
    <row r="31527" ht="15.75" customHeight="1">
      <c r="A31527" s="35"/>
      <c r="C31527" s="442"/>
      <c r="P31527" s="235"/>
      <c r="AI31527" s="38"/>
    </row>
    <row r="31528" ht="15.75" customHeight="1">
      <c r="A31528" s="35"/>
      <c r="C31528" s="442"/>
      <c r="P31528" s="235"/>
      <c r="AI31528" s="38"/>
    </row>
    <row r="31529" ht="15.75" customHeight="1">
      <c r="A31529" s="35"/>
      <c r="C31529" s="442"/>
      <c r="P31529" s="235"/>
      <c r="AI31529" s="38"/>
    </row>
    <row r="31530" ht="15.75" customHeight="1">
      <c r="A31530" s="35"/>
      <c r="C31530" s="442"/>
      <c r="P31530" s="235"/>
      <c r="AI31530" s="38"/>
    </row>
    <row r="31531" ht="15.75" customHeight="1">
      <c r="A31531" s="35"/>
      <c r="C31531" s="442"/>
      <c r="P31531" s="235"/>
      <c r="AI31531" s="38"/>
    </row>
    <row r="31532" ht="15.75" customHeight="1">
      <c r="A31532" s="35"/>
      <c r="C31532" s="442"/>
      <c r="P31532" s="235"/>
      <c r="AI31532" s="38"/>
    </row>
    <row r="31533" ht="15.75" customHeight="1">
      <c r="A31533" s="35"/>
      <c r="C31533" s="442"/>
      <c r="P31533" s="235"/>
      <c r="AI31533" s="38"/>
    </row>
    <row r="31534" ht="15.75" customHeight="1">
      <c r="A31534" s="35"/>
      <c r="C31534" s="442"/>
      <c r="P31534" s="235"/>
      <c r="AI31534" s="38"/>
    </row>
    <row r="31535" ht="15.75" customHeight="1">
      <c r="A31535" s="35"/>
      <c r="C31535" s="442"/>
      <c r="P31535" s="235"/>
      <c r="AI31535" s="38"/>
    </row>
    <row r="31536" ht="15.75" customHeight="1">
      <c r="A31536" s="35"/>
      <c r="C31536" s="442"/>
      <c r="P31536" s="235"/>
      <c r="AI31536" s="38"/>
    </row>
    <row r="31537" ht="15.75" customHeight="1">
      <c r="A31537" s="35"/>
      <c r="C31537" s="442"/>
      <c r="P31537" s="235"/>
      <c r="AI31537" s="38"/>
    </row>
    <row r="31538" ht="15.75" customHeight="1">
      <c r="A31538" s="35"/>
      <c r="C31538" s="442"/>
      <c r="P31538" s="235"/>
      <c r="AI31538" s="38"/>
    </row>
    <row r="31539" ht="15.75" customHeight="1">
      <c r="A31539" s="35"/>
      <c r="C31539" s="442"/>
      <c r="P31539" s="235"/>
      <c r="AI31539" s="38"/>
    </row>
    <row r="31540" ht="15.75" customHeight="1">
      <c r="A31540" s="35"/>
      <c r="C31540" s="442"/>
      <c r="P31540" s="235"/>
      <c r="AI31540" s="38"/>
    </row>
    <row r="31541" ht="15.75" customHeight="1">
      <c r="A31541" s="35"/>
      <c r="C31541" s="442"/>
      <c r="P31541" s="235"/>
      <c r="AI31541" s="38"/>
    </row>
    <row r="31542" ht="15.75" customHeight="1">
      <c r="A31542" s="35"/>
      <c r="C31542" s="442"/>
      <c r="P31542" s="235"/>
      <c r="AI31542" s="38"/>
    </row>
    <row r="31543" ht="15.75" customHeight="1">
      <c r="A31543" s="35"/>
      <c r="C31543" s="442"/>
      <c r="P31543" s="235"/>
      <c r="AI31543" s="38"/>
    </row>
    <row r="31544" ht="15.75" customHeight="1">
      <c r="A31544" s="35"/>
      <c r="C31544" s="442"/>
      <c r="P31544" s="235"/>
      <c r="AI31544" s="38"/>
    </row>
    <row r="31545" ht="15.75" customHeight="1">
      <c r="A31545" s="35"/>
      <c r="C31545" s="442"/>
      <c r="P31545" s="235"/>
      <c r="AI31545" s="38"/>
    </row>
    <row r="31546" ht="15.75" customHeight="1">
      <c r="A31546" s="35"/>
      <c r="C31546" s="442"/>
      <c r="P31546" s="235"/>
      <c r="AI31546" s="38"/>
    </row>
    <row r="31547" ht="15.75" customHeight="1">
      <c r="A31547" s="35"/>
      <c r="C31547" s="442"/>
      <c r="P31547" s="235"/>
      <c r="AI31547" s="38"/>
    </row>
    <row r="31548" ht="15.75" customHeight="1">
      <c r="A31548" s="35"/>
      <c r="C31548" s="442"/>
      <c r="P31548" s="235"/>
      <c r="AI31548" s="38"/>
    </row>
    <row r="31549" ht="15.75" customHeight="1">
      <c r="A31549" s="35"/>
      <c r="C31549" s="442"/>
      <c r="P31549" s="235"/>
      <c r="AI31549" s="38"/>
    </row>
    <row r="31550" ht="15.75" customHeight="1">
      <c r="A31550" s="35"/>
      <c r="C31550" s="442"/>
      <c r="P31550" s="235"/>
      <c r="AI31550" s="38"/>
    </row>
    <row r="31551" ht="15.75" customHeight="1">
      <c r="A31551" s="35"/>
      <c r="C31551" s="442"/>
      <c r="P31551" s="235"/>
      <c r="AI31551" s="38"/>
    </row>
    <row r="31552" ht="15.75" customHeight="1">
      <c r="A31552" s="35"/>
      <c r="C31552" s="442"/>
      <c r="P31552" s="235"/>
      <c r="AI31552" s="38"/>
    </row>
    <row r="31553" ht="15.75" customHeight="1">
      <c r="A31553" s="35"/>
      <c r="C31553" s="442"/>
      <c r="P31553" s="235"/>
      <c r="AI31553" s="38"/>
    </row>
    <row r="31554" ht="15.75" customHeight="1">
      <c r="A31554" s="35"/>
      <c r="C31554" s="442"/>
      <c r="P31554" s="235"/>
      <c r="AI31554" s="38"/>
    </row>
    <row r="31555" ht="15.75" customHeight="1">
      <c r="A31555" s="35"/>
      <c r="C31555" s="442"/>
      <c r="P31555" s="235"/>
      <c r="AI31555" s="38"/>
    </row>
    <row r="31556" ht="15.75" customHeight="1">
      <c r="A31556" s="35"/>
      <c r="C31556" s="442"/>
      <c r="P31556" s="235"/>
      <c r="AI31556" s="38"/>
    </row>
    <row r="31557" ht="15.75" customHeight="1">
      <c r="A31557" s="35"/>
      <c r="C31557" s="442"/>
      <c r="P31557" s="235"/>
      <c r="AI31557" s="38"/>
    </row>
    <row r="31558" ht="15.75" customHeight="1">
      <c r="A31558" s="35"/>
      <c r="C31558" s="442"/>
      <c r="P31558" s="235"/>
      <c r="AI31558" s="38"/>
    </row>
    <row r="31559" ht="15.75" customHeight="1">
      <c r="A31559" s="35"/>
      <c r="C31559" s="442"/>
      <c r="P31559" s="235"/>
      <c r="AI31559" s="38"/>
    </row>
    <row r="31560" ht="15.75" customHeight="1">
      <c r="A31560" s="35"/>
      <c r="C31560" s="442"/>
      <c r="P31560" s="235"/>
      <c r="AI31560" s="38"/>
    </row>
    <row r="31561" ht="15.75" customHeight="1">
      <c r="A31561" s="35"/>
      <c r="C31561" s="442"/>
      <c r="P31561" s="235"/>
      <c r="AI31561" s="38"/>
    </row>
    <row r="31562" ht="15.75" customHeight="1">
      <c r="A31562" s="35"/>
      <c r="C31562" s="442"/>
      <c r="P31562" s="235"/>
      <c r="AI31562" s="38"/>
    </row>
    <row r="31563" ht="15.75" customHeight="1">
      <c r="A31563" s="35"/>
      <c r="C31563" s="442"/>
      <c r="P31563" s="235"/>
      <c r="AI31563" s="38"/>
    </row>
    <row r="31564" ht="15.75" customHeight="1">
      <c r="A31564" s="35"/>
      <c r="C31564" s="442"/>
      <c r="P31564" s="235"/>
      <c r="AI31564" s="38"/>
    </row>
    <row r="31565" ht="15.75" customHeight="1">
      <c r="A31565" s="35"/>
      <c r="C31565" s="442"/>
      <c r="P31565" s="235"/>
      <c r="AI31565" s="38"/>
    </row>
    <row r="31566" ht="15.75" customHeight="1">
      <c r="A31566" s="35"/>
      <c r="C31566" s="442"/>
      <c r="P31566" s="235"/>
      <c r="AI31566" s="38"/>
    </row>
    <row r="31567" ht="15.75" customHeight="1">
      <c r="A31567" s="35"/>
      <c r="C31567" s="442"/>
      <c r="P31567" s="235"/>
      <c r="AI31567" s="38"/>
    </row>
    <row r="31568" ht="15.75" customHeight="1">
      <c r="A31568" s="35"/>
      <c r="C31568" s="442"/>
      <c r="P31568" s="235"/>
      <c r="AI31568" s="38"/>
    </row>
    <row r="31569" ht="15.75" customHeight="1">
      <c r="A31569" s="35"/>
      <c r="C31569" s="442"/>
      <c r="P31569" s="235"/>
      <c r="AI31569" s="38"/>
    </row>
    <row r="31570" ht="15.75" customHeight="1">
      <c r="A31570" s="35"/>
      <c r="C31570" s="442"/>
      <c r="P31570" s="235"/>
      <c r="AI31570" s="38"/>
    </row>
    <row r="31571" ht="15.75" customHeight="1">
      <c r="A31571" s="35"/>
      <c r="C31571" s="442"/>
      <c r="P31571" s="235"/>
      <c r="AI31571" s="38"/>
    </row>
    <row r="31572" ht="15.75" customHeight="1">
      <c r="A31572" s="35"/>
      <c r="C31572" s="442"/>
      <c r="P31572" s="235"/>
      <c r="AI31572" s="38"/>
    </row>
    <row r="31573" ht="15.75" customHeight="1">
      <c r="A31573" s="35"/>
      <c r="C31573" s="442"/>
      <c r="P31573" s="235"/>
      <c r="AI31573" s="38"/>
    </row>
    <row r="31574" ht="15.75" customHeight="1">
      <c r="A31574" s="35"/>
      <c r="C31574" s="442"/>
      <c r="P31574" s="235"/>
      <c r="AI31574" s="38"/>
    </row>
    <row r="31575" ht="15.75" customHeight="1">
      <c r="A31575" s="35"/>
      <c r="C31575" s="442"/>
      <c r="P31575" s="235"/>
      <c r="AI31575" s="38"/>
    </row>
    <row r="31576" ht="15.75" customHeight="1">
      <c r="A31576" s="35"/>
      <c r="C31576" s="442"/>
      <c r="P31576" s="235"/>
      <c r="AI31576" s="38"/>
    </row>
    <row r="31577" ht="15.75" customHeight="1">
      <c r="A31577" s="35"/>
      <c r="C31577" s="442"/>
      <c r="P31577" s="235"/>
      <c r="AI31577" s="38"/>
    </row>
    <row r="31578" ht="15.75" customHeight="1">
      <c r="A31578" s="35"/>
      <c r="C31578" s="442"/>
      <c r="P31578" s="235"/>
      <c r="AI31578" s="38"/>
    </row>
    <row r="31579" ht="15.75" customHeight="1">
      <c r="A31579" s="35"/>
      <c r="C31579" s="442"/>
      <c r="P31579" s="235"/>
      <c r="AI31579" s="38"/>
    </row>
    <row r="31580" ht="15.75" customHeight="1">
      <c r="A31580" s="35"/>
      <c r="C31580" s="442"/>
      <c r="P31580" s="235"/>
      <c r="AI31580" s="38"/>
    </row>
    <row r="31581" ht="15.75" customHeight="1">
      <c r="A31581" s="35"/>
      <c r="C31581" s="442"/>
      <c r="P31581" s="235"/>
      <c r="AI31581" s="38"/>
    </row>
    <row r="31582" ht="15.75" customHeight="1">
      <c r="A31582" s="35"/>
      <c r="C31582" s="442"/>
      <c r="P31582" s="235"/>
      <c r="AI31582" s="38"/>
    </row>
    <row r="31583" ht="15.75" customHeight="1">
      <c r="A31583" s="35"/>
      <c r="C31583" s="442"/>
      <c r="P31583" s="235"/>
      <c r="AI31583" s="38"/>
    </row>
    <row r="31584" ht="15.75" customHeight="1">
      <c r="A31584" s="35"/>
      <c r="C31584" s="442"/>
      <c r="P31584" s="235"/>
      <c r="AI31584" s="38"/>
    </row>
    <row r="31585" ht="15.75" customHeight="1">
      <c r="A31585" s="35"/>
      <c r="C31585" s="442"/>
      <c r="P31585" s="235"/>
      <c r="AI31585" s="38"/>
    </row>
    <row r="31586" ht="15.75" customHeight="1">
      <c r="A31586" s="35"/>
      <c r="C31586" s="442"/>
      <c r="P31586" s="235"/>
      <c r="AI31586" s="38"/>
    </row>
    <row r="31587" ht="15.75" customHeight="1">
      <c r="A31587" s="35"/>
      <c r="C31587" s="442"/>
      <c r="P31587" s="235"/>
      <c r="AI31587" s="38"/>
    </row>
    <row r="31588" ht="15.75" customHeight="1">
      <c r="A31588" s="35"/>
      <c r="C31588" s="442"/>
      <c r="P31588" s="235"/>
      <c r="AI31588" s="38"/>
    </row>
    <row r="31589" ht="15.75" customHeight="1">
      <c r="A31589" s="35"/>
      <c r="C31589" s="442"/>
      <c r="P31589" s="235"/>
      <c r="AI31589" s="38"/>
    </row>
    <row r="31590" ht="15.75" customHeight="1">
      <c r="A31590" s="35"/>
      <c r="C31590" s="442"/>
      <c r="P31590" s="235"/>
      <c r="AI31590" s="38"/>
    </row>
    <row r="31591" ht="15.75" customHeight="1">
      <c r="A31591" s="35"/>
      <c r="C31591" s="442"/>
      <c r="P31591" s="235"/>
      <c r="AI31591" s="38"/>
    </row>
    <row r="31592" ht="15.75" customHeight="1">
      <c r="A31592" s="35"/>
      <c r="C31592" s="442"/>
      <c r="P31592" s="235"/>
      <c r="AI31592" s="38"/>
    </row>
    <row r="31593" ht="15.75" customHeight="1">
      <c r="A31593" s="35"/>
      <c r="C31593" s="442"/>
      <c r="P31593" s="235"/>
      <c r="AI31593" s="38"/>
    </row>
    <row r="31594" ht="15.75" customHeight="1">
      <c r="A31594" s="35"/>
      <c r="C31594" s="442"/>
      <c r="P31594" s="235"/>
      <c r="AI31594" s="38"/>
    </row>
    <row r="31595" ht="15.75" customHeight="1">
      <c r="A31595" s="35"/>
      <c r="C31595" s="442"/>
      <c r="P31595" s="235"/>
      <c r="AI31595" s="38"/>
    </row>
    <row r="31596" ht="15.75" customHeight="1">
      <c r="A31596" s="35"/>
      <c r="C31596" s="442"/>
      <c r="P31596" s="235"/>
      <c r="AI31596" s="38"/>
    </row>
    <row r="31597" ht="15.75" customHeight="1">
      <c r="A31597" s="35"/>
      <c r="C31597" s="442"/>
      <c r="P31597" s="235"/>
      <c r="AI31597" s="38"/>
    </row>
    <row r="31598" ht="15.75" customHeight="1">
      <c r="A31598" s="35"/>
      <c r="C31598" s="442"/>
      <c r="P31598" s="235"/>
      <c r="AI31598" s="38"/>
    </row>
    <row r="31599" ht="15.75" customHeight="1">
      <c r="A31599" s="35"/>
      <c r="C31599" s="442"/>
      <c r="P31599" s="235"/>
      <c r="AI31599" s="38"/>
    </row>
    <row r="31600" ht="15.75" customHeight="1">
      <c r="A31600" s="35"/>
      <c r="C31600" s="442"/>
      <c r="P31600" s="235"/>
      <c r="AI31600" s="38"/>
    </row>
    <row r="31601" ht="15.75" customHeight="1">
      <c r="A31601" s="35"/>
      <c r="C31601" s="442"/>
      <c r="P31601" s="235"/>
      <c r="AI31601" s="38"/>
    </row>
    <row r="31602" ht="15.75" customHeight="1">
      <c r="A31602" s="35"/>
      <c r="C31602" s="442"/>
      <c r="P31602" s="235"/>
      <c r="AI31602" s="38"/>
    </row>
    <row r="31603" ht="15.75" customHeight="1">
      <c r="A31603" s="35"/>
      <c r="C31603" s="442"/>
      <c r="P31603" s="235"/>
      <c r="AI31603" s="38"/>
    </row>
    <row r="31604" ht="15.75" customHeight="1">
      <c r="A31604" s="35"/>
      <c r="C31604" s="442"/>
      <c r="P31604" s="235"/>
      <c r="AI31604" s="38"/>
    </row>
    <row r="31605" ht="15.75" customHeight="1">
      <c r="A31605" s="35"/>
      <c r="C31605" s="442"/>
      <c r="P31605" s="235"/>
      <c r="AI31605" s="38"/>
    </row>
    <row r="31606" ht="15.75" customHeight="1">
      <c r="A31606" s="35"/>
      <c r="C31606" s="442"/>
      <c r="P31606" s="235"/>
      <c r="AI31606" s="38"/>
    </row>
    <row r="31607" ht="15.75" customHeight="1">
      <c r="A31607" s="35"/>
      <c r="C31607" s="442"/>
      <c r="P31607" s="235"/>
      <c r="AI31607" s="38"/>
    </row>
    <row r="31608" ht="15.75" customHeight="1">
      <c r="A31608" s="35"/>
      <c r="C31608" s="442"/>
      <c r="P31608" s="235"/>
      <c r="AI31608" s="38"/>
    </row>
    <row r="31609" ht="15.75" customHeight="1">
      <c r="A31609" s="35"/>
      <c r="C31609" s="442"/>
      <c r="P31609" s="235"/>
      <c r="AI31609" s="38"/>
    </row>
    <row r="31610" ht="15.75" customHeight="1">
      <c r="A31610" s="35"/>
      <c r="C31610" s="442"/>
      <c r="P31610" s="235"/>
      <c r="AI31610" s="38"/>
    </row>
    <row r="31611" ht="15.75" customHeight="1">
      <c r="A31611" s="35"/>
      <c r="C31611" s="442"/>
      <c r="P31611" s="235"/>
      <c r="AI31611" s="38"/>
    </row>
    <row r="31612" ht="15.75" customHeight="1">
      <c r="A31612" s="35"/>
      <c r="C31612" s="442"/>
      <c r="P31612" s="235"/>
      <c r="AI31612" s="38"/>
    </row>
    <row r="31613" ht="15.75" customHeight="1">
      <c r="A31613" s="35"/>
      <c r="C31613" s="442"/>
      <c r="P31613" s="235"/>
      <c r="AI31613" s="38"/>
    </row>
    <row r="31614" ht="15.75" customHeight="1">
      <c r="A31614" s="35"/>
      <c r="C31614" s="442"/>
      <c r="P31614" s="235"/>
      <c r="AI31614" s="38"/>
    </row>
    <row r="31615" ht="15.75" customHeight="1">
      <c r="A31615" s="35"/>
      <c r="C31615" s="442"/>
      <c r="P31615" s="235"/>
      <c r="AI31615" s="38"/>
    </row>
    <row r="31616" ht="15.75" customHeight="1">
      <c r="A31616" s="35"/>
      <c r="C31616" s="442"/>
      <c r="P31616" s="235"/>
      <c r="AI31616" s="38"/>
    </row>
    <row r="31617" ht="15.75" customHeight="1">
      <c r="A31617" s="35"/>
      <c r="C31617" s="442"/>
      <c r="P31617" s="235"/>
      <c r="AI31617" s="38"/>
    </row>
    <row r="31618" ht="15.75" customHeight="1">
      <c r="A31618" s="35"/>
      <c r="C31618" s="442"/>
      <c r="P31618" s="235"/>
      <c r="AI31618" s="38"/>
    </row>
    <row r="31619" ht="15.75" customHeight="1">
      <c r="A31619" s="35"/>
      <c r="C31619" s="442"/>
      <c r="P31619" s="235"/>
      <c r="AI31619" s="38"/>
    </row>
    <row r="31620" ht="15.75" customHeight="1">
      <c r="A31620" s="35"/>
      <c r="C31620" s="442"/>
      <c r="P31620" s="235"/>
      <c r="AI31620" s="38"/>
    </row>
    <row r="31621" ht="15.75" customHeight="1">
      <c r="A31621" s="35"/>
      <c r="C31621" s="442"/>
      <c r="P31621" s="235"/>
      <c r="AI31621" s="38"/>
    </row>
    <row r="31622" ht="15.75" customHeight="1">
      <c r="A31622" s="35"/>
      <c r="C31622" s="442"/>
      <c r="P31622" s="235"/>
      <c r="AI31622" s="38"/>
    </row>
    <row r="31623" ht="15.75" customHeight="1">
      <c r="A31623" s="35"/>
      <c r="C31623" s="442"/>
      <c r="P31623" s="235"/>
      <c r="AI31623" s="38"/>
    </row>
    <row r="31624" ht="15.75" customHeight="1">
      <c r="A31624" s="35"/>
      <c r="C31624" s="442"/>
      <c r="P31624" s="235"/>
      <c r="AI31624" s="38"/>
    </row>
    <row r="31625" ht="15.75" customHeight="1">
      <c r="A31625" s="35"/>
      <c r="C31625" s="442"/>
      <c r="P31625" s="235"/>
      <c r="AI31625" s="38"/>
    </row>
    <row r="31626" ht="15.75" customHeight="1">
      <c r="A31626" s="35"/>
      <c r="C31626" s="442"/>
      <c r="P31626" s="235"/>
      <c r="AI31626" s="38"/>
    </row>
    <row r="31627" ht="15.75" customHeight="1">
      <c r="A31627" s="35"/>
      <c r="C31627" s="442"/>
      <c r="P31627" s="235"/>
      <c r="AI31627" s="38"/>
    </row>
    <row r="31628" ht="15.75" customHeight="1">
      <c r="A31628" s="35"/>
      <c r="C31628" s="442"/>
      <c r="P31628" s="235"/>
      <c r="AI31628" s="38"/>
    </row>
    <row r="31629" ht="15.75" customHeight="1">
      <c r="A31629" s="35"/>
      <c r="C31629" s="442"/>
      <c r="P31629" s="235"/>
      <c r="AI31629" s="38"/>
    </row>
    <row r="31630" ht="15.75" customHeight="1">
      <c r="A31630" s="35"/>
      <c r="C31630" s="442"/>
      <c r="P31630" s="235"/>
      <c r="AI31630" s="38"/>
    </row>
    <row r="31631" ht="15.75" customHeight="1">
      <c r="A31631" s="35"/>
      <c r="C31631" s="442"/>
      <c r="P31631" s="235"/>
      <c r="AI31631" s="38"/>
    </row>
    <row r="31632" ht="15.75" customHeight="1">
      <c r="A31632" s="35"/>
      <c r="C31632" s="442"/>
      <c r="P31632" s="235"/>
      <c r="AI31632" s="38"/>
    </row>
    <row r="31633" ht="15.75" customHeight="1">
      <c r="A31633" s="35"/>
      <c r="C31633" s="442"/>
      <c r="P31633" s="235"/>
      <c r="AI31633" s="38"/>
    </row>
    <row r="31634" ht="15.75" customHeight="1">
      <c r="A31634" s="35"/>
      <c r="C31634" s="442"/>
      <c r="P31634" s="235"/>
      <c r="AI31634" s="38"/>
    </row>
    <row r="31635" ht="15.75" customHeight="1">
      <c r="A31635" s="35"/>
      <c r="C31635" s="442"/>
      <c r="P31635" s="235"/>
      <c r="AI31635" s="38"/>
    </row>
    <row r="31636" ht="15.75" customHeight="1">
      <c r="A31636" s="35"/>
      <c r="C31636" s="442"/>
      <c r="P31636" s="235"/>
      <c r="AI31636" s="38"/>
    </row>
    <row r="31637" ht="15.75" customHeight="1">
      <c r="A31637" s="35"/>
      <c r="C31637" s="442"/>
      <c r="P31637" s="235"/>
      <c r="AI31637" s="38"/>
    </row>
    <row r="31638" ht="15.75" customHeight="1">
      <c r="A31638" s="35"/>
      <c r="C31638" s="442"/>
      <c r="P31638" s="235"/>
      <c r="AI31638" s="38"/>
    </row>
    <row r="31639" ht="15.75" customHeight="1">
      <c r="A31639" s="35"/>
      <c r="C31639" s="442"/>
      <c r="P31639" s="235"/>
      <c r="AI31639" s="38"/>
    </row>
    <row r="31640" ht="15.75" customHeight="1">
      <c r="A31640" s="35"/>
      <c r="C31640" s="442"/>
      <c r="P31640" s="235"/>
      <c r="AI31640" s="38"/>
    </row>
    <row r="31641" ht="15.75" customHeight="1">
      <c r="A31641" s="35"/>
      <c r="C31641" s="442"/>
      <c r="P31641" s="235"/>
      <c r="AI31641" s="38"/>
    </row>
    <row r="31642" ht="15.75" customHeight="1">
      <c r="A31642" s="35"/>
      <c r="C31642" s="442"/>
      <c r="P31642" s="235"/>
      <c r="AI31642" s="38"/>
    </row>
    <row r="31643" ht="15.75" customHeight="1">
      <c r="A31643" s="35"/>
      <c r="C31643" s="442"/>
      <c r="P31643" s="235"/>
      <c r="AI31643" s="38"/>
    </row>
    <row r="31644" ht="15.75" customHeight="1">
      <c r="A31644" s="35"/>
      <c r="C31644" s="442"/>
      <c r="P31644" s="235"/>
      <c r="AI31644" s="38"/>
    </row>
    <row r="31645" ht="15.75" customHeight="1">
      <c r="A31645" s="35"/>
      <c r="C31645" s="442"/>
      <c r="P31645" s="235"/>
      <c r="AI31645" s="38"/>
    </row>
    <row r="31646" ht="15.75" customHeight="1">
      <c r="A31646" s="35"/>
      <c r="C31646" s="442"/>
      <c r="P31646" s="235"/>
      <c r="AI31646" s="38"/>
    </row>
    <row r="31647" ht="15.75" customHeight="1">
      <c r="A31647" s="35"/>
      <c r="C31647" s="442"/>
      <c r="P31647" s="235"/>
      <c r="AI31647" s="38"/>
    </row>
    <row r="31648" ht="15.75" customHeight="1">
      <c r="A31648" s="35"/>
      <c r="C31648" s="442"/>
      <c r="P31648" s="235"/>
      <c r="AI31648" s="38"/>
    </row>
    <row r="31649" ht="15.75" customHeight="1">
      <c r="A31649" s="35"/>
      <c r="C31649" s="442"/>
      <c r="P31649" s="235"/>
      <c r="AI31649" s="38"/>
    </row>
    <row r="31650" ht="15.75" customHeight="1">
      <c r="A31650" s="35"/>
      <c r="C31650" s="442"/>
      <c r="P31650" s="235"/>
      <c r="AI31650" s="38"/>
    </row>
    <row r="31651" ht="15.75" customHeight="1">
      <c r="A31651" s="35"/>
      <c r="C31651" s="442"/>
      <c r="P31651" s="235"/>
      <c r="AI31651" s="38"/>
    </row>
    <row r="31652" ht="15.75" customHeight="1">
      <c r="A31652" s="35"/>
      <c r="C31652" s="442"/>
      <c r="P31652" s="235"/>
      <c r="AI31652" s="38"/>
    </row>
    <row r="31653" ht="15.75" customHeight="1">
      <c r="A31653" s="35"/>
      <c r="C31653" s="442"/>
      <c r="P31653" s="235"/>
      <c r="AI31653" s="38"/>
    </row>
    <row r="31654" ht="15.75" customHeight="1">
      <c r="A31654" s="35"/>
      <c r="C31654" s="442"/>
      <c r="P31654" s="235"/>
      <c r="AI31654" s="38"/>
    </row>
    <row r="31655" ht="15.75" customHeight="1">
      <c r="A31655" s="35"/>
      <c r="C31655" s="442"/>
      <c r="P31655" s="235"/>
      <c r="AI31655" s="38"/>
    </row>
    <row r="31656" ht="15.75" customHeight="1">
      <c r="A31656" s="35"/>
      <c r="C31656" s="442"/>
      <c r="P31656" s="235"/>
      <c r="AI31656" s="38"/>
    </row>
    <row r="31657" ht="15.75" customHeight="1">
      <c r="A31657" s="35"/>
      <c r="C31657" s="442"/>
      <c r="P31657" s="235"/>
      <c r="AI31657" s="38"/>
    </row>
    <row r="31658" ht="15.75" customHeight="1">
      <c r="A31658" s="35"/>
      <c r="C31658" s="442"/>
      <c r="P31658" s="235"/>
      <c r="AI31658" s="38"/>
    </row>
    <row r="31659" ht="15.75" customHeight="1">
      <c r="A31659" s="35"/>
      <c r="C31659" s="442"/>
      <c r="P31659" s="235"/>
      <c r="AI31659" s="38"/>
    </row>
    <row r="31660" ht="15.75" customHeight="1">
      <c r="A31660" s="35"/>
      <c r="C31660" s="442"/>
      <c r="P31660" s="235"/>
      <c r="AI31660" s="38"/>
    </row>
    <row r="31661" ht="15.75" customHeight="1">
      <c r="A31661" s="35"/>
      <c r="C31661" s="442"/>
      <c r="P31661" s="235"/>
      <c r="AI31661" s="38"/>
    </row>
    <row r="31662" ht="15.75" customHeight="1">
      <c r="A31662" s="35"/>
      <c r="C31662" s="442"/>
      <c r="P31662" s="235"/>
      <c r="AI31662" s="38"/>
    </row>
    <row r="31663" ht="15.75" customHeight="1">
      <c r="A31663" s="35"/>
      <c r="C31663" s="442"/>
      <c r="P31663" s="235"/>
      <c r="AI31663" s="38"/>
    </row>
    <row r="31664" ht="15.75" customHeight="1">
      <c r="A31664" s="35"/>
      <c r="C31664" s="442"/>
      <c r="P31664" s="235"/>
      <c r="AI31664" s="38"/>
    </row>
    <row r="31665" ht="15.75" customHeight="1">
      <c r="A31665" s="35"/>
      <c r="C31665" s="442"/>
      <c r="P31665" s="235"/>
      <c r="AI31665" s="38"/>
    </row>
    <row r="31666" ht="15.75" customHeight="1">
      <c r="A31666" s="35"/>
      <c r="C31666" s="442"/>
      <c r="P31666" s="235"/>
      <c r="AI31666" s="38"/>
    </row>
    <row r="31667" ht="15.75" customHeight="1">
      <c r="A31667" s="35"/>
      <c r="C31667" s="442"/>
      <c r="P31667" s="235"/>
      <c r="AI31667" s="38"/>
    </row>
    <row r="31668" ht="15.75" customHeight="1">
      <c r="A31668" s="35"/>
      <c r="C31668" s="442"/>
      <c r="P31668" s="235"/>
      <c r="AI31668" s="38"/>
    </row>
    <row r="31669" ht="15.75" customHeight="1">
      <c r="A31669" s="35"/>
      <c r="C31669" s="442"/>
      <c r="P31669" s="235"/>
      <c r="AI31669" s="38"/>
    </row>
    <row r="31670" ht="15.75" customHeight="1">
      <c r="A31670" s="35"/>
      <c r="C31670" s="442"/>
      <c r="P31670" s="235"/>
      <c r="AI31670" s="38"/>
    </row>
    <row r="31671" ht="15.75" customHeight="1">
      <c r="A31671" s="35"/>
      <c r="C31671" s="442"/>
      <c r="P31671" s="235"/>
      <c r="AI31671" s="38"/>
    </row>
    <row r="31672" ht="15.75" customHeight="1">
      <c r="A31672" s="35"/>
      <c r="C31672" s="442"/>
      <c r="P31672" s="235"/>
      <c r="AI31672" s="38"/>
    </row>
    <row r="31673" ht="15.75" customHeight="1">
      <c r="A31673" s="35"/>
      <c r="C31673" s="442"/>
      <c r="P31673" s="235"/>
      <c r="AI31673" s="38"/>
    </row>
    <row r="31674" ht="15.75" customHeight="1">
      <c r="A31674" s="35"/>
      <c r="C31674" s="442"/>
      <c r="P31674" s="235"/>
      <c r="AI31674" s="38"/>
    </row>
    <row r="31675" ht="15.75" customHeight="1">
      <c r="A31675" s="35"/>
      <c r="C31675" s="442"/>
      <c r="P31675" s="235"/>
      <c r="AI31675" s="38"/>
    </row>
    <row r="31676" ht="15.75" customHeight="1">
      <c r="A31676" s="35"/>
      <c r="C31676" s="442"/>
      <c r="P31676" s="235"/>
      <c r="AI31676" s="38"/>
    </row>
    <row r="31677" ht="15.75" customHeight="1">
      <c r="A31677" s="35"/>
      <c r="C31677" s="442"/>
      <c r="P31677" s="235"/>
      <c r="AI31677" s="38"/>
    </row>
    <row r="31678" ht="15.75" customHeight="1">
      <c r="A31678" s="35"/>
      <c r="C31678" s="442"/>
      <c r="P31678" s="235"/>
      <c r="AI31678" s="38"/>
    </row>
    <row r="31679" ht="15.75" customHeight="1">
      <c r="A31679" s="35"/>
      <c r="C31679" s="442"/>
      <c r="P31679" s="235"/>
      <c r="AI31679" s="38"/>
    </row>
    <row r="31680" ht="15.75" customHeight="1">
      <c r="A31680" s="35"/>
      <c r="C31680" s="442"/>
      <c r="P31680" s="235"/>
      <c r="AI31680" s="38"/>
    </row>
    <row r="31681" ht="15.75" customHeight="1">
      <c r="A31681" s="35"/>
      <c r="C31681" s="442"/>
      <c r="P31681" s="235"/>
      <c r="AI31681" s="38"/>
    </row>
    <row r="31682" ht="15.75" customHeight="1">
      <c r="A31682" s="35"/>
      <c r="C31682" s="442"/>
      <c r="P31682" s="235"/>
      <c r="AI31682" s="38"/>
    </row>
    <row r="31683" ht="15.75" customHeight="1">
      <c r="A31683" s="35"/>
      <c r="C31683" s="442"/>
      <c r="P31683" s="235"/>
      <c r="AI31683" s="38"/>
    </row>
    <row r="31684" ht="15.75" customHeight="1">
      <c r="A31684" s="35"/>
      <c r="C31684" s="442"/>
      <c r="P31684" s="235"/>
      <c r="AI31684" s="38"/>
    </row>
    <row r="31685" ht="15.75" customHeight="1">
      <c r="A31685" s="35"/>
      <c r="C31685" s="442"/>
      <c r="P31685" s="235"/>
      <c r="AI31685" s="38"/>
    </row>
    <row r="31686" ht="15.75" customHeight="1">
      <c r="A31686" s="35"/>
      <c r="C31686" s="442"/>
      <c r="P31686" s="235"/>
      <c r="AI31686" s="38"/>
    </row>
    <row r="31687" ht="15.75" customHeight="1">
      <c r="A31687" s="35"/>
      <c r="C31687" s="442"/>
      <c r="P31687" s="235"/>
      <c r="AI31687" s="38"/>
    </row>
    <row r="31688" ht="15.75" customHeight="1">
      <c r="A31688" s="35"/>
      <c r="C31688" s="442"/>
      <c r="P31688" s="235"/>
      <c r="AI31688" s="38"/>
    </row>
    <row r="31689" ht="15.75" customHeight="1">
      <c r="A31689" s="35"/>
      <c r="C31689" s="442"/>
      <c r="P31689" s="235"/>
      <c r="AI31689" s="38"/>
    </row>
    <row r="31690" ht="15.75" customHeight="1">
      <c r="A31690" s="35"/>
      <c r="C31690" s="442"/>
      <c r="P31690" s="235"/>
      <c r="AI31690" s="38"/>
    </row>
    <row r="31691" ht="15.75" customHeight="1">
      <c r="A31691" s="35"/>
      <c r="C31691" s="442"/>
      <c r="P31691" s="235"/>
      <c r="AI31691" s="38"/>
    </row>
    <row r="31692" ht="15.75" customHeight="1">
      <c r="A31692" s="35"/>
      <c r="C31692" s="442"/>
      <c r="P31692" s="235"/>
      <c r="AI31692" s="38"/>
    </row>
    <row r="31693" ht="15.75" customHeight="1">
      <c r="A31693" s="35"/>
      <c r="C31693" s="442"/>
      <c r="P31693" s="235"/>
      <c r="AI31693" s="38"/>
    </row>
    <row r="31694" ht="15.75" customHeight="1">
      <c r="A31694" s="35"/>
      <c r="C31694" s="442"/>
      <c r="P31694" s="235"/>
      <c r="AI31694" s="38"/>
    </row>
    <row r="31695" ht="15.75" customHeight="1">
      <c r="A31695" s="35"/>
      <c r="C31695" s="442"/>
      <c r="P31695" s="235"/>
      <c r="AI31695" s="38"/>
    </row>
    <row r="31696" ht="15.75" customHeight="1">
      <c r="A31696" s="35"/>
      <c r="C31696" s="442"/>
      <c r="P31696" s="235"/>
      <c r="AI31696" s="38"/>
    </row>
    <row r="31697" ht="15.75" customHeight="1">
      <c r="A31697" s="35"/>
      <c r="C31697" s="442"/>
      <c r="P31697" s="235"/>
      <c r="AI31697" s="38"/>
    </row>
    <row r="31698" ht="15.75" customHeight="1">
      <c r="A31698" s="35"/>
      <c r="C31698" s="442"/>
      <c r="P31698" s="235"/>
      <c r="AI31698" s="38"/>
    </row>
    <row r="31699" ht="15.75" customHeight="1">
      <c r="A31699" s="35"/>
      <c r="C31699" s="442"/>
      <c r="P31699" s="235"/>
      <c r="AI31699" s="38"/>
    </row>
    <row r="31700" ht="15.75" customHeight="1">
      <c r="A31700" s="35"/>
      <c r="C31700" s="442"/>
      <c r="P31700" s="235"/>
      <c r="AI31700" s="38"/>
    </row>
    <row r="31701" ht="15.75" customHeight="1">
      <c r="A31701" s="35"/>
      <c r="C31701" s="442"/>
      <c r="P31701" s="235"/>
      <c r="AI31701" s="38"/>
    </row>
    <row r="31702" ht="15.75" customHeight="1">
      <c r="A31702" s="35"/>
      <c r="C31702" s="442"/>
      <c r="P31702" s="235"/>
      <c r="AI31702" s="38"/>
    </row>
    <row r="31703" ht="15.75" customHeight="1">
      <c r="A31703" s="35"/>
      <c r="C31703" s="442"/>
      <c r="P31703" s="235"/>
      <c r="AI31703" s="38"/>
    </row>
    <row r="31704" ht="15.75" customHeight="1">
      <c r="A31704" s="35"/>
      <c r="C31704" s="442"/>
      <c r="P31704" s="235"/>
      <c r="AI31704" s="38"/>
    </row>
    <row r="31705" ht="15.75" customHeight="1">
      <c r="A31705" s="35"/>
      <c r="C31705" s="442"/>
      <c r="P31705" s="235"/>
      <c r="AI31705" s="38"/>
    </row>
    <row r="31706" ht="15.75" customHeight="1">
      <c r="A31706" s="35"/>
      <c r="C31706" s="442"/>
      <c r="P31706" s="235"/>
      <c r="AI31706" s="38"/>
    </row>
    <row r="31707" ht="15.75" customHeight="1">
      <c r="A31707" s="35"/>
      <c r="C31707" s="442"/>
      <c r="P31707" s="235"/>
      <c r="AI31707" s="38"/>
    </row>
    <row r="31708" ht="15.75" customHeight="1">
      <c r="A31708" s="35"/>
      <c r="C31708" s="442"/>
      <c r="P31708" s="235"/>
      <c r="AI31708" s="38"/>
    </row>
    <row r="31709" ht="15.75" customHeight="1">
      <c r="A31709" s="35"/>
      <c r="C31709" s="442"/>
      <c r="P31709" s="235"/>
      <c r="AI31709" s="38"/>
    </row>
    <row r="31710" ht="15.75" customHeight="1">
      <c r="A31710" s="35"/>
      <c r="C31710" s="442"/>
      <c r="P31710" s="235"/>
      <c r="AI31710" s="38"/>
    </row>
    <row r="31711" ht="15.75" customHeight="1">
      <c r="A31711" s="35"/>
      <c r="C31711" s="442"/>
      <c r="P31711" s="235"/>
      <c r="AI31711" s="38"/>
    </row>
    <row r="31712" ht="15.75" customHeight="1">
      <c r="A31712" s="35"/>
      <c r="C31712" s="442"/>
      <c r="P31712" s="235"/>
      <c r="AI31712" s="38"/>
    </row>
    <row r="31713" ht="15.75" customHeight="1">
      <c r="A31713" s="35"/>
      <c r="C31713" s="442"/>
      <c r="P31713" s="235"/>
      <c r="AI31713" s="38"/>
    </row>
    <row r="31714" ht="15.75" customHeight="1">
      <c r="A31714" s="35"/>
      <c r="C31714" s="442"/>
      <c r="P31714" s="235"/>
      <c r="AI31714" s="38"/>
    </row>
    <row r="31715" ht="15.75" customHeight="1">
      <c r="A31715" s="35"/>
      <c r="C31715" s="442"/>
      <c r="P31715" s="235"/>
      <c r="AI31715" s="38"/>
    </row>
    <row r="31716" ht="15.75" customHeight="1">
      <c r="A31716" s="35"/>
      <c r="C31716" s="442"/>
      <c r="P31716" s="235"/>
      <c r="AI31716" s="38"/>
    </row>
    <row r="31717" ht="15.75" customHeight="1">
      <c r="A31717" s="35"/>
      <c r="C31717" s="442"/>
      <c r="P31717" s="235"/>
      <c r="AI31717" s="38"/>
    </row>
    <row r="31718" ht="15.75" customHeight="1">
      <c r="A31718" s="35"/>
      <c r="C31718" s="442"/>
      <c r="P31718" s="235"/>
      <c r="AI31718" s="38"/>
    </row>
    <row r="31719" ht="15.75" customHeight="1">
      <c r="A31719" s="35"/>
      <c r="C31719" s="442"/>
      <c r="P31719" s="235"/>
      <c r="AI31719" s="38"/>
    </row>
    <row r="31720" ht="15.75" customHeight="1">
      <c r="A31720" s="35"/>
      <c r="C31720" s="442"/>
      <c r="P31720" s="235"/>
      <c r="AI31720" s="38"/>
    </row>
    <row r="31721" ht="15.75" customHeight="1">
      <c r="A31721" s="35"/>
      <c r="C31721" s="442"/>
      <c r="P31721" s="235"/>
      <c r="AI31721" s="38"/>
    </row>
    <row r="31722" ht="15.75" customHeight="1">
      <c r="A31722" s="35"/>
      <c r="C31722" s="442"/>
      <c r="P31722" s="235"/>
      <c r="AI31722" s="38"/>
    </row>
    <row r="31723" ht="15.75" customHeight="1">
      <c r="A31723" s="35"/>
      <c r="C31723" s="442"/>
      <c r="P31723" s="235"/>
      <c r="AI31723" s="38"/>
    </row>
    <row r="31724" ht="15.75" customHeight="1">
      <c r="A31724" s="35"/>
      <c r="C31724" s="442"/>
      <c r="P31724" s="235"/>
      <c r="AI31724" s="38"/>
    </row>
    <row r="31725" ht="15.75" customHeight="1">
      <c r="A31725" s="35"/>
      <c r="C31725" s="442"/>
      <c r="P31725" s="235"/>
      <c r="AI31725" s="38"/>
    </row>
    <row r="31726" ht="15.75" customHeight="1">
      <c r="A31726" s="35"/>
      <c r="C31726" s="442"/>
      <c r="P31726" s="235"/>
      <c r="AI31726" s="38"/>
    </row>
    <row r="31727" ht="15.75" customHeight="1">
      <c r="A31727" s="35"/>
      <c r="C31727" s="442"/>
      <c r="P31727" s="235"/>
      <c r="AI31727" s="38"/>
    </row>
    <row r="31728" ht="15.75" customHeight="1">
      <c r="A31728" s="35"/>
      <c r="C31728" s="442"/>
      <c r="P31728" s="235"/>
      <c r="AI31728" s="38"/>
    </row>
    <row r="31729" ht="15.75" customHeight="1">
      <c r="A31729" s="35"/>
      <c r="C31729" s="442"/>
      <c r="P31729" s="235"/>
      <c r="AI31729" s="38"/>
    </row>
    <row r="31730" ht="15.75" customHeight="1">
      <c r="A31730" s="35"/>
      <c r="C31730" s="442"/>
      <c r="P31730" s="235"/>
      <c r="AI31730" s="38"/>
    </row>
    <row r="31731" ht="15.75" customHeight="1">
      <c r="A31731" s="35"/>
      <c r="C31731" s="442"/>
      <c r="P31731" s="235"/>
      <c r="AI31731" s="38"/>
    </row>
    <row r="31732" ht="15.75" customHeight="1">
      <c r="A31732" s="35"/>
      <c r="C31732" s="442"/>
      <c r="P31732" s="235"/>
      <c r="AI31732" s="38"/>
    </row>
    <row r="31733" ht="15.75" customHeight="1">
      <c r="A31733" s="35"/>
      <c r="C31733" s="442"/>
      <c r="P31733" s="235"/>
      <c r="AI31733" s="38"/>
    </row>
    <row r="31734" ht="15.75" customHeight="1">
      <c r="A31734" s="35"/>
      <c r="C31734" s="442"/>
      <c r="P31734" s="235"/>
      <c r="AI31734" s="38"/>
    </row>
    <row r="31735" ht="15.75" customHeight="1">
      <c r="A31735" s="35"/>
      <c r="C31735" s="442"/>
      <c r="P31735" s="235"/>
      <c r="AI31735" s="38"/>
    </row>
    <row r="31736" ht="15.75" customHeight="1">
      <c r="A31736" s="35"/>
      <c r="C31736" s="442"/>
      <c r="P31736" s="235"/>
      <c r="AI31736" s="38"/>
    </row>
    <row r="31737" ht="15.75" customHeight="1">
      <c r="A31737" s="35"/>
      <c r="C31737" s="442"/>
      <c r="P31737" s="235"/>
      <c r="AI31737" s="38"/>
    </row>
    <row r="31738" ht="15.75" customHeight="1">
      <c r="A31738" s="35"/>
      <c r="C31738" s="442"/>
      <c r="P31738" s="235"/>
      <c r="AI31738" s="38"/>
    </row>
    <row r="31739" ht="15.75" customHeight="1">
      <c r="A31739" s="35"/>
      <c r="C31739" s="442"/>
      <c r="P31739" s="235"/>
      <c r="AI31739" s="38"/>
    </row>
    <row r="31740" ht="15.75" customHeight="1">
      <c r="A31740" s="35"/>
      <c r="C31740" s="442"/>
      <c r="P31740" s="235"/>
      <c r="AI31740" s="38"/>
    </row>
    <row r="31741" ht="15.75" customHeight="1">
      <c r="A31741" s="35"/>
      <c r="C31741" s="442"/>
      <c r="P31741" s="235"/>
      <c r="AI31741" s="38"/>
    </row>
    <row r="31742" ht="15.75" customHeight="1">
      <c r="A31742" s="35"/>
      <c r="C31742" s="442"/>
      <c r="P31742" s="235"/>
      <c r="AI31742" s="38"/>
    </row>
    <row r="31743" ht="15.75" customHeight="1">
      <c r="A31743" s="35"/>
      <c r="C31743" s="442"/>
      <c r="P31743" s="235"/>
      <c r="AI31743" s="38"/>
    </row>
    <row r="31744" ht="15.75" customHeight="1">
      <c r="A31744" s="35"/>
      <c r="C31744" s="442"/>
      <c r="P31744" s="235"/>
      <c r="AI31744" s="38"/>
    </row>
    <row r="31745" ht="15.75" customHeight="1">
      <c r="A31745" s="35"/>
      <c r="C31745" s="442"/>
      <c r="P31745" s="235"/>
      <c r="AI31745" s="38"/>
    </row>
    <row r="31746" ht="15.75" customHeight="1">
      <c r="A31746" s="35"/>
      <c r="C31746" s="442"/>
      <c r="P31746" s="235"/>
      <c r="AI31746" s="38"/>
    </row>
    <row r="31747" ht="15.75" customHeight="1">
      <c r="A31747" s="35"/>
      <c r="C31747" s="442"/>
      <c r="P31747" s="235"/>
      <c r="AI31747" s="38"/>
    </row>
    <row r="31748" ht="15.75" customHeight="1">
      <c r="A31748" s="35"/>
      <c r="C31748" s="442"/>
      <c r="P31748" s="235"/>
      <c r="AI31748" s="38"/>
    </row>
    <row r="31749" ht="15.75" customHeight="1">
      <c r="A31749" s="35"/>
      <c r="C31749" s="442"/>
      <c r="P31749" s="235"/>
      <c r="AI31749" s="38"/>
    </row>
    <row r="31750" ht="15.75" customHeight="1">
      <c r="A31750" s="35"/>
      <c r="C31750" s="442"/>
      <c r="P31750" s="235"/>
      <c r="AI31750" s="38"/>
    </row>
    <row r="31751" ht="15.75" customHeight="1">
      <c r="A31751" s="35"/>
      <c r="C31751" s="442"/>
      <c r="P31751" s="235"/>
      <c r="AI31751" s="38"/>
    </row>
    <row r="31752" ht="15.75" customHeight="1">
      <c r="A31752" s="35"/>
      <c r="C31752" s="442"/>
      <c r="P31752" s="235"/>
      <c r="AI31752" s="38"/>
    </row>
    <row r="31753" ht="15.75" customHeight="1">
      <c r="A31753" s="35"/>
      <c r="C31753" s="442"/>
      <c r="P31753" s="235"/>
      <c r="AI31753" s="38"/>
    </row>
    <row r="31754" ht="15.75" customHeight="1">
      <c r="A31754" s="35"/>
      <c r="C31754" s="442"/>
      <c r="P31754" s="235"/>
      <c r="AI31754" s="38"/>
    </row>
    <row r="31755" ht="15.75" customHeight="1">
      <c r="A31755" s="35"/>
      <c r="C31755" s="442"/>
      <c r="P31755" s="235"/>
      <c r="AI31755" s="38"/>
    </row>
    <row r="31756" ht="15.75" customHeight="1">
      <c r="A31756" s="35"/>
      <c r="C31756" s="442"/>
      <c r="P31756" s="235"/>
      <c r="AI31756" s="38"/>
    </row>
    <row r="31757" ht="15.75" customHeight="1">
      <c r="A31757" s="35"/>
      <c r="C31757" s="442"/>
      <c r="P31757" s="235"/>
      <c r="AI31757" s="38"/>
    </row>
    <row r="31758" ht="15.75" customHeight="1">
      <c r="A31758" s="35"/>
      <c r="C31758" s="442"/>
      <c r="P31758" s="235"/>
      <c r="AI31758" s="38"/>
    </row>
    <row r="31759" ht="15.75" customHeight="1">
      <c r="A31759" s="35"/>
      <c r="C31759" s="442"/>
      <c r="P31759" s="235"/>
      <c r="AI31759" s="38"/>
    </row>
    <row r="31760" ht="15.75" customHeight="1">
      <c r="A31760" s="35"/>
      <c r="C31760" s="442"/>
      <c r="P31760" s="235"/>
      <c r="AI31760" s="38"/>
    </row>
    <row r="31761" ht="15.75" customHeight="1">
      <c r="A31761" s="35"/>
      <c r="C31761" s="442"/>
      <c r="P31761" s="235"/>
      <c r="AI31761" s="38"/>
    </row>
    <row r="31762" ht="15.75" customHeight="1">
      <c r="A31762" s="35"/>
      <c r="C31762" s="442"/>
      <c r="P31762" s="235"/>
      <c r="AI31762" s="38"/>
    </row>
    <row r="31763" ht="15.75" customHeight="1">
      <c r="A31763" s="35"/>
      <c r="C31763" s="442"/>
      <c r="P31763" s="235"/>
      <c r="AI31763" s="38"/>
    </row>
    <row r="31764" ht="15.75" customHeight="1">
      <c r="A31764" s="35"/>
      <c r="C31764" s="442"/>
      <c r="P31764" s="235"/>
      <c r="AI31764" s="38"/>
    </row>
    <row r="31765" ht="15.75" customHeight="1">
      <c r="A31765" s="35"/>
      <c r="C31765" s="442"/>
      <c r="P31765" s="235"/>
      <c r="AI31765" s="38"/>
    </row>
    <row r="31766" ht="15.75" customHeight="1">
      <c r="A31766" s="35"/>
      <c r="C31766" s="442"/>
      <c r="P31766" s="235"/>
      <c r="AI31766" s="38"/>
    </row>
    <row r="31767" ht="15.75" customHeight="1">
      <c r="A31767" s="35"/>
      <c r="C31767" s="442"/>
      <c r="P31767" s="235"/>
      <c r="AI31767" s="38"/>
    </row>
    <row r="31768" ht="15.75" customHeight="1">
      <c r="A31768" s="35"/>
      <c r="C31768" s="442"/>
      <c r="P31768" s="235"/>
      <c r="AI31768" s="38"/>
    </row>
    <row r="31769" ht="15.75" customHeight="1">
      <c r="A31769" s="35"/>
      <c r="C31769" s="442"/>
      <c r="P31769" s="235"/>
      <c r="AI31769" s="38"/>
    </row>
    <row r="31770" ht="15.75" customHeight="1">
      <c r="A31770" s="35"/>
      <c r="C31770" s="442"/>
      <c r="P31770" s="235"/>
      <c r="AI31770" s="38"/>
    </row>
    <row r="31771" ht="15.75" customHeight="1">
      <c r="A31771" s="35"/>
      <c r="C31771" s="442"/>
      <c r="P31771" s="235"/>
      <c r="AI31771" s="38"/>
    </row>
    <row r="31772" ht="15.75" customHeight="1">
      <c r="A31772" s="35"/>
      <c r="C31772" s="442"/>
      <c r="P31772" s="235"/>
      <c r="AI31772" s="38"/>
    </row>
    <row r="31773" ht="15.75" customHeight="1">
      <c r="A31773" s="35"/>
      <c r="C31773" s="442"/>
      <c r="P31773" s="235"/>
      <c r="AI31773" s="38"/>
    </row>
    <row r="31774" ht="15.75" customHeight="1">
      <c r="A31774" s="35"/>
      <c r="C31774" s="442"/>
      <c r="P31774" s="235"/>
      <c r="AI31774" s="38"/>
    </row>
    <row r="31775" ht="15.75" customHeight="1">
      <c r="A31775" s="35"/>
      <c r="C31775" s="442"/>
      <c r="P31775" s="235"/>
      <c r="AI31775" s="38"/>
    </row>
    <row r="31776" ht="15.75" customHeight="1">
      <c r="A31776" s="35"/>
      <c r="C31776" s="442"/>
      <c r="P31776" s="235"/>
      <c r="AI31776" s="38"/>
    </row>
    <row r="31777" ht="15.75" customHeight="1">
      <c r="A31777" s="35"/>
      <c r="C31777" s="442"/>
      <c r="P31777" s="235"/>
      <c r="AI31777" s="38"/>
    </row>
    <row r="31778" ht="15.75" customHeight="1">
      <c r="A31778" s="35"/>
      <c r="C31778" s="442"/>
      <c r="P31778" s="235"/>
      <c r="AI31778" s="38"/>
    </row>
    <row r="31779" ht="15.75" customHeight="1">
      <c r="A31779" s="35"/>
      <c r="C31779" s="442"/>
      <c r="P31779" s="235"/>
      <c r="AI31779" s="38"/>
    </row>
    <row r="31780" ht="15.75" customHeight="1">
      <c r="A31780" s="35"/>
      <c r="C31780" s="442"/>
      <c r="P31780" s="235"/>
      <c r="AI31780" s="38"/>
    </row>
    <row r="31781" ht="15.75" customHeight="1">
      <c r="A31781" s="35"/>
      <c r="C31781" s="442"/>
      <c r="P31781" s="235"/>
      <c r="AI31781" s="38"/>
    </row>
    <row r="31782" ht="15.75" customHeight="1">
      <c r="A31782" s="35"/>
      <c r="C31782" s="442"/>
      <c r="P31782" s="235"/>
      <c r="AI31782" s="38"/>
    </row>
    <row r="31783" ht="15.75" customHeight="1">
      <c r="A31783" s="35"/>
      <c r="C31783" s="442"/>
      <c r="P31783" s="235"/>
      <c r="AI31783" s="38"/>
    </row>
    <row r="31784" ht="15.75" customHeight="1">
      <c r="A31784" s="35"/>
      <c r="C31784" s="442"/>
      <c r="P31784" s="235"/>
      <c r="AI31784" s="38"/>
    </row>
    <row r="31785" ht="15.75" customHeight="1">
      <c r="A31785" s="35"/>
      <c r="C31785" s="442"/>
      <c r="P31785" s="235"/>
      <c r="AI31785" s="38"/>
    </row>
    <row r="31786" ht="15.75" customHeight="1">
      <c r="A31786" s="35"/>
      <c r="C31786" s="442"/>
      <c r="P31786" s="235"/>
      <c r="AI31786" s="38"/>
    </row>
    <row r="31787" ht="15.75" customHeight="1">
      <c r="A31787" s="35"/>
      <c r="C31787" s="442"/>
      <c r="P31787" s="235"/>
      <c r="AI31787" s="38"/>
    </row>
    <row r="31788" ht="15.75" customHeight="1">
      <c r="A31788" s="35"/>
      <c r="C31788" s="442"/>
      <c r="P31788" s="235"/>
      <c r="AI31788" s="38"/>
    </row>
    <row r="31789" ht="15.75" customHeight="1">
      <c r="A31789" s="35"/>
      <c r="C31789" s="442"/>
      <c r="P31789" s="235"/>
      <c r="AI31789" s="38"/>
    </row>
    <row r="31790" ht="15.75" customHeight="1">
      <c r="A31790" s="35"/>
      <c r="C31790" s="442"/>
      <c r="P31790" s="235"/>
      <c r="AI31790" s="38"/>
    </row>
    <row r="31791" ht="15.75" customHeight="1">
      <c r="A31791" s="35"/>
      <c r="C31791" s="442"/>
      <c r="P31791" s="235"/>
      <c r="AI31791" s="38"/>
    </row>
    <row r="31792" ht="15.75" customHeight="1">
      <c r="A31792" s="35"/>
      <c r="C31792" s="442"/>
      <c r="P31792" s="235"/>
      <c r="AI31792" s="38"/>
    </row>
    <row r="31793" ht="15.75" customHeight="1">
      <c r="A31793" s="35"/>
      <c r="C31793" s="442"/>
      <c r="P31793" s="235"/>
      <c r="AI31793" s="38"/>
    </row>
    <row r="31794" ht="15.75" customHeight="1">
      <c r="A31794" s="35"/>
      <c r="C31794" s="442"/>
      <c r="P31794" s="235"/>
      <c r="AI31794" s="38"/>
    </row>
    <row r="31795" ht="15.75" customHeight="1">
      <c r="A31795" s="35"/>
      <c r="C31795" s="442"/>
      <c r="P31795" s="235"/>
      <c r="AI31795" s="38"/>
    </row>
    <row r="31796" ht="15.75" customHeight="1">
      <c r="A31796" s="35"/>
      <c r="C31796" s="442"/>
      <c r="P31796" s="235"/>
      <c r="AI31796" s="38"/>
    </row>
    <row r="31797" ht="15.75" customHeight="1">
      <c r="A31797" s="35"/>
      <c r="C31797" s="442"/>
      <c r="P31797" s="235"/>
      <c r="AI31797" s="38"/>
    </row>
    <row r="31798" ht="15.75" customHeight="1">
      <c r="A31798" s="35"/>
      <c r="C31798" s="442"/>
      <c r="P31798" s="235"/>
      <c r="AI31798" s="38"/>
    </row>
    <row r="31799" ht="15.75" customHeight="1">
      <c r="A31799" s="35"/>
      <c r="C31799" s="442"/>
      <c r="P31799" s="235"/>
      <c r="AI31799" s="38"/>
    </row>
    <row r="31800" ht="15.75" customHeight="1">
      <c r="A31800" s="35"/>
      <c r="C31800" s="442"/>
      <c r="P31800" s="235"/>
      <c r="AI31800" s="38"/>
    </row>
    <row r="31801" ht="15.75" customHeight="1">
      <c r="A31801" s="35"/>
      <c r="C31801" s="442"/>
      <c r="P31801" s="235"/>
      <c r="AI31801" s="38"/>
    </row>
    <row r="31802" ht="15.75" customHeight="1">
      <c r="A31802" s="35"/>
      <c r="C31802" s="442"/>
      <c r="P31802" s="235"/>
      <c r="AI31802" s="38"/>
    </row>
    <row r="31803" ht="15.75" customHeight="1">
      <c r="A31803" s="35"/>
      <c r="C31803" s="442"/>
      <c r="P31803" s="235"/>
      <c r="AI31803" s="38"/>
    </row>
    <row r="31804" ht="15.75" customHeight="1">
      <c r="A31804" s="35"/>
      <c r="C31804" s="442"/>
      <c r="P31804" s="235"/>
      <c r="AI31804" s="38"/>
    </row>
    <row r="31805" ht="15.75" customHeight="1">
      <c r="A31805" s="35"/>
      <c r="C31805" s="442"/>
      <c r="P31805" s="235"/>
      <c r="AI31805" s="38"/>
    </row>
    <row r="31806" ht="15.75" customHeight="1">
      <c r="A31806" s="35"/>
      <c r="C31806" s="442"/>
      <c r="P31806" s="235"/>
      <c r="AI31806" s="38"/>
    </row>
    <row r="31807" ht="15.75" customHeight="1">
      <c r="A31807" s="35"/>
      <c r="C31807" s="442"/>
      <c r="P31807" s="235"/>
      <c r="AI31807" s="38"/>
    </row>
    <row r="31808" ht="15.75" customHeight="1">
      <c r="A31808" s="35"/>
      <c r="C31808" s="442"/>
      <c r="P31808" s="235"/>
      <c r="AI31808" s="38"/>
    </row>
    <row r="31809" ht="15.75" customHeight="1">
      <c r="A31809" s="35"/>
      <c r="C31809" s="442"/>
      <c r="P31809" s="235"/>
      <c r="AI31809" s="38"/>
    </row>
    <row r="31810" ht="15.75" customHeight="1">
      <c r="A31810" s="35"/>
      <c r="C31810" s="442"/>
      <c r="P31810" s="235"/>
      <c r="AI31810" s="38"/>
    </row>
    <row r="31811" ht="15.75" customHeight="1">
      <c r="A31811" s="35"/>
      <c r="C31811" s="442"/>
      <c r="P31811" s="235"/>
      <c r="AI31811" s="38"/>
    </row>
    <row r="31812" ht="15.75" customHeight="1">
      <c r="A31812" s="35"/>
      <c r="C31812" s="442"/>
      <c r="P31812" s="235"/>
      <c r="AI31812" s="38"/>
    </row>
    <row r="31813" ht="15.75" customHeight="1">
      <c r="A31813" s="35"/>
      <c r="C31813" s="442"/>
      <c r="P31813" s="235"/>
      <c r="AI31813" s="38"/>
    </row>
    <row r="31814" ht="15.75" customHeight="1">
      <c r="A31814" s="35"/>
      <c r="C31814" s="442"/>
      <c r="P31814" s="235"/>
      <c r="AI31814" s="38"/>
    </row>
    <row r="31815" ht="15.75" customHeight="1">
      <c r="A31815" s="35"/>
      <c r="C31815" s="442"/>
      <c r="P31815" s="235"/>
      <c r="AI31815" s="38"/>
    </row>
    <row r="31816" ht="15.75" customHeight="1">
      <c r="A31816" s="35"/>
      <c r="C31816" s="442"/>
      <c r="P31816" s="235"/>
      <c r="AI31816" s="38"/>
    </row>
    <row r="31817" ht="15.75" customHeight="1">
      <c r="A31817" s="35"/>
      <c r="C31817" s="442"/>
      <c r="P31817" s="235"/>
      <c r="AI31817" s="38"/>
    </row>
    <row r="31818" ht="15.75" customHeight="1">
      <c r="A31818" s="35"/>
      <c r="C31818" s="442"/>
      <c r="P31818" s="235"/>
      <c r="AI31818" s="38"/>
    </row>
    <row r="31819" ht="15.75" customHeight="1">
      <c r="A31819" s="35"/>
      <c r="C31819" s="442"/>
      <c r="P31819" s="235"/>
      <c r="AI31819" s="38"/>
    </row>
    <row r="31820" ht="15.75" customHeight="1">
      <c r="A31820" s="35"/>
      <c r="C31820" s="442"/>
      <c r="P31820" s="235"/>
      <c r="AI31820" s="38"/>
    </row>
    <row r="31821" ht="15.75" customHeight="1">
      <c r="A31821" s="35"/>
      <c r="C31821" s="442"/>
      <c r="P31821" s="235"/>
      <c r="AI31821" s="38"/>
    </row>
    <row r="31822" ht="15.75" customHeight="1">
      <c r="A31822" s="35"/>
      <c r="C31822" s="442"/>
      <c r="P31822" s="235"/>
      <c r="AI31822" s="38"/>
    </row>
    <row r="31823" ht="15.75" customHeight="1">
      <c r="A31823" s="35"/>
      <c r="C31823" s="442"/>
      <c r="P31823" s="235"/>
      <c r="AI31823" s="38"/>
    </row>
    <row r="31824" ht="15.75" customHeight="1">
      <c r="A31824" s="35"/>
      <c r="C31824" s="442"/>
      <c r="P31824" s="235"/>
      <c r="AI31824" s="38"/>
    </row>
    <row r="31825" ht="15.75" customHeight="1">
      <c r="A31825" s="35"/>
      <c r="C31825" s="442"/>
      <c r="P31825" s="235"/>
      <c r="AI31825" s="38"/>
    </row>
    <row r="31826" ht="15.75" customHeight="1">
      <c r="A31826" s="35"/>
      <c r="C31826" s="442"/>
      <c r="P31826" s="235"/>
      <c r="AI31826" s="38"/>
    </row>
    <row r="31827" ht="15.75" customHeight="1">
      <c r="A31827" s="35"/>
      <c r="C31827" s="442"/>
      <c r="P31827" s="235"/>
      <c r="AI31827" s="38"/>
    </row>
    <row r="31828" ht="15.75" customHeight="1">
      <c r="A31828" s="35"/>
      <c r="C31828" s="442"/>
      <c r="P31828" s="235"/>
      <c r="AI31828" s="38"/>
    </row>
    <row r="31829" ht="15.75" customHeight="1">
      <c r="A31829" s="35"/>
      <c r="C31829" s="442"/>
      <c r="P31829" s="235"/>
      <c r="AI31829" s="38"/>
    </row>
    <row r="31830" ht="15.75" customHeight="1">
      <c r="A31830" s="35"/>
      <c r="C31830" s="442"/>
      <c r="P31830" s="235"/>
      <c r="AI31830" s="38"/>
    </row>
    <row r="31831" ht="15.75" customHeight="1">
      <c r="A31831" s="35"/>
      <c r="C31831" s="442"/>
      <c r="P31831" s="235"/>
      <c r="AI31831" s="38"/>
    </row>
    <row r="31832" ht="15.75" customHeight="1">
      <c r="A31832" s="35"/>
      <c r="C31832" s="442"/>
      <c r="P31832" s="235"/>
      <c r="AI31832" s="38"/>
    </row>
    <row r="31833" ht="15.75" customHeight="1">
      <c r="A31833" s="35"/>
      <c r="C31833" s="442"/>
      <c r="P31833" s="235"/>
      <c r="AI31833" s="38"/>
    </row>
    <row r="31834" ht="15.75" customHeight="1">
      <c r="A31834" s="35"/>
      <c r="C31834" s="442"/>
      <c r="P31834" s="235"/>
      <c r="AI31834" s="38"/>
    </row>
    <row r="31835" ht="15.75" customHeight="1">
      <c r="A31835" s="35"/>
      <c r="C31835" s="442"/>
      <c r="P31835" s="235"/>
      <c r="AI31835" s="38"/>
    </row>
    <row r="31836" ht="15.75" customHeight="1">
      <c r="A31836" s="35"/>
      <c r="C31836" s="442"/>
      <c r="P31836" s="235"/>
      <c r="AI31836" s="38"/>
    </row>
    <row r="31837" ht="15.75" customHeight="1">
      <c r="A31837" s="35"/>
      <c r="C31837" s="442"/>
      <c r="P31837" s="235"/>
      <c r="AI31837" s="38"/>
    </row>
    <row r="31838" ht="15.75" customHeight="1">
      <c r="A31838" s="35"/>
      <c r="C31838" s="442"/>
      <c r="P31838" s="235"/>
      <c r="AI31838" s="38"/>
    </row>
    <row r="31839" ht="15.75" customHeight="1">
      <c r="A31839" s="35"/>
      <c r="C31839" s="442"/>
      <c r="P31839" s="235"/>
      <c r="AI31839" s="38"/>
    </row>
    <row r="31840" ht="15.75" customHeight="1">
      <c r="A31840" s="35"/>
      <c r="C31840" s="442"/>
      <c r="P31840" s="235"/>
      <c r="AI31840" s="38"/>
    </row>
    <row r="31841" ht="15.75" customHeight="1">
      <c r="A31841" s="35"/>
      <c r="C31841" s="442"/>
      <c r="P31841" s="235"/>
      <c r="AI31841" s="38"/>
    </row>
    <row r="31842" ht="15.75" customHeight="1">
      <c r="A31842" s="35"/>
      <c r="C31842" s="442"/>
      <c r="P31842" s="235"/>
      <c r="AI31842" s="38"/>
    </row>
    <row r="31843" ht="15.75" customHeight="1">
      <c r="A31843" s="35"/>
      <c r="C31843" s="442"/>
      <c r="P31843" s="235"/>
      <c r="AI31843" s="38"/>
    </row>
    <row r="31844" ht="15.75" customHeight="1">
      <c r="A31844" s="35"/>
      <c r="C31844" s="442"/>
      <c r="P31844" s="235"/>
      <c r="AI31844" s="38"/>
    </row>
    <row r="31845" ht="15.75" customHeight="1">
      <c r="A31845" s="35"/>
      <c r="C31845" s="442"/>
      <c r="P31845" s="235"/>
      <c r="AI31845" s="38"/>
    </row>
    <row r="31846" ht="15.75" customHeight="1">
      <c r="A31846" s="35"/>
      <c r="C31846" s="442"/>
      <c r="P31846" s="235"/>
      <c r="AI31846" s="38"/>
    </row>
    <row r="31847" ht="15.75" customHeight="1">
      <c r="A31847" s="35"/>
      <c r="C31847" s="442"/>
      <c r="P31847" s="235"/>
      <c r="AI31847" s="38"/>
    </row>
    <row r="31848" ht="15.75" customHeight="1">
      <c r="A31848" s="35"/>
      <c r="C31848" s="442"/>
      <c r="P31848" s="235"/>
      <c r="AI31848" s="38"/>
    </row>
    <row r="31849" ht="15.75" customHeight="1">
      <c r="A31849" s="35"/>
      <c r="C31849" s="442"/>
      <c r="P31849" s="235"/>
      <c r="AI31849" s="38"/>
    </row>
    <row r="31850" ht="15.75" customHeight="1">
      <c r="A31850" s="35"/>
      <c r="C31850" s="442"/>
      <c r="P31850" s="235"/>
      <c r="AI31850" s="38"/>
    </row>
    <row r="31851" ht="15.75" customHeight="1">
      <c r="A31851" s="35"/>
      <c r="C31851" s="442"/>
      <c r="P31851" s="235"/>
      <c r="AI31851" s="38"/>
    </row>
    <row r="31852" ht="15.75" customHeight="1">
      <c r="A31852" s="35"/>
      <c r="C31852" s="442"/>
      <c r="P31852" s="235"/>
      <c r="AI31852" s="38"/>
    </row>
    <row r="31853" ht="15.75" customHeight="1">
      <c r="A31853" s="35"/>
      <c r="C31853" s="442"/>
      <c r="P31853" s="235"/>
      <c r="AI31853" s="38"/>
    </row>
    <row r="31854" ht="15.75" customHeight="1">
      <c r="A31854" s="35"/>
      <c r="C31854" s="442"/>
      <c r="P31854" s="235"/>
      <c r="AI31854" s="38"/>
    </row>
    <row r="31855" ht="15.75" customHeight="1">
      <c r="A31855" s="35"/>
      <c r="C31855" s="442"/>
      <c r="P31855" s="235"/>
      <c r="AI31855" s="38"/>
    </row>
    <row r="31856" ht="15.75" customHeight="1">
      <c r="A31856" s="35"/>
      <c r="C31856" s="442"/>
      <c r="P31856" s="235"/>
      <c r="AI31856" s="38"/>
    </row>
    <row r="31857" ht="15.75" customHeight="1">
      <c r="A31857" s="35"/>
      <c r="C31857" s="442"/>
      <c r="P31857" s="235"/>
      <c r="AI31857" s="38"/>
    </row>
    <row r="31858" ht="15.75" customHeight="1">
      <c r="A31858" s="35"/>
      <c r="C31858" s="442"/>
      <c r="P31858" s="235"/>
      <c r="AI31858" s="38"/>
    </row>
    <row r="31859" ht="15.75" customHeight="1">
      <c r="A31859" s="35"/>
      <c r="C31859" s="442"/>
      <c r="P31859" s="235"/>
      <c r="AI31859" s="38"/>
    </row>
    <row r="31860" ht="15.75" customHeight="1">
      <c r="A31860" s="35"/>
      <c r="C31860" s="442"/>
      <c r="P31860" s="235"/>
      <c r="AI31860" s="38"/>
    </row>
    <row r="31861" ht="15.75" customHeight="1">
      <c r="A31861" s="35"/>
      <c r="C31861" s="442"/>
      <c r="P31861" s="235"/>
      <c r="AI31861" s="38"/>
    </row>
    <row r="31862" ht="15.75" customHeight="1">
      <c r="A31862" s="35"/>
      <c r="C31862" s="442"/>
      <c r="P31862" s="235"/>
      <c r="AI31862" s="38"/>
    </row>
    <row r="31863" ht="15.75" customHeight="1">
      <c r="A31863" s="35"/>
      <c r="C31863" s="442"/>
      <c r="P31863" s="235"/>
      <c r="AI31863" s="38"/>
    </row>
    <row r="31864" ht="15.75" customHeight="1">
      <c r="A31864" s="35"/>
      <c r="C31864" s="442"/>
      <c r="P31864" s="235"/>
      <c r="AI31864" s="38"/>
    </row>
    <row r="31865" ht="15.75" customHeight="1">
      <c r="A31865" s="35"/>
      <c r="C31865" s="442"/>
      <c r="P31865" s="235"/>
      <c r="AI31865" s="38"/>
    </row>
    <row r="31866" ht="15.75" customHeight="1">
      <c r="A31866" s="35"/>
      <c r="C31866" s="442"/>
      <c r="P31866" s="235"/>
      <c r="AI31866" s="38"/>
    </row>
    <row r="31867" ht="15.75" customHeight="1">
      <c r="A31867" s="35"/>
      <c r="C31867" s="442"/>
      <c r="P31867" s="235"/>
      <c r="AI31867" s="38"/>
    </row>
    <row r="31868" ht="15.75" customHeight="1">
      <c r="A31868" s="35"/>
      <c r="C31868" s="442"/>
      <c r="P31868" s="235"/>
      <c r="AI31868" s="38"/>
    </row>
    <row r="31869" ht="15.75" customHeight="1">
      <c r="A31869" s="35"/>
      <c r="C31869" s="442"/>
      <c r="P31869" s="235"/>
      <c r="AI31869" s="38"/>
    </row>
    <row r="31870" ht="15.75" customHeight="1">
      <c r="A31870" s="35"/>
      <c r="C31870" s="442"/>
      <c r="P31870" s="235"/>
      <c r="AI31870" s="38"/>
    </row>
    <row r="31871" ht="15.75" customHeight="1">
      <c r="A31871" s="35"/>
      <c r="C31871" s="442"/>
      <c r="P31871" s="235"/>
      <c r="AI31871" s="38"/>
    </row>
    <row r="31872" ht="15.75" customHeight="1">
      <c r="A31872" s="35"/>
      <c r="C31872" s="442"/>
      <c r="P31872" s="235"/>
      <c r="AI31872" s="38"/>
    </row>
    <row r="31873" ht="15.75" customHeight="1">
      <c r="A31873" s="35"/>
      <c r="C31873" s="442"/>
      <c r="P31873" s="235"/>
      <c r="AI31873" s="38"/>
    </row>
    <row r="31874" ht="15.75" customHeight="1">
      <c r="A31874" s="35"/>
      <c r="C31874" s="442"/>
      <c r="P31874" s="235"/>
      <c r="AI31874" s="38"/>
    </row>
    <row r="31875" ht="15.75" customHeight="1">
      <c r="A31875" s="35"/>
      <c r="C31875" s="442"/>
      <c r="P31875" s="235"/>
      <c r="AI31875" s="38"/>
    </row>
    <row r="31876" ht="15.75" customHeight="1">
      <c r="A31876" s="35"/>
      <c r="C31876" s="442"/>
      <c r="P31876" s="235"/>
      <c r="AI31876" s="38"/>
    </row>
    <row r="31877" ht="15.75" customHeight="1">
      <c r="A31877" s="35"/>
      <c r="C31877" s="442"/>
      <c r="P31877" s="235"/>
      <c r="AI31877" s="38"/>
    </row>
    <row r="31878" ht="15.75" customHeight="1">
      <c r="A31878" s="35"/>
      <c r="C31878" s="442"/>
      <c r="P31878" s="235"/>
      <c r="AI31878" s="38"/>
    </row>
    <row r="31879" ht="15.75" customHeight="1">
      <c r="A31879" s="35"/>
      <c r="C31879" s="442"/>
      <c r="P31879" s="235"/>
      <c r="AI31879" s="38"/>
    </row>
    <row r="31880" ht="15.75" customHeight="1">
      <c r="A31880" s="35"/>
      <c r="C31880" s="442"/>
      <c r="P31880" s="235"/>
      <c r="AI31880" s="38"/>
    </row>
    <row r="31881" ht="15.75" customHeight="1">
      <c r="A31881" s="35"/>
      <c r="C31881" s="442"/>
      <c r="P31881" s="235"/>
      <c r="AI31881" s="38"/>
    </row>
    <row r="31882" ht="15.75" customHeight="1">
      <c r="A31882" s="35"/>
      <c r="C31882" s="442"/>
      <c r="P31882" s="235"/>
      <c r="AI31882" s="38"/>
    </row>
    <row r="31883" ht="15.75" customHeight="1">
      <c r="A31883" s="35"/>
      <c r="C31883" s="442"/>
      <c r="P31883" s="235"/>
      <c r="AI31883" s="38"/>
    </row>
    <row r="31884" ht="15.75" customHeight="1">
      <c r="A31884" s="35"/>
      <c r="C31884" s="442"/>
      <c r="P31884" s="235"/>
      <c r="AI31884" s="38"/>
    </row>
    <row r="31885" ht="15.75" customHeight="1">
      <c r="A31885" s="35"/>
      <c r="C31885" s="442"/>
      <c r="P31885" s="235"/>
      <c r="AI31885" s="38"/>
    </row>
    <row r="31886" ht="15.75" customHeight="1">
      <c r="A31886" s="35"/>
      <c r="C31886" s="442"/>
      <c r="P31886" s="235"/>
      <c r="AI31886" s="38"/>
    </row>
    <row r="31887" ht="15.75" customHeight="1">
      <c r="A31887" s="35"/>
      <c r="C31887" s="442"/>
      <c r="P31887" s="235"/>
      <c r="AI31887" s="38"/>
    </row>
    <row r="31888" ht="15.75" customHeight="1">
      <c r="A31888" s="35"/>
      <c r="C31888" s="442"/>
      <c r="P31888" s="235"/>
      <c r="AI31888" s="38"/>
    </row>
    <row r="31889" ht="15.75" customHeight="1">
      <c r="A31889" s="35"/>
      <c r="C31889" s="442"/>
      <c r="P31889" s="235"/>
      <c r="AI31889" s="38"/>
    </row>
    <row r="31890" ht="15.75" customHeight="1">
      <c r="A31890" s="35"/>
      <c r="C31890" s="442"/>
      <c r="P31890" s="235"/>
      <c r="AI31890" s="38"/>
    </row>
    <row r="31891" ht="15.75" customHeight="1">
      <c r="A31891" s="35"/>
      <c r="C31891" s="442"/>
      <c r="P31891" s="235"/>
      <c r="AI31891" s="38"/>
    </row>
    <row r="31892" ht="15.75" customHeight="1">
      <c r="A31892" s="35"/>
      <c r="C31892" s="442"/>
      <c r="P31892" s="235"/>
      <c r="AI31892" s="38"/>
    </row>
    <row r="31893" ht="15.75" customHeight="1">
      <c r="A31893" s="35"/>
      <c r="C31893" s="442"/>
      <c r="P31893" s="235"/>
      <c r="AI31893" s="38"/>
    </row>
    <row r="31894" ht="15.75" customHeight="1">
      <c r="A31894" s="35"/>
      <c r="C31894" s="442"/>
      <c r="P31894" s="235"/>
      <c r="AI31894" s="38"/>
    </row>
    <row r="31895" ht="15.75" customHeight="1">
      <c r="A31895" s="35"/>
      <c r="C31895" s="442"/>
      <c r="P31895" s="235"/>
      <c r="AI31895" s="38"/>
    </row>
    <row r="31896" ht="15.75" customHeight="1">
      <c r="A31896" s="35"/>
      <c r="C31896" s="442"/>
      <c r="P31896" s="235"/>
      <c r="AI31896" s="38"/>
    </row>
    <row r="31897" ht="15.75" customHeight="1">
      <c r="A31897" s="35"/>
      <c r="C31897" s="442"/>
      <c r="P31897" s="235"/>
      <c r="AI31897" s="38"/>
    </row>
    <row r="31898" ht="15.75" customHeight="1">
      <c r="A31898" s="35"/>
      <c r="C31898" s="442"/>
      <c r="P31898" s="235"/>
      <c r="AI31898" s="38"/>
    </row>
    <row r="31899" ht="15.75" customHeight="1">
      <c r="A31899" s="35"/>
      <c r="C31899" s="442"/>
      <c r="P31899" s="235"/>
      <c r="AI31899" s="38"/>
    </row>
    <row r="31900" ht="15.75" customHeight="1">
      <c r="A31900" s="35"/>
      <c r="C31900" s="442"/>
      <c r="P31900" s="235"/>
      <c r="AI31900" s="38"/>
    </row>
    <row r="31901" ht="15.75" customHeight="1">
      <c r="A31901" s="35"/>
      <c r="C31901" s="442"/>
      <c r="P31901" s="235"/>
      <c r="AI31901" s="38"/>
    </row>
    <row r="31902" ht="15.75" customHeight="1">
      <c r="A31902" s="35"/>
      <c r="C31902" s="442"/>
      <c r="P31902" s="235"/>
      <c r="AI31902" s="38"/>
    </row>
    <row r="31903" ht="15.75" customHeight="1">
      <c r="A31903" s="35"/>
      <c r="C31903" s="442"/>
      <c r="P31903" s="235"/>
      <c r="AI31903" s="38"/>
    </row>
    <row r="31904" ht="15.75" customHeight="1">
      <c r="A31904" s="35"/>
      <c r="C31904" s="442"/>
      <c r="P31904" s="235"/>
      <c r="AI31904" s="38"/>
    </row>
    <row r="31905" ht="15.75" customHeight="1">
      <c r="A31905" s="35"/>
      <c r="C31905" s="442"/>
      <c r="P31905" s="235"/>
      <c r="AI31905" s="38"/>
    </row>
    <row r="31906" ht="15.75" customHeight="1">
      <c r="A31906" s="35"/>
      <c r="C31906" s="442"/>
      <c r="P31906" s="235"/>
      <c r="AI31906" s="38"/>
    </row>
    <row r="31907" ht="15.75" customHeight="1">
      <c r="A31907" s="35"/>
      <c r="C31907" s="442"/>
      <c r="P31907" s="235"/>
      <c r="AI31907" s="38"/>
    </row>
    <row r="31908" ht="15.75" customHeight="1">
      <c r="A31908" s="35"/>
      <c r="C31908" s="442"/>
      <c r="P31908" s="235"/>
      <c r="AI31908" s="38"/>
    </row>
    <row r="31909" ht="15.75" customHeight="1">
      <c r="A31909" s="35"/>
      <c r="C31909" s="442"/>
      <c r="P31909" s="235"/>
      <c r="AI31909" s="38"/>
    </row>
    <row r="31910" ht="15.75" customHeight="1">
      <c r="A31910" s="35"/>
      <c r="C31910" s="442"/>
      <c r="P31910" s="235"/>
      <c r="AI31910" s="38"/>
    </row>
    <row r="31911" ht="15.75" customHeight="1">
      <c r="A31911" s="35"/>
      <c r="C31911" s="442"/>
      <c r="P31911" s="235"/>
      <c r="AI31911" s="38"/>
    </row>
    <row r="31912" ht="15.75" customHeight="1">
      <c r="A31912" s="35"/>
      <c r="C31912" s="442"/>
      <c r="P31912" s="235"/>
      <c r="AI31912" s="38"/>
    </row>
    <row r="31913" ht="15.75" customHeight="1">
      <c r="A31913" s="35"/>
      <c r="C31913" s="442"/>
      <c r="P31913" s="235"/>
      <c r="AI31913" s="38"/>
    </row>
    <row r="31914" ht="15.75" customHeight="1">
      <c r="A31914" s="35"/>
      <c r="C31914" s="442"/>
      <c r="P31914" s="235"/>
      <c r="AI31914" s="38"/>
    </row>
    <row r="31915" ht="15.75" customHeight="1">
      <c r="A31915" s="35"/>
      <c r="C31915" s="442"/>
      <c r="P31915" s="235"/>
      <c r="AI31915" s="38"/>
    </row>
    <row r="31916" ht="15.75" customHeight="1">
      <c r="A31916" s="35"/>
      <c r="C31916" s="442"/>
      <c r="P31916" s="235"/>
      <c r="AI31916" s="38"/>
    </row>
    <row r="31917" ht="15.75" customHeight="1">
      <c r="A31917" s="35"/>
      <c r="C31917" s="442"/>
      <c r="P31917" s="235"/>
      <c r="AI31917" s="38"/>
    </row>
    <row r="31918" ht="15.75" customHeight="1">
      <c r="A31918" s="35"/>
      <c r="C31918" s="442"/>
      <c r="P31918" s="235"/>
      <c r="AI31918" s="38"/>
    </row>
    <row r="31919" ht="15.75" customHeight="1">
      <c r="A31919" s="35"/>
      <c r="C31919" s="442"/>
      <c r="P31919" s="235"/>
      <c r="AI31919" s="38"/>
    </row>
    <row r="31920" ht="15.75" customHeight="1">
      <c r="A31920" s="35"/>
      <c r="C31920" s="442"/>
      <c r="P31920" s="235"/>
      <c r="AI31920" s="38"/>
    </row>
    <row r="31921" ht="15.75" customHeight="1">
      <c r="A31921" s="35"/>
      <c r="C31921" s="442"/>
      <c r="P31921" s="235"/>
      <c r="AI31921" s="38"/>
    </row>
    <row r="31922" ht="15.75" customHeight="1">
      <c r="A31922" s="35"/>
      <c r="C31922" s="442"/>
      <c r="P31922" s="235"/>
      <c r="AI31922" s="38"/>
    </row>
    <row r="31923" ht="15.75" customHeight="1">
      <c r="A31923" s="35"/>
      <c r="C31923" s="442"/>
      <c r="P31923" s="235"/>
      <c r="AI31923" s="38"/>
    </row>
    <row r="31924" ht="15.75" customHeight="1">
      <c r="A31924" s="35"/>
      <c r="C31924" s="442"/>
      <c r="P31924" s="235"/>
      <c r="AI31924" s="38"/>
    </row>
    <row r="31925" ht="15.75" customHeight="1">
      <c r="A31925" s="35"/>
      <c r="C31925" s="442"/>
      <c r="P31925" s="235"/>
      <c r="AI31925" s="38"/>
    </row>
    <row r="31926" ht="15.75" customHeight="1">
      <c r="A31926" s="35"/>
      <c r="C31926" s="442"/>
      <c r="P31926" s="235"/>
      <c r="AI31926" s="38"/>
    </row>
    <row r="31927" ht="15.75" customHeight="1">
      <c r="A31927" s="35"/>
      <c r="C31927" s="442"/>
      <c r="P31927" s="235"/>
      <c r="AI31927" s="38"/>
    </row>
    <row r="31928" ht="15.75" customHeight="1">
      <c r="A31928" s="35"/>
      <c r="C31928" s="442"/>
      <c r="P31928" s="235"/>
      <c r="AI31928" s="38"/>
    </row>
    <row r="31929" ht="15.75" customHeight="1">
      <c r="A31929" s="35"/>
      <c r="C31929" s="442"/>
      <c r="P31929" s="235"/>
      <c r="AI31929" s="38"/>
    </row>
    <row r="31930" ht="15.75" customHeight="1">
      <c r="A31930" s="35"/>
      <c r="C31930" s="442"/>
      <c r="P31930" s="235"/>
      <c r="AI31930" s="38"/>
    </row>
    <row r="31931" ht="15.75" customHeight="1">
      <c r="A31931" s="35"/>
      <c r="C31931" s="442"/>
      <c r="P31931" s="235"/>
      <c r="AI31931" s="38"/>
    </row>
    <row r="31932" ht="15.75" customHeight="1">
      <c r="A31932" s="35"/>
      <c r="C31932" s="442"/>
      <c r="P31932" s="235"/>
      <c r="AI31932" s="38"/>
    </row>
    <row r="31933" ht="15.75" customHeight="1">
      <c r="A31933" s="35"/>
      <c r="C31933" s="442"/>
      <c r="P31933" s="235"/>
      <c r="AI31933" s="38"/>
    </row>
    <row r="31934" ht="15.75" customHeight="1">
      <c r="A31934" s="35"/>
      <c r="C31934" s="442"/>
      <c r="P31934" s="235"/>
      <c r="AI31934" s="38"/>
    </row>
    <row r="31935" ht="15.75" customHeight="1">
      <c r="A31935" s="35"/>
      <c r="C31935" s="442"/>
      <c r="P31935" s="235"/>
      <c r="AI31935" s="38"/>
    </row>
    <row r="31936" ht="15.75" customHeight="1">
      <c r="A31936" s="35"/>
      <c r="C31936" s="442"/>
      <c r="P31936" s="235"/>
      <c r="AI31936" s="38"/>
    </row>
    <row r="31937" ht="15.75" customHeight="1">
      <c r="A31937" s="35"/>
      <c r="C31937" s="442"/>
      <c r="P31937" s="235"/>
      <c r="AI31937" s="38"/>
    </row>
    <row r="31938" ht="15.75" customHeight="1">
      <c r="A31938" s="35"/>
      <c r="C31938" s="442"/>
      <c r="P31938" s="235"/>
      <c r="AI31938" s="38"/>
    </row>
    <row r="31939" ht="15.75" customHeight="1">
      <c r="A31939" s="35"/>
      <c r="C31939" s="442"/>
      <c r="P31939" s="235"/>
      <c r="AI31939" s="38"/>
    </row>
    <row r="31940" ht="15.75" customHeight="1">
      <c r="A31940" s="35"/>
      <c r="C31940" s="442"/>
      <c r="P31940" s="235"/>
      <c r="AI31940" s="38"/>
    </row>
    <row r="31941" ht="15.75" customHeight="1">
      <c r="A31941" s="35"/>
      <c r="C31941" s="442"/>
      <c r="P31941" s="235"/>
      <c r="AI31941" s="38"/>
    </row>
    <row r="31942" ht="15.75" customHeight="1">
      <c r="A31942" s="35"/>
      <c r="C31942" s="442"/>
      <c r="P31942" s="235"/>
      <c r="AI31942" s="38"/>
    </row>
    <row r="31943" ht="15.75" customHeight="1">
      <c r="A31943" s="35"/>
      <c r="C31943" s="442"/>
      <c r="P31943" s="235"/>
      <c r="AI31943" s="38"/>
    </row>
    <row r="31944" ht="15.75" customHeight="1">
      <c r="A31944" s="35"/>
      <c r="C31944" s="442"/>
      <c r="P31944" s="235"/>
      <c r="AI31944" s="38"/>
    </row>
    <row r="31945" ht="15.75" customHeight="1">
      <c r="A31945" s="35"/>
      <c r="C31945" s="442"/>
      <c r="P31945" s="235"/>
      <c r="AI31945" s="38"/>
    </row>
    <row r="31946" ht="15.75" customHeight="1">
      <c r="A31946" s="35"/>
      <c r="C31946" s="442"/>
      <c r="P31946" s="235"/>
      <c r="AI31946" s="38"/>
    </row>
    <row r="31947" ht="15.75" customHeight="1">
      <c r="A31947" s="35"/>
      <c r="C31947" s="442"/>
      <c r="P31947" s="235"/>
      <c r="AI31947" s="38"/>
    </row>
    <row r="31948" ht="15.75" customHeight="1">
      <c r="A31948" s="35"/>
      <c r="C31948" s="442"/>
      <c r="P31948" s="235"/>
      <c r="AI31948" s="38"/>
    </row>
    <row r="31949" ht="15.75" customHeight="1">
      <c r="A31949" s="35"/>
      <c r="C31949" s="442"/>
      <c r="P31949" s="235"/>
      <c r="AI31949" s="38"/>
    </row>
    <row r="31950" ht="15.75" customHeight="1">
      <c r="A31950" s="35"/>
      <c r="C31950" s="442"/>
      <c r="P31950" s="235"/>
      <c r="AI31950" s="38"/>
    </row>
    <row r="31951" ht="15.75" customHeight="1">
      <c r="A31951" s="35"/>
      <c r="C31951" s="442"/>
      <c r="P31951" s="235"/>
      <c r="AI31951" s="38"/>
    </row>
    <row r="31952" ht="15.75" customHeight="1">
      <c r="A31952" s="35"/>
      <c r="C31952" s="442"/>
      <c r="P31952" s="235"/>
      <c r="AI31952" s="38"/>
    </row>
    <row r="31953" ht="15.75" customHeight="1">
      <c r="A31953" s="35"/>
      <c r="C31953" s="442"/>
      <c r="P31953" s="235"/>
      <c r="AI31953" s="38"/>
    </row>
    <row r="31954" ht="15.75" customHeight="1">
      <c r="A31954" s="35"/>
      <c r="C31954" s="442"/>
      <c r="P31954" s="235"/>
      <c r="AI31954" s="38"/>
    </row>
    <row r="31955" ht="15.75" customHeight="1">
      <c r="A31955" s="35"/>
      <c r="C31955" s="442"/>
      <c r="P31955" s="235"/>
      <c r="AI31955" s="38"/>
    </row>
    <row r="31956" ht="15.75" customHeight="1">
      <c r="A31956" s="35"/>
      <c r="C31956" s="442"/>
      <c r="P31956" s="235"/>
      <c r="AI31956" s="38"/>
    </row>
    <row r="31957" ht="15.75" customHeight="1">
      <c r="A31957" s="35"/>
      <c r="C31957" s="442"/>
      <c r="P31957" s="235"/>
      <c r="AI31957" s="38"/>
    </row>
    <row r="31958" ht="15.75" customHeight="1">
      <c r="A31958" s="35"/>
      <c r="C31958" s="442"/>
      <c r="P31958" s="235"/>
      <c r="AI31958" s="38"/>
    </row>
    <row r="31959" ht="15.75" customHeight="1">
      <c r="A31959" s="35"/>
      <c r="C31959" s="442"/>
      <c r="P31959" s="235"/>
      <c r="AI31959" s="38"/>
    </row>
    <row r="31960" ht="15.75" customHeight="1">
      <c r="A31960" s="35"/>
      <c r="C31960" s="442"/>
      <c r="P31960" s="235"/>
      <c r="AI31960" s="38"/>
    </row>
    <row r="31961" ht="15.75" customHeight="1">
      <c r="A31961" s="35"/>
      <c r="C31961" s="442"/>
      <c r="P31961" s="235"/>
      <c r="AI31961" s="38"/>
    </row>
    <row r="31962" ht="15.75" customHeight="1">
      <c r="A31962" s="35"/>
      <c r="C31962" s="442"/>
      <c r="P31962" s="235"/>
      <c r="AI31962" s="38"/>
    </row>
    <row r="31963" ht="15.75" customHeight="1">
      <c r="A31963" s="35"/>
      <c r="C31963" s="442"/>
      <c r="P31963" s="235"/>
      <c r="AI31963" s="38"/>
    </row>
    <row r="31964" ht="15.75" customHeight="1">
      <c r="A31964" s="35"/>
      <c r="C31964" s="442"/>
      <c r="P31964" s="235"/>
      <c r="AI31964" s="38"/>
    </row>
    <row r="31965" ht="15.75" customHeight="1">
      <c r="A31965" s="35"/>
      <c r="C31965" s="442"/>
      <c r="P31965" s="235"/>
      <c r="AI31965" s="38"/>
    </row>
    <row r="31966" ht="15.75" customHeight="1">
      <c r="A31966" s="35"/>
      <c r="C31966" s="442"/>
      <c r="P31966" s="235"/>
      <c r="AI31966" s="38"/>
    </row>
    <row r="31967" ht="15.75" customHeight="1">
      <c r="A31967" s="35"/>
      <c r="C31967" s="442"/>
      <c r="P31967" s="235"/>
      <c r="AI31967" s="38"/>
    </row>
    <row r="31968" ht="15.75" customHeight="1">
      <c r="A31968" s="35"/>
      <c r="C31968" s="442"/>
      <c r="P31968" s="235"/>
      <c r="AI31968" s="38"/>
    </row>
    <row r="31969" ht="15.75" customHeight="1">
      <c r="A31969" s="35"/>
      <c r="C31969" s="442"/>
      <c r="P31969" s="235"/>
      <c r="AI31969" s="38"/>
    </row>
    <row r="31970" ht="15.75" customHeight="1">
      <c r="A31970" s="35"/>
      <c r="C31970" s="442"/>
      <c r="P31970" s="235"/>
      <c r="AI31970" s="38"/>
    </row>
    <row r="31971" ht="15.75" customHeight="1">
      <c r="A31971" s="35"/>
      <c r="C31971" s="442"/>
      <c r="P31971" s="235"/>
      <c r="AI31971" s="38"/>
    </row>
    <row r="31972" ht="15.75" customHeight="1">
      <c r="A31972" s="35"/>
      <c r="C31972" s="442"/>
      <c r="P31972" s="235"/>
      <c r="AI31972" s="38"/>
    </row>
    <row r="31973" ht="15.75" customHeight="1">
      <c r="A31973" s="35"/>
      <c r="C31973" s="442"/>
      <c r="P31973" s="235"/>
      <c r="AI31973" s="38"/>
    </row>
    <row r="31974" ht="15.75" customHeight="1">
      <c r="A31974" s="35"/>
      <c r="C31974" s="442"/>
      <c r="P31974" s="235"/>
      <c r="AI31974" s="38"/>
    </row>
    <row r="31975" ht="15.75" customHeight="1">
      <c r="A31975" s="35"/>
      <c r="C31975" s="442"/>
      <c r="P31975" s="235"/>
      <c r="AI31975" s="38"/>
    </row>
    <row r="31976" ht="15.75" customHeight="1">
      <c r="A31976" s="35"/>
      <c r="C31976" s="442"/>
      <c r="P31976" s="235"/>
      <c r="AI31976" s="38"/>
    </row>
    <row r="31977" ht="15.75" customHeight="1">
      <c r="A31977" s="35"/>
      <c r="C31977" s="442"/>
      <c r="P31977" s="235"/>
      <c r="AI31977" s="38"/>
    </row>
    <row r="31978" ht="15.75" customHeight="1">
      <c r="A31978" s="35"/>
      <c r="C31978" s="442"/>
      <c r="P31978" s="235"/>
      <c r="AI31978" s="38"/>
    </row>
    <row r="31979" ht="15.75" customHeight="1">
      <c r="A31979" s="35"/>
      <c r="C31979" s="442"/>
      <c r="P31979" s="235"/>
      <c r="AI31979" s="38"/>
    </row>
    <row r="31980" ht="15.75" customHeight="1">
      <c r="A31980" s="35"/>
      <c r="C31980" s="442"/>
      <c r="P31980" s="235"/>
      <c r="AI31980" s="38"/>
    </row>
    <row r="31981" ht="15.75" customHeight="1">
      <c r="A31981" s="35"/>
      <c r="C31981" s="442"/>
      <c r="P31981" s="235"/>
      <c r="AI31981" s="38"/>
    </row>
    <row r="31982" ht="15.75" customHeight="1">
      <c r="A31982" s="35"/>
      <c r="C31982" s="442"/>
      <c r="P31982" s="235"/>
      <c r="AI31982" s="38"/>
    </row>
    <row r="31983" ht="15.75" customHeight="1">
      <c r="A31983" s="35"/>
      <c r="C31983" s="442"/>
      <c r="P31983" s="235"/>
      <c r="AI31983" s="38"/>
    </row>
    <row r="31984" ht="15.75" customHeight="1">
      <c r="A31984" s="35"/>
      <c r="C31984" s="442"/>
      <c r="P31984" s="235"/>
      <c r="AI31984" s="38"/>
    </row>
    <row r="31985" ht="15.75" customHeight="1">
      <c r="A31985" s="35"/>
      <c r="C31985" s="442"/>
      <c r="P31985" s="235"/>
      <c r="AI31985" s="38"/>
    </row>
    <row r="31986" ht="15.75" customHeight="1">
      <c r="A31986" s="35"/>
      <c r="C31986" s="442"/>
      <c r="P31986" s="235"/>
      <c r="AI31986" s="38"/>
    </row>
    <row r="31987" ht="15.75" customHeight="1">
      <c r="A31987" s="35"/>
      <c r="C31987" s="442"/>
      <c r="P31987" s="235"/>
      <c r="AI31987" s="38"/>
    </row>
    <row r="31988" ht="15.75" customHeight="1">
      <c r="A31988" s="35"/>
      <c r="C31988" s="442"/>
      <c r="P31988" s="235"/>
      <c r="AI31988" s="38"/>
    </row>
    <row r="31989" ht="15.75" customHeight="1">
      <c r="A31989" s="35"/>
      <c r="C31989" s="442"/>
      <c r="P31989" s="235"/>
      <c r="AI31989" s="38"/>
    </row>
    <row r="31990" ht="15.75" customHeight="1">
      <c r="A31990" s="35"/>
      <c r="C31990" s="442"/>
      <c r="P31990" s="235"/>
      <c r="AI31990" s="38"/>
    </row>
    <row r="31991" ht="15.75" customHeight="1">
      <c r="A31991" s="35"/>
      <c r="C31991" s="442"/>
      <c r="P31991" s="235"/>
      <c r="AI31991" s="38"/>
    </row>
    <row r="31992" ht="15.75" customHeight="1">
      <c r="A31992" s="35"/>
      <c r="C31992" s="442"/>
      <c r="P31992" s="235"/>
      <c r="AI31992" s="38"/>
    </row>
    <row r="31993" ht="15.75" customHeight="1">
      <c r="A31993" s="35"/>
      <c r="C31993" s="442"/>
      <c r="P31993" s="235"/>
      <c r="AI31993" s="38"/>
    </row>
    <row r="31994" ht="15.75" customHeight="1">
      <c r="A31994" s="35"/>
      <c r="C31994" s="442"/>
      <c r="P31994" s="235"/>
      <c r="AI31994" s="38"/>
    </row>
    <row r="31995" ht="15.75" customHeight="1">
      <c r="A31995" s="35"/>
      <c r="C31995" s="442"/>
      <c r="P31995" s="235"/>
      <c r="AI31995" s="38"/>
    </row>
    <row r="31996" ht="15.75" customHeight="1">
      <c r="A31996" s="35"/>
      <c r="C31996" s="442"/>
      <c r="P31996" s="235"/>
      <c r="AI31996" s="38"/>
    </row>
    <row r="31997" ht="15.75" customHeight="1">
      <c r="A31997" s="35"/>
      <c r="C31997" s="442"/>
      <c r="P31997" s="235"/>
      <c r="AI31997" s="38"/>
    </row>
    <row r="31998" ht="15.75" customHeight="1">
      <c r="A31998" s="35"/>
      <c r="C31998" s="442"/>
      <c r="P31998" s="235"/>
      <c r="AI31998" s="38"/>
    </row>
    <row r="31999" ht="15.75" customHeight="1">
      <c r="A31999" s="35"/>
      <c r="C31999" s="442"/>
      <c r="P31999" s="235"/>
      <c r="AI31999" s="38"/>
    </row>
    <row r="32000" ht="15.75" customHeight="1">
      <c r="A32000" s="35"/>
      <c r="C32000" s="442"/>
      <c r="P32000" s="235"/>
      <c r="AI32000" s="38"/>
    </row>
    <row r="32001" ht="15.75" customHeight="1">
      <c r="A32001" s="35"/>
      <c r="C32001" s="442"/>
      <c r="P32001" s="235"/>
      <c r="AI32001" s="38"/>
    </row>
    <row r="32002" ht="15.75" customHeight="1">
      <c r="A32002" s="35"/>
      <c r="C32002" s="442"/>
      <c r="P32002" s="235"/>
      <c r="AI32002" s="38"/>
    </row>
    <row r="32003" ht="15.75" customHeight="1">
      <c r="A32003" s="35"/>
      <c r="C32003" s="442"/>
      <c r="P32003" s="235"/>
      <c r="AI32003" s="38"/>
    </row>
    <row r="32004" ht="15.75" customHeight="1">
      <c r="A32004" s="35"/>
      <c r="C32004" s="442"/>
      <c r="P32004" s="235"/>
      <c r="AI32004" s="38"/>
    </row>
    <row r="32005" ht="15.75" customHeight="1">
      <c r="A32005" s="35"/>
      <c r="C32005" s="442"/>
      <c r="P32005" s="235"/>
      <c r="AI32005" s="38"/>
    </row>
    <row r="32006" ht="15.75" customHeight="1">
      <c r="A32006" s="35"/>
      <c r="C32006" s="442"/>
      <c r="P32006" s="235"/>
      <c r="AI32006" s="38"/>
    </row>
    <row r="32007" ht="15.75" customHeight="1">
      <c r="A32007" s="35"/>
      <c r="C32007" s="442"/>
      <c r="P32007" s="235"/>
      <c r="AI32007" s="38"/>
    </row>
    <row r="32008" ht="15.75" customHeight="1">
      <c r="A32008" s="35"/>
      <c r="C32008" s="442"/>
      <c r="P32008" s="235"/>
      <c r="AI32008" s="38"/>
    </row>
    <row r="32009" ht="15.75" customHeight="1">
      <c r="A32009" s="35"/>
      <c r="C32009" s="442"/>
      <c r="P32009" s="235"/>
      <c r="AI32009" s="38"/>
    </row>
    <row r="32010" ht="15.75" customHeight="1">
      <c r="A32010" s="35"/>
      <c r="C32010" s="442"/>
      <c r="P32010" s="235"/>
      <c r="AI32010" s="38"/>
    </row>
    <row r="32011" ht="15.75" customHeight="1">
      <c r="A32011" s="35"/>
      <c r="C32011" s="442"/>
      <c r="P32011" s="235"/>
      <c r="AI32011" s="38"/>
    </row>
    <row r="32012" ht="15.75" customHeight="1">
      <c r="A32012" s="35"/>
      <c r="C32012" s="442"/>
      <c r="P32012" s="235"/>
      <c r="AI32012" s="38"/>
    </row>
    <row r="32013" ht="15.75" customHeight="1">
      <c r="A32013" s="35"/>
      <c r="C32013" s="442"/>
      <c r="P32013" s="235"/>
      <c r="AI32013" s="38"/>
    </row>
    <row r="32014" ht="15.75" customHeight="1">
      <c r="A32014" s="35"/>
      <c r="C32014" s="442"/>
      <c r="P32014" s="235"/>
      <c r="AI32014" s="38"/>
    </row>
    <row r="32015" ht="15.75" customHeight="1">
      <c r="A32015" s="35"/>
      <c r="C32015" s="442"/>
      <c r="P32015" s="235"/>
      <c r="AI32015" s="38"/>
    </row>
    <row r="32016" ht="15.75" customHeight="1">
      <c r="A32016" s="35"/>
      <c r="C32016" s="442"/>
      <c r="P32016" s="235"/>
      <c r="AI32016" s="38"/>
    </row>
    <row r="32017" ht="15.75" customHeight="1">
      <c r="A32017" s="35"/>
      <c r="C32017" s="442"/>
      <c r="P32017" s="235"/>
      <c r="AI32017" s="38"/>
    </row>
    <row r="32018" ht="15.75" customHeight="1">
      <c r="A32018" s="35"/>
      <c r="C32018" s="442"/>
      <c r="P32018" s="235"/>
      <c r="AI32018" s="38"/>
    </row>
    <row r="32019" ht="15.75" customHeight="1">
      <c r="A32019" s="35"/>
      <c r="C32019" s="442"/>
      <c r="P32019" s="235"/>
      <c r="AI32019" s="38"/>
    </row>
    <row r="32020" ht="15.75" customHeight="1">
      <c r="A32020" s="35"/>
      <c r="C32020" s="442"/>
      <c r="P32020" s="235"/>
      <c r="AI32020" s="38"/>
    </row>
    <row r="32021" ht="15.75" customHeight="1">
      <c r="A32021" s="35"/>
      <c r="C32021" s="442"/>
      <c r="P32021" s="235"/>
      <c r="AI32021" s="38"/>
    </row>
    <row r="32022" ht="15.75" customHeight="1">
      <c r="A32022" s="35"/>
      <c r="C32022" s="442"/>
      <c r="P32022" s="235"/>
      <c r="AI32022" s="38"/>
    </row>
    <row r="32023" ht="15.75" customHeight="1">
      <c r="A32023" s="35"/>
      <c r="C32023" s="442"/>
      <c r="P32023" s="235"/>
      <c r="AI32023" s="38"/>
    </row>
    <row r="32024" ht="15.75" customHeight="1">
      <c r="A32024" s="35"/>
      <c r="C32024" s="442"/>
      <c r="P32024" s="235"/>
      <c r="AI32024" s="38"/>
    </row>
    <row r="32025" ht="15.75" customHeight="1">
      <c r="A32025" s="35"/>
      <c r="C32025" s="442"/>
      <c r="P32025" s="235"/>
      <c r="AI32025" s="38"/>
    </row>
    <row r="32026" ht="15.75" customHeight="1">
      <c r="A32026" s="35"/>
      <c r="C32026" s="442"/>
      <c r="P32026" s="235"/>
      <c r="AI32026" s="38"/>
    </row>
    <row r="32027" ht="15.75" customHeight="1">
      <c r="A32027" s="35"/>
      <c r="C32027" s="442"/>
      <c r="P32027" s="235"/>
      <c r="AI32027" s="38"/>
    </row>
    <row r="32028" ht="15.75" customHeight="1">
      <c r="A32028" s="35"/>
      <c r="C32028" s="442"/>
      <c r="P32028" s="235"/>
      <c r="AI32028" s="38"/>
    </row>
    <row r="32029" ht="15.75" customHeight="1">
      <c r="A32029" s="35"/>
      <c r="C32029" s="442"/>
      <c r="P32029" s="235"/>
      <c r="AI32029" s="38"/>
    </row>
    <row r="32030" ht="15.75" customHeight="1">
      <c r="A32030" s="35"/>
      <c r="C32030" s="442"/>
      <c r="P32030" s="235"/>
      <c r="AI32030" s="38"/>
    </row>
    <row r="32031" ht="15.75" customHeight="1">
      <c r="A32031" s="35"/>
      <c r="C32031" s="442"/>
      <c r="P32031" s="235"/>
      <c r="AI32031" s="38"/>
    </row>
    <row r="32032" ht="15.75" customHeight="1">
      <c r="A32032" s="35"/>
      <c r="C32032" s="442"/>
      <c r="P32032" s="235"/>
      <c r="AI32032" s="38"/>
    </row>
    <row r="32033" ht="15.75" customHeight="1">
      <c r="A32033" s="35"/>
      <c r="C32033" s="442"/>
      <c r="P32033" s="235"/>
      <c r="AI32033" s="38"/>
    </row>
    <row r="32034" ht="15.75" customHeight="1">
      <c r="A32034" s="35"/>
      <c r="C32034" s="442"/>
      <c r="P32034" s="235"/>
      <c r="AI32034" s="38"/>
    </row>
    <row r="32035" ht="15.75" customHeight="1">
      <c r="A32035" s="35"/>
      <c r="C32035" s="442"/>
      <c r="P32035" s="235"/>
      <c r="AI32035" s="38"/>
    </row>
    <row r="32036" ht="15.75" customHeight="1">
      <c r="A32036" s="35"/>
      <c r="C32036" s="442"/>
      <c r="P32036" s="235"/>
      <c r="AI32036" s="38"/>
    </row>
    <row r="32037" ht="15.75" customHeight="1">
      <c r="A32037" s="35"/>
      <c r="C32037" s="442"/>
      <c r="P32037" s="235"/>
      <c r="AI32037" s="38"/>
    </row>
    <row r="32038" ht="15.75" customHeight="1">
      <c r="A32038" s="35"/>
      <c r="C32038" s="442"/>
      <c r="P32038" s="235"/>
      <c r="AI32038" s="38"/>
    </row>
    <row r="32039" ht="15.75" customHeight="1">
      <c r="A32039" s="35"/>
      <c r="C32039" s="442"/>
      <c r="P32039" s="235"/>
      <c r="AI32039" s="38"/>
    </row>
    <row r="32040" ht="15.75" customHeight="1">
      <c r="A32040" s="35"/>
      <c r="C32040" s="442"/>
      <c r="P32040" s="235"/>
      <c r="AI32040" s="38"/>
    </row>
    <row r="32041" ht="15.75" customHeight="1">
      <c r="A32041" s="35"/>
      <c r="C32041" s="442"/>
      <c r="P32041" s="235"/>
      <c r="AI32041" s="38"/>
    </row>
    <row r="32042" ht="15.75" customHeight="1">
      <c r="A32042" s="35"/>
      <c r="C32042" s="442"/>
      <c r="P32042" s="235"/>
      <c r="AI32042" s="38"/>
    </row>
    <row r="32043" ht="15.75" customHeight="1">
      <c r="A32043" s="35"/>
      <c r="C32043" s="442"/>
      <c r="P32043" s="235"/>
      <c r="AI32043" s="38"/>
    </row>
    <row r="32044" ht="15.75" customHeight="1">
      <c r="A32044" s="35"/>
      <c r="C32044" s="442"/>
      <c r="P32044" s="235"/>
      <c r="AI32044" s="38"/>
    </row>
    <row r="32045" ht="15.75" customHeight="1">
      <c r="A32045" s="35"/>
      <c r="C32045" s="442"/>
      <c r="P32045" s="235"/>
      <c r="AI32045" s="38"/>
    </row>
    <row r="32046" ht="15.75" customHeight="1">
      <c r="A32046" s="35"/>
      <c r="C32046" s="442"/>
      <c r="P32046" s="235"/>
      <c r="AI32046" s="38"/>
    </row>
    <row r="32047" ht="15.75" customHeight="1">
      <c r="A32047" s="35"/>
      <c r="C32047" s="442"/>
      <c r="P32047" s="235"/>
      <c r="AI32047" s="38"/>
    </row>
    <row r="32048" ht="15.75" customHeight="1">
      <c r="A32048" s="35"/>
      <c r="C32048" s="442"/>
      <c r="P32048" s="235"/>
      <c r="AI32048" s="38"/>
    </row>
    <row r="32049" ht="15.75" customHeight="1">
      <c r="A32049" s="35"/>
      <c r="C32049" s="442"/>
      <c r="P32049" s="235"/>
      <c r="AI32049" s="38"/>
    </row>
    <row r="32050" ht="15.75" customHeight="1">
      <c r="A32050" s="35"/>
      <c r="C32050" s="442"/>
      <c r="P32050" s="235"/>
      <c r="AI32050" s="38"/>
    </row>
    <row r="32051" ht="15.75" customHeight="1">
      <c r="A32051" s="35"/>
      <c r="C32051" s="442"/>
      <c r="P32051" s="235"/>
      <c r="AI32051" s="38"/>
    </row>
    <row r="32052" ht="15.75" customHeight="1">
      <c r="A32052" s="35"/>
      <c r="C32052" s="442"/>
      <c r="P32052" s="235"/>
      <c r="AI32052" s="38"/>
    </row>
    <row r="32053" ht="15.75" customHeight="1">
      <c r="A32053" s="35"/>
      <c r="C32053" s="442"/>
      <c r="P32053" s="235"/>
      <c r="AI32053" s="38"/>
    </row>
    <row r="32054" ht="15.75" customHeight="1">
      <c r="A32054" s="35"/>
      <c r="C32054" s="442"/>
      <c r="P32054" s="235"/>
      <c r="AI32054" s="38"/>
    </row>
    <row r="32055" ht="15.75" customHeight="1">
      <c r="A32055" s="35"/>
      <c r="C32055" s="442"/>
      <c r="P32055" s="235"/>
      <c r="AI32055" s="38"/>
    </row>
    <row r="32056" ht="15.75" customHeight="1">
      <c r="A32056" s="35"/>
      <c r="C32056" s="442"/>
      <c r="P32056" s="235"/>
      <c r="AI32056" s="38"/>
    </row>
    <row r="32057" ht="15.75" customHeight="1">
      <c r="A32057" s="35"/>
      <c r="C32057" s="442"/>
      <c r="P32057" s="235"/>
      <c r="AI32057" s="38"/>
    </row>
    <row r="32058" ht="15.75" customHeight="1">
      <c r="A32058" s="35"/>
      <c r="C32058" s="442"/>
      <c r="P32058" s="235"/>
      <c r="AI32058" s="38"/>
    </row>
    <row r="32059" ht="15.75" customHeight="1">
      <c r="A32059" s="35"/>
      <c r="C32059" s="442"/>
      <c r="P32059" s="235"/>
      <c r="AI32059" s="38"/>
    </row>
    <row r="32060" ht="15.75" customHeight="1">
      <c r="A32060" s="35"/>
      <c r="C32060" s="442"/>
      <c r="P32060" s="235"/>
      <c r="AI32060" s="38"/>
    </row>
    <row r="32061" ht="15.75" customHeight="1">
      <c r="A32061" s="35"/>
      <c r="C32061" s="442"/>
      <c r="P32061" s="235"/>
      <c r="AI32061" s="38"/>
    </row>
    <row r="32062" ht="15.75" customHeight="1">
      <c r="A32062" s="35"/>
      <c r="C32062" s="442"/>
      <c r="P32062" s="235"/>
      <c r="AI32062" s="38"/>
    </row>
    <row r="32063" ht="15.75" customHeight="1">
      <c r="A32063" s="35"/>
      <c r="C32063" s="442"/>
      <c r="P32063" s="235"/>
      <c r="AI32063" s="38"/>
    </row>
    <row r="32064" ht="15.75" customHeight="1">
      <c r="A32064" s="35"/>
      <c r="C32064" s="442"/>
      <c r="P32064" s="235"/>
      <c r="AI32064" s="38"/>
    </row>
    <row r="32065" ht="15.75" customHeight="1">
      <c r="A32065" s="35"/>
      <c r="C32065" s="442"/>
      <c r="P32065" s="235"/>
      <c r="AI32065" s="38"/>
    </row>
    <row r="32066" ht="15.75" customHeight="1">
      <c r="A32066" s="35"/>
      <c r="C32066" s="442"/>
      <c r="P32066" s="235"/>
      <c r="AI32066" s="38"/>
    </row>
    <row r="32067" ht="15.75" customHeight="1">
      <c r="A32067" s="35"/>
      <c r="C32067" s="442"/>
      <c r="P32067" s="235"/>
      <c r="AI32067" s="38"/>
    </row>
    <row r="32068" ht="15.75" customHeight="1">
      <c r="A32068" s="35"/>
      <c r="C32068" s="442"/>
      <c r="P32068" s="235"/>
      <c r="AI32068" s="38"/>
    </row>
    <row r="32069" ht="15.75" customHeight="1">
      <c r="A32069" s="35"/>
      <c r="C32069" s="442"/>
      <c r="P32069" s="235"/>
      <c r="AI32069" s="38"/>
    </row>
    <row r="32070" ht="15.75" customHeight="1">
      <c r="A32070" s="35"/>
      <c r="C32070" s="442"/>
      <c r="P32070" s="235"/>
      <c r="AI32070" s="38"/>
    </row>
    <row r="32071" ht="15.75" customHeight="1">
      <c r="A32071" s="35"/>
      <c r="C32071" s="442"/>
      <c r="P32071" s="235"/>
      <c r="AI32071" s="38"/>
    </row>
    <row r="32072" ht="15.75" customHeight="1">
      <c r="A32072" s="35"/>
      <c r="C32072" s="442"/>
      <c r="P32072" s="235"/>
      <c r="AI32072" s="38"/>
    </row>
    <row r="32073" ht="15.75" customHeight="1">
      <c r="A32073" s="35"/>
      <c r="C32073" s="442"/>
      <c r="P32073" s="235"/>
      <c r="AI32073" s="38"/>
    </row>
    <row r="32074" ht="15.75" customHeight="1">
      <c r="A32074" s="35"/>
      <c r="C32074" s="442"/>
      <c r="P32074" s="235"/>
      <c r="AI32074" s="38"/>
    </row>
    <row r="32075" ht="15.75" customHeight="1">
      <c r="A32075" s="35"/>
      <c r="C32075" s="442"/>
      <c r="P32075" s="235"/>
      <c r="AI32075" s="38"/>
    </row>
    <row r="32076" ht="15.75" customHeight="1">
      <c r="A32076" s="35"/>
      <c r="C32076" s="442"/>
      <c r="P32076" s="235"/>
      <c r="AI32076" s="38"/>
    </row>
    <row r="32077" ht="15.75" customHeight="1">
      <c r="A32077" s="35"/>
      <c r="C32077" s="442"/>
      <c r="P32077" s="235"/>
      <c r="AI32077" s="38"/>
    </row>
    <row r="32078" ht="15.75" customHeight="1">
      <c r="A32078" s="35"/>
      <c r="C32078" s="442"/>
      <c r="P32078" s="235"/>
      <c r="AI32078" s="38"/>
    </row>
    <row r="32079" ht="15.75" customHeight="1">
      <c r="A32079" s="35"/>
      <c r="C32079" s="442"/>
      <c r="P32079" s="235"/>
      <c r="AI32079" s="38"/>
    </row>
    <row r="32080" ht="15.75" customHeight="1">
      <c r="A32080" s="35"/>
      <c r="C32080" s="442"/>
      <c r="P32080" s="235"/>
      <c r="AI32080" s="38"/>
    </row>
    <row r="32081" ht="15.75" customHeight="1">
      <c r="A32081" s="35"/>
      <c r="C32081" s="442"/>
      <c r="P32081" s="235"/>
      <c r="AI32081" s="38"/>
    </row>
    <row r="32082" ht="15.75" customHeight="1">
      <c r="A32082" s="35"/>
      <c r="C32082" s="442"/>
      <c r="P32082" s="235"/>
      <c r="AI32082" s="38"/>
    </row>
    <row r="32083" ht="15.75" customHeight="1">
      <c r="A32083" s="35"/>
      <c r="C32083" s="442"/>
      <c r="P32083" s="235"/>
      <c r="AI32083" s="38"/>
    </row>
    <row r="32084" ht="15.75" customHeight="1">
      <c r="A32084" s="35"/>
      <c r="C32084" s="442"/>
      <c r="P32084" s="235"/>
      <c r="AI32084" s="38"/>
    </row>
    <row r="32085" ht="15.75" customHeight="1">
      <c r="A32085" s="35"/>
      <c r="C32085" s="442"/>
      <c r="P32085" s="235"/>
      <c r="AI32085" s="38"/>
    </row>
    <row r="32086" ht="15.75" customHeight="1">
      <c r="A32086" s="35"/>
      <c r="C32086" s="442"/>
      <c r="P32086" s="235"/>
      <c r="AI32086" s="38"/>
    </row>
    <row r="32087" ht="15.75" customHeight="1">
      <c r="A32087" s="35"/>
      <c r="C32087" s="442"/>
      <c r="P32087" s="235"/>
      <c r="AI32087" s="38"/>
    </row>
    <row r="32088" ht="15.75" customHeight="1">
      <c r="A32088" s="35"/>
      <c r="C32088" s="442"/>
      <c r="P32088" s="235"/>
      <c r="AI32088" s="38"/>
    </row>
    <row r="32089" ht="15.75" customHeight="1">
      <c r="A32089" s="35"/>
      <c r="C32089" s="442"/>
      <c r="P32089" s="235"/>
      <c r="AI32089" s="38"/>
    </row>
    <row r="32090" ht="15.75" customHeight="1">
      <c r="A32090" s="35"/>
      <c r="C32090" s="442"/>
      <c r="P32090" s="235"/>
      <c r="AI32090" s="38"/>
    </row>
    <row r="32091" ht="15.75" customHeight="1">
      <c r="A32091" s="35"/>
      <c r="C32091" s="442"/>
      <c r="P32091" s="235"/>
      <c r="AI32091" s="38"/>
    </row>
    <row r="32092" ht="15.75" customHeight="1">
      <c r="A32092" s="35"/>
      <c r="C32092" s="442"/>
      <c r="P32092" s="235"/>
      <c r="AI32092" s="38"/>
    </row>
    <row r="32093" ht="15.75" customHeight="1">
      <c r="A32093" s="35"/>
      <c r="C32093" s="442"/>
      <c r="P32093" s="235"/>
      <c r="AI32093" s="38"/>
    </row>
    <row r="32094" ht="15.75" customHeight="1">
      <c r="A32094" s="35"/>
      <c r="C32094" s="442"/>
      <c r="P32094" s="235"/>
      <c r="AI32094" s="38"/>
    </row>
    <row r="32095" ht="15.75" customHeight="1">
      <c r="A32095" s="35"/>
      <c r="C32095" s="442"/>
      <c r="P32095" s="235"/>
      <c r="AI32095" s="38"/>
    </row>
    <row r="32096" ht="15.75" customHeight="1">
      <c r="A32096" s="35"/>
      <c r="C32096" s="442"/>
      <c r="P32096" s="235"/>
      <c r="AI32096" s="38"/>
    </row>
    <row r="32097" ht="15.75" customHeight="1">
      <c r="A32097" s="35"/>
      <c r="C32097" s="442"/>
      <c r="P32097" s="235"/>
      <c r="AI32097" s="38"/>
    </row>
    <row r="32098" ht="15.75" customHeight="1">
      <c r="A32098" s="35"/>
      <c r="C32098" s="442"/>
      <c r="P32098" s="235"/>
      <c r="AI32098" s="38"/>
    </row>
    <row r="32099" ht="15.75" customHeight="1">
      <c r="A32099" s="35"/>
      <c r="C32099" s="442"/>
      <c r="P32099" s="235"/>
      <c r="AI32099" s="38"/>
    </row>
    <row r="32100" ht="15.75" customHeight="1">
      <c r="A32100" s="35"/>
      <c r="C32100" s="442"/>
      <c r="P32100" s="235"/>
      <c r="AI32100" s="38"/>
    </row>
    <row r="32101" ht="15.75" customHeight="1">
      <c r="A32101" s="35"/>
      <c r="C32101" s="442"/>
      <c r="P32101" s="235"/>
      <c r="AI32101" s="38"/>
    </row>
    <row r="32102" ht="15.75" customHeight="1">
      <c r="A32102" s="35"/>
      <c r="C32102" s="442"/>
      <c r="P32102" s="235"/>
      <c r="AI32102" s="38"/>
    </row>
    <row r="32103" ht="15.75" customHeight="1">
      <c r="A32103" s="35"/>
      <c r="C32103" s="442"/>
      <c r="P32103" s="235"/>
      <c r="AI32103" s="38"/>
    </row>
    <row r="32104" ht="15.75" customHeight="1">
      <c r="A32104" s="35"/>
      <c r="C32104" s="442"/>
      <c r="P32104" s="235"/>
      <c r="AI32104" s="38"/>
    </row>
    <row r="32105" ht="15.75" customHeight="1">
      <c r="A32105" s="35"/>
      <c r="C32105" s="442"/>
      <c r="P32105" s="235"/>
      <c r="AI32105" s="38"/>
    </row>
    <row r="32106" ht="15.75" customHeight="1">
      <c r="A32106" s="35"/>
      <c r="C32106" s="442"/>
      <c r="P32106" s="235"/>
      <c r="AI32106" s="38"/>
    </row>
    <row r="32107" ht="15.75" customHeight="1">
      <c r="A32107" s="35"/>
      <c r="C32107" s="442"/>
      <c r="P32107" s="235"/>
      <c r="AI32107" s="38"/>
    </row>
    <row r="32108" ht="15.75" customHeight="1">
      <c r="A32108" s="35"/>
      <c r="C32108" s="442"/>
      <c r="P32108" s="235"/>
      <c r="AI32108" s="38"/>
    </row>
    <row r="32109" ht="15.75" customHeight="1">
      <c r="A32109" s="35"/>
      <c r="C32109" s="442"/>
      <c r="P32109" s="235"/>
      <c r="AI32109" s="38"/>
    </row>
    <row r="32110" ht="15.75" customHeight="1">
      <c r="A32110" s="35"/>
      <c r="C32110" s="442"/>
      <c r="P32110" s="235"/>
      <c r="AI32110" s="38"/>
    </row>
    <row r="32111" ht="15.75" customHeight="1">
      <c r="A32111" s="35"/>
      <c r="C32111" s="442"/>
      <c r="P32111" s="235"/>
      <c r="AI32111" s="38"/>
    </row>
    <row r="32112" ht="15.75" customHeight="1">
      <c r="A32112" s="35"/>
      <c r="C32112" s="442"/>
      <c r="P32112" s="235"/>
      <c r="AI32112" s="38"/>
    </row>
    <row r="32113" ht="15.75" customHeight="1">
      <c r="A32113" s="35"/>
      <c r="C32113" s="442"/>
      <c r="P32113" s="235"/>
      <c r="AI32113" s="38"/>
    </row>
    <row r="32114" ht="15.75" customHeight="1">
      <c r="A32114" s="35"/>
      <c r="C32114" s="442"/>
      <c r="P32114" s="235"/>
      <c r="AI32114" s="38"/>
    </row>
    <row r="32115" ht="15.75" customHeight="1">
      <c r="A32115" s="35"/>
      <c r="C32115" s="442"/>
      <c r="P32115" s="235"/>
      <c r="AI32115" s="38"/>
    </row>
    <row r="32116" ht="15.75" customHeight="1">
      <c r="A32116" s="35"/>
      <c r="C32116" s="442"/>
      <c r="P32116" s="235"/>
      <c r="AI32116" s="38"/>
    </row>
    <row r="32117" ht="15.75" customHeight="1">
      <c r="A32117" s="35"/>
      <c r="C32117" s="442"/>
      <c r="P32117" s="235"/>
      <c r="AI32117" s="38"/>
    </row>
    <row r="32118" ht="15.75" customHeight="1">
      <c r="A32118" s="35"/>
      <c r="C32118" s="442"/>
      <c r="P32118" s="235"/>
      <c r="AI32118" s="38"/>
    </row>
    <row r="32119" ht="15.75" customHeight="1">
      <c r="A32119" s="35"/>
      <c r="C32119" s="442"/>
      <c r="P32119" s="235"/>
      <c r="AI32119" s="38"/>
    </row>
    <row r="32120" ht="15.75" customHeight="1">
      <c r="A32120" s="35"/>
      <c r="C32120" s="442"/>
      <c r="P32120" s="235"/>
      <c r="AI32120" s="38"/>
    </row>
    <row r="32121" ht="15.75" customHeight="1">
      <c r="A32121" s="35"/>
      <c r="C32121" s="442"/>
      <c r="P32121" s="235"/>
      <c r="AI32121" s="38"/>
    </row>
    <row r="32122" ht="15.75" customHeight="1">
      <c r="A32122" s="35"/>
      <c r="C32122" s="442"/>
      <c r="P32122" s="235"/>
      <c r="AI32122" s="38"/>
    </row>
    <row r="32123" ht="15.75" customHeight="1">
      <c r="A32123" s="35"/>
      <c r="C32123" s="442"/>
      <c r="P32123" s="235"/>
      <c r="AI32123" s="38"/>
    </row>
    <row r="32124" ht="15.75" customHeight="1">
      <c r="A32124" s="35"/>
      <c r="C32124" s="442"/>
      <c r="P32124" s="235"/>
      <c r="AI32124" s="38"/>
    </row>
    <row r="32125" ht="15.75" customHeight="1">
      <c r="A32125" s="35"/>
      <c r="C32125" s="442"/>
      <c r="P32125" s="235"/>
      <c r="AI32125" s="38"/>
    </row>
    <row r="32126" ht="15.75" customHeight="1">
      <c r="A32126" s="35"/>
      <c r="C32126" s="442"/>
      <c r="P32126" s="235"/>
      <c r="AI32126" s="38"/>
    </row>
    <row r="32127" ht="15.75" customHeight="1">
      <c r="A32127" s="35"/>
      <c r="C32127" s="442"/>
      <c r="P32127" s="235"/>
      <c r="AI32127" s="38"/>
    </row>
    <row r="32128" ht="15.75" customHeight="1">
      <c r="A32128" s="35"/>
      <c r="C32128" s="442"/>
      <c r="P32128" s="235"/>
      <c r="AI32128" s="38"/>
    </row>
    <row r="32129" ht="15.75" customHeight="1">
      <c r="A32129" s="35"/>
      <c r="C32129" s="442"/>
      <c r="P32129" s="235"/>
      <c r="AI32129" s="38"/>
    </row>
    <row r="32130" ht="15.75" customHeight="1">
      <c r="A32130" s="35"/>
      <c r="C32130" s="442"/>
      <c r="P32130" s="235"/>
      <c r="AI32130" s="38"/>
    </row>
    <row r="32131" ht="15.75" customHeight="1">
      <c r="A32131" s="35"/>
      <c r="C32131" s="442"/>
      <c r="P32131" s="235"/>
      <c r="AI32131" s="38"/>
    </row>
    <row r="32132" ht="15.75" customHeight="1">
      <c r="A32132" s="35"/>
      <c r="C32132" s="442"/>
      <c r="P32132" s="235"/>
      <c r="AI32132" s="38"/>
    </row>
    <row r="32133" ht="15.75" customHeight="1">
      <c r="A32133" s="35"/>
      <c r="C32133" s="442"/>
      <c r="P32133" s="235"/>
      <c r="AI32133" s="38"/>
    </row>
    <row r="32134" ht="15.75" customHeight="1">
      <c r="A32134" s="35"/>
      <c r="C32134" s="442"/>
      <c r="P32134" s="235"/>
      <c r="AI32134" s="38"/>
    </row>
    <row r="32135" ht="15.75" customHeight="1">
      <c r="A32135" s="35"/>
      <c r="C32135" s="442"/>
      <c r="P32135" s="235"/>
      <c r="AI32135" s="38"/>
    </row>
    <row r="32136" ht="15.75" customHeight="1">
      <c r="A32136" s="35"/>
      <c r="C32136" s="442"/>
      <c r="P32136" s="235"/>
      <c r="AI32136" s="38"/>
    </row>
    <row r="32137" ht="15.75" customHeight="1">
      <c r="A32137" s="35"/>
      <c r="C32137" s="442"/>
      <c r="P32137" s="235"/>
      <c r="AI32137" s="38"/>
    </row>
    <row r="32138" ht="15.75" customHeight="1">
      <c r="A32138" s="35"/>
      <c r="C32138" s="442"/>
      <c r="P32138" s="235"/>
      <c r="AI32138" s="38"/>
    </row>
    <row r="32139" ht="15.75" customHeight="1">
      <c r="A32139" s="35"/>
      <c r="C32139" s="442"/>
      <c r="P32139" s="235"/>
      <c r="AI32139" s="38"/>
    </row>
    <row r="32140" ht="15.75" customHeight="1">
      <c r="A32140" s="35"/>
      <c r="C32140" s="442"/>
      <c r="P32140" s="235"/>
      <c r="AI32140" s="38"/>
    </row>
    <row r="32141" ht="15.75" customHeight="1">
      <c r="A32141" s="35"/>
      <c r="C32141" s="442"/>
      <c r="P32141" s="235"/>
      <c r="AI32141" s="38"/>
    </row>
    <row r="32142" ht="15.75" customHeight="1">
      <c r="A32142" s="35"/>
      <c r="C32142" s="442"/>
      <c r="P32142" s="235"/>
      <c r="AI32142" s="38"/>
    </row>
    <row r="32143" ht="15.75" customHeight="1">
      <c r="A32143" s="35"/>
      <c r="C32143" s="442"/>
      <c r="P32143" s="235"/>
      <c r="AI32143" s="38"/>
    </row>
    <row r="32144" ht="15.75" customHeight="1">
      <c r="A32144" s="35"/>
      <c r="C32144" s="442"/>
      <c r="P32144" s="235"/>
      <c r="AI32144" s="38"/>
    </row>
    <row r="32145" ht="15.75" customHeight="1">
      <c r="A32145" s="35"/>
      <c r="C32145" s="442"/>
      <c r="P32145" s="235"/>
      <c r="AI32145" s="38"/>
    </row>
    <row r="32146" ht="15.75" customHeight="1">
      <c r="A32146" s="35"/>
      <c r="C32146" s="442"/>
      <c r="P32146" s="235"/>
      <c r="AI32146" s="38"/>
    </row>
    <row r="32147" ht="15.75" customHeight="1">
      <c r="A32147" s="35"/>
      <c r="C32147" s="442"/>
      <c r="P32147" s="235"/>
      <c r="AI32147" s="38"/>
    </row>
    <row r="32148" ht="15.75" customHeight="1">
      <c r="A32148" s="35"/>
      <c r="C32148" s="442"/>
      <c r="P32148" s="235"/>
      <c r="AI32148" s="38"/>
    </row>
    <row r="32149" ht="15.75" customHeight="1">
      <c r="A32149" s="35"/>
      <c r="C32149" s="442"/>
      <c r="P32149" s="235"/>
      <c r="AI32149" s="38"/>
    </row>
    <row r="32150" ht="15.75" customHeight="1">
      <c r="A32150" s="35"/>
      <c r="C32150" s="442"/>
      <c r="P32150" s="235"/>
      <c r="AI32150" s="38"/>
    </row>
    <row r="32151" ht="15.75" customHeight="1">
      <c r="A32151" s="35"/>
      <c r="C32151" s="442"/>
      <c r="P32151" s="235"/>
      <c r="AI32151" s="38"/>
    </row>
    <row r="32152" ht="15.75" customHeight="1">
      <c r="A32152" s="35"/>
      <c r="C32152" s="442"/>
      <c r="P32152" s="235"/>
      <c r="AI32152" s="38"/>
    </row>
    <row r="32153" ht="15.75" customHeight="1">
      <c r="A32153" s="35"/>
      <c r="C32153" s="442"/>
      <c r="P32153" s="235"/>
      <c r="AI32153" s="38"/>
    </row>
    <row r="32154" ht="15.75" customHeight="1">
      <c r="A32154" s="35"/>
      <c r="C32154" s="442"/>
      <c r="P32154" s="235"/>
      <c r="AI32154" s="38"/>
    </row>
    <row r="32155" ht="15.75" customHeight="1">
      <c r="A32155" s="35"/>
      <c r="C32155" s="442"/>
      <c r="P32155" s="235"/>
      <c r="AI32155" s="38"/>
    </row>
    <row r="32156" ht="15.75" customHeight="1">
      <c r="A32156" s="35"/>
      <c r="C32156" s="442"/>
      <c r="P32156" s="235"/>
      <c r="AI32156" s="38"/>
    </row>
    <row r="32157" ht="15.75" customHeight="1">
      <c r="A32157" s="35"/>
      <c r="C32157" s="442"/>
      <c r="P32157" s="235"/>
      <c r="AI32157" s="38"/>
    </row>
    <row r="32158" ht="15.75" customHeight="1">
      <c r="A32158" s="35"/>
      <c r="C32158" s="442"/>
      <c r="P32158" s="235"/>
      <c r="AI32158" s="38"/>
    </row>
    <row r="32159" ht="15.75" customHeight="1">
      <c r="A32159" s="35"/>
      <c r="C32159" s="442"/>
      <c r="P32159" s="235"/>
      <c r="AI32159" s="38"/>
    </row>
    <row r="32160" ht="15.75" customHeight="1">
      <c r="A32160" s="35"/>
      <c r="C32160" s="442"/>
      <c r="P32160" s="235"/>
      <c r="AI32160" s="38"/>
    </row>
    <row r="32161" ht="15.75" customHeight="1">
      <c r="A32161" s="35"/>
      <c r="C32161" s="442"/>
      <c r="P32161" s="235"/>
      <c r="AI32161" s="38"/>
    </row>
    <row r="32162" ht="15.75" customHeight="1">
      <c r="A32162" s="35"/>
      <c r="C32162" s="442"/>
      <c r="P32162" s="235"/>
      <c r="AI32162" s="38"/>
    </row>
    <row r="32163" ht="15.75" customHeight="1">
      <c r="A32163" s="35"/>
      <c r="C32163" s="442"/>
      <c r="P32163" s="235"/>
      <c r="AI32163" s="38"/>
    </row>
    <row r="32164" ht="15.75" customHeight="1">
      <c r="A32164" s="35"/>
      <c r="C32164" s="442"/>
      <c r="P32164" s="235"/>
      <c r="AI32164" s="38"/>
    </row>
    <row r="32165" ht="15.75" customHeight="1">
      <c r="A32165" s="35"/>
      <c r="C32165" s="442"/>
      <c r="P32165" s="235"/>
      <c r="AI32165" s="38"/>
    </row>
    <row r="32166" ht="15.75" customHeight="1">
      <c r="A32166" s="35"/>
      <c r="C32166" s="442"/>
      <c r="P32166" s="235"/>
      <c r="AI32166" s="38"/>
    </row>
    <row r="32167" ht="15.75" customHeight="1">
      <c r="A32167" s="35"/>
      <c r="C32167" s="442"/>
      <c r="P32167" s="235"/>
      <c r="AI32167" s="38"/>
    </row>
    <row r="32168" ht="15.75" customHeight="1">
      <c r="A32168" s="35"/>
      <c r="C32168" s="442"/>
      <c r="P32168" s="235"/>
      <c r="AI32168" s="38"/>
    </row>
    <row r="32169" ht="15.75" customHeight="1">
      <c r="A32169" s="35"/>
      <c r="C32169" s="442"/>
      <c r="P32169" s="235"/>
      <c r="AI32169" s="38"/>
    </row>
    <row r="32170" ht="15.75" customHeight="1">
      <c r="A32170" s="35"/>
      <c r="C32170" s="442"/>
      <c r="P32170" s="235"/>
      <c r="AI32170" s="38"/>
    </row>
    <row r="32171" ht="15.75" customHeight="1">
      <c r="A32171" s="35"/>
      <c r="C32171" s="442"/>
      <c r="P32171" s="235"/>
      <c r="AI32171" s="38"/>
    </row>
    <row r="32172" ht="15.75" customHeight="1">
      <c r="A32172" s="35"/>
      <c r="C32172" s="442"/>
      <c r="P32172" s="235"/>
      <c r="AI32172" s="38"/>
    </row>
    <row r="32173" ht="15.75" customHeight="1">
      <c r="A32173" s="35"/>
      <c r="C32173" s="442"/>
      <c r="P32173" s="235"/>
      <c r="AI32173" s="38"/>
    </row>
    <row r="32174" ht="15.75" customHeight="1">
      <c r="A32174" s="35"/>
      <c r="C32174" s="442"/>
      <c r="P32174" s="235"/>
      <c r="AI32174" s="38"/>
    </row>
    <row r="32175" ht="15.75" customHeight="1">
      <c r="A32175" s="35"/>
      <c r="C32175" s="442"/>
      <c r="P32175" s="235"/>
      <c r="AI32175" s="38"/>
    </row>
    <row r="32176" ht="15.75" customHeight="1">
      <c r="A32176" s="35"/>
      <c r="C32176" s="442"/>
      <c r="P32176" s="235"/>
      <c r="AI32176" s="38"/>
    </row>
    <row r="32177" ht="15.75" customHeight="1">
      <c r="A32177" s="35"/>
      <c r="C32177" s="442"/>
      <c r="P32177" s="235"/>
      <c r="AI32177" s="38"/>
    </row>
    <row r="32178" ht="15.75" customHeight="1">
      <c r="A32178" s="35"/>
      <c r="C32178" s="442"/>
      <c r="P32178" s="235"/>
      <c r="AI32178" s="38"/>
    </row>
    <row r="32179" ht="15.75" customHeight="1">
      <c r="A32179" s="35"/>
      <c r="C32179" s="442"/>
      <c r="P32179" s="235"/>
      <c r="AI32179" s="38"/>
    </row>
    <row r="32180" ht="15.75" customHeight="1">
      <c r="A32180" s="35"/>
      <c r="C32180" s="442"/>
      <c r="P32180" s="235"/>
      <c r="AI32180" s="38"/>
    </row>
    <row r="32181" ht="15.75" customHeight="1">
      <c r="A32181" s="35"/>
      <c r="C32181" s="442"/>
      <c r="P32181" s="235"/>
      <c r="AI32181" s="38"/>
    </row>
    <row r="32182" ht="15.75" customHeight="1">
      <c r="A32182" s="35"/>
      <c r="C32182" s="442"/>
      <c r="P32182" s="235"/>
      <c r="AI32182" s="38"/>
    </row>
    <row r="32183" ht="15.75" customHeight="1">
      <c r="A32183" s="35"/>
      <c r="C32183" s="442"/>
      <c r="P32183" s="235"/>
      <c r="AI32183" s="38"/>
    </row>
    <row r="32184" ht="15.75" customHeight="1">
      <c r="A32184" s="35"/>
      <c r="C32184" s="442"/>
      <c r="P32184" s="235"/>
      <c r="AI32184" s="38"/>
    </row>
    <row r="32185" ht="15.75" customHeight="1">
      <c r="A32185" s="35"/>
      <c r="C32185" s="442"/>
      <c r="P32185" s="235"/>
      <c r="AI32185" s="38"/>
    </row>
    <row r="32186" ht="15.75" customHeight="1">
      <c r="A32186" s="35"/>
      <c r="C32186" s="442"/>
      <c r="P32186" s="235"/>
      <c r="AI32186" s="38"/>
    </row>
    <row r="32187" ht="15.75" customHeight="1">
      <c r="A32187" s="35"/>
      <c r="C32187" s="442"/>
      <c r="P32187" s="235"/>
      <c r="AI32187" s="38"/>
    </row>
    <row r="32188" ht="15.75" customHeight="1">
      <c r="A32188" s="35"/>
      <c r="C32188" s="442"/>
      <c r="P32188" s="235"/>
      <c r="AI32188" s="38"/>
    </row>
    <row r="32189" ht="15.75" customHeight="1">
      <c r="A32189" s="35"/>
      <c r="C32189" s="442"/>
      <c r="P32189" s="235"/>
      <c r="AI32189" s="38"/>
    </row>
    <row r="32190" ht="15.75" customHeight="1">
      <c r="A32190" s="35"/>
      <c r="C32190" s="442"/>
      <c r="P32190" s="235"/>
      <c r="AI32190" s="38"/>
    </row>
    <row r="32191" ht="15.75" customHeight="1">
      <c r="A32191" s="35"/>
      <c r="C32191" s="442"/>
      <c r="P32191" s="235"/>
      <c r="AI32191" s="38"/>
    </row>
    <row r="32192" ht="15.75" customHeight="1">
      <c r="A32192" s="35"/>
      <c r="C32192" s="442"/>
      <c r="P32192" s="235"/>
      <c r="AI32192" s="38"/>
    </row>
    <row r="32193" ht="15.75" customHeight="1">
      <c r="A32193" s="35"/>
      <c r="C32193" s="442"/>
      <c r="P32193" s="235"/>
      <c r="AI32193" s="38"/>
    </row>
    <row r="32194" ht="15.75" customHeight="1">
      <c r="A32194" s="35"/>
      <c r="C32194" s="442"/>
      <c r="P32194" s="235"/>
      <c r="AI32194" s="38"/>
    </row>
    <row r="32195" ht="15.75" customHeight="1">
      <c r="A32195" s="35"/>
      <c r="C32195" s="442"/>
      <c r="P32195" s="235"/>
      <c r="AI32195" s="38"/>
    </row>
    <row r="32196" ht="15.75" customHeight="1">
      <c r="A32196" s="35"/>
      <c r="C32196" s="442"/>
      <c r="P32196" s="235"/>
      <c r="AI32196" s="38"/>
    </row>
    <row r="32197" ht="15.75" customHeight="1">
      <c r="A32197" s="35"/>
      <c r="C32197" s="442"/>
      <c r="P32197" s="235"/>
      <c r="AI32197" s="38"/>
    </row>
    <row r="32198" ht="15.75" customHeight="1">
      <c r="A32198" s="35"/>
      <c r="C32198" s="442"/>
      <c r="P32198" s="235"/>
      <c r="AI32198" s="38"/>
    </row>
    <row r="32199" ht="15.75" customHeight="1">
      <c r="A32199" s="35"/>
      <c r="C32199" s="442"/>
      <c r="P32199" s="235"/>
      <c r="AI32199" s="38"/>
    </row>
    <row r="32200" ht="15.75" customHeight="1">
      <c r="A32200" s="35"/>
      <c r="C32200" s="442"/>
      <c r="P32200" s="235"/>
      <c r="AI32200" s="38"/>
    </row>
    <row r="32201" ht="15.75" customHeight="1">
      <c r="A32201" s="35"/>
      <c r="C32201" s="442"/>
      <c r="P32201" s="235"/>
      <c r="AI32201" s="38"/>
    </row>
    <row r="32202" ht="15.75" customHeight="1">
      <c r="A32202" s="35"/>
      <c r="C32202" s="442"/>
      <c r="P32202" s="235"/>
      <c r="AI32202" s="38"/>
    </row>
    <row r="32203" ht="15.75" customHeight="1">
      <c r="A32203" s="35"/>
      <c r="C32203" s="442"/>
      <c r="P32203" s="235"/>
      <c r="AI32203" s="38"/>
    </row>
    <row r="32204" ht="15.75" customHeight="1">
      <c r="A32204" s="35"/>
      <c r="C32204" s="442"/>
      <c r="P32204" s="235"/>
      <c r="AI32204" s="38"/>
    </row>
    <row r="32205" ht="15.75" customHeight="1">
      <c r="A32205" s="35"/>
      <c r="C32205" s="442"/>
      <c r="P32205" s="235"/>
      <c r="AI32205" s="38"/>
    </row>
    <row r="32206" ht="15.75" customHeight="1">
      <c r="A32206" s="35"/>
      <c r="C32206" s="442"/>
      <c r="P32206" s="235"/>
      <c r="AI32206" s="38"/>
    </row>
    <row r="32207" ht="15.75" customHeight="1">
      <c r="A32207" s="35"/>
      <c r="C32207" s="442"/>
      <c r="P32207" s="235"/>
      <c r="AI32207" s="38"/>
    </row>
    <row r="32208" ht="15.75" customHeight="1">
      <c r="A32208" s="35"/>
      <c r="C32208" s="442"/>
      <c r="P32208" s="235"/>
      <c r="AI32208" s="38"/>
    </row>
    <row r="32209" ht="15.75" customHeight="1">
      <c r="A32209" s="35"/>
      <c r="C32209" s="442"/>
      <c r="P32209" s="235"/>
      <c r="AI32209" s="38"/>
    </row>
    <row r="32210" ht="15.75" customHeight="1">
      <c r="A32210" s="35"/>
      <c r="C32210" s="442"/>
      <c r="P32210" s="235"/>
      <c r="AI32210" s="38"/>
    </row>
    <row r="32211" ht="15.75" customHeight="1">
      <c r="A32211" s="35"/>
      <c r="C32211" s="442"/>
      <c r="P32211" s="235"/>
      <c r="AI32211" s="38"/>
    </row>
    <row r="32212" ht="15.75" customHeight="1">
      <c r="A32212" s="35"/>
      <c r="C32212" s="442"/>
      <c r="P32212" s="235"/>
      <c r="AI32212" s="38"/>
    </row>
    <row r="32213" ht="15.75" customHeight="1">
      <c r="A32213" s="35"/>
      <c r="C32213" s="442"/>
      <c r="P32213" s="235"/>
      <c r="AI32213" s="38"/>
    </row>
    <row r="32214" ht="15.75" customHeight="1">
      <c r="A32214" s="35"/>
      <c r="C32214" s="442"/>
      <c r="P32214" s="235"/>
      <c r="AI32214" s="38"/>
    </row>
    <row r="32215" ht="15.75" customHeight="1">
      <c r="A32215" s="35"/>
      <c r="C32215" s="442"/>
      <c r="P32215" s="235"/>
      <c r="AI32215" s="38"/>
    </row>
    <row r="32216" ht="15.75" customHeight="1">
      <c r="A32216" s="35"/>
      <c r="C32216" s="442"/>
      <c r="P32216" s="235"/>
      <c r="AI32216" s="38"/>
    </row>
    <row r="32217" ht="15.75" customHeight="1">
      <c r="A32217" s="35"/>
      <c r="C32217" s="442"/>
      <c r="P32217" s="235"/>
      <c r="AI32217" s="38"/>
    </row>
    <row r="32218" ht="15.75" customHeight="1">
      <c r="A32218" s="35"/>
      <c r="C32218" s="442"/>
      <c r="P32218" s="235"/>
      <c r="AI32218" s="38"/>
    </row>
    <row r="32219" ht="15.75" customHeight="1">
      <c r="A32219" s="35"/>
      <c r="C32219" s="442"/>
      <c r="P32219" s="235"/>
      <c r="AI32219" s="38"/>
    </row>
    <row r="32220" ht="15.75" customHeight="1">
      <c r="A32220" s="35"/>
      <c r="C32220" s="442"/>
      <c r="P32220" s="235"/>
      <c r="AI32220" s="38"/>
    </row>
    <row r="32221" ht="15.75" customHeight="1">
      <c r="A32221" s="35"/>
      <c r="C32221" s="442"/>
      <c r="P32221" s="235"/>
      <c r="AI32221" s="38"/>
    </row>
    <row r="32222" ht="15.75" customHeight="1">
      <c r="A32222" s="35"/>
      <c r="C32222" s="442"/>
      <c r="P32222" s="235"/>
      <c r="AI32222" s="38"/>
    </row>
    <row r="32223" ht="15.75" customHeight="1">
      <c r="A32223" s="35"/>
      <c r="C32223" s="442"/>
      <c r="P32223" s="235"/>
      <c r="AI32223" s="38"/>
    </row>
    <row r="32224" ht="15.75" customHeight="1">
      <c r="A32224" s="35"/>
      <c r="C32224" s="442"/>
      <c r="P32224" s="235"/>
      <c r="AI32224" s="38"/>
    </row>
    <row r="32225" ht="15.75" customHeight="1">
      <c r="A32225" s="35"/>
      <c r="C32225" s="442"/>
      <c r="P32225" s="235"/>
      <c r="AI32225" s="38"/>
    </row>
    <row r="32226" ht="15.75" customHeight="1">
      <c r="A32226" s="35"/>
      <c r="C32226" s="442"/>
      <c r="P32226" s="235"/>
      <c r="AI32226" s="38"/>
    </row>
    <row r="32227" ht="15.75" customHeight="1">
      <c r="A32227" s="35"/>
      <c r="C32227" s="442"/>
      <c r="P32227" s="235"/>
      <c r="AI32227" s="38"/>
    </row>
    <row r="32228" ht="15.75" customHeight="1">
      <c r="A32228" s="35"/>
      <c r="C32228" s="442"/>
      <c r="P32228" s="235"/>
      <c r="AI32228" s="38"/>
    </row>
    <row r="32229" ht="15.75" customHeight="1">
      <c r="A32229" s="35"/>
      <c r="C32229" s="442"/>
      <c r="P32229" s="235"/>
      <c r="AI32229" s="38"/>
    </row>
    <row r="32230" ht="15.75" customHeight="1">
      <c r="A32230" s="35"/>
      <c r="C32230" s="442"/>
      <c r="P32230" s="235"/>
      <c r="AI32230" s="38"/>
    </row>
    <row r="32231" ht="15.75" customHeight="1">
      <c r="A32231" s="35"/>
      <c r="C32231" s="442"/>
      <c r="P32231" s="235"/>
      <c r="AI32231" s="38"/>
    </row>
    <row r="32232" ht="15.75" customHeight="1">
      <c r="A32232" s="35"/>
      <c r="C32232" s="442"/>
      <c r="P32232" s="235"/>
      <c r="AI32232" s="38"/>
    </row>
    <row r="32233" ht="15.75" customHeight="1">
      <c r="A32233" s="35"/>
      <c r="C32233" s="442"/>
      <c r="P32233" s="235"/>
      <c r="AI32233" s="38"/>
    </row>
    <row r="32234" ht="15.75" customHeight="1">
      <c r="A32234" s="35"/>
      <c r="C32234" s="442"/>
      <c r="P32234" s="235"/>
      <c r="AI32234" s="38"/>
    </row>
    <row r="32235" ht="15.75" customHeight="1">
      <c r="A32235" s="35"/>
      <c r="C32235" s="442"/>
      <c r="P32235" s="235"/>
      <c r="AI32235" s="38"/>
    </row>
    <row r="32236" ht="15.75" customHeight="1">
      <c r="A32236" s="35"/>
      <c r="C32236" s="442"/>
      <c r="P32236" s="235"/>
      <c r="AI32236" s="38"/>
    </row>
    <row r="32237" ht="15.75" customHeight="1">
      <c r="A32237" s="35"/>
      <c r="C32237" s="442"/>
      <c r="P32237" s="235"/>
      <c r="AI32237" s="38"/>
    </row>
    <row r="32238" ht="15.75" customHeight="1">
      <c r="A32238" s="35"/>
      <c r="C32238" s="442"/>
      <c r="P32238" s="235"/>
      <c r="AI32238" s="38"/>
    </row>
    <row r="32239" ht="15.75" customHeight="1">
      <c r="A32239" s="35"/>
      <c r="C32239" s="442"/>
      <c r="P32239" s="235"/>
      <c r="AI32239" s="38"/>
    </row>
    <row r="32240" ht="15.75" customHeight="1">
      <c r="A32240" s="35"/>
      <c r="C32240" s="442"/>
      <c r="P32240" s="235"/>
      <c r="AI32240" s="38"/>
    </row>
    <row r="32241" ht="15.75" customHeight="1">
      <c r="A32241" s="35"/>
      <c r="C32241" s="442"/>
      <c r="P32241" s="235"/>
      <c r="AI32241" s="38"/>
    </row>
    <row r="32242" ht="15.75" customHeight="1">
      <c r="A32242" s="35"/>
      <c r="C32242" s="442"/>
      <c r="P32242" s="235"/>
      <c r="AI32242" s="38"/>
    </row>
    <row r="32243" ht="15.75" customHeight="1">
      <c r="A32243" s="35"/>
      <c r="C32243" s="442"/>
      <c r="P32243" s="235"/>
      <c r="AI32243" s="38"/>
    </row>
    <row r="32244" ht="15.75" customHeight="1">
      <c r="A32244" s="35"/>
      <c r="C32244" s="442"/>
      <c r="P32244" s="235"/>
      <c r="AI32244" s="38"/>
    </row>
    <row r="32245" ht="15.75" customHeight="1">
      <c r="A32245" s="35"/>
      <c r="C32245" s="442"/>
      <c r="P32245" s="235"/>
      <c r="AI32245" s="38"/>
    </row>
    <row r="32246" ht="15.75" customHeight="1">
      <c r="A32246" s="35"/>
      <c r="C32246" s="442"/>
      <c r="P32246" s="235"/>
      <c r="AI32246" s="38"/>
    </row>
    <row r="32247" ht="15.75" customHeight="1">
      <c r="A32247" s="35"/>
      <c r="C32247" s="442"/>
      <c r="P32247" s="235"/>
      <c r="AI32247" s="38"/>
    </row>
    <row r="32248" ht="15.75" customHeight="1">
      <c r="A32248" s="35"/>
      <c r="C32248" s="442"/>
      <c r="P32248" s="235"/>
      <c r="AI32248" s="38"/>
    </row>
    <row r="32249" ht="15.75" customHeight="1">
      <c r="A32249" s="35"/>
      <c r="C32249" s="442"/>
      <c r="P32249" s="235"/>
      <c r="AI32249" s="38"/>
    </row>
    <row r="32250" ht="15.75" customHeight="1">
      <c r="A32250" s="35"/>
      <c r="C32250" s="442"/>
      <c r="P32250" s="235"/>
      <c r="AI32250" s="38"/>
    </row>
    <row r="32251" ht="15.75" customHeight="1">
      <c r="A32251" s="35"/>
      <c r="C32251" s="442"/>
      <c r="P32251" s="235"/>
      <c r="AI32251" s="38"/>
    </row>
    <row r="32252" ht="15.75" customHeight="1">
      <c r="A32252" s="35"/>
      <c r="C32252" s="442"/>
      <c r="P32252" s="235"/>
      <c r="AI32252" s="38"/>
    </row>
    <row r="32253" ht="15.75" customHeight="1">
      <c r="A32253" s="35"/>
      <c r="C32253" s="442"/>
      <c r="P32253" s="235"/>
      <c r="AI32253" s="38"/>
    </row>
    <row r="32254" ht="15.75" customHeight="1">
      <c r="A32254" s="35"/>
      <c r="C32254" s="442"/>
      <c r="P32254" s="235"/>
      <c r="AI32254" s="38"/>
    </row>
    <row r="32255" ht="15.75" customHeight="1">
      <c r="A32255" s="35"/>
      <c r="C32255" s="442"/>
      <c r="P32255" s="235"/>
      <c r="AI32255" s="38"/>
    </row>
    <row r="32256" ht="15.75" customHeight="1">
      <c r="A32256" s="35"/>
      <c r="C32256" s="442"/>
      <c r="P32256" s="235"/>
      <c r="AI32256" s="38"/>
    </row>
    <row r="32257" ht="15.75" customHeight="1">
      <c r="A32257" s="35"/>
      <c r="C32257" s="442"/>
      <c r="P32257" s="235"/>
      <c r="AI32257" s="38"/>
    </row>
    <row r="32258" ht="15.75" customHeight="1">
      <c r="A32258" s="35"/>
      <c r="C32258" s="442"/>
      <c r="P32258" s="235"/>
      <c r="AI32258" s="38"/>
    </row>
    <row r="32259" ht="15.75" customHeight="1">
      <c r="A32259" s="35"/>
      <c r="C32259" s="442"/>
      <c r="P32259" s="235"/>
      <c r="AI32259" s="38"/>
    </row>
    <row r="32260" ht="15.75" customHeight="1">
      <c r="A32260" s="35"/>
      <c r="C32260" s="442"/>
      <c r="P32260" s="235"/>
      <c r="AI32260" s="38"/>
    </row>
    <row r="32261" ht="15.75" customHeight="1">
      <c r="A32261" s="35"/>
      <c r="C32261" s="442"/>
      <c r="P32261" s="235"/>
      <c r="AI32261" s="38"/>
    </row>
    <row r="32262" ht="15.75" customHeight="1">
      <c r="A32262" s="35"/>
      <c r="C32262" s="442"/>
      <c r="P32262" s="235"/>
      <c r="AI32262" s="38"/>
    </row>
    <row r="32263" ht="15.75" customHeight="1">
      <c r="A32263" s="35"/>
      <c r="C32263" s="442"/>
      <c r="P32263" s="235"/>
      <c r="AI32263" s="38"/>
    </row>
    <row r="32264" ht="15.75" customHeight="1">
      <c r="A32264" s="35"/>
      <c r="C32264" s="442"/>
      <c r="P32264" s="235"/>
      <c r="AI32264" s="38"/>
    </row>
    <row r="32265" ht="15.75" customHeight="1">
      <c r="A32265" s="35"/>
      <c r="C32265" s="442"/>
      <c r="P32265" s="235"/>
      <c r="AI32265" s="38"/>
    </row>
    <row r="32266" ht="15.75" customHeight="1">
      <c r="A32266" s="35"/>
      <c r="C32266" s="442"/>
      <c r="P32266" s="235"/>
      <c r="AI32266" s="38"/>
    </row>
    <row r="32267" ht="15.75" customHeight="1">
      <c r="A32267" s="35"/>
      <c r="C32267" s="442"/>
      <c r="P32267" s="235"/>
      <c r="AI32267" s="38"/>
    </row>
    <row r="32268" ht="15.75" customHeight="1">
      <c r="A32268" s="35"/>
      <c r="C32268" s="442"/>
      <c r="P32268" s="235"/>
      <c r="AI32268" s="38"/>
    </row>
    <row r="32269" ht="15.75" customHeight="1">
      <c r="A32269" s="35"/>
      <c r="C32269" s="442"/>
      <c r="P32269" s="235"/>
      <c r="AI32269" s="38"/>
    </row>
    <row r="32270" ht="15.75" customHeight="1">
      <c r="A32270" s="35"/>
      <c r="C32270" s="442"/>
      <c r="P32270" s="235"/>
      <c r="AI32270" s="38"/>
    </row>
    <row r="32271" ht="15.75" customHeight="1">
      <c r="A32271" s="35"/>
      <c r="C32271" s="442"/>
      <c r="P32271" s="235"/>
      <c r="AI32271" s="38"/>
    </row>
    <row r="32272" ht="15.75" customHeight="1">
      <c r="A32272" s="35"/>
      <c r="C32272" s="442"/>
      <c r="P32272" s="235"/>
      <c r="AI32272" s="38"/>
    </row>
    <row r="32273" ht="15.75" customHeight="1">
      <c r="A32273" s="35"/>
      <c r="C32273" s="442"/>
      <c r="P32273" s="235"/>
      <c r="AI32273" s="38"/>
    </row>
    <row r="32274" ht="15.75" customHeight="1">
      <c r="A32274" s="35"/>
      <c r="C32274" s="442"/>
      <c r="P32274" s="235"/>
      <c r="AI32274" s="38"/>
    </row>
    <row r="32275" ht="15.75" customHeight="1">
      <c r="A32275" s="35"/>
      <c r="C32275" s="442"/>
      <c r="P32275" s="235"/>
      <c r="AI32275" s="38"/>
    </row>
    <row r="32276" ht="15.75" customHeight="1">
      <c r="A32276" s="35"/>
      <c r="C32276" s="442"/>
      <c r="P32276" s="235"/>
      <c r="AI32276" s="38"/>
    </row>
    <row r="32277" ht="15.75" customHeight="1">
      <c r="A32277" s="35"/>
      <c r="C32277" s="442"/>
      <c r="P32277" s="235"/>
      <c r="AI32277" s="38"/>
    </row>
    <row r="32278" ht="15.75" customHeight="1">
      <c r="A32278" s="35"/>
      <c r="C32278" s="442"/>
      <c r="P32278" s="235"/>
      <c r="AI32278" s="38"/>
    </row>
    <row r="32279" ht="15.75" customHeight="1">
      <c r="A32279" s="35"/>
      <c r="C32279" s="442"/>
      <c r="P32279" s="235"/>
      <c r="AI32279" s="38"/>
    </row>
    <row r="32280" ht="15.75" customHeight="1">
      <c r="A32280" s="35"/>
      <c r="C32280" s="442"/>
      <c r="P32280" s="235"/>
      <c r="AI32280" s="38"/>
    </row>
    <row r="32281" ht="15.75" customHeight="1">
      <c r="A32281" s="35"/>
      <c r="C32281" s="442"/>
      <c r="P32281" s="235"/>
      <c r="AI32281" s="38"/>
    </row>
    <row r="32282" ht="15.75" customHeight="1">
      <c r="A32282" s="35"/>
      <c r="C32282" s="442"/>
      <c r="P32282" s="235"/>
      <c r="AI32282" s="38"/>
    </row>
    <row r="32283" ht="15.75" customHeight="1">
      <c r="A32283" s="35"/>
      <c r="C32283" s="442"/>
      <c r="P32283" s="235"/>
      <c r="AI32283" s="38"/>
    </row>
    <row r="32284" ht="15.75" customHeight="1">
      <c r="A32284" s="35"/>
      <c r="C32284" s="442"/>
      <c r="P32284" s="235"/>
      <c r="AI32284" s="38"/>
    </row>
    <row r="32285" ht="15.75" customHeight="1">
      <c r="A32285" s="35"/>
      <c r="C32285" s="442"/>
      <c r="P32285" s="235"/>
      <c r="AI32285" s="38"/>
    </row>
    <row r="32286" ht="15.75" customHeight="1">
      <c r="A32286" s="35"/>
      <c r="C32286" s="442"/>
      <c r="P32286" s="235"/>
      <c r="AI32286" s="38"/>
    </row>
    <row r="32287" ht="15.75" customHeight="1">
      <c r="A32287" s="35"/>
      <c r="C32287" s="442"/>
      <c r="P32287" s="235"/>
      <c r="AI32287" s="38"/>
    </row>
    <row r="32288" ht="15.75" customHeight="1">
      <c r="A32288" s="35"/>
      <c r="C32288" s="442"/>
      <c r="P32288" s="235"/>
      <c r="AI32288" s="38"/>
    </row>
    <row r="32289" ht="15.75" customHeight="1">
      <c r="A32289" s="35"/>
      <c r="C32289" s="442"/>
      <c r="P32289" s="235"/>
      <c r="AI32289" s="38"/>
    </row>
    <row r="32290" ht="15.75" customHeight="1">
      <c r="A32290" s="35"/>
      <c r="C32290" s="442"/>
      <c r="P32290" s="235"/>
      <c r="AI32290" s="38"/>
    </row>
    <row r="32291" ht="15.75" customHeight="1">
      <c r="A32291" s="35"/>
      <c r="C32291" s="442"/>
      <c r="P32291" s="235"/>
      <c r="AI32291" s="38"/>
    </row>
    <row r="32292" ht="15.75" customHeight="1">
      <c r="A32292" s="35"/>
      <c r="C32292" s="442"/>
      <c r="P32292" s="235"/>
      <c r="AI32292" s="38"/>
    </row>
    <row r="32293" ht="15.75" customHeight="1">
      <c r="A32293" s="35"/>
      <c r="C32293" s="442"/>
      <c r="P32293" s="235"/>
      <c r="AI32293" s="38"/>
    </row>
    <row r="32294" ht="15.75" customHeight="1">
      <c r="A32294" s="35"/>
      <c r="C32294" s="442"/>
      <c r="P32294" s="235"/>
      <c r="AI32294" s="38"/>
    </row>
    <row r="32295" ht="15.75" customHeight="1">
      <c r="A32295" s="35"/>
      <c r="C32295" s="442"/>
      <c r="P32295" s="235"/>
      <c r="AI32295" s="38"/>
    </row>
    <row r="32296" ht="15.75" customHeight="1">
      <c r="A32296" s="35"/>
      <c r="C32296" s="442"/>
      <c r="P32296" s="235"/>
      <c r="AI32296" s="38"/>
    </row>
    <row r="32297" ht="15.75" customHeight="1">
      <c r="A32297" s="35"/>
      <c r="C32297" s="442"/>
      <c r="P32297" s="235"/>
      <c r="AI32297" s="38"/>
    </row>
    <row r="32298" ht="15.75" customHeight="1">
      <c r="A32298" s="35"/>
      <c r="C32298" s="442"/>
      <c r="P32298" s="235"/>
      <c r="AI32298" s="38"/>
    </row>
    <row r="32299" ht="15.75" customHeight="1">
      <c r="A32299" s="35"/>
      <c r="C32299" s="442"/>
      <c r="P32299" s="235"/>
      <c r="AI32299" s="38"/>
    </row>
    <row r="32300" ht="15.75" customHeight="1">
      <c r="A32300" s="35"/>
      <c r="C32300" s="442"/>
      <c r="P32300" s="235"/>
      <c r="AI32300" s="38"/>
    </row>
    <row r="32301" ht="15.75" customHeight="1">
      <c r="A32301" s="35"/>
      <c r="C32301" s="442"/>
      <c r="P32301" s="235"/>
      <c r="AI32301" s="38"/>
    </row>
    <row r="32302" ht="15.75" customHeight="1">
      <c r="A32302" s="35"/>
      <c r="C32302" s="442"/>
      <c r="P32302" s="235"/>
      <c r="AI32302" s="38"/>
    </row>
    <row r="32303" ht="15.75" customHeight="1">
      <c r="A32303" s="35"/>
      <c r="C32303" s="442"/>
      <c r="P32303" s="235"/>
      <c r="AI32303" s="38"/>
    </row>
    <row r="32304" ht="15.75" customHeight="1">
      <c r="A32304" s="35"/>
      <c r="C32304" s="442"/>
      <c r="P32304" s="235"/>
      <c r="AI32304" s="38"/>
    </row>
    <row r="32305" ht="15.75" customHeight="1">
      <c r="A32305" s="35"/>
      <c r="C32305" s="442"/>
      <c r="P32305" s="235"/>
      <c r="AI32305" s="38"/>
    </row>
    <row r="32306" ht="15.75" customHeight="1">
      <c r="A32306" s="35"/>
      <c r="C32306" s="442"/>
      <c r="P32306" s="235"/>
      <c r="AI32306" s="38"/>
    </row>
    <row r="32307" ht="15.75" customHeight="1">
      <c r="A32307" s="35"/>
      <c r="C32307" s="442"/>
      <c r="P32307" s="235"/>
      <c r="AI32307" s="38"/>
    </row>
    <row r="32308" ht="15.75" customHeight="1">
      <c r="A32308" s="35"/>
      <c r="C32308" s="442"/>
      <c r="P32308" s="235"/>
      <c r="AI32308" s="38"/>
    </row>
    <row r="32309" ht="15.75" customHeight="1">
      <c r="A32309" s="35"/>
      <c r="C32309" s="442"/>
      <c r="P32309" s="235"/>
      <c r="AI32309" s="38"/>
    </row>
    <row r="32310" ht="15.75" customHeight="1">
      <c r="A32310" s="35"/>
      <c r="C32310" s="442"/>
      <c r="P32310" s="235"/>
      <c r="AI32310" s="38"/>
    </row>
    <row r="32311" ht="15.75" customHeight="1">
      <c r="A32311" s="35"/>
      <c r="C32311" s="442"/>
      <c r="P32311" s="235"/>
      <c r="AI32311" s="38"/>
    </row>
    <row r="32312" ht="15.75" customHeight="1">
      <c r="A32312" s="35"/>
      <c r="C32312" s="442"/>
      <c r="P32312" s="235"/>
      <c r="AI32312" s="38"/>
    </row>
    <row r="32313" ht="15.75" customHeight="1">
      <c r="A32313" s="35"/>
      <c r="C32313" s="442"/>
      <c r="P32313" s="235"/>
      <c r="AI32313" s="38"/>
    </row>
    <row r="32314" ht="15.75" customHeight="1">
      <c r="A32314" s="35"/>
      <c r="C32314" s="442"/>
      <c r="P32314" s="235"/>
      <c r="AI32314" s="38"/>
    </row>
    <row r="32315" ht="15.75" customHeight="1">
      <c r="A32315" s="35"/>
      <c r="C32315" s="442"/>
      <c r="P32315" s="235"/>
      <c r="AI32315" s="38"/>
    </row>
    <row r="32316" ht="15.75" customHeight="1">
      <c r="A32316" s="35"/>
      <c r="C32316" s="442"/>
      <c r="P32316" s="235"/>
      <c r="AI32316" s="38"/>
    </row>
    <row r="32317" ht="15.75" customHeight="1">
      <c r="A32317" s="35"/>
      <c r="C32317" s="442"/>
      <c r="P32317" s="235"/>
      <c r="AI32317" s="38"/>
    </row>
    <row r="32318" ht="15.75" customHeight="1">
      <c r="A32318" s="35"/>
      <c r="C32318" s="442"/>
      <c r="P32318" s="235"/>
      <c r="AI32318" s="38"/>
    </row>
    <row r="32319" ht="15.75" customHeight="1">
      <c r="A32319" s="35"/>
      <c r="C32319" s="442"/>
      <c r="P32319" s="235"/>
      <c r="AI32319" s="38"/>
    </row>
    <row r="32320" ht="15.75" customHeight="1">
      <c r="A32320" s="35"/>
      <c r="C32320" s="442"/>
      <c r="P32320" s="235"/>
      <c r="AI32320" s="38"/>
    </row>
    <row r="32321" ht="15.75" customHeight="1">
      <c r="A32321" s="35"/>
      <c r="C32321" s="442"/>
      <c r="P32321" s="235"/>
      <c r="AI32321" s="38"/>
    </row>
    <row r="32322" ht="15.75" customHeight="1">
      <c r="A32322" s="35"/>
      <c r="C32322" s="442"/>
      <c r="P32322" s="235"/>
      <c r="AI32322" s="38"/>
    </row>
    <row r="32323" ht="15.75" customHeight="1">
      <c r="A32323" s="35"/>
      <c r="C32323" s="442"/>
      <c r="P32323" s="235"/>
      <c r="AI32323" s="38"/>
    </row>
    <row r="32324" ht="15.75" customHeight="1">
      <c r="A32324" s="35"/>
      <c r="C32324" s="442"/>
      <c r="P32324" s="235"/>
      <c r="AI32324" s="38"/>
    </row>
    <row r="32325" ht="15.75" customHeight="1">
      <c r="A32325" s="35"/>
      <c r="C32325" s="442"/>
      <c r="P32325" s="235"/>
      <c r="AI32325" s="38"/>
    </row>
    <row r="32326" ht="15.75" customHeight="1">
      <c r="A32326" s="35"/>
      <c r="C32326" s="442"/>
      <c r="P32326" s="235"/>
      <c r="AI32326" s="38"/>
    </row>
    <row r="32327" ht="15.75" customHeight="1">
      <c r="A32327" s="35"/>
      <c r="C32327" s="442"/>
      <c r="P32327" s="235"/>
      <c r="AI32327" s="38"/>
    </row>
    <row r="32328" ht="15.75" customHeight="1">
      <c r="A32328" s="35"/>
      <c r="C32328" s="442"/>
      <c r="P32328" s="235"/>
      <c r="AI32328" s="38"/>
    </row>
    <row r="32329" ht="15.75" customHeight="1">
      <c r="A32329" s="35"/>
      <c r="C32329" s="442"/>
      <c r="P32329" s="235"/>
      <c r="AI32329" s="38"/>
    </row>
    <row r="32330" ht="15.75" customHeight="1">
      <c r="A32330" s="35"/>
      <c r="C32330" s="442"/>
      <c r="P32330" s="235"/>
      <c r="AI32330" s="38"/>
    </row>
    <row r="32331" ht="15.75" customHeight="1">
      <c r="A32331" s="35"/>
      <c r="C32331" s="442"/>
      <c r="P32331" s="235"/>
      <c r="AI32331" s="38"/>
    </row>
    <row r="32332" ht="15.75" customHeight="1">
      <c r="A32332" s="35"/>
      <c r="C32332" s="442"/>
      <c r="P32332" s="235"/>
      <c r="AI32332" s="38"/>
    </row>
    <row r="32333" ht="15.75" customHeight="1">
      <c r="A32333" s="35"/>
      <c r="C32333" s="442"/>
      <c r="P32333" s="235"/>
      <c r="AI32333" s="38"/>
    </row>
    <row r="32334" ht="15.75" customHeight="1">
      <c r="A32334" s="35"/>
      <c r="C32334" s="442"/>
      <c r="P32334" s="235"/>
      <c r="AI32334" s="38"/>
    </row>
    <row r="32335" ht="15.75" customHeight="1">
      <c r="A32335" s="35"/>
      <c r="C32335" s="442"/>
      <c r="P32335" s="235"/>
      <c r="AI32335" s="38"/>
    </row>
    <row r="32336" ht="15.75" customHeight="1">
      <c r="A32336" s="35"/>
      <c r="C32336" s="442"/>
      <c r="P32336" s="235"/>
      <c r="AI32336" s="38"/>
    </row>
    <row r="32337" ht="15.75" customHeight="1">
      <c r="A32337" s="35"/>
      <c r="C32337" s="442"/>
      <c r="P32337" s="235"/>
      <c r="AI32337" s="38"/>
    </row>
    <row r="32338" ht="15.75" customHeight="1">
      <c r="A32338" s="35"/>
      <c r="C32338" s="442"/>
      <c r="P32338" s="235"/>
      <c r="AI32338" s="38"/>
    </row>
    <row r="32339" ht="15.75" customHeight="1">
      <c r="A32339" s="35"/>
      <c r="C32339" s="442"/>
      <c r="P32339" s="235"/>
      <c r="AI32339" s="38"/>
    </row>
    <row r="32340" ht="15.75" customHeight="1">
      <c r="A32340" s="35"/>
      <c r="C32340" s="442"/>
      <c r="P32340" s="235"/>
      <c r="AI32340" s="38"/>
    </row>
    <row r="32341" ht="15.75" customHeight="1">
      <c r="A32341" s="35"/>
      <c r="C32341" s="442"/>
      <c r="P32341" s="235"/>
      <c r="AI32341" s="38"/>
    </row>
    <row r="32342" ht="15.75" customHeight="1">
      <c r="A32342" s="35"/>
      <c r="C32342" s="442"/>
      <c r="P32342" s="235"/>
      <c r="AI32342" s="38"/>
    </row>
    <row r="32343" ht="15.75" customHeight="1">
      <c r="A32343" s="35"/>
      <c r="C32343" s="442"/>
      <c r="P32343" s="235"/>
      <c r="AI32343" s="38"/>
    </row>
    <row r="32344" ht="15.75" customHeight="1">
      <c r="A32344" s="35"/>
      <c r="C32344" s="442"/>
      <c r="P32344" s="235"/>
      <c r="AI32344" s="38"/>
    </row>
    <row r="32345" ht="15.75" customHeight="1">
      <c r="A32345" s="35"/>
      <c r="C32345" s="442"/>
      <c r="P32345" s="235"/>
      <c r="AI32345" s="38"/>
    </row>
    <row r="32346" ht="15.75" customHeight="1">
      <c r="A32346" s="35"/>
      <c r="C32346" s="442"/>
      <c r="P32346" s="235"/>
      <c r="AI32346" s="38"/>
    </row>
    <row r="32347" ht="15.75" customHeight="1">
      <c r="A32347" s="35"/>
      <c r="C32347" s="442"/>
      <c r="P32347" s="235"/>
      <c r="AI32347" s="38"/>
    </row>
    <row r="32348" ht="15.75" customHeight="1">
      <c r="A32348" s="35"/>
      <c r="C32348" s="442"/>
      <c r="P32348" s="235"/>
      <c r="AI32348" s="38"/>
    </row>
    <row r="32349" ht="15.75" customHeight="1">
      <c r="A32349" s="35"/>
      <c r="C32349" s="442"/>
      <c r="P32349" s="235"/>
      <c r="AI32349" s="38"/>
    </row>
    <row r="32350" ht="15.75" customHeight="1">
      <c r="A32350" s="35"/>
      <c r="C32350" s="442"/>
      <c r="P32350" s="235"/>
      <c r="AI32350" s="38"/>
    </row>
    <row r="32351" ht="15.75" customHeight="1">
      <c r="A32351" s="35"/>
      <c r="C32351" s="442"/>
      <c r="P32351" s="235"/>
      <c r="AI32351" s="38"/>
    </row>
    <row r="32352" ht="15.75" customHeight="1">
      <c r="A32352" s="35"/>
      <c r="C32352" s="442"/>
      <c r="P32352" s="235"/>
      <c r="AI32352" s="38"/>
    </row>
    <row r="32353" ht="15.75" customHeight="1">
      <c r="A32353" s="35"/>
      <c r="C32353" s="442"/>
      <c r="P32353" s="235"/>
      <c r="AI32353" s="38"/>
    </row>
    <row r="32354" ht="15.75" customHeight="1">
      <c r="A32354" s="35"/>
      <c r="C32354" s="442"/>
      <c r="P32354" s="235"/>
      <c r="AI32354" s="38"/>
    </row>
    <row r="32355" ht="15.75" customHeight="1">
      <c r="A32355" s="35"/>
      <c r="C32355" s="442"/>
      <c r="P32355" s="235"/>
      <c r="AI32355" s="38"/>
    </row>
    <row r="32356" ht="15.75" customHeight="1">
      <c r="A32356" s="35"/>
      <c r="C32356" s="442"/>
      <c r="P32356" s="235"/>
      <c r="AI32356" s="38"/>
    </row>
    <row r="32357" ht="15.75" customHeight="1">
      <c r="A32357" s="35"/>
      <c r="C32357" s="442"/>
      <c r="P32357" s="235"/>
      <c r="AI32357" s="38"/>
    </row>
    <row r="32358" ht="15.75" customHeight="1">
      <c r="A32358" s="35"/>
      <c r="C32358" s="442"/>
      <c r="P32358" s="235"/>
      <c r="AI32358" s="38"/>
    </row>
    <row r="32359" ht="15.75" customHeight="1">
      <c r="A32359" s="35"/>
      <c r="C32359" s="442"/>
      <c r="P32359" s="235"/>
      <c r="AI32359" s="38"/>
    </row>
    <row r="32360" ht="15.75" customHeight="1">
      <c r="A32360" s="35"/>
      <c r="C32360" s="442"/>
      <c r="P32360" s="235"/>
      <c r="AI32360" s="38"/>
    </row>
    <row r="32361" ht="15.75" customHeight="1">
      <c r="A32361" s="35"/>
      <c r="C32361" s="442"/>
      <c r="P32361" s="235"/>
      <c r="AI32361" s="38"/>
    </row>
    <row r="32362" ht="15.75" customHeight="1">
      <c r="A32362" s="35"/>
      <c r="C32362" s="442"/>
      <c r="P32362" s="235"/>
      <c r="AI32362" s="38"/>
    </row>
    <row r="32363" ht="15.75" customHeight="1">
      <c r="A32363" s="35"/>
      <c r="C32363" s="442"/>
      <c r="P32363" s="235"/>
      <c r="AI32363" s="38"/>
    </row>
    <row r="32364" ht="15.75" customHeight="1">
      <c r="A32364" s="35"/>
      <c r="C32364" s="442"/>
      <c r="P32364" s="235"/>
      <c r="AI32364" s="38"/>
    </row>
    <row r="32365" ht="15.75" customHeight="1">
      <c r="A32365" s="35"/>
      <c r="C32365" s="442"/>
      <c r="P32365" s="235"/>
      <c r="AI32365" s="38"/>
    </row>
    <row r="32366" ht="15.75" customHeight="1">
      <c r="A32366" s="35"/>
      <c r="C32366" s="442"/>
      <c r="P32366" s="235"/>
      <c r="AI32366" s="38"/>
    </row>
    <row r="32367" ht="15.75" customHeight="1">
      <c r="A32367" s="35"/>
      <c r="C32367" s="442"/>
      <c r="P32367" s="235"/>
      <c r="AI32367" s="38"/>
    </row>
    <row r="32368" ht="15.75" customHeight="1">
      <c r="A32368" s="35"/>
      <c r="C32368" s="442"/>
      <c r="P32368" s="235"/>
      <c r="AI32368" s="38"/>
    </row>
    <row r="32369" ht="15.75" customHeight="1">
      <c r="A32369" s="35"/>
      <c r="C32369" s="442"/>
      <c r="P32369" s="235"/>
      <c r="AI32369" s="38"/>
    </row>
    <row r="32370" ht="15.75" customHeight="1">
      <c r="A32370" s="35"/>
      <c r="C32370" s="442"/>
      <c r="P32370" s="235"/>
      <c r="AI32370" s="38"/>
    </row>
    <row r="32371" ht="15.75" customHeight="1">
      <c r="A32371" s="35"/>
      <c r="C32371" s="442"/>
      <c r="P32371" s="235"/>
      <c r="AI32371" s="38"/>
    </row>
    <row r="32372" ht="15.75" customHeight="1">
      <c r="A32372" s="35"/>
      <c r="C32372" s="442"/>
      <c r="P32372" s="235"/>
      <c r="AI32372" s="38"/>
    </row>
    <row r="32373" ht="15.75" customHeight="1">
      <c r="A32373" s="35"/>
      <c r="C32373" s="442"/>
      <c r="P32373" s="235"/>
      <c r="AI32373" s="38"/>
    </row>
    <row r="32374" ht="15.75" customHeight="1">
      <c r="A32374" s="35"/>
      <c r="C32374" s="442"/>
      <c r="P32374" s="235"/>
      <c r="AI32374" s="38"/>
    </row>
    <row r="32375" ht="15.75" customHeight="1">
      <c r="A32375" s="35"/>
      <c r="C32375" s="442"/>
      <c r="P32375" s="235"/>
      <c r="AI32375" s="38"/>
    </row>
    <row r="32376" ht="15.75" customHeight="1">
      <c r="A32376" s="35"/>
      <c r="C32376" s="442"/>
      <c r="P32376" s="235"/>
      <c r="AI32376" s="38"/>
    </row>
    <row r="32377" ht="15.75" customHeight="1">
      <c r="A32377" s="35"/>
      <c r="C32377" s="442"/>
      <c r="P32377" s="235"/>
      <c r="AI32377" s="38"/>
    </row>
    <row r="32378" ht="15.75" customHeight="1">
      <c r="A32378" s="35"/>
      <c r="C32378" s="442"/>
      <c r="P32378" s="235"/>
      <c r="AI32378" s="38"/>
    </row>
    <row r="32379" ht="15.75" customHeight="1">
      <c r="A32379" s="35"/>
      <c r="C32379" s="442"/>
      <c r="P32379" s="235"/>
      <c r="AI32379" s="38"/>
    </row>
    <row r="32380" ht="15.75" customHeight="1">
      <c r="A32380" s="35"/>
      <c r="C32380" s="442"/>
      <c r="P32380" s="235"/>
      <c r="AI32380" s="38"/>
    </row>
    <row r="32381" ht="15.75" customHeight="1">
      <c r="A32381" s="35"/>
      <c r="C32381" s="442"/>
      <c r="P32381" s="235"/>
      <c r="AI32381" s="38"/>
    </row>
    <row r="32382" ht="15.75" customHeight="1">
      <c r="A32382" s="35"/>
      <c r="C32382" s="442"/>
      <c r="P32382" s="235"/>
      <c r="AI32382" s="38"/>
    </row>
    <row r="32383" ht="15.75" customHeight="1">
      <c r="A32383" s="35"/>
      <c r="C32383" s="442"/>
      <c r="P32383" s="235"/>
      <c r="AI32383" s="38"/>
    </row>
    <row r="32384" ht="15.75" customHeight="1">
      <c r="A32384" s="35"/>
      <c r="C32384" s="442"/>
      <c r="P32384" s="235"/>
      <c r="AI32384" s="38"/>
    </row>
    <row r="32385" ht="15.75" customHeight="1">
      <c r="A32385" s="35"/>
      <c r="C32385" s="442"/>
      <c r="P32385" s="235"/>
      <c r="AI32385" s="38"/>
    </row>
    <row r="32386" ht="15.75" customHeight="1">
      <c r="A32386" s="35"/>
      <c r="C32386" s="442"/>
      <c r="P32386" s="235"/>
      <c r="AI32386" s="38"/>
    </row>
    <row r="32387" ht="15.75" customHeight="1">
      <c r="A32387" s="35"/>
      <c r="C32387" s="442"/>
      <c r="P32387" s="235"/>
      <c r="AI32387" s="38"/>
    </row>
    <row r="32388" ht="15.75" customHeight="1">
      <c r="A32388" s="35"/>
      <c r="C32388" s="442"/>
      <c r="P32388" s="235"/>
      <c r="AI32388" s="38"/>
    </row>
    <row r="32389" ht="15.75" customHeight="1">
      <c r="A32389" s="35"/>
      <c r="C32389" s="442"/>
      <c r="P32389" s="235"/>
      <c r="AI32389" s="38"/>
    </row>
    <row r="32390" ht="15.75" customHeight="1">
      <c r="A32390" s="35"/>
      <c r="C32390" s="442"/>
      <c r="P32390" s="235"/>
      <c r="AI32390" s="38"/>
    </row>
    <row r="32391" ht="15.75" customHeight="1">
      <c r="A32391" s="35"/>
      <c r="C32391" s="442"/>
      <c r="P32391" s="235"/>
      <c r="AI32391" s="38"/>
    </row>
    <row r="32392" ht="15.75" customHeight="1">
      <c r="A32392" s="35"/>
      <c r="C32392" s="442"/>
      <c r="P32392" s="235"/>
      <c r="AI32392" s="38"/>
    </row>
    <row r="32393" ht="15.75" customHeight="1">
      <c r="A32393" s="35"/>
      <c r="C32393" s="442"/>
      <c r="P32393" s="235"/>
      <c r="AI32393" s="38"/>
    </row>
    <row r="32394" ht="15.75" customHeight="1">
      <c r="A32394" s="35"/>
      <c r="C32394" s="442"/>
      <c r="P32394" s="235"/>
      <c r="AI32394" s="38"/>
    </row>
    <row r="32395" ht="15.75" customHeight="1">
      <c r="A32395" s="35"/>
      <c r="C32395" s="442"/>
      <c r="P32395" s="235"/>
      <c r="AI32395" s="38"/>
    </row>
    <row r="32396" ht="15.75" customHeight="1">
      <c r="A32396" s="35"/>
      <c r="C32396" s="442"/>
      <c r="P32396" s="235"/>
      <c r="AI32396" s="38"/>
    </row>
    <row r="32397" ht="15.75" customHeight="1">
      <c r="A32397" s="35"/>
      <c r="C32397" s="442"/>
      <c r="P32397" s="235"/>
      <c r="AI32397" s="38"/>
    </row>
    <row r="32398" ht="15.75" customHeight="1">
      <c r="A32398" s="35"/>
      <c r="C32398" s="442"/>
      <c r="P32398" s="235"/>
      <c r="AI32398" s="38"/>
    </row>
    <row r="32399" ht="15.75" customHeight="1">
      <c r="A32399" s="35"/>
      <c r="C32399" s="442"/>
      <c r="P32399" s="235"/>
      <c r="AI32399" s="38"/>
    </row>
    <row r="32400" ht="15.75" customHeight="1">
      <c r="A32400" s="35"/>
      <c r="C32400" s="442"/>
      <c r="P32400" s="235"/>
      <c r="AI32400" s="38"/>
    </row>
    <row r="32401" ht="15.75" customHeight="1">
      <c r="A32401" s="35"/>
      <c r="C32401" s="442"/>
      <c r="P32401" s="235"/>
      <c r="AI32401" s="38"/>
    </row>
    <row r="32402" ht="15.75" customHeight="1">
      <c r="A32402" s="35"/>
      <c r="C32402" s="442"/>
      <c r="P32402" s="235"/>
      <c r="AI32402" s="38"/>
    </row>
    <row r="32403" ht="15.75" customHeight="1">
      <c r="A32403" s="35"/>
      <c r="C32403" s="442"/>
      <c r="P32403" s="235"/>
      <c r="AI32403" s="38"/>
    </row>
    <row r="32404" ht="15.75" customHeight="1">
      <c r="A32404" s="35"/>
      <c r="C32404" s="442"/>
      <c r="P32404" s="235"/>
      <c r="AI32404" s="38"/>
    </row>
    <row r="32405" ht="15.75" customHeight="1">
      <c r="A32405" s="35"/>
      <c r="C32405" s="442"/>
      <c r="P32405" s="235"/>
      <c r="AI32405" s="38"/>
    </row>
    <row r="32406" ht="15.75" customHeight="1">
      <c r="A32406" s="35"/>
      <c r="C32406" s="442"/>
      <c r="P32406" s="235"/>
      <c r="AI32406" s="38"/>
    </row>
    <row r="32407" ht="15.75" customHeight="1">
      <c r="A32407" s="35"/>
      <c r="C32407" s="442"/>
      <c r="P32407" s="235"/>
      <c r="AI32407" s="38"/>
    </row>
    <row r="32408" ht="15.75" customHeight="1">
      <c r="A32408" s="35"/>
      <c r="C32408" s="442"/>
      <c r="P32408" s="235"/>
      <c r="AI32408" s="38"/>
    </row>
    <row r="32409" ht="15.75" customHeight="1">
      <c r="A32409" s="35"/>
      <c r="C32409" s="442"/>
      <c r="P32409" s="235"/>
      <c r="AI32409" s="38"/>
    </row>
    <row r="32410" ht="15.75" customHeight="1">
      <c r="A32410" s="35"/>
      <c r="C32410" s="442"/>
      <c r="P32410" s="235"/>
      <c r="AI32410" s="38"/>
    </row>
    <row r="32411" ht="15.75" customHeight="1">
      <c r="A32411" s="35"/>
      <c r="C32411" s="442"/>
      <c r="P32411" s="235"/>
      <c r="AI32411" s="38"/>
    </row>
    <row r="32412" ht="15.75" customHeight="1">
      <c r="A32412" s="35"/>
      <c r="C32412" s="442"/>
      <c r="P32412" s="235"/>
      <c r="AI32412" s="38"/>
    </row>
    <row r="32413" ht="15.75" customHeight="1">
      <c r="A32413" s="35"/>
      <c r="C32413" s="442"/>
      <c r="P32413" s="235"/>
      <c r="AI32413" s="38"/>
    </row>
    <row r="32414" ht="15.75" customHeight="1">
      <c r="A32414" s="35"/>
      <c r="C32414" s="442"/>
      <c r="P32414" s="235"/>
      <c r="AI32414" s="38"/>
    </row>
    <row r="32415" ht="15.75" customHeight="1">
      <c r="A32415" s="35"/>
      <c r="C32415" s="442"/>
      <c r="P32415" s="235"/>
      <c r="AI32415" s="38"/>
    </row>
    <row r="32416" ht="15.75" customHeight="1">
      <c r="A32416" s="35"/>
      <c r="C32416" s="442"/>
      <c r="P32416" s="235"/>
      <c r="AI32416" s="38"/>
    </row>
    <row r="32417" ht="15.75" customHeight="1">
      <c r="A32417" s="35"/>
      <c r="C32417" s="442"/>
      <c r="P32417" s="235"/>
      <c r="AI32417" s="38"/>
    </row>
    <row r="32418" ht="15.75" customHeight="1">
      <c r="A32418" s="35"/>
      <c r="C32418" s="442"/>
      <c r="P32418" s="235"/>
      <c r="AI32418" s="38"/>
    </row>
    <row r="32419" ht="15.75" customHeight="1">
      <c r="A32419" s="35"/>
      <c r="C32419" s="442"/>
      <c r="P32419" s="235"/>
      <c r="AI32419" s="38"/>
    </row>
    <row r="32420" ht="15.75" customHeight="1">
      <c r="A32420" s="35"/>
      <c r="C32420" s="442"/>
      <c r="P32420" s="235"/>
      <c r="AI32420" s="38"/>
    </row>
    <row r="32421" ht="15.75" customHeight="1">
      <c r="A32421" s="35"/>
      <c r="C32421" s="442"/>
      <c r="P32421" s="235"/>
      <c r="AI32421" s="38"/>
    </row>
    <row r="32422" ht="15.75" customHeight="1">
      <c r="A32422" s="35"/>
      <c r="C32422" s="442"/>
      <c r="P32422" s="235"/>
      <c r="AI32422" s="38"/>
    </row>
    <row r="32423" ht="15.75" customHeight="1">
      <c r="A32423" s="35"/>
      <c r="C32423" s="442"/>
      <c r="P32423" s="235"/>
      <c r="AI32423" s="38"/>
    </row>
    <row r="32424" ht="15.75" customHeight="1">
      <c r="A32424" s="35"/>
      <c r="C32424" s="442"/>
      <c r="P32424" s="235"/>
      <c r="AI32424" s="38"/>
    </row>
    <row r="32425" ht="15.75" customHeight="1">
      <c r="A32425" s="35"/>
      <c r="C32425" s="442"/>
      <c r="P32425" s="235"/>
      <c r="AI32425" s="38"/>
    </row>
    <row r="32426" ht="15.75" customHeight="1">
      <c r="A32426" s="35"/>
      <c r="C32426" s="442"/>
      <c r="P32426" s="235"/>
      <c r="AI32426" s="38"/>
    </row>
    <row r="32427" ht="15.75" customHeight="1">
      <c r="A32427" s="35"/>
      <c r="C32427" s="442"/>
      <c r="P32427" s="235"/>
      <c r="AI32427" s="38"/>
    </row>
    <row r="32428" ht="15.75" customHeight="1">
      <c r="A32428" s="35"/>
      <c r="C32428" s="442"/>
      <c r="P32428" s="235"/>
      <c r="AI32428" s="38"/>
    </row>
    <row r="32429" ht="15.75" customHeight="1">
      <c r="A32429" s="35"/>
      <c r="C32429" s="442"/>
      <c r="P32429" s="235"/>
      <c r="AI32429" s="38"/>
    </row>
    <row r="32430" ht="15.75" customHeight="1">
      <c r="A32430" s="35"/>
      <c r="C32430" s="442"/>
      <c r="P32430" s="235"/>
      <c r="AI32430" s="38"/>
    </row>
    <row r="32431" ht="15.75" customHeight="1">
      <c r="A32431" s="35"/>
      <c r="C32431" s="442"/>
      <c r="P32431" s="235"/>
      <c r="AI32431" s="38"/>
    </row>
    <row r="32432" ht="15.75" customHeight="1">
      <c r="A32432" s="35"/>
      <c r="C32432" s="442"/>
      <c r="P32432" s="235"/>
      <c r="AI32432" s="38"/>
    </row>
    <row r="32433" ht="15.75" customHeight="1">
      <c r="A32433" s="35"/>
      <c r="C32433" s="442"/>
      <c r="P32433" s="235"/>
      <c r="AI32433" s="38"/>
    </row>
    <row r="32434" ht="15.75" customHeight="1">
      <c r="A32434" s="35"/>
      <c r="C32434" s="442"/>
      <c r="P32434" s="235"/>
      <c r="AI32434" s="38"/>
    </row>
    <row r="32435" ht="15.75" customHeight="1">
      <c r="A32435" s="35"/>
      <c r="C32435" s="442"/>
      <c r="P32435" s="235"/>
      <c r="AI32435" s="38"/>
    </row>
    <row r="32436" ht="15.75" customHeight="1">
      <c r="A32436" s="35"/>
      <c r="C32436" s="442"/>
      <c r="P32436" s="235"/>
      <c r="AI32436" s="38"/>
    </row>
    <row r="32437" ht="15.75" customHeight="1">
      <c r="A32437" s="35"/>
      <c r="C32437" s="442"/>
      <c r="P32437" s="235"/>
      <c r="AI32437" s="38"/>
    </row>
    <row r="32438" ht="15.75" customHeight="1">
      <c r="A32438" s="35"/>
      <c r="C32438" s="442"/>
      <c r="P32438" s="235"/>
      <c r="AI32438" s="38"/>
    </row>
    <row r="32439" ht="15.75" customHeight="1">
      <c r="A32439" s="35"/>
      <c r="C32439" s="442"/>
      <c r="P32439" s="235"/>
      <c r="AI32439" s="38"/>
    </row>
    <row r="32440" ht="15.75" customHeight="1">
      <c r="A32440" s="35"/>
      <c r="C32440" s="442"/>
      <c r="P32440" s="235"/>
      <c r="AI32440" s="38"/>
    </row>
    <row r="32441" ht="15.75" customHeight="1">
      <c r="A32441" s="35"/>
      <c r="C32441" s="442"/>
      <c r="P32441" s="235"/>
      <c r="AI32441" s="38"/>
    </row>
    <row r="32442" ht="15.75" customHeight="1">
      <c r="A32442" s="35"/>
      <c r="C32442" s="442"/>
      <c r="P32442" s="235"/>
      <c r="AI32442" s="38"/>
    </row>
    <row r="32443" ht="15.75" customHeight="1">
      <c r="A32443" s="35"/>
      <c r="C32443" s="442"/>
      <c r="P32443" s="235"/>
      <c r="AI32443" s="38"/>
    </row>
    <row r="32444" ht="15.75" customHeight="1">
      <c r="A32444" s="35"/>
      <c r="C32444" s="442"/>
      <c r="P32444" s="235"/>
      <c r="AI32444" s="38"/>
    </row>
    <row r="32445" ht="15.75" customHeight="1">
      <c r="A32445" s="35"/>
      <c r="C32445" s="442"/>
      <c r="P32445" s="235"/>
      <c r="AI32445" s="38"/>
    </row>
    <row r="32446" ht="15.75" customHeight="1">
      <c r="A32446" s="35"/>
      <c r="C32446" s="442"/>
      <c r="P32446" s="235"/>
      <c r="AI32446" s="38"/>
    </row>
    <row r="32447" ht="15.75" customHeight="1">
      <c r="A32447" s="35"/>
      <c r="C32447" s="442"/>
      <c r="P32447" s="235"/>
      <c r="AI32447" s="38"/>
    </row>
    <row r="32448" ht="15.75" customHeight="1">
      <c r="A32448" s="35"/>
      <c r="C32448" s="442"/>
      <c r="P32448" s="235"/>
      <c r="AI32448" s="38"/>
    </row>
    <row r="32449" ht="15.75" customHeight="1">
      <c r="A32449" s="35"/>
      <c r="C32449" s="442"/>
      <c r="P32449" s="235"/>
      <c r="AI32449" s="38"/>
    </row>
    <row r="32450" ht="15.75" customHeight="1">
      <c r="A32450" s="35"/>
      <c r="C32450" s="442"/>
      <c r="P32450" s="235"/>
      <c r="AI32450" s="38"/>
    </row>
    <row r="32451" ht="15.75" customHeight="1">
      <c r="A32451" s="35"/>
      <c r="C32451" s="442"/>
      <c r="P32451" s="235"/>
      <c r="AI32451" s="38"/>
    </row>
    <row r="32452" ht="15.75" customHeight="1">
      <c r="A32452" s="35"/>
      <c r="C32452" s="442"/>
      <c r="P32452" s="235"/>
      <c r="AI32452" s="38"/>
    </row>
    <row r="32453" ht="15.75" customHeight="1">
      <c r="A32453" s="35"/>
      <c r="C32453" s="442"/>
      <c r="P32453" s="235"/>
      <c r="AI32453" s="38"/>
    </row>
    <row r="32454" ht="15.75" customHeight="1">
      <c r="A32454" s="35"/>
      <c r="C32454" s="442"/>
      <c r="P32454" s="235"/>
      <c r="AI32454" s="38"/>
    </row>
    <row r="32455" ht="15.75" customHeight="1">
      <c r="A32455" s="35"/>
      <c r="C32455" s="442"/>
      <c r="P32455" s="235"/>
      <c r="AI32455" s="38"/>
    </row>
    <row r="32456" ht="15.75" customHeight="1">
      <c r="A32456" s="35"/>
      <c r="C32456" s="442"/>
      <c r="P32456" s="235"/>
      <c r="AI32456" s="38"/>
    </row>
    <row r="32457" ht="15.75" customHeight="1">
      <c r="A32457" s="35"/>
      <c r="C32457" s="442"/>
      <c r="P32457" s="235"/>
      <c r="AI32457" s="38"/>
    </row>
    <row r="32458" ht="15.75" customHeight="1">
      <c r="A32458" s="35"/>
      <c r="C32458" s="442"/>
      <c r="P32458" s="235"/>
      <c r="AI32458" s="38"/>
    </row>
    <row r="32459" ht="15.75" customHeight="1">
      <c r="A32459" s="35"/>
      <c r="C32459" s="442"/>
      <c r="P32459" s="235"/>
      <c r="AI32459" s="38"/>
    </row>
    <row r="32460" ht="15.75" customHeight="1">
      <c r="A32460" s="35"/>
      <c r="C32460" s="442"/>
      <c r="P32460" s="235"/>
      <c r="AI32460" s="38"/>
    </row>
    <row r="32461" ht="15.75" customHeight="1">
      <c r="A32461" s="35"/>
      <c r="C32461" s="442"/>
      <c r="P32461" s="235"/>
      <c r="AI32461" s="38"/>
    </row>
    <row r="32462" ht="15.75" customHeight="1">
      <c r="A32462" s="35"/>
      <c r="C32462" s="442"/>
      <c r="P32462" s="235"/>
      <c r="AI32462" s="38"/>
    </row>
    <row r="32463" ht="15.75" customHeight="1">
      <c r="A32463" s="35"/>
      <c r="C32463" s="442"/>
      <c r="P32463" s="235"/>
      <c r="AI32463" s="38"/>
    </row>
    <row r="32464" ht="15.75" customHeight="1">
      <c r="A32464" s="35"/>
      <c r="C32464" s="442"/>
      <c r="P32464" s="235"/>
      <c r="AI32464" s="38"/>
    </row>
    <row r="32465" ht="15.75" customHeight="1">
      <c r="A32465" s="35"/>
      <c r="C32465" s="442"/>
      <c r="P32465" s="235"/>
      <c r="AI32465" s="38"/>
    </row>
    <row r="32466" ht="15.75" customHeight="1">
      <c r="A32466" s="35"/>
      <c r="C32466" s="442"/>
      <c r="P32466" s="235"/>
      <c r="AI32466" s="38"/>
    </row>
    <row r="32467" ht="15.75" customHeight="1">
      <c r="A32467" s="35"/>
      <c r="C32467" s="442"/>
      <c r="P32467" s="235"/>
      <c r="AI32467" s="38"/>
    </row>
    <row r="32468" ht="15.75" customHeight="1">
      <c r="A32468" s="35"/>
      <c r="C32468" s="442"/>
      <c r="P32468" s="235"/>
      <c r="AI32468" s="38"/>
    </row>
    <row r="32469" ht="15.75" customHeight="1">
      <c r="A32469" s="35"/>
      <c r="C32469" s="442"/>
      <c r="P32469" s="235"/>
      <c r="AI32469" s="38"/>
    </row>
    <row r="32470" ht="15.75" customHeight="1">
      <c r="A32470" s="35"/>
      <c r="C32470" s="442"/>
      <c r="P32470" s="235"/>
      <c r="AI32470" s="38"/>
    </row>
    <row r="32471" ht="15.75" customHeight="1">
      <c r="A32471" s="35"/>
      <c r="C32471" s="442"/>
      <c r="P32471" s="235"/>
      <c r="AI32471" s="38"/>
    </row>
    <row r="32472" ht="15.75" customHeight="1">
      <c r="A32472" s="35"/>
      <c r="C32472" s="442"/>
      <c r="P32472" s="235"/>
      <c r="AI32472" s="38"/>
    </row>
    <row r="32473" ht="15.75" customHeight="1">
      <c r="A32473" s="35"/>
      <c r="C32473" s="442"/>
      <c r="P32473" s="235"/>
      <c r="AI32473" s="38"/>
    </row>
    <row r="32474" ht="15.75" customHeight="1">
      <c r="A32474" s="35"/>
      <c r="C32474" s="442"/>
      <c r="P32474" s="235"/>
      <c r="AI32474" s="38"/>
    </row>
    <row r="32475" ht="15.75" customHeight="1">
      <c r="A32475" s="35"/>
      <c r="C32475" s="442"/>
      <c r="P32475" s="235"/>
      <c r="AI32475" s="38"/>
    </row>
    <row r="32476" ht="15.75" customHeight="1">
      <c r="A32476" s="35"/>
      <c r="C32476" s="442"/>
      <c r="P32476" s="235"/>
      <c r="AI32476" s="38"/>
    </row>
    <row r="32477" ht="15.75" customHeight="1">
      <c r="A32477" s="35"/>
      <c r="C32477" s="442"/>
      <c r="P32477" s="235"/>
      <c r="AI32477" s="38"/>
    </row>
    <row r="32478" ht="15.75" customHeight="1">
      <c r="A32478" s="35"/>
      <c r="C32478" s="442"/>
      <c r="P32478" s="235"/>
      <c r="AI32478" s="38"/>
    </row>
    <row r="32479" ht="15.75" customHeight="1">
      <c r="A32479" s="35"/>
      <c r="C32479" s="442"/>
      <c r="P32479" s="235"/>
      <c r="AI32479" s="38"/>
    </row>
    <row r="32480" ht="15.75" customHeight="1">
      <c r="A32480" s="35"/>
      <c r="C32480" s="442"/>
      <c r="P32480" s="235"/>
      <c r="AI32480" s="38"/>
    </row>
    <row r="32481" ht="15.75" customHeight="1">
      <c r="A32481" s="35"/>
      <c r="C32481" s="442"/>
      <c r="P32481" s="235"/>
      <c r="AI32481" s="38"/>
    </row>
    <row r="32482" ht="15.75" customHeight="1">
      <c r="A32482" s="35"/>
      <c r="C32482" s="442"/>
      <c r="P32482" s="235"/>
      <c r="AI32482" s="38"/>
    </row>
    <row r="32483" ht="15.75" customHeight="1">
      <c r="A32483" s="35"/>
      <c r="C32483" s="442"/>
      <c r="P32483" s="235"/>
      <c r="AI32483" s="38"/>
    </row>
    <row r="32484" ht="15.75" customHeight="1">
      <c r="A32484" s="35"/>
      <c r="C32484" s="442"/>
      <c r="P32484" s="235"/>
      <c r="AI32484" s="38"/>
    </row>
    <row r="32485" ht="15.75" customHeight="1">
      <c r="A32485" s="35"/>
      <c r="C32485" s="442"/>
      <c r="P32485" s="235"/>
      <c r="AI32485" s="38"/>
    </row>
    <row r="32486" ht="15.75" customHeight="1">
      <c r="A32486" s="35"/>
      <c r="C32486" s="442"/>
      <c r="P32486" s="235"/>
      <c r="AI32486" s="38"/>
    </row>
    <row r="32487" ht="15.75" customHeight="1">
      <c r="A32487" s="35"/>
      <c r="C32487" s="442"/>
      <c r="P32487" s="235"/>
      <c r="AI32487" s="38"/>
    </row>
    <row r="32488" ht="15.75" customHeight="1">
      <c r="A32488" s="35"/>
      <c r="C32488" s="442"/>
      <c r="P32488" s="235"/>
      <c r="AI32488" s="38"/>
    </row>
    <row r="32489" ht="15.75" customHeight="1">
      <c r="A32489" s="35"/>
      <c r="C32489" s="442"/>
      <c r="P32489" s="235"/>
      <c r="AI32489" s="38"/>
    </row>
    <row r="32490" ht="15.75" customHeight="1">
      <c r="A32490" s="35"/>
      <c r="C32490" s="442"/>
      <c r="P32490" s="235"/>
      <c r="AI32490" s="38"/>
    </row>
    <row r="32491" ht="15.75" customHeight="1">
      <c r="A32491" s="35"/>
      <c r="C32491" s="442"/>
      <c r="P32491" s="235"/>
      <c r="AI32491" s="38"/>
    </row>
    <row r="32492" ht="15.75" customHeight="1">
      <c r="A32492" s="35"/>
      <c r="C32492" s="442"/>
      <c r="P32492" s="235"/>
      <c r="AI32492" s="38"/>
    </row>
    <row r="32493" ht="15.75" customHeight="1">
      <c r="A32493" s="35"/>
      <c r="C32493" s="442"/>
      <c r="P32493" s="235"/>
      <c r="AI32493" s="38"/>
    </row>
    <row r="32494" ht="15.75" customHeight="1">
      <c r="A32494" s="35"/>
      <c r="C32494" s="442"/>
      <c r="P32494" s="235"/>
      <c r="AI32494" s="38"/>
    </row>
    <row r="32495" ht="15.75" customHeight="1">
      <c r="A32495" s="35"/>
      <c r="C32495" s="442"/>
      <c r="P32495" s="235"/>
      <c r="AI32495" s="38"/>
    </row>
    <row r="32496" ht="15.75" customHeight="1">
      <c r="A32496" s="35"/>
      <c r="C32496" s="442"/>
      <c r="P32496" s="235"/>
      <c r="AI32496" s="38"/>
    </row>
    <row r="32497" ht="15.75" customHeight="1">
      <c r="A32497" s="35"/>
      <c r="C32497" s="442"/>
      <c r="P32497" s="235"/>
      <c r="AI32497" s="38"/>
    </row>
    <row r="32498" ht="15.75" customHeight="1">
      <c r="A32498" s="35"/>
      <c r="C32498" s="442"/>
      <c r="P32498" s="235"/>
      <c r="AI32498" s="38"/>
    </row>
    <row r="32499" ht="15.75" customHeight="1">
      <c r="A32499" s="35"/>
      <c r="C32499" s="442"/>
      <c r="P32499" s="235"/>
      <c r="AI32499" s="38"/>
    </row>
    <row r="32500" ht="15.75" customHeight="1">
      <c r="A32500" s="35"/>
      <c r="C32500" s="442"/>
      <c r="P32500" s="235"/>
      <c r="AI32500" s="38"/>
    </row>
    <row r="32501" ht="15.75" customHeight="1">
      <c r="A32501" s="35"/>
      <c r="C32501" s="442"/>
      <c r="P32501" s="235"/>
      <c r="AI32501" s="38"/>
    </row>
    <row r="32502" ht="15.75" customHeight="1">
      <c r="A32502" s="35"/>
      <c r="C32502" s="442"/>
      <c r="P32502" s="235"/>
      <c r="AI32502" s="38"/>
    </row>
    <row r="32503" ht="15.75" customHeight="1">
      <c r="A32503" s="35"/>
      <c r="C32503" s="442"/>
      <c r="P32503" s="235"/>
      <c r="AI32503" s="38"/>
    </row>
    <row r="32504" ht="15.75" customHeight="1">
      <c r="A32504" s="35"/>
      <c r="C32504" s="442"/>
      <c r="P32504" s="235"/>
      <c r="AI32504" s="38"/>
    </row>
    <row r="32505" ht="15.75" customHeight="1">
      <c r="A32505" s="35"/>
      <c r="C32505" s="442"/>
      <c r="P32505" s="235"/>
      <c r="AI32505" s="38"/>
    </row>
    <row r="32506" ht="15.75" customHeight="1">
      <c r="A32506" s="35"/>
      <c r="C32506" s="442"/>
      <c r="P32506" s="235"/>
      <c r="AI32506" s="38"/>
    </row>
    <row r="32507" ht="15.75" customHeight="1">
      <c r="A32507" s="35"/>
      <c r="C32507" s="442"/>
      <c r="P32507" s="235"/>
      <c r="AI32507" s="38"/>
    </row>
    <row r="32508" ht="15.75" customHeight="1">
      <c r="A32508" s="35"/>
      <c r="C32508" s="442"/>
      <c r="P32508" s="235"/>
      <c r="AI32508" s="38"/>
    </row>
    <row r="32509" ht="15.75" customHeight="1">
      <c r="A32509" s="35"/>
      <c r="C32509" s="442"/>
      <c r="P32509" s="235"/>
      <c r="AI32509" s="38"/>
    </row>
    <row r="32510" ht="15.75" customHeight="1">
      <c r="A32510" s="35"/>
      <c r="C32510" s="442"/>
      <c r="P32510" s="235"/>
      <c r="AI32510" s="38"/>
    </row>
    <row r="32511" ht="15.75" customHeight="1">
      <c r="A32511" s="35"/>
      <c r="C32511" s="442"/>
      <c r="P32511" s="235"/>
      <c r="AI32511" s="38"/>
    </row>
    <row r="32512" ht="15.75" customHeight="1">
      <c r="A32512" s="35"/>
      <c r="C32512" s="442"/>
      <c r="P32512" s="235"/>
      <c r="AI32512" s="38"/>
    </row>
    <row r="32513" ht="15.75" customHeight="1">
      <c r="A32513" s="35"/>
      <c r="P32513" s="235"/>
      <c r="AI32513" s="38"/>
    </row>
    <row r="32514" ht="15.75" customHeight="1">
      <c r="A32514" s="35"/>
      <c r="P32514" s="235"/>
      <c r="AI32514" s="38"/>
    </row>
    <row r="32515" ht="15.75" customHeight="1">
      <c r="A32515" s="35"/>
      <c r="P32515" s="235"/>
      <c r="AI32515" s="38"/>
    </row>
    <row r="32516" ht="15.75" customHeight="1">
      <c r="A32516" s="35"/>
      <c r="P32516" s="235"/>
      <c r="AI32516" s="38"/>
    </row>
    <row r="32517" ht="15.75" customHeight="1">
      <c r="A32517" s="35"/>
      <c r="P32517" s="235"/>
      <c r="AI32517" s="38"/>
    </row>
    <row r="32518" ht="15.75" customHeight="1">
      <c r="A32518" s="35"/>
      <c r="P32518" s="235"/>
      <c r="AI32518" s="38"/>
    </row>
    <row r="32519" ht="15.75" customHeight="1">
      <c r="A32519" s="35"/>
      <c r="P32519" s="235"/>
      <c r="AI32519" s="38"/>
    </row>
    <row r="32520" ht="15.75" customHeight="1">
      <c r="A32520" s="35"/>
      <c r="P32520" s="235"/>
      <c r="AI32520" s="38"/>
    </row>
    <row r="32521" ht="15.75" customHeight="1">
      <c r="A32521" s="35"/>
      <c r="P32521" s="235"/>
      <c r="AI32521" s="38"/>
    </row>
    <row r="32522" ht="15.75" customHeight="1">
      <c r="A32522" s="35"/>
      <c r="P32522" s="235"/>
      <c r="AI32522" s="38"/>
    </row>
    <row r="32523" ht="15.75" customHeight="1">
      <c r="A32523" s="35"/>
      <c r="P32523" s="235"/>
      <c r="AI32523" s="38"/>
    </row>
    <row r="32524" ht="15.75" customHeight="1">
      <c r="A32524" s="35"/>
      <c r="P32524" s="235"/>
      <c r="AI32524" s="38"/>
    </row>
    <row r="32525" ht="15.75" customHeight="1">
      <c r="A32525" s="35"/>
      <c r="P32525" s="235"/>
      <c r="AI32525" s="38"/>
    </row>
    <row r="32526" ht="15.75" customHeight="1">
      <c r="A32526" s="35"/>
      <c r="P32526" s="235"/>
      <c r="AI32526" s="38"/>
    </row>
    <row r="32527" ht="15.75" customHeight="1">
      <c r="A32527" s="35"/>
      <c r="P32527" s="235"/>
      <c r="AI32527" s="38"/>
    </row>
    <row r="32528" ht="15.75" customHeight="1">
      <c r="A32528" s="35"/>
      <c r="P32528" s="235"/>
      <c r="AI32528" s="38"/>
    </row>
    <row r="32529" ht="15.75" customHeight="1">
      <c r="A32529" s="35"/>
      <c r="P32529" s="235"/>
      <c r="AI32529" s="38"/>
    </row>
    <row r="32530" ht="15.75" customHeight="1">
      <c r="A32530" s="35"/>
      <c r="P32530" s="235"/>
      <c r="AI32530" s="38"/>
    </row>
    <row r="32531" ht="15.75" customHeight="1">
      <c r="A32531" s="35"/>
      <c r="P32531" s="235"/>
      <c r="AI32531" s="38"/>
    </row>
    <row r="32532" ht="15.75" customHeight="1">
      <c r="A32532" s="35"/>
      <c r="P32532" s="235"/>
      <c r="AI32532" s="38"/>
    </row>
    <row r="32533" ht="15.75" customHeight="1">
      <c r="A32533" s="35"/>
      <c r="P32533" s="235"/>
      <c r="AI32533" s="38"/>
    </row>
    <row r="32534" ht="15.75" customHeight="1">
      <c r="A32534" s="35"/>
      <c r="P32534" s="235"/>
      <c r="AI32534" s="38"/>
    </row>
    <row r="32535" ht="15.75" customHeight="1">
      <c r="A32535" s="35"/>
      <c r="P32535" s="235"/>
      <c r="AI32535" s="38"/>
    </row>
    <row r="32536" ht="15.75" customHeight="1">
      <c r="A32536" s="35"/>
      <c r="P32536" s="235"/>
      <c r="AI32536" s="38"/>
    </row>
    <row r="32537" ht="15.75" customHeight="1">
      <c r="A32537" s="35"/>
      <c r="P32537" s="235"/>
      <c r="AI32537" s="38"/>
    </row>
    <row r="32538" ht="15.75" customHeight="1">
      <c r="A32538" s="35"/>
      <c r="P32538" s="235"/>
      <c r="AI32538" s="38"/>
    </row>
    <row r="32539" ht="15.75" customHeight="1">
      <c r="A32539" s="35"/>
      <c r="P32539" s="235"/>
      <c r="AI32539" s="38"/>
    </row>
    <row r="32540" ht="15.75" customHeight="1">
      <c r="A32540" s="35"/>
      <c r="P32540" s="235"/>
      <c r="AI32540" s="38"/>
    </row>
    <row r="32541" ht="15.75" customHeight="1">
      <c r="A32541" s="35"/>
      <c r="P32541" s="235"/>
      <c r="AI32541" s="38"/>
    </row>
    <row r="32542" ht="15.75" customHeight="1">
      <c r="A32542" s="35"/>
      <c r="P32542" s="235"/>
      <c r="AI32542" s="38"/>
    </row>
    <row r="32543" ht="15.75" customHeight="1">
      <c r="A32543" s="35"/>
      <c r="P32543" s="235"/>
      <c r="AI32543" s="38"/>
    </row>
    <row r="32544" ht="15.75" customHeight="1">
      <c r="A32544" s="35"/>
      <c r="P32544" s="235"/>
      <c r="AI32544" s="38"/>
    </row>
    <row r="32545" ht="15.75" customHeight="1">
      <c r="A32545" s="35"/>
      <c r="P32545" s="235"/>
      <c r="AI32545" s="38"/>
    </row>
    <row r="32546" ht="15.75" customHeight="1">
      <c r="A32546" s="35"/>
      <c r="P32546" s="235"/>
      <c r="AI32546" s="38"/>
    </row>
    <row r="32547" ht="15.75" customHeight="1">
      <c r="A32547" s="35"/>
      <c r="P32547" s="235"/>
      <c r="AI32547" s="38"/>
    </row>
    <row r="32548" ht="15.75" customHeight="1">
      <c r="A32548" s="35"/>
      <c r="P32548" s="235"/>
      <c r="AI32548" s="38"/>
    </row>
    <row r="32549" ht="15.75" customHeight="1">
      <c r="A32549" s="35"/>
      <c r="P32549" s="235"/>
      <c r="AI32549" s="38"/>
    </row>
    <row r="32550" ht="15.75" customHeight="1">
      <c r="A32550" s="35"/>
      <c r="P32550" s="235"/>
      <c r="AI32550" s="38"/>
    </row>
    <row r="32551" ht="15.75" customHeight="1">
      <c r="A32551" s="35"/>
      <c r="P32551" s="235"/>
      <c r="AI32551" s="38"/>
    </row>
    <row r="32552" ht="15.75" customHeight="1">
      <c r="A32552" s="35"/>
      <c r="P32552" s="235"/>
      <c r="AI32552" s="38"/>
    </row>
    <row r="32553" ht="15.75" customHeight="1">
      <c r="A32553" s="35"/>
      <c r="P32553" s="235"/>
      <c r="AI32553" s="38"/>
    </row>
    <row r="32554" ht="15.75" customHeight="1">
      <c r="A32554" s="35"/>
      <c r="P32554" s="235"/>
      <c r="AI32554" s="38"/>
    </row>
    <row r="32555" ht="15.75" customHeight="1">
      <c r="A32555" s="35"/>
      <c r="P32555" s="235"/>
      <c r="AI32555" s="38"/>
    </row>
    <row r="32556" ht="15.75" customHeight="1">
      <c r="A32556" s="35"/>
      <c r="P32556" s="235"/>
      <c r="AI32556" s="38"/>
    </row>
    <row r="32557" ht="15.75" customHeight="1">
      <c r="A32557" s="35"/>
      <c r="P32557" s="235"/>
      <c r="AI32557" s="38"/>
    </row>
    <row r="32558" ht="15.75" customHeight="1">
      <c r="A32558" s="35"/>
      <c r="P32558" s="235"/>
      <c r="AI32558" s="38"/>
    </row>
    <row r="32559" ht="15.75" customHeight="1">
      <c r="A32559" s="35"/>
      <c r="P32559" s="235"/>
      <c r="AI32559" s="38"/>
    </row>
    <row r="32560" ht="15.75" customHeight="1">
      <c r="A32560" s="35"/>
      <c r="P32560" s="235"/>
      <c r="AI32560" s="38"/>
    </row>
    <row r="32561" ht="15.75" customHeight="1">
      <c r="A32561" s="35"/>
      <c r="P32561" s="235"/>
      <c r="AI32561" s="38"/>
    </row>
    <row r="32562" ht="15.75" customHeight="1">
      <c r="A32562" s="35"/>
      <c r="F32562" s="45" t="s">
        <v>2649</v>
      </c>
      <c r="P32562" s="235"/>
      <c r="AI32562" s="38"/>
    </row>
  </sheetData>
  <autoFilter ref="$A$1:$CL$231">
    <filterColumn colId="2">
      <colorFilter dxfId="1"/>
    </filterColumn>
  </autoFilter>
  <hyperlinks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8"/>
    <hyperlink r:id="rId12" ref="G19"/>
    <hyperlink r:id="rId13" ref="G21"/>
    <hyperlink r:id="rId14" ref="G22"/>
    <hyperlink r:id="rId15" ref="G23"/>
    <hyperlink r:id="rId16" ref="G24"/>
    <hyperlink r:id="rId17" ref="G25"/>
    <hyperlink r:id="rId18" ref="G26"/>
    <hyperlink r:id="rId19" ref="G28"/>
    <hyperlink r:id="rId20" ref="G30"/>
    <hyperlink r:id="rId21" ref="G33"/>
    <hyperlink r:id="rId22" ref="G35"/>
    <hyperlink r:id="rId23" ref="G36"/>
    <hyperlink r:id="rId24" ref="G40"/>
    <hyperlink r:id="rId25" ref="G41"/>
    <hyperlink r:id="rId26" ref="G43"/>
    <hyperlink r:id="rId27" ref="G44"/>
    <hyperlink r:id="rId28" ref="G45"/>
    <hyperlink r:id="rId29" ref="G47"/>
    <hyperlink r:id="rId30" ref="G48"/>
    <hyperlink r:id="rId31" ref="G49"/>
    <hyperlink r:id="rId32" ref="G50"/>
    <hyperlink r:id="rId33" ref="G51"/>
    <hyperlink r:id="rId34" ref="G54"/>
    <hyperlink r:id="rId35" ref="G56"/>
    <hyperlink r:id="rId36" ref="G57"/>
    <hyperlink r:id="rId37" ref="G58"/>
    <hyperlink r:id="rId38" ref="G59"/>
    <hyperlink r:id="rId39" ref="G60"/>
    <hyperlink r:id="rId40" ref="G61"/>
    <hyperlink r:id="rId41" ref="G62"/>
    <hyperlink r:id="rId42" ref="G63"/>
    <hyperlink r:id="rId43" ref="G64"/>
    <hyperlink r:id="rId44" ref="G65"/>
    <hyperlink r:id="rId45" ref="G67"/>
    <hyperlink r:id="rId46" ref="G68"/>
    <hyperlink r:id="rId47" ref="G69"/>
    <hyperlink r:id="rId48" ref="G70"/>
    <hyperlink r:id="rId49" ref="G71"/>
    <hyperlink r:id="rId50" ref="G73"/>
    <hyperlink r:id="rId51" ref="G74"/>
    <hyperlink r:id="rId52" ref="G76"/>
    <hyperlink r:id="rId53" ref="G77"/>
    <hyperlink r:id="rId54" ref="G78"/>
    <hyperlink r:id="rId55" ref="G79"/>
    <hyperlink r:id="rId56" ref="G80"/>
    <hyperlink r:id="rId57" ref="G81"/>
    <hyperlink r:id="rId58" ref="G82"/>
    <hyperlink r:id="rId59" ref="G83"/>
    <hyperlink r:id="rId60" ref="G84"/>
    <hyperlink r:id="rId61" ref="G85"/>
    <hyperlink r:id="rId62" ref="G86"/>
    <hyperlink r:id="rId63" ref="G87"/>
    <hyperlink r:id="rId64" ref="G88"/>
    <hyperlink r:id="rId65" ref="G91"/>
    <hyperlink r:id="rId66" ref="G92"/>
    <hyperlink r:id="rId67" ref="G94"/>
    <hyperlink r:id="rId68" ref="G95"/>
    <hyperlink r:id="rId69" ref="G96"/>
    <hyperlink r:id="rId70" ref="G100"/>
    <hyperlink r:id="rId71" ref="G102"/>
    <hyperlink r:id="rId72" ref="G108"/>
    <hyperlink r:id="rId73" ref="G120"/>
    <hyperlink r:id="rId74" ref="G152"/>
    <hyperlink r:id="rId75" ref="G162"/>
    <hyperlink r:id="rId76" ref="B241"/>
  </hyperlinks>
  <printOptions/>
  <pageMargins bottom="0.75" footer="0.0" header="0.0" left="0.7" right="0.7" top="0.75"/>
  <pageSetup paperSize="9" orientation="portrait"/>
  <drawing r:id="rId77"/>
  <legacy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6.29"/>
    <col customWidth="1" min="2" max="2" width="18.43"/>
    <col customWidth="1" min="3" max="3" width="14.0"/>
    <col customWidth="1" min="4" max="4" width="20.86"/>
    <col customWidth="1" min="5" max="5" width="32.86"/>
    <col customWidth="1" min="6" max="6" width="32.29"/>
    <col customWidth="1" min="7" max="7" width="9.14"/>
    <col customWidth="1" min="8" max="8" width="19.14"/>
    <col customWidth="1" min="9" max="9" width="9.14"/>
    <col customWidth="1" min="10" max="10" width="25.0"/>
    <col customWidth="1" min="11" max="11" width="19.29"/>
    <col customWidth="1" min="12" max="12" width="18.86"/>
    <col customWidth="1" min="13" max="13" width="11.71"/>
    <col customWidth="1" min="14" max="14" width="14.29"/>
    <col customWidth="1" min="15" max="15" width="9.14"/>
    <col customWidth="1" min="16" max="16" width="16.0"/>
    <col customWidth="1" min="17" max="17" width="21.14"/>
    <col customWidth="1" min="18" max="18" width="27.43"/>
    <col customWidth="1" min="19" max="19" width="20.86"/>
    <col customWidth="1" min="20" max="20" width="42.57"/>
    <col customWidth="1" min="21" max="21" width="51.29"/>
    <col customWidth="1" min="22" max="22" width="12.43"/>
    <col customWidth="1" min="23" max="23" width="17.29"/>
    <col customWidth="1" min="24" max="24" width="28.29"/>
    <col customWidth="1" min="25" max="25" width="26.57"/>
    <col customWidth="1" min="26" max="26" width="15.14"/>
    <col customWidth="1" min="27" max="29" width="9.14"/>
    <col customWidth="1" min="30" max="30" width="7.86"/>
    <col customWidth="1" min="31" max="31" width="22.0"/>
    <col customWidth="1" min="32" max="32" width="21.29"/>
    <col customWidth="1" min="33" max="33" width="19.14"/>
    <col customWidth="1" min="34" max="34" width="15.0"/>
    <col customWidth="1" min="35" max="35" width="9.14"/>
    <col customWidth="1" min="36" max="36" width="19.14"/>
    <col customWidth="1" min="37" max="37" width="21.14"/>
    <col customWidth="1" min="38" max="38" width="19.86"/>
    <col customWidth="1" min="39" max="39" width="17.71"/>
    <col customWidth="1" min="40" max="40" width="20.43"/>
    <col customWidth="1" min="41" max="41" width="18.14"/>
    <col customWidth="1" min="42" max="42" width="20.86"/>
    <col customWidth="1" min="43" max="43" width="17.57"/>
    <col customWidth="1" min="44" max="44" width="14.57"/>
    <col customWidth="1" min="45" max="45" width="19.86"/>
    <col customWidth="1" min="46" max="89" width="9.14"/>
  </cols>
  <sheetData>
    <row r="1">
      <c r="A1" s="444" t="s">
        <v>1</v>
      </c>
      <c r="B1" s="444" t="s">
        <v>3</v>
      </c>
      <c r="C1" s="444" t="s">
        <v>4</v>
      </c>
      <c r="D1" s="444" t="s">
        <v>5</v>
      </c>
      <c r="E1" s="444" t="s">
        <v>6</v>
      </c>
      <c r="F1" s="444" t="s">
        <v>2650</v>
      </c>
      <c r="G1" s="445" t="s">
        <v>8</v>
      </c>
      <c r="H1" s="444" t="s">
        <v>2651</v>
      </c>
      <c r="I1" s="444" t="s">
        <v>10</v>
      </c>
      <c r="J1" s="444" t="s">
        <v>11</v>
      </c>
      <c r="K1" s="444" t="s">
        <v>12</v>
      </c>
      <c r="L1" s="444" t="s">
        <v>13</v>
      </c>
      <c r="M1" s="444" t="s">
        <v>14</v>
      </c>
      <c r="N1" s="444" t="s">
        <v>15</v>
      </c>
      <c r="O1" s="444" t="s">
        <v>16</v>
      </c>
      <c r="P1" s="444" t="s">
        <v>2652</v>
      </c>
      <c r="Q1" s="444" t="s">
        <v>18</v>
      </c>
      <c r="R1" s="444" t="s">
        <v>19</v>
      </c>
      <c r="S1" s="444" t="s">
        <v>20</v>
      </c>
      <c r="T1" s="446" t="s">
        <v>21</v>
      </c>
      <c r="U1" s="444" t="s">
        <v>22</v>
      </c>
      <c r="V1" s="444" t="s">
        <v>23</v>
      </c>
      <c r="W1" s="444" t="s">
        <v>24</v>
      </c>
      <c r="X1" s="444" t="s">
        <v>25</v>
      </c>
      <c r="Y1" s="444" t="s">
        <v>26</v>
      </c>
      <c r="Z1" s="444" t="s">
        <v>27</v>
      </c>
      <c r="AA1" s="444" t="s">
        <v>28</v>
      </c>
      <c r="AB1" s="444" t="s">
        <v>29</v>
      </c>
      <c r="AC1" s="444" t="s">
        <v>30</v>
      </c>
      <c r="AD1" s="444" t="s">
        <v>31</v>
      </c>
      <c r="AE1" s="444" t="s">
        <v>32</v>
      </c>
      <c r="AF1" s="444" t="s">
        <v>33</v>
      </c>
      <c r="AG1" s="444" t="s">
        <v>2653</v>
      </c>
      <c r="AH1" s="444" t="s">
        <v>35</v>
      </c>
      <c r="AI1" s="444" t="s">
        <v>36</v>
      </c>
      <c r="AJ1" s="444" t="s">
        <v>2654</v>
      </c>
      <c r="AK1" s="444" t="s">
        <v>38</v>
      </c>
      <c r="AL1" s="444" t="s">
        <v>39</v>
      </c>
      <c r="AM1" s="444" t="s">
        <v>2655</v>
      </c>
      <c r="AN1" s="444" t="s">
        <v>2656</v>
      </c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</row>
    <row r="2">
      <c r="A2" s="448" t="s">
        <v>90</v>
      </c>
      <c r="B2" s="38" t="str">
        <f>VLOOKUP(A2,DATAKARYAWAN,3,0)</f>
        <v>Karyawan Tetap</v>
      </c>
      <c r="C2" s="38" t="str">
        <f>VLOOKUP(A2,DATAKARYAWAN,4,0)</f>
        <v>90-050001</v>
      </c>
      <c r="D2" s="38" t="str">
        <f>VLOOKUP(A2,DATAKARYAWAN,5,0)</f>
        <v>081331670266</v>
      </c>
      <c r="E2" s="38" t="str">
        <f>VLOOKUP(A2,DATAKARYAWAN,6,0)</f>
        <v>may.trigunasamudratrans@gmail.com</v>
      </c>
      <c r="F2" s="38" t="str">
        <f>VLOOKUP(A2,DATAKARYAWAN,7,0)</f>
        <v>DEPUTI GENERAL MANAGER</v>
      </c>
      <c r="G2" s="38" t="str">
        <f>VLOOKUP(A2,DATAKARYAWAN,8,0)</f>
        <v>MANAGERIAL</v>
      </c>
      <c r="H2" s="53"/>
      <c r="I2" s="38" t="str">
        <f>VLOOKUP(A2,DATAKARYAWAN,10,0)</f>
        <v>Indonesia</v>
      </c>
      <c r="J2" s="38" t="str">
        <f>VLOOKUP(A2,DATAKARYAWAN,11,0)</f>
        <v>ISLAM</v>
      </c>
      <c r="K2" s="449" t="str">
        <f>VLOOKUP(A2,DATAKARYAWAN,12,0)</f>
        <v>3578172210090005</v>
      </c>
      <c r="L2" s="449" t="str">
        <f>VLOOKUP(A2,DATAKARYAWAN,13,0)</f>
        <v>3578175008700002</v>
      </c>
      <c r="M2" s="38" t="str">
        <f>VLOOKUP(A2,DATAKARYAWAN,14,0)</f>
        <v>OCBC NISP</v>
      </c>
      <c r="N2" s="38">
        <f>VLOOKUP(A2,DATAKARYAWAN,15,0)</f>
        <v>58810105617</v>
      </c>
      <c r="O2" s="38" t="str">
        <f>VLOOKUP(A2,DATAKARYAWAN,16,0)</f>
        <v>SLTA</v>
      </c>
      <c r="P2" s="48"/>
      <c r="Q2" s="38" t="str">
        <f>VLOOKUP(A2,DATAKARYAWAN,18,0)</f>
        <v>PEREMPUAN</v>
      </c>
      <c r="R2" s="49" t="str">
        <f>VLOOKUP(A2,DATAKARYAWAN,19,0)</f>
        <v>10 Agustus 1970</v>
      </c>
      <c r="S2" s="38" t="str">
        <f>VLOOKUP(A2,DATAKARYAWAN,20,0)</f>
        <v>SURABAYA</v>
      </c>
      <c r="T2" s="38"/>
      <c r="U2" s="38" t="str">
        <f>VLOOKUP(A2,DATAKARYAWAN,22,0)</f>
        <v>RANDU BARAT I/50 RT 6/RW 3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SURABAYA</v>
      </c>
      <c r="Y2" s="38" t="str">
        <f>VLOOKUP(A2,DATAKARYAWAN,26,0)</f>
        <v>KENJERAN</v>
      </c>
      <c r="Z2" s="38" t="str">
        <f>VLOOKUP(A2,DATAKARYAWAN,27,0)</f>
        <v>SIDOTOPO WETAN</v>
      </c>
      <c r="AA2" s="38">
        <f>VLOOKUP(A2,DATAKARYAWAN,28,0)</f>
        <v>60128</v>
      </c>
      <c r="AB2" s="38"/>
      <c r="AC2" s="38"/>
      <c r="AD2" s="38" t="str">
        <f>VLOOKUP(A2,DATAKARYAWAN,31,0)</f>
        <v>TK/0</v>
      </c>
      <c r="AE2" s="48"/>
      <c r="AF2" s="450" t="str">
        <f>VLOOKUP(A2,DATAKARYAWAN,33,0)</f>
        <v>369145651619000</v>
      </c>
      <c r="AG2" s="38">
        <f>VLOOKUP(A2,DATAKARYAWAN,34,0)</f>
        <v>18027094046</v>
      </c>
      <c r="AH2" s="38" t="str">
        <f>VLOOKUP(A2,DATAKARYAWAN,35,0)</f>
        <v>0002305153989</v>
      </c>
      <c r="AI2" s="38" t="str">
        <f>VLOOKUP(A2,DATAKARYAWAN,36,0)</f>
        <v>Kelas 1</v>
      </c>
      <c r="AJ2" s="38"/>
      <c r="AK2" s="451">
        <f>VLOOKUP(A2,DATAKARYAWAN,38,0)</f>
        <v>33008</v>
      </c>
      <c r="AL2" s="38" t="str">
        <f>VLOOKUP(A2,DATAKARYAWAN,39,0)</f>
        <v/>
      </c>
      <c r="AM2" s="38"/>
      <c r="AN2" s="38"/>
    </row>
    <row r="3" ht="15.0" customHeight="1">
      <c r="A3" s="452" t="s">
        <v>109</v>
      </c>
      <c r="B3" s="38" t="str">
        <f>VLOOKUP(A3,DATAKARYAWAN,3,0)</f>
        <v>Karyawan Tetap</v>
      </c>
      <c r="C3" s="38" t="str">
        <f>VLOOKUP(A3,DATAKARYAWAN,4,0)</f>
        <v>97-010003</v>
      </c>
      <c r="D3" s="38" t="str">
        <f>VLOOKUP(A3,DATAKARYAWAN,5,0)</f>
        <v>081515223985</v>
      </c>
      <c r="E3" s="453" t="str">
        <f>VLOOKUP(A3,DATAKARYAWAN,6,0)</f>
        <v>akazakaria1@gmail.com</v>
      </c>
      <c r="F3" s="38" t="str">
        <f>VLOOKUP(A3,DATAKARYAWAN,7,0)</f>
        <v>TKBM</v>
      </c>
      <c r="G3" s="38" t="str">
        <f>VLOOKUP(A3,DATAKARYAWAN,8,0)</f>
        <v>OPERASIONAL </v>
      </c>
      <c r="H3" s="454"/>
      <c r="I3" s="38" t="str">
        <f>VLOOKUP(A3,DATAKARYAWAN,10,0)</f>
        <v>Indonesia</v>
      </c>
      <c r="J3" s="38" t="str">
        <f>VLOOKUP(A3,DATAKARYAWAN,11,0)</f>
        <v>ISLAM</v>
      </c>
      <c r="K3" s="38" t="str">
        <f>VLOOKUP(A3,DATAKARYAWAN,12,0)</f>
        <v>3520081102160004</v>
      </c>
      <c r="L3" s="38" t="str">
        <f>VLOOKUP(A3,DATAKARYAWAN,13,0)</f>
        <v>3520082707650002</v>
      </c>
      <c r="M3" s="38" t="str">
        <f>VLOOKUP(A3,DATAKARYAWAN,14,0)</f>
        <v>OCBC NISP</v>
      </c>
      <c r="N3" s="38">
        <f>VLOOKUP(A3,DATAKARYAWAN,15,0)</f>
        <v>58810105385</v>
      </c>
      <c r="O3" s="38" t="str">
        <f>VLOOKUP(A3,DATAKARYAWAN,16,0)</f>
        <v>SD</v>
      </c>
      <c r="P3" s="97"/>
      <c r="Q3" s="38" t="str">
        <f>VLOOKUP(A3,DATAKARYAWAN,18,0)</f>
        <v>LAKI-LAKI</v>
      </c>
      <c r="R3" s="49" t="str">
        <f>VLOOKUP(A3,DATAKARYAWAN,19,0)</f>
        <v>27 Juli 1965</v>
      </c>
      <c r="S3" s="38" t="str">
        <f>VLOOKUP(A3,DATAKARYAWAN,20,0)</f>
        <v>CIANJUR</v>
      </c>
      <c r="U3" s="38" t="str">
        <f>VLOOKUP(A3,DATAKARYAWAN,22,0)</f>
        <v>DUSUN POKO RT 6 RW 3</v>
      </c>
      <c r="V3" s="38" t="str">
        <f>VLOOKUP(A3,DATAKARYAWAN,23,0)</f>
        <v>JL GREGES TIMUR NO. 55</v>
      </c>
      <c r="W3" s="38" t="str">
        <f>VLOOKUP(A3,DATAKARYAWAN,24,0)</f>
        <v>JAWA TIMUR</v>
      </c>
      <c r="X3" s="38" t="str">
        <f>VLOOKUP(A3,DATAKARYAWAN,25,0)</f>
        <v>MAGETAN</v>
      </c>
      <c r="Y3" s="38" t="str">
        <f>VLOOKUP(A3,DATAKARYAWAN,26,0)</f>
        <v>PANEKAN</v>
      </c>
      <c r="Z3" s="38" t="str">
        <f>VLOOKUP(A3,DATAKARYAWAN,27,0)</f>
        <v>CEPOKO</v>
      </c>
      <c r="AA3" s="38">
        <f>VLOOKUP(A3,DATAKARYAWAN,28,0)</f>
        <v>63352</v>
      </c>
      <c r="AD3" s="38" t="str">
        <f>VLOOKUP(A3,DATAKARYAWAN,31,0)</f>
        <v>K/1</v>
      </c>
      <c r="AE3" s="97"/>
      <c r="AF3" s="38" t="str">
        <f>VLOOKUP(A3,DATAKARYAWAN,33,0)</f>
        <v>tidak ada NPWP</v>
      </c>
      <c r="AG3" s="38">
        <f>VLOOKUP(A3,DATAKARYAWAN,34,0)</f>
        <v>18027093865</v>
      </c>
      <c r="AH3" s="38" t="str">
        <f>VLOOKUP(A3,DATAKARYAWAN,35,0)</f>
        <v>0002247914171</v>
      </c>
      <c r="AI3" s="38" t="str">
        <f>VLOOKUP(A3,DATAKARYAWAN,36,0)</f>
        <v>Kelas 1</v>
      </c>
      <c r="AK3" s="451">
        <f>VLOOKUP(A3,DATAKARYAWAN,38,0)</f>
        <v>35431</v>
      </c>
      <c r="AL3" s="38" t="str">
        <f>VLOOKUP(A3,DATAKARYAWAN,39,0)</f>
        <v/>
      </c>
    </row>
    <row r="4" ht="15.0" customHeight="1">
      <c r="A4" s="45" t="s">
        <v>142</v>
      </c>
      <c r="B4" s="38" t="str">
        <f>VLOOKUP(A4,DATAKARYAWAN,3,0)</f>
        <v>Karyawan Tetap</v>
      </c>
      <c r="C4" s="38" t="str">
        <f>VLOOKUP(A4,DATAKARYAWAN,4,0)</f>
        <v>04-080007</v>
      </c>
      <c r="D4" s="38" t="str">
        <f>VLOOKUP(A4,DATAKARYAWAN,5,0)</f>
        <v>085806365548</v>
      </c>
      <c r="E4" s="453" t="str">
        <f>VLOOKUP(A4,DATAKARYAWAN,6,0)</f>
        <v>dinasuci75@gmail.com</v>
      </c>
      <c r="F4" s="38" t="str">
        <f>VLOOKUP(A4,DATAKARYAWAN,7,0)</f>
        <v>TKBM</v>
      </c>
      <c r="G4" s="38" t="str">
        <f>VLOOKUP(A4,DATAKARYAWAN,8,0)</f>
        <v>OPERASIONAL </v>
      </c>
      <c r="H4" s="455"/>
      <c r="I4" s="38" t="str">
        <f>VLOOKUP(A4,DATAKARYAWAN,10,0)</f>
        <v>Indonesia</v>
      </c>
      <c r="J4" s="38" t="str">
        <f>VLOOKUP(A4,DATAKARYAWAN,11,0)</f>
        <v>ISLAM</v>
      </c>
      <c r="K4" s="38" t="str">
        <f>VLOOKUP(A4,DATAKARYAWAN,12,0)</f>
        <v>3519111508985458</v>
      </c>
      <c r="L4" s="38" t="str">
        <f>VLOOKUP(A4,DATAKARYAWAN,13,0)</f>
        <v>3519112804650001</v>
      </c>
      <c r="M4" s="38" t="str">
        <f>VLOOKUP(A4,DATAKARYAWAN,14,0)</f>
        <v>OCBC NISP</v>
      </c>
      <c r="N4" s="38">
        <f>VLOOKUP(A4,DATAKARYAWAN,15,0)</f>
        <v>58810105351</v>
      </c>
      <c r="O4" s="38" t="str">
        <f>VLOOKUP(A4,DATAKARYAWAN,16,0)</f>
        <v>SD</v>
      </c>
      <c r="P4" s="97"/>
      <c r="Q4" s="38" t="str">
        <f>VLOOKUP(A4,DATAKARYAWAN,18,0)</f>
        <v>LAKI-LAKI</v>
      </c>
      <c r="R4" s="49" t="str">
        <f>VLOOKUP(A4,DATAKARYAWAN,19,0)</f>
        <v>28 April 1965</v>
      </c>
      <c r="S4" s="38" t="str">
        <f>VLOOKUP(A4,DATAKARYAWAN,20,0)</f>
        <v>MADIUN</v>
      </c>
      <c r="U4" s="38" t="str">
        <f>VLOOKUP(A4,DATAKARYAWAN,22,0)</f>
        <v>JL JAMBU RT 12/ RW 4</v>
      </c>
      <c r="V4" s="38" t="str">
        <f>VLOOKUP(A4,DATAKARYAWAN,23,0)</f>
        <v/>
      </c>
      <c r="W4" s="38" t="str">
        <f>VLOOKUP(A4,DATAKARYAWAN,24,0)</f>
        <v>JAWA TIMUR</v>
      </c>
      <c r="X4" s="38" t="str">
        <f>VLOOKUP(A4,DATAKARYAWAN,25,0)</f>
        <v>MADIUN</v>
      </c>
      <c r="Y4" s="38" t="str">
        <f>VLOOKUP(A4,DATAKARYAWAN,26,0)</f>
        <v>MEJAYAN</v>
      </c>
      <c r="Z4" s="38" t="str">
        <f>VLOOKUP(A4,DATAKARYAWAN,27,0)</f>
        <v>KLECOREJO</v>
      </c>
      <c r="AA4" s="38">
        <f>VLOOKUP(A4,DATAKARYAWAN,28,0)</f>
        <v>63153</v>
      </c>
      <c r="AD4" s="38" t="str">
        <f>VLOOKUP(A4,DATAKARYAWAN,31,0)</f>
        <v>K/0</v>
      </c>
      <c r="AE4" s="97"/>
      <c r="AF4" s="38" t="str">
        <f>VLOOKUP(A4,DATAKARYAWAN,33,0)</f>
        <v>tidak ada NPWP</v>
      </c>
      <c r="AG4" s="38">
        <f>VLOOKUP(A4,DATAKARYAWAN,34,0)</f>
        <v>18027093949</v>
      </c>
      <c r="AH4" s="38" t="str">
        <f>VLOOKUP(A4,DATAKARYAWAN,35,0)</f>
        <v>0002865848545</v>
      </c>
      <c r="AI4" s="38" t="str">
        <f>VLOOKUP(A4,DATAKARYAWAN,36,0)</f>
        <v>Kelas 1</v>
      </c>
      <c r="AK4" s="451">
        <f>VLOOKUP(A4,DATAKARYAWAN,38,0)</f>
        <v>38201</v>
      </c>
      <c r="AL4" s="38" t="str">
        <f>VLOOKUP(A4,DATAKARYAWAN,39,0)</f>
        <v/>
      </c>
    </row>
    <row r="5" ht="15.75" customHeight="1">
      <c r="A5" s="45" t="s">
        <v>153</v>
      </c>
      <c r="B5" s="38" t="str">
        <f>VLOOKUP(A5,DATAKARYAWAN,3,0)</f>
        <v>Karyawan Tetap</v>
      </c>
      <c r="C5" s="38" t="str">
        <f>VLOOKUP(A5,DATAKARYAWAN,4,0)</f>
        <v>06-090009</v>
      </c>
      <c r="D5" s="38" t="str">
        <f>VLOOKUP(A5,DATAKARYAWAN,5,0)</f>
        <v>08970954385</v>
      </c>
      <c r="E5" s="453" t="str">
        <f>VLOOKUP(A5,DATAKARYAWAN,6,0)</f>
        <v>jokopri2110@gmail.com</v>
      </c>
      <c r="F5" s="38" t="str">
        <f>VLOOKUP(A5,DATAKARYAWAN,7,0)</f>
        <v>KRANI</v>
      </c>
      <c r="G5" s="38" t="str">
        <f>VLOOKUP(A5,DATAKARYAWAN,8,0)</f>
        <v>OPERASIONAL </v>
      </c>
      <c r="H5" s="455"/>
      <c r="I5" s="38" t="str">
        <f>VLOOKUP(A5,DATAKARYAWAN,10,0)</f>
        <v>Indonesia</v>
      </c>
      <c r="J5" s="38" t="str">
        <f>VLOOKUP(A5,DATAKARYAWAN,11,0)</f>
        <v>ISLAM</v>
      </c>
      <c r="K5" s="449" t="str">
        <f>VLOOKUP(A5,DATAKARYAWAN,12,0)</f>
        <v>3515182601096282</v>
      </c>
      <c r="L5" s="449" t="str">
        <f>VLOOKUP(A5,DATAKARYAWAN,13,0)</f>
        <v>3515182110700002</v>
      </c>
      <c r="M5" s="38" t="str">
        <f>VLOOKUP(A5,DATAKARYAWAN,14,0)</f>
        <v>OCBC NISP</v>
      </c>
      <c r="N5" s="38">
        <f>VLOOKUP(A5,DATAKARYAWAN,15,0)</f>
        <v>58810105468</v>
      </c>
      <c r="O5" s="38" t="str">
        <f>VLOOKUP(A5,DATAKARYAWAN,16,0)</f>
        <v>SLTA</v>
      </c>
      <c r="P5" s="97"/>
      <c r="Q5" s="38" t="str">
        <f>VLOOKUP(A5,DATAKARYAWAN,18,0)</f>
        <v>LAKI-LAKI</v>
      </c>
      <c r="R5" s="49" t="str">
        <f>VLOOKUP(A5,DATAKARYAWAN,19,0)</f>
        <v>21 Oktober 1970</v>
      </c>
      <c r="S5" s="38" t="str">
        <f>VLOOKUP(A5,DATAKARYAWAN,20,0)</f>
        <v>BALIKPAPAN</v>
      </c>
      <c r="U5" s="38" t="str">
        <f>VLOOKUP(A5,DATAKARYAWAN,22,0)</f>
        <v>JL BOGOWONTO EM-04 RT 51/ RW 6</v>
      </c>
      <c r="V5" s="38" t="str">
        <f>VLOOKUP(A5,DATAKARYAWAN,23,0)</f>
        <v/>
      </c>
      <c r="W5" s="38" t="str">
        <f>VLOOKUP(A5,DATAKARYAWAN,24,0)</f>
        <v>JAWA TIMUR</v>
      </c>
      <c r="X5" s="38" t="str">
        <f>VLOOKUP(A5,DATAKARYAWAN,25,0)</f>
        <v>SIDOARJO</v>
      </c>
      <c r="Y5" s="38" t="str">
        <f>VLOOKUP(A5,DATAKARYAWAN,26,0)</f>
        <v>WARU</v>
      </c>
      <c r="Z5" s="38" t="str">
        <f>VLOOKUP(A5,DATAKARYAWAN,27,0)</f>
        <v>TROPODO</v>
      </c>
      <c r="AA5" s="38">
        <f>VLOOKUP(A5,DATAKARYAWAN,28,0)</f>
        <v>61256</v>
      </c>
      <c r="AD5" s="38" t="str">
        <f>VLOOKUP(A5,DATAKARYAWAN,31,0)</f>
        <v>K/2</v>
      </c>
      <c r="AE5" s="97"/>
      <c r="AF5" s="38" t="str">
        <f>VLOOKUP(A5,DATAKARYAWAN,33,0)</f>
        <v>tidak ada NPWP</v>
      </c>
      <c r="AG5" s="38">
        <f>VLOOKUP(A5,DATAKARYAWAN,34,0)</f>
        <v>18027093972</v>
      </c>
      <c r="AH5" s="38" t="str">
        <f>VLOOKUP(A5,DATAKARYAWAN,35,0)</f>
        <v>0003051153819</v>
      </c>
      <c r="AI5" s="38" t="str">
        <f>VLOOKUP(A5,DATAKARYAWAN,36,0)</f>
        <v>Kelas 1</v>
      </c>
      <c r="AK5" s="451">
        <f>VLOOKUP(A5,DATAKARYAWAN,38,0)</f>
        <v>38961</v>
      </c>
      <c r="AL5" s="38" t="str">
        <f>VLOOKUP(A5,DATAKARYAWAN,39,0)</f>
        <v/>
      </c>
    </row>
    <row r="6" ht="15.0" customHeight="1">
      <c r="A6" s="45" t="s">
        <v>167</v>
      </c>
      <c r="B6" s="38" t="str">
        <f>VLOOKUP(A6,DATAKARYAWAN,3,0)</f>
        <v>Karyawan Tetap</v>
      </c>
      <c r="C6" s="38" t="str">
        <f>VLOOKUP(A6,DATAKARYAWAN,4,0)</f>
        <v>08-030010</v>
      </c>
      <c r="D6" s="38" t="str">
        <f>VLOOKUP(A6,DATAKARYAWAN,5,0)</f>
        <v>085105222152</v>
      </c>
      <c r="E6" s="453" t="str">
        <f>VLOOKUP(A6,DATAKARYAWAN,6,0)</f>
        <v>setyawanbagus77@gmail.com</v>
      </c>
      <c r="F6" s="38" t="str">
        <f>VLOOKUP(A6,DATAKARYAWAN,7,0)</f>
        <v>PJ DEPO</v>
      </c>
      <c r="G6" s="38" t="str">
        <f>VLOOKUP(A6,DATAKARYAWAN,8,0)</f>
        <v>OPERASIONAL </v>
      </c>
      <c r="H6" s="455"/>
      <c r="I6" s="38" t="str">
        <f>VLOOKUP(A6,DATAKARYAWAN,10,0)</f>
        <v>Indonesia</v>
      </c>
      <c r="J6" s="38" t="str">
        <f>VLOOKUP(A6,DATAKARYAWAN,11,0)</f>
        <v>ISLAM</v>
      </c>
      <c r="K6" s="449" t="str">
        <f>VLOOKUP(A6,DATAKARYAWAN,12,0)</f>
        <v>3578063105160012</v>
      </c>
      <c r="L6" s="449" t="str">
        <f>VLOOKUP(A6,DATAKARYAWAN,13,0)</f>
        <v>3578060503880003</v>
      </c>
      <c r="M6" s="38" t="str">
        <f>VLOOKUP(A6,DATAKARYAWAN,14,0)</f>
        <v>OCBC NISP</v>
      </c>
      <c r="N6" s="38">
        <f>VLOOKUP(A6,DATAKARYAWAN,15,0)</f>
        <v>58810105484</v>
      </c>
      <c r="O6" s="38" t="str">
        <f>VLOOKUP(A6,DATAKARYAWAN,16,0)</f>
        <v>SLTA</v>
      </c>
      <c r="P6" s="97"/>
      <c r="Q6" s="38" t="str">
        <f>VLOOKUP(A6,DATAKARYAWAN,18,0)</f>
        <v>LAKI-LAKI</v>
      </c>
      <c r="R6" s="49" t="str">
        <f>VLOOKUP(A6,DATAKARYAWAN,19,0)</f>
        <v>5 Maret 1988</v>
      </c>
      <c r="S6" s="38" t="str">
        <f>VLOOKUP(A6,DATAKARYAWAN,20,0)</f>
        <v>SURABAYA</v>
      </c>
      <c r="U6" s="38" t="str">
        <f>VLOOKUP(A6,DATAKARYAWAN,22,0)</f>
        <v>SIMO KATRUNGAN KIDUL 3/22 RT 8/RW 1</v>
      </c>
      <c r="V6" s="38" t="str">
        <f>VLOOKUP(A6,DATAKARYAWAN,23,0)</f>
        <v/>
      </c>
      <c r="W6" s="38" t="str">
        <f>VLOOKUP(A6,DATAKARYAWAN,24,0)</f>
        <v>JAWA TIMUR</v>
      </c>
      <c r="X6" s="38" t="str">
        <f>VLOOKUP(A6,DATAKARYAWAN,25,0)</f>
        <v>SURABAYA</v>
      </c>
      <c r="Y6" s="38" t="str">
        <f>VLOOKUP(A6,DATAKARYAWAN,26,0)</f>
        <v>SAWAHAN</v>
      </c>
      <c r="Z6" s="38" t="str">
        <f>VLOOKUP(A6,DATAKARYAWAN,27,0)</f>
        <v>BANYU URIP</v>
      </c>
      <c r="AA6" s="38">
        <f>VLOOKUP(A6,DATAKARYAWAN,28,0)</f>
        <v>60254</v>
      </c>
      <c r="AD6" s="38" t="str">
        <f>VLOOKUP(A6,DATAKARYAWAN,31,0)</f>
        <v>K/1</v>
      </c>
      <c r="AE6" s="97"/>
      <c r="AF6" s="450" t="str">
        <f>VLOOKUP(A6,DATAKARYAWAN,33,0)</f>
        <v>638429142614000</v>
      </c>
      <c r="AG6" s="38">
        <f>VLOOKUP(A6,DATAKARYAWAN,34,0)</f>
        <v>18027093766</v>
      </c>
      <c r="AH6" s="38" t="str">
        <f>VLOOKUP(A6,DATAKARYAWAN,35,0)</f>
        <v>0001789647849</v>
      </c>
      <c r="AI6" s="38" t="str">
        <f>VLOOKUP(A6,DATAKARYAWAN,36,0)</f>
        <v>Kelas 1</v>
      </c>
      <c r="AK6" s="451">
        <f>VLOOKUP(A6,DATAKARYAWAN,38,0)</f>
        <v>39508</v>
      </c>
      <c r="AL6" s="38" t="str">
        <f>VLOOKUP(A6,DATAKARYAWAN,39,0)</f>
        <v/>
      </c>
    </row>
    <row r="7" ht="15.0" customHeight="1">
      <c r="A7" s="38" t="s">
        <v>181</v>
      </c>
      <c r="B7" s="38" t="str">
        <f>VLOOKUP(A7,DATAKARYAWAN,3,0)</f>
        <v>Karyawan Tetap</v>
      </c>
      <c r="C7" s="38" t="str">
        <f>VLOOKUP(A7,DATAKARYAWAN,4,0)</f>
        <v>12-040012</v>
      </c>
      <c r="D7" s="38" t="str">
        <f>VLOOKUP(A7,DATAKARYAWAN,5,0)</f>
        <v>081232399069</v>
      </c>
      <c r="E7" s="453" t="str">
        <f>VLOOKUP(A7,DATAKARYAWAN,6,0)</f>
        <v>aprilbudianto411@gmail.com</v>
      </c>
      <c r="F7" s="38" t="str">
        <f>VLOOKUP(A7,DATAKARYAWAN,7,0)</f>
        <v>SPV OPERASIONAL JAKARTA</v>
      </c>
      <c r="G7" s="38" t="str">
        <f>VLOOKUP(A7,DATAKARYAWAN,8,0)</f>
        <v>OPERASIONAL </v>
      </c>
      <c r="H7" s="455"/>
      <c r="I7" s="38" t="str">
        <f>VLOOKUP(A7,DATAKARYAWAN,10,0)</f>
        <v>Indonesia</v>
      </c>
      <c r="J7" s="38" t="str">
        <f>VLOOKUP(A7,DATAKARYAWAN,11,0)</f>
        <v>ISLAM</v>
      </c>
      <c r="K7" s="449" t="str">
        <f>VLOOKUP(A7,DATAKARYAWAN,12,0)</f>
        <v>3515142601098592</v>
      </c>
      <c r="L7" s="449" t="str">
        <f>VLOOKUP(A7,DATAKARYAWAN,13,0)</f>
        <v>3515142504740002</v>
      </c>
      <c r="M7" s="38" t="str">
        <f>VLOOKUP(A7,DATAKARYAWAN,14,0)</f>
        <v>OCBC NISP</v>
      </c>
      <c r="N7" s="38">
        <f>VLOOKUP(A7,DATAKARYAWAN,15,0)</f>
        <v>58810105450</v>
      </c>
      <c r="O7" s="38" t="str">
        <f>VLOOKUP(A7,DATAKARYAWAN,16,0)</f>
        <v>SLTA</v>
      </c>
      <c r="P7" s="97"/>
      <c r="Q7" s="38" t="str">
        <f>VLOOKUP(A7,DATAKARYAWAN,18,0)</f>
        <v>LAKI-LAKI</v>
      </c>
      <c r="R7" s="49" t="str">
        <f>VLOOKUP(A7,DATAKARYAWAN,19,0)</f>
        <v>25 April 1974</v>
      </c>
      <c r="S7" s="38" t="str">
        <f>VLOOKUP(A7,DATAKARYAWAN,20,0)</f>
        <v>SURABAYA</v>
      </c>
      <c r="U7" s="38" t="str">
        <f>VLOOKUP(A7,DATAKARYAWAN,22,0)</f>
        <v>MASANGAN WETAN RT 12/RW 4</v>
      </c>
      <c r="V7" s="38" t="str">
        <f>VLOOKUP(A7,DATAKARYAWAN,23,0)</f>
        <v/>
      </c>
      <c r="W7" s="38" t="str">
        <f>VLOOKUP(A7,DATAKARYAWAN,24,0)</f>
        <v>JAWA TIMUR</v>
      </c>
      <c r="X7" s="38" t="str">
        <f>VLOOKUP(A7,DATAKARYAWAN,25,0)</f>
        <v>SIDOARJO</v>
      </c>
      <c r="Y7" s="38" t="str">
        <f>VLOOKUP(A7,DATAKARYAWAN,26,0)</f>
        <v> SUKODONO</v>
      </c>
      <c r="Z7" s="38" t="str">
        <f>VLOOKUP(A7,DATAKARYAWAN,27,0)</f>
        <v>MASANGANWETAN</v>
      </c>
      <c r="AA7" s="38">
        <f>VLOOKUP(A7,DATAKARYAWAN,28,0)</f>
        <v>61258</v>
      </c>
      <c r="AD7" s="38" t="str">
        <f>VLOOKUP(A7,DATAKARYAWAN,31,0)</f>
        <v>K/1</v>
      </c>
      <c r="AE7" s="97"/>
      <c r="AF7" s="450" t="str">
        <f>VLOOKUP(A7,DATAKARYAWAN,33,0)</f>
        <v>638319921603000</v>
      </c>
      <c r="AG7" s="38">
        <f>VLOOKUP(A7,DATAKARYAWAN,34,0)</f>
        <v>18027094004</v>
      </c>
      <c r="AH7" s="38" t="str">
        <f>VLOOKUP(A7,DATAKARYAWAN,35,0)</f>
        <v>0002321036381</v>
      </c>
      <c r="AI7" s="38" t="str">
        <f>VLOOKUP(A7,DATAKARYAWAN,36,0)</f>
        <v>Kelas 1</v>
      </c>
      <c r="AK7" s="451">
        <f>VLOOKUP(A7,DATAKARYAWAN,38,0)</f>
        <v>41008</v>
      </c>
      <c r="AL7" s="38" t="str">
        <f>VLOOKUP(A7,DATAKARYAWAN,39,0)</f>
        <v/>
      </c>
    </row>
    <row r="8" ht="15.0" customHeight="1">
      <c r="A8" s="103" t="s">
        <v>195</v>
      </c>
      <c r="B8" s="38" t="str">
        <f>VLOOKUP(A8,DATAKARYAWAN,3,0)</f>
        <v>Karyawan Tetap</v>
      </c>
      <c r="C8" s="38" t="str">
        <f>VLOOKUP(A8,DATAKARYAWAN,4,0)</f>
        <v>12-040013</v>
      </c>
      <c r="D8" s="38" t="str">
        <f>VLOOKUP(A8,DATAKARYAWAN,5,0)</f>
        <v>081217658821</v>
      </c>
      <c r="E8" s="453" t="str">
        <f>VLOOKUP(A8,DATAKARYAWAN,6,0)</f>
        <v>raskhalik2112@gmail.com</v>
      </c>
      <c r="F8" s="38" t="str">
        <f>VLOOKUP(A8,DATAKARYAWAN,7,0)</f>
        <v>PJ LCL TB</v>
      </c>
      <c r="G8" s="38" t="str">
        <f>VLOOKUP(A8,DATAKARYAWAN,8,0)</f>
        <v>OPERASIONAL </v>
      </c>
      <c r="H8" s="454"/>
      <c r="I8" s="38" t="str">
        <f>VLOOKUP(A8,DATAKARYAWAN,10,0)</f>
        <v>Indonesia</v>
      </c>
      <c r="J8" s="38" t="str">
        <f>VLOOKUP(A8,DATAKARYAWAN,11,0)</f>
        <v>ISLAM</v>
      </c>
      <c r="K8" s="449" t="str">
        <f>VLOOKUP(A8,DATAKARYAWAN,12,0)</f>
        <v>3578170201080268</v>
      </c>
      <c r="L8" s="449" t="str">
        <f>VLOOKUP(A8,DATAKARYAWAN,13,0)</f>
        <v>3578172112860003</v>
      </c>
      <c r="M8" s="38" t="str">
        <f>VLOOKUP(A8,DATAKARYAWAN,14,0)</f>
        <v>OCBC NISP</v>
      </c>
      <c r="N8" s="38">
        <f>VLOOKUP(A8,DATAKARYAWAN,15,0)</f>
        <v>58810105948</v>
      </c>
      <c r="O8" s="38" t="str">
        <f>VLOOKUP(A8,DATAKARYAWAN,16,0)</f>
        <v>SLTP</v>
      </c>
      <c r="P8" s="97"/>
      <c r="Q8" s="38" t="str">
        <f>VLOOKUP(A8,DATAKARYAWAN,18,0)</f>
        <v>LAKI-LAKI</v>
      </c>
      <c r="R8" s="49" t="str">
        <f>VLOOKUP(A8,DATAKARYAWAN,19,0)</f>
        <v>21 Desember 1986</v>
      </c>
      <c r="S8" s="38" t="str">
        <f>VLOOKUP(A8,DATAKARYAWAN,20,0)</f>
        <v>LAMONGAN</v>
      </c>
      <c r="T8" s="103"/>
      <c r="U8" s="38" t="str">
        <f>VLOOKUP(A8,DATAKARYAWAN,22,0)</f>
        <v>BULAK BANTENG LOR BHINEKA 5/64 RT 7/RW 8</v>
      </c>
      <c r="V8" s="38" t="str">
        <f>VLOOKUP(A8,DATAKARYAWAN,23,0)</f>
        <v/>
      </c>
      <c r="W8" s="38" t="str">
        <f>VLOOKUP(A8,DATAKARYAWAN,24,0)</f>
        <v>JAWA TIMUR</v>
      </c>
      <c r="X8" s="38" t="str">
        <f>VLOOKUP(A8,DATAKARYAWAN,25,0)</f>
        <v>SURABAYA</v>
      </c>
      <c r="Y8" s="38" t="str">
        <f>VLOOKUP(A8,DATAKARYAWAN,26,0)</f>
        <v>KENJERAN</v>
      </c>
      <c r="Z8" s="38" t="str">
        <f>VLOOKUP(A8,DATAKARYAWAN,27,0)</f>
        <v>BULAK BANTENG</v>
      </c>
      <c r="AA8" s="38">
        <f>VLOOKUP(A8,DATAKARYAWAN,28,0)</f>
        <v>60127</v>
      </c>
      <c r="AB8" s="103"/>
      <c r="AC8" s="103"/>
      <c r="AD8" s="38" t="str">
        <f>VLOOKUP(A8,DATAKARYAWAN,31,0)</f>
        <v>K/2</v>
      </c>
      <c r="AE8" s="97"/>
      <c r="AF8" s="450" t="str">
        <f>VLOOKUP(A8,DATAKARYAWAN,33,0)</f>
        <v>405368879619000</v>
      </c>
      <c r="AG8" s="38">
        <f>VLOOKUP(A8,DATAKARYAWAN,34,0)</f>
        <v>18027093980</v>
      </c>
      <c r="AH8" s="38" t="str">
        <f>VLOOKUP(A8,DATAKARYAWAN,35,0)</f>
        <v>0001393938663</v>
      </c>
      <c r="AI8" s="38" t="str">
        <f>VLOOKUP(A8,DATAKARYAWAN,36,0)</f>
        <v>Kelas 1</v>
      </c>
      <c r="AJ8" s="103"/>
      <c r="AK8" s="451">
        <f>VLOOKUP(A8,DATAKARYAWAN,38,0)</f>
        <v>41019</v>
      </c>
      <c r="AL8" s="38" t="str">
        <f>VLOOKUP(A8,DATAKARYAWAN,39,0)</f>
        <v/>
      </c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</row>
    <row r="9" ht="15.0" customHeight="1">
      <c r="A9" s="45" t="s">
        <v>208</v>
      </c>
      <c r="B9" s="38" t="str">
        <f>VLOOKUP(A9,DATAKARYAWAN,3,0)</f>
        <v>Karyawan Tetap</v>
      </c>
      <c r="C9" s="38" t="str">
        <f>VLOOKUP(A9,DATAKARYAWAN,4,0)</f>
        <v>12-100014</v>
      </c>
      <c r="D9" s="38" t="str">
        <f>VLOOKUP(A9,DATAKARYAWAN,5,0)</f>
        <v>085733111098</v>
      </c>
      <c r="E9" s="38" t="str">
        <f>VLOOKUP(A9,DATAKARYAWAN,6,0)</f>
        <v>jamiputri25@gmail.com</v>
      </c>
      <c r="F9" s="38" t="str">
        <f>VLOOKUP(A9,DATAKARYAWAN,7,0)</f>
        <v>MANAGER PRICING</v>
      </c>
      <c r="G9" s="38" t="str">
        <f>VLOOKUP(A9,DATAKARYAWAN,8,0)</f>
        <v>MANAGERIAL</v>
      </c>
      <c r="H9" s="455"/>
      <c r="I9" s="38" t="str">
        <f>VLOOKUP(A9,DATAKARYAWAN,10,0)</f>
        <v>Indonesia</v>
      </c>
      <c r="J9" s="38" t="str">
        <f>VLOOKUP(A9,DATAKARYAWAN,11,0)</f>
        <v>ISLAM</v>
      </c>
      <c r="K9" s="456" t="str">
        <f>VLOOKUP(A9,DATAKARYAWAN,12,0)</f>
        <v>3578170101087763</v>
      </c>
      <c r="L9" s="456" t="str">
        <f>VLOOKUP(A9,DATAKARYAWAN,13,0)</f>
        <v>3578176507740003</v>
      </c>
      <c r="M9" s="38" t="str">
        <f>VLOOKUP(A9,DATAKARYAWAN,14,0)</f>
        <v>OCBC NISP</v>
      </c>
      <c r="N9" s="38">
        <f>VLOOKUP(A9,DATAKARYAWAN,15,0)</f>
        <v>58810105963</v>
      </c>
      <c r="O9" s="38" t="str">
        <f>VLOOKUP(A9,DATAKARYAWAN,16,0)</f>
        <v>SLTA</v>
      </c>
      <c r="P9" s="97"/>
      <c r="Q9" s="38" t="str">
        <f>VLOOKUP(A9,DATAKARYAWAN,18,0)</f>
        <v>PEREMPUAN</v>
      </c>
      <c r="R9" s="49" t="str">
        <f>VLOOKUP(A9,DATAKARYAWAN,19,0)</f>
        <v>25 Juli 1974</v>
      </c>
      <c r="S9" s="38" t="str">
        <f>VLOOKUP(A9,DATAKARYAWAN,20,0)</f>
        <v>SRAGEN</v>
      </c>
      <c r="U9" s="38" t="str">
        <f>VLOOKUP(A9,DATAKARYAWAN,22,0)</f>
        <v>RANDU BARAT I/60 RT 6/RW 3</v>
      </c>
      <c r="V9" s="38" t="str">
        <f>VLOOKUP(A9,DATAKARYAWAN,23,0)</f>
        <v/>
      </c>
      <c r="W9" s="38" t="str">
        <f>VLOOKUP(A9,DATAKARYAWAN,24,0)</f>
        <v>JAWA TIMUR</v>
      </c>
      <c r="X9" s="38" t="str">
        <f>VLOOKUP(A9,DATAKARYAWAN,25,0)</f>
        <v>SURABAYA</v>
      </c>
      <c r="Y9" s="38" t="str">
        <f>VLOOKUP(A9,DATAKARYAWAN,26,0)</f>
        <v>KENJERAN</v>
      </c>
      <c r="Z9" s="38" t="str">
        <f>VLOOKUP(A9,DATAKARYAWAN,27,0)</f>
        <v>SIDOTOPO WETAN</v>
      </c>
      <c r="AA9" s="38">
        <f>VLOOKUP(A9,DATAKARYAWAN,28,0)</f>
        <v>60128</v>
      </c>
      <c r="AD9" s="38" t="str">
        <f>VLOOKUP(A9,DATAKARYAWAN,31,0)</f>
        <v>TK/0</v>
      </c>
      <c r="AE9" s="97"/>
      <c r="AF9" s="38" t="str">
        <f>VLOOKUP(A9,DATAKARYAWAN,33,0)</f>
        <v>tidak ada NPWP</v>
      </c>
      <c r="AG9" s="38">
        <f>VLOOKUP(A9,DATAKARYAWAN,34,0)</f>
        <v>18027093790</v>
      </c>
      <c r="AH9" s="38" t="str">
        <f>VLOOKUP(A9,DATAKARYAWAN,35,0)</f>
        <v>0002304840418</v>
      </c>
      <c r="AI9" s="38" t="str">
        <f>VLOOKUP(A9,DATAKARYAWAN,36,0)</f>
        <v>Kelas 1</v>
      </c>
      <c r="AK9" s="451">
        <f>VLOOKUP(A9,DATAKARYAWAN,38,0)</f>
        <v>41197</v>
      </c>
      <c r="AL9" s="38" t="str">
        <f>VLOOKUP(A9,DATAKARYAWAN,39,0)</f>
        <v/>
      </c>
    </row>
    <row r="10" ht="15.0" customHeight="1">
      <c r="A10" s="45" t="s">
        <v>231</v>
      </c>
      <c r="B10" s="38" t="str">
        <f>VLOOKUP(A10,DATAKARYAWAN,3,0)</f>
        <v>Karyawan Tetap</v>
      </c>
      <c r="C10" s="38" t="str">
        <f>VLOOKUP(A10,DATAKARYAWAN,4,0)</f>
        <v>14-070018</v>
      </c>
      <c r="D10" s="38" t="str">
        <f>VLOOKUP(A10,DATAKARYAWAN,5,0)</f>
        <v>081224258983</v>
      </c>
      <c r="E10" s="38" t="str">
        <f>VLOOKUP(A10,DATAKARYAWAN,6,0)</f>
        <v>adisugiarto399@gmail.com</v>
      </c>
      <c r="F10" s="38" t="str">
        <f>VLOOKUP(A10,DATAKARYAWAN,7,0)</f>
        <v>TKBM</v>
      </c>
      <c r="G10" s="38" t="str">
        <f>VLOOKUP(A10,DATAKARYAWAN,8,0)</f>
        <v>OPERASIONAL </v>
      </c>
      <c r="H10" s="455"/>
      <c r="I10" s="38" t="str">
        <f>VLOOKUP(A10,DATAKARYAWAN,10,0)</f>
        <v>Indonesia</v>
      </c>
      <c r="J10" s="38" t="str">
        <f>VLOOKUP(A10,DATAKARYAWAN,11,0)</f>
        <v>ISLAM</v>
      </c>
      <c r="K10" s="38" t="str">
        <f>VLOOKUP(A10,DATAKARYAWAN,12,0)</f>
        <v>3524041208108697</v>
      </c>
      <c r="L10" s="38" t="str">
        <f>VLOOKUP(A10,DATAKARYAWAN,13,0)</f>
        <v>3524041011830005</v>
      </c>
      <c r="M10" s="38" t="str">
        <f>VLOOKUP(A10,DATAKARYAWAN,14,0)</f>
        <v>OCBC NISP</v>
      </c>
      <c r="N10" s="38">
        <f>VLOOKUP(A10,DATAKARYAWAN,15,0)</f>
        <v>58810105302</v>
      </c>
      <c r="O10" s="38" t="str">
        <f>VLOOKUP(A10,DATAKARYAWAN,16,0)</f>
        <v>SLTP</v>
      </c>
      <c r="P10" s="97"/>
      <c r="Q10" s="38" t="str">
        <f>VLOOKUP(A10,DATAKARYAWAN,18,0)</f>
        <v>LAKI-LAKI</v>
      </c>
      <c r="R10" s="49" t="str">
        <f>VLOOKUP(A10,DATAKARYAWAN,19,0)</f>
        <v>11 Oktober 1983</v>
      </c>
      <c r="S10" s="38" t="str">
        <f>VLOOKUP(A10,DATAKARYAWAN,20,0)</f>
        <v>MOJOKERTO</v>
      </c>
      <c r="U10" s="38" t="str">
        <f>VLOOKUP(A10,DATAKARYAWAN,22,0)</f>
        <v>KATAR RT 1/RW 4</v>
      </c>
      <c r="V10" s="457" t="str">
        <f>VLOOKUP(A10,DATAKARYAWAN,23,0)</f>
        <v/>
      </c>
      <c r="W10" s="38" t="str">
        <f>VLOOKUP(A10,DATAKARYAWAN,24,0)</f>
        <v>JAWA TIMUR</v>
      </c>
      <c r="X10" s="38" t="str">
        <f>VLOOKUP(A10,DATAKARYAWAN,25,0)</f>
        <v>LAMONGAN</v>
      </c>
      <c r="Y10" s="38" t="str">
        <f>VLOOKUP(A10,DATAKARYAWAN,26,0)</f>
        <v>NGIMBANG</v>
      </c>
      <c r="Z10" s="38" t="str">
        <f>VLOOKUP(A10,DATAKARYAWAN,27,0)</f>
        <v>NGIMBANG</v>
      </c>
      <c r="AA10" s="38">
        <f>VLOOKUP(A10,DATAKARYAWAN,28,0)</f>
        <v>62273</v>
      </c>
      <c r="AD10" s="38" t="str">
        <f>VLOOKUP(A10,DATAKARYAWAN,31,0)</f>
        <v>K/3</v>
      </c>
      <c r="AE10" s="97"/>
      <c r="AF10" s="38" t="str">
        <f>VLOOKUP(A10,DATAKARYAWAN,33,0)</f>
        <v>tidak ada NPWP</v>
      </c>
      <c r="AG10" s="38">
        <f>VLOOKUP(A10,DATAKARYAWAN,34,0)</f>
        <v>18027093717</v>
      </c>
      <c r="AH10" s="38" t="str">
        <f>VLOOKUP(A10,DATAKARYAWAN,35,0)</f>
        <v>0000755789523</v>
      </c>
      <c r="AI10" s="38" t="str">
        <f>VLOOKUP(A10,DATAKARYAWAN,36,0)</f>
        <v>Kelas 1</v>
      </c>
      <c r="AK10" s="451">
        <f>VLOOKUP(A10,DATAKARYAWAN,38,0)</f>
        <v>41857</v>
      </c>
      <c r="AL10" s="38" t="str">
        <f>VLOOKUP(A10,DATAKARYAWAN,39,0)</f>
        <v/>
      </c>
    </row>
    <row r="11">
      <c r="A11" s="45" t="s">
        <v>243</v>
      </c>
      <c r="B11" s="38" t="str">
        <f>VLOOKUP(A11,DATAKARYAWAN,3,0)</f>
        <v>Karyawan Tetap</v>
      </c>
      <c r="C11" s="38" t="str">
        <f>VLOOKUP(A11,DATAKARYAWAN,4,0)</f>
        <v>15-010019</v>
      </c>
      <c r="D11" s="38" t="str">
        <f>VLOOKUP(A11,DATAKARYAWAN,5,0)</f>
        <v>089646693444</v>
      </c>
      <c r="E11" s="453" t="str">
        <f>VLOOKUP(A11,DATAKARYAWAN,6,0)</f>
        <v>tiaradwisunaryo@gmail.com</v>
      </c>
      <c r="F11" s="38" t="str">
        <f>VLOOKUP(A11,DATAKARYAWAN,7,0)</f>
        <v>STAFF AR</v>
      </c>
      <c r="G11" s="38" t="str">
        <f>VLOOKUP(A11,DATAKARYAWAN,8,0)</f>
        <v>KEUANGAN</v>
      </c>
      <c r="H11" s="455"/>
      <c r="I11" s="38" t="str">
        <f>VLOOKUP(A11,DATAKARYAWAN,10,0)</f>
        <v>Indonesia</v>
      </c>
      <c r="J11" s="38" t="str">
        <f>VLOOKUP(A11,DATAKARYAWAN,11,0)</f>
        <v>ISLAM</v>
      </c>
      <c r="K11" s="456" t="str">
        <f>VLOOKUP(A11,DATAKARYAWAN,12,0)</f>
        <v>3578150712180002</v>
      </c>
      <c r="L11" s="456" t="str">
        <f>VLOOKUP(A11,DATAKARYAWAN,13,0)</f>
        <v>3578156609940004</v>
      </c>
      <c r="M11" s="38" t="str">
        <f>VLOOKUP(A11,DATAKARYAWAN,14,0)</f>
        <v>OCBC NISP</v>
      </c>
      <c r="N11" s="38">
        <f>VLOOKUP(A11,DATAKARYAWAN,15,0)</f>
        <v>58810105732</v>
      </c>
      <c r="O11" s="38" t="str">
        <f>VLOOKUP(A11,DATAKARYAWAN,16,0)</f>
        <v>SLTA</v>
      </c>
      <c r="P11" s="97"/>
      <c r="Q11" s="38" t="str">
        <f>VLOOKUP(A11,DATAKARYAWAN,18,0)</f>
        <v>PEREMPUAN</v>
      </c>
      <c r="R11" s="458" t="str">
        <f>VLOOKUP(A11,DATAKARYAWAN,19,0)</f>
        <v>26 September 1994</v>
      </c>
      <c r="S11" s="38" t="str">
        <f>VLOOKUP(A11,DATAKARYAWAN,20,0)</f>
        <v>SURABAYA</v>
      </c>
      <c r="U11" s="38" t="str">
        <f>VLOOKUP(A11,DATAKARYAWAN,22,0)</f>
        <v>KALIANAK TIMUR LEBAR NO.139 RT 7/RW 7</v>
      </c>
      <c r="V11" s="38" t="str">
        <f>VLOOKUP(A11,DATAKARYAWAN,23,0)</f>
        <v/>
      </c>
      <c r="W11" s="38" t="str">
        <f>VLOOKUP(A11,DATAKARYAWAN,24,0)</f>
        <v>JAWA TIMUR</v>
      </c>
      <c r="X11" s="38" t="str">
        <f>VLOOKUP(A11,DATAKARYAWAN,25,0)</f>
        <v>SURABAYA</v>
      </c>
      <c r="Y11" s="38" t="str">
        <f>VLOOKUP(A11,DATAKARYAWAN,26,0)</f>
        <v>KREMBANGAN</v>
      </c>
      <c r="Z11" s="38" t="str">
        <f>VLOOKUP(A11,DATAKARYAWAN,27,0)</f>
        <v>MOROKREMBANGAN</v>
      </c>
      <c r="AA11" s="38">
        <f>VLOOKUP(A11,DATAKARYAWAN,28,0)</f>
        <v>60178</v>
      </c>
      <c r="AD11" s="38" t="str">
        <f>VLOOKUP(A11,DATAKARYAWAN,31,0)</f>
        <v>TK/0</v>
      </c>
      <c r="AE11" s="97"/>
      <c r="AF11" s="38" t="str">
        <f>VLOOKUP(A11,DATAKARYAWAN,33,0)</f>
        <v>tidak ada NPWP</v>
      </c>
      <c r="AG11" s="38">
        <f>VLOOKUP(A11,DATAKARYAWAN,34,0)</f>
        <v>14008205230</v>
      </c>
      <c r="AH11" s="38" t="str">
        <f>VLOOKUP(A11,DATAKARYAWAN,35,0)</f>
        <v>0002308584328</v>
      </c>
      <c r="AI11" s="38" t="str">
        <f>VLOOKUP(A11,DATAKARYAWAN,36,0)</f>
        <v>Kelas 1</v>
      </c>
      <c r="AK11" s="451">
        <f>VLOOKUP(A11,DATAKARYAWAN,38,0)</f>
        <v>42009</v>
      </c>
      <c r="AL11" s="38" t="str">
        <f>VLOOKUP(A11,DATAKARYAWAN,39,0)</f>
        <v/>
      </c>
    </row>
    <row r="12">
      <c r="A12" s="45" t="s">
        <v>268</v>
      </c>
      <c r="B12" s="38" t="str">
        <f>VLOOKUP(A12,DATAKARYAWAN,3,0)</f>
        <v>Karyawan Tetap</v>
      </c>
      <c r="C12" s="38" t="str">
        <f>VLOOKUP(A12,DATAKARYAWAN,4,0)</f>
        <v>16-020022</v>
      </c>
      <c r="D12" s="38" t="str">
        <f>VLOOKUP(A12,DATAKARYAWAN,5,0)</f>
        <v>085231355744</v>
      </c>
      <c r="E12" s="38" t="str">
        <f>VLOOKUP(A12,DATAKARYAWAN,6,0)</f>
        <v>Sugiantoboy50@gmail.com</v>
      </c>
      <c r="F12" s="38" t="str">
        <f>VLOOKUP(A12,DATAKARYAWAN,7,0)</f>
        <v>TKBM</v>
      </c>
      <c r="G12" s="38" t="str">
        <f>VLOOKUP(A12,DATAKARYAWAN,8,0)</f>
        <v>OPERASIONAL </v>
      </c>
      <c r="H12" s="455"/>
      <c r="I12" s="38" t="str">
        <f>VLOOKUP(A12,DATAKARYAWAN,10,0)</f>
        <v>Indonesia</v>
      </c>
      <c r="J12" s="38" t="str">
        <f>VLOOKUP(A12,DATAKARYAWAN,11,0)</f>
        <v>ISLAM</v>
      </c>
      <c r="K12" s="38" t="str">
        <f>VLOOKUP(A12,DATAKARYAWAN,12,0)</f>
        <v>3519111107180001</v>
      </c>
      <c r="L12" s="38" t="str">
        <f>VLOOKUP(A12,DATAKARYAWAN,13,0)</f>
        <v>3519111504880001</v>
      </c>
      <c r="M12" s="38" t="str">
        <f>VLOOKUP(A12,DATAKARYAWAN,14,0)</f>
        <v>OCBC NISP</v>
      </c>
      <c r="N12" s="38" t="str">
        <f>VLOOKUP(A12,DATAKARYAWAN,15,0)</f>
        <v/>
      </c>
      <c r="O12" s="38" t="str">
        <f>VLOOKUP(A12,DATAKARYAWAN,16,0)</f>
        <v>SLTA</v>
      </c>
      <c r="P12" s="97"/>
      <c r="Q12" s="38" t="str">
        <f>VLOOKUP(A12,DATAKARYAWAN,18,0)</f>
        <v>LAKI-LAKI</v>
      </c>
      <c r="R12" s="49" t="str">
        <f>VLOOKUP(A12,DATAKARYAWAN,19,0)</f>
        <v>15 April 1988</v>
      </c>
      <c r="S12" s="38" t="str">
        <f>VLOOKUP(A12,DATAKARYAWAN,20,0)</f>
        <v>MADIUN</v>
      </c>
      <c r="U12" s="38" t="str">
        <f>VLOOKUP(A12,DATAKARYAWAN,22,0)</f>
        <v>DARMOREJO RT 3/ RW 1</v>
      </c>
      <c r="V12" s="38" t="str">
        <f>VLOOKUP(A12,DATAKARYAWAN,23,0)</f>
        <v/>
      </c>
      <c r="W12" s="38" t="str">
        <f>VLOOKUP(A12,DATAKARYAWAN,24,0)</f>
        <v>JAWA TIMUR</v>
      </c>
      <c r="X12" s="38" t="str">
        <f>VLOOKUP(A12,DATAKARYAWAN,25,0)</f>
        <v>MADIUN</v>
      </c>
      <c r="Y12" s="38" t="str">
        <f>VLOOKUP(A12,DATAKARYAWAN,26,0)</f>
        <v>MEJAYAN</v>
      </c>
      <c r="Z12" s="38" t="str">
        <f>VLOOKUP(A12,DATAKARYAWAN,27,0)</f>
        <v>DARMOREJO</v>
      </c>
      <c r="AA12" s="38">
        <f>VLOOKUP(A12,DATAKARYAWAN,28,0)</f>
        <v>63153</v>
      </c>
      <c r="AD12" s="38" t="str">
        <f>VLOOKUP(A12,DATAKARYAWAN,31,0)</f>
        <v>K/2</v>
      </c>
      <c r="AE12" s="97"/>
      <c r="AF12" s="38" t="str">
        <f>VLOOKUP(A12,DATAKARYAWAN,33,0)</f>
        <v>tidak ada NPWP</v>
      </c>
      <c r="AG12" s="38">
        <f>VLOOKUP(A12,DATAKARYAWAN,34,0)</f>
        <v>18027093857</v>
      </c>
      <c r="AH12" s="38" t="str">
        <f>VLOOKUP(A12,DATAKARYAWAN,35,0)</f>
        <v>0002971265117</v>
      </c>
      <c r="AI12" s="38" t="str">
        <f>VLOOKUP(A12,DATAKARYAWAN,36,0)</f>
        <v>Kelas 1</v>
      </c>
      <c r="AK12" s="451">
        <f>VLOOKUP(A12,DATAKARYAWAN,38,0)</f>
        <v>42403</v>
      </c>
      <c r="AL12" s="38" t="str">
        <f>VLOOKUP(A12,DATAKARYAWAN,39,0)</f>
        <v/>
      </c>
    </row>
    <row r="13">
      <c r="A13" s="45" t="s">
        <v>278</v>
      </c>
      <c r="B13" s="38" t="str">
        <f>VLOOKUP(A13,DATAKARYAWAN,3,0)</f>
        <v>Karyawan Tetap</v>
      </c>
      <c r="C13" s="38" t="str">
        <f>VLOOKUP(A13,DATAKARYAWAN,4,0)</f>
        <v>16-020023</v>
      </c>
      <c r="D13" s="38" t="str">
        <f>VLOOKUP(A13,DATAKARYAWAN,5,0)</f>
        <v>083830311151</v>
      </c>
      <c r="E13" s="459" t="str">
        <f>VLOOKUP(A13,DATAKARYAWAN,6,0)</f>
        <v>nani.trigunasamudra@gmail.com</v>
      </c>
      <c r="F13" s="38" t="str">
        <f>VLOOKUP(A13,DATAKARYAWAN,7,0)</f>
        <v>STAFF PRICING</v>
      </c>
      <c r="G13" s="38" t="str">
        <f>VLOOKUP(A13,DATAKARYAWAN,8,0)</f>
        <v>PRICING</v>
      </c>
      <c r="H13" s="455"/>
      <c r="I13" s="38" t="str">
        <f>VLOOKUP(A13,DATAKARYAWAN,10,0)</f>
        <v>Indonesia</v>
      </c>
      <c r="J13" s="38" t="str">
        <f>VLOOKUP(A13,DATAKARYAWAN,11,0)</f>
        <v>ISLAM</v>
      </c>
      <c r="K13" s="456" t="str">
        <f>VLOOKUP(A13,DATAKARYAWAN,12,0)</f>
        <v>3578121305190006</v>
      </c>
      <c r="L13" s="456" t="str">
        <f>VLOOKUP(A13,DATAKARYAWAN,13,0)</f>
        <v>3578126703900002</v>
      </c>
      <c r="M13" s="38" t="str">
        <f>VLOOKUP(A13,DATAKARYAWAN,14,0)</f>
        <v>OCBC NISP</v>
      </c>
      <c r="N13" s="38">
        <f>VLOOKUP(A13,DATAKARYAWAN,15,0)</f>
        <v>58810105641</v>
      </c>
      <c r="O13" s="38" t="str">
        <f>VLOOKUP(A13,DATAKARYAWAN,16,0)</f>
        <v>D4/S1</v>
      </c>
      <c r="P13" s="97"/>
      <c r="Q13" s="38" t="str">
        <f>VLOOKUP(A13,DATAKARYAWAN,18,0)</f>
        <v>PEREMPUAN</v>
      </c>
      <c r="R13" s="49" t="str">
        <f>VLOOKUP(A13,DATAKARYAWAN,19,0)</f>
        <v>27 Maret 1990</v>
      </c>
      <c r="S13" s="38" t="str">
        <f>VLOOKUP(A13,DATAKARYAWAN,20,0)</f>
        <v>SURABAYA</v>
      </c>
      <c r="U13" s="38" t="str">
        <f>VLOOKUP(A13,DATAKARYAWAN,22,0)</f>
        <v>PESAPEN BARAT 8-C RT 11/RW 2</v>
      </c>
      <c r="V13" s="38" t="str">
        <f>VLOOKUP(A13,DATAKARYAWAN,23,0)</f>
        <v>JL. PESAPEN BARAT GG 12 NO.30 B</v>
      </c>
      <c r="W13" s="38" t="str">
        <f>VLOOKUP(A13,DATAKARYAWAN,24,0)</f>
        <v>JAWA TIMUR</v>
      </c>
      <c r="X13" s="38" t="str">
        <f>VLOOKUP(A13,DATAKARYAWAN,25,0)</f>
        <v>SURABAYA</v>
      </c>
      <c r="Y13" s="38" t="str">
        <f>VLOOKUP(A13,DATAKARYAWAN,26,0)</f>
        <v>PABEAN CANTIAN</v>
      </c>
      <c r="Z13" s="38" t="str">
        <f>VLOOKUP(A13,DATAKARYAWAN,27,0)</f>
        <v>PERAK TIMUR</v>
      </c>
      <c r="AA13" s="38">
        <f>VLOOKUP(A13,DATAKARYAWAN,28,0)</f>
        <v>60164</v>
      </c>
      <c r="AD13" s="38" t="str">
        <f>VLOOKUP(A13,DATAKARYAWAN,31,0)</f>
        <v>TK/0</v>
      </c>
      <c r="AE13" s="97"/>
      <c r="AF13" s="38" t="str">
        <f>VLOOKUP(A13,DATAKARYAWAN,33,0)</f>
        <v>tidak ada NPWP</v>
      </c>
      <c r="AG13" s="38">
        <f>VLOOKUP(A13,DATAKARYAWAN,34,0)</f>
        <v>18027093873</v>
      </c>
      <c r="AH13" s="38" t="str">
        <f>VLOOKUP(A13,DATAKARYAWAN,35,0)</f>
        <v>0001538250129</v>
      </c>
      <c r="AI13" s="38" t="str">
        <f>VLOOKUP(A13,DATAKARYAWAN,36,0)</f>
        <v>Kelas 1</v>
      </c>
      <c r="AK13" s="451">
        <f>VLOOKUP(A13,DATAKARYAWAN,38,0)</f>
        <v>42411</v>
      </c>
      <c r="AL13" s="38" t="str">
        <f>VLOOKUP(A13,DATAKARYAWAN,39,0)</f>
        <v/>
      </c>
    </row>
    <row r="14">
      <c r="A14" s="45" t="s">
        <v>293</v>
      </c>
      <c r="B14" s="38" t="str">
        <f>VLOOKUP(A14,DATAKARYAWAN,3,0)</f>
        <v>Karyawan Tetap</v>
      </c>
      <c r="C14" s="38" t="str">
        <f>VLOOKUP(A14,DATAKARYAWAN,4,0)</f>
        <v>16-020024</v>
      </c>
      <c r="D14" s="38" t="str">
        <f>VLOOKUP(A14,DATAKARYAWAN,5,0)</f>
        <v>082335388390</v>
      </c>
      <c r="E14" s="453" t="str">
        <f>VLOOKUP(A14,DATAKARYAWAN,6,0)</f>
        <v>sholikulhakim175@gmail.com</v>
      </c>
      <c r="F14" s="38" t="str">
        <f>VLOOKUP(A14,DATAKARYAWAN,7,0)</f>
        <v>SPV OPERASIONAL</v>
      </c>
      <c r="G14" s="38" t="str">
        <f>VLOOKUP(A14,DATAKARYAWAN,8,0)</f>
        <v>OPERASIONAL </v>
      </c>
      <c r="H14" s="455"/>
      <c r="I14" s="38" t="str">
        <f>VLOOKUP(A14,DATAKARYAWAN,10,0)</f>
        <v>Indonesia</v>
      </c>
      <c r="J14" s="38" t="str">
        <f>VLOOKUP(A14,DATAKARYAWAN,11,0)</f>
        <v>ISLAM</v>
      </c>
      <c r="K14" s="38" t="str">
        <f>VLOOKUP(A14,DATAKARYAWAN,12,0)</f>
        <v>3578150503120023</v>
      </c>
      <c r="L14" s="38" t="str">
        <f>VLOOKUP(A14,DATAKARYAWAN,13,0)</f>
        <v>3578152710850005</v>
      </c>
      <c r="M14" s="38" t="str">
        <f>VLOOKUP(A14,DATAKARYAWAN,14,0)</f>
        <v>OCBC NISP</v>
      </c>
      <c r="N14" s="38">
        <f>VLOOKUP(A14,DATAKARYAWAN,15,0)</f>
        <v>58810105716</v>
      </c>
      <c r="O14" s="38" t="str">
        <f>VLOOKUP(A14,DATAKARYAWAN,16,0)</f>
        <v>SLTA</v>
      </c>
      <c r="P14" s="97"/>
      <c r="Q14" s="38" t="str">
        <f>VLOOKUP(A14,DATAKARYAWAN,18,0)</f>
        <v>LAKI-LAKI</v>
      </c>
      <c r="R14" s="49" t="str">
        <f>VLOOKUP(A14,DATAKARYAWAN,19,0)</f>
        <v>27 Oktober 1985</v>
      </c>
      <c r="S14" s="38" t="str">
        <f>VLOOKUP(A14,DATAKARYAWAN,20,0)</f>
        <v>REMBANG</v>
      </c>
      <c r="U14" s="38" t="str">
        <f>VLOOKUP(A14,DATAKARYAWAN,22,0)</f>
        <v>KALIANAK TIMUR LEBAR NO.139 RT 7/RW 7</v>
      </c>
      <c r="V14" s="38" t="str">
        <f>VLOOKUP(A14,DATAKARYAWAN,23,0)</f>
        <v/>
      </c>
      <c r="W14" s="38" t="str">
        <f>VLOOKUP(A14,DATAKARYAWAN,24,0)</f>
        <v>JAWA TIMUR</v>
      </c>
      <c r="X14" s="38" t="str">
        <f>VLOOKUP(A14,DATAKARYAWAN,25,0)</f>
        <v>SURABAYA</v>
      </c>
      <c r="Y14" s="38" t="str">
        <f>VLOOKUP(A14,DATAKARYAWAN,26,0)</f>
        <v>KREMBANGAN</v>
      </c>
      <c r="Z14" s="38" t="str">
        <f>VLOOKUP(A14,DATAKARYAWAN,27,0)</f>
        <v>MOROKREMBANGAN</v>
      </c>
      <c r="AA14" s="38">
        <f>VLOOKUP(A14,DATAKARYAWAN,28,0)</f>
        <v>60178</v>
      </c>
      <c r="AD14" s="38" t="str">
        <f>VLOOKUP(A14,DATAKARYAWAN,31,0)</f>
        <v>K/2</v>
      </c>
      <c r="AE14" s="97"/>
      <c r="AF14" s="38" t="str">
        <f>VLOOKUP(A14,DATAKARYAWAN,33,0)</f>
        <v>047422381605000</v>
      </c>
      <c r="AG14" s="38">
        <f>VLOOKUP(A14,DATAKARYAWAN,34,0)</f>
        <v>18027094020</v>
      </c>
      <c r="AH14" s="38" t="str">
        <f>VLOOKUP(A14,DATAKARYAWAN,35,0)</f>
        <v>0001154173825</v>
      </c>
      <c r="AI14" s="38" t="str">
        <f>VLOOKUP(A14,DATAKARYAWAN,36,0)</f>
        <v>Kelas 1</v>
      </c>
      <c r="AK14" s="451">
        <f>VLOOKUP(A14,DATAKARYAWAN,38,0)</f>
        <v>42412</v>
      </c>
      <c r="AL14" s="38" t="str">
        <f>VLOOKUP(A14,DATAKARYAWAN,39,0)</f>
        <v/>
      </c>
    </row>
    <row r="15">
      <c r="A15" s="45" t="s">
        <v>304</v>
      </c>
      <c r="B15" s="38" t="str">
        <f>VLOOKUP(A15,DATAKARYAWAN,3,0)</f>
        <v>Karyawan Tetap</v>
      </c>
      <c r="C15" s="38" t="str">
        <f>VLOOKUP(A15,DATAKARYAWAN,4,0)</f>
        <v>17-030028</v>
      </c>
      <c r="D15" s="38" t="str">
        <f>VLOOKUP(A15,DATAKARYAWAN,5,0)</f>
        <v>085607000945</v>
      </c>
      <c r="E15" s="453" t="str">
        <f>VLOOKUP(A15,DATAKARYAWAN,6,0)</f>
        <v>evaakhusuma@gmail.com</v>
      </c>
      <c r="F15" s="38" t="str">
        <f>VLOOKUP(A15,DATAKARYAWAN,7,0)</f>
        <v>STAFF DOCUMENT</v>
      </c>
      <c r="G15" s="38" t="str">
        <f>VLOOKUP(A15,DATAKARYAWAN,8,0)</f>
        <v>CUSTOMER SERVICE</v>
      </c>
      <c r="H15" s="455"/>
      <c r="I15" s="38" t="str">
        <f>VLOOKUP(A15,DATAKARYAWAN,10,0)</f>
        <v>Indonesia</v>
      </c>
      <c r="J15" s="38" t="str">
        <f>VLOOKUP(A15,DATAKARYAWAN,11,0)</f>
        <v>ISLAM</v>
      </c>
      <c r="K15" s="456" t="str">
        <f>VLOOKUP(A15,DATAKARYAWAN,12,0)</f>
        <v>3524211411130005</v>
      </c>
      <c r="L15" s="456" t="str">
        <f>VLOOKUP(A15,DATAKARYAWAN,13,0)</f>
        <v>3524215009990002</v>
      </c>
      <c r="M15" s="38" t="str">
        <f>VLOOKUP(A15,DATAKARYAWAN,14,0)</f>
        <v>OCBC NISP</v>
      </c>
      <c r="N15" s="38">
        <f>VLOOKUP(A15,DATAKARYAWAN,15,0)</f>
        <v>58810105310</v>
      </c>
      <c r="O15" s="38" t="str">
        <f>VLOOKUP(A15,DATAKARYAWAN,16,0)</f>
        <v>SLTP</v>
      </c>
      <c r="P15" s="97"/>
      <c r="Q15" s="38" t="str">
        <f>VLOOKUP(A15,DATAKARYAWAN,18,0)</f>
        <v>PEREMPUAN</v>
      </c>
      <c r="R15" s="49" t="str">
        <f>VLOOKUP(A15,DATAKARYAWAN,19,0)</f>
        <v>27 Mei 1998</v>
      </c>
      <c r="S15" s="38" t="str">
        <f>VLOOKUP(A15,DATAKARYAWAN,20,0)</f>
        <v>LAMONGAN</v>
      </c>
      <c r="U15" s="38" t="str">
        <f>VLOOKUP(A15,DATAKARYAWAN,22,0)</f>
        <v>GEGER RT 6/RW 1</v>
      </c>
      <c r="V15" s="38" t="str">
        <f>VLOOKUP(A15,DATAKARYAWAN,23,0)</f>
        <v>JL. JEPARA IX  NO 8</v>
      </c>
      <c r="W15" s="38" t="str">
        <f>VLOOKUP(A15,DATAKARYAWAN,24,0)</f>
        <v>JAWA TIMUR</v>
      </c>
      <c r="X15" s="38" t="str">
        <f>VLOOKUP(A15,DATAKARYAWAN,25,0)</f>
        <v>LAMONGAN</v>
      </c>
      <c r="Y15" s="38" t="str">
        <f>VLOOKUP(A15,DATAKARYAWAN,26,0)</f>
        <v>TURI</v>
      </c>
      <c r="Z15" s="38" t="str">
        <f>VLOOKUP(A15,DATAKARYAWAN,27,0)</f>
        <v>GEGER</v>
      </c>
      <c r="AA15" s="38">
        <f>VLOOKUP(A15,DATAKARYAWAN,28,0)</f>
        <v>62252</v>
      </c>
      <c r="AD15" s="38" t="str">
        <f>VLOOKUP(A15,DATAKARYAWAN,31,0)</f>
        <v>TK/0</v>
      </c>
      <c r="AE15" s="97"/>
      <c r="AF15" s="38" t="str">
        <f>VLOOKUP(A15,DATAKARYAWAN,33,0)</f>
        <v>tidak ada NPWP</v>
      </c>
      <c r="AG15" s="38">
        <f>VLOOKUP(A15,DATAKARYAWAN,34,0)</f>
        <v>18027093725</v>
      </c>
      <c r="AH15" s="38" t="str">
        <f>VLOOKUP(A15,DATAKARYAWAN,35,0)</f>
        <v>0003050823723</v>
      </c>
      <c r="AI15" s="38" t="str">
        <f>VLOOKUP(A15,DATAKARYAWAN,36,0)</f>
        <v>Kelas 1</v>
      </c>
      <c r="AK15" s="451">
        <f>VLOOKUP(A15,DATAKARYAWAN,38,0)</f>
        <v>42804</v>
      </c>
      <c r="AL15" s="38" t="str">
        <f>VLOOKUP(A15,DATAKARYAWAN,39,0)</f>
        <v/>
      </c>
    </row>
    <row r="16">
      <c r="A16" s="45" t="s">
        <v>318</v>
      </c>
      <c r="B16" s="38" t="str">
        <f>VLOOKUP(A16,DATAKARYAWAN,3,0)</f>
        <v>Karyawan Tetap</v>
      </c>
      <c r="C16" s="38" t="str">
        <f>VLOOKUP(A16,DATAKARYAWAN,4,0)</f>
        <v>17-070029</v>
      </c>
      <c r="D16" s="38" t="str">
        <f>VLOOKUP(A16,DATAKARYAWAN,5,0)</f>
        <v>081907248993</v>
      </c>
      <c r="E16" s="453" t="str">
        <f>VLOOKUP(A16,DATAKARYAWAN,6,0)</f>
        <v>adriansyahtrisaputra@gmail.com</v>
      </c>
      <c r="F16" s="38" t="str">
        <f>VLOOKUP(A16,DATAKARYAWAN,7,0)</f>
        <v>STAFF COLLECTION</v>
      </c>
      <c r="G16" s="38" t="str">
        <f>VLOOKUP(A16,DATAKARYAWAN,8,0)</f>
        <v>KEUANGAN</v>
      </c>
      <c r="H16" s="455"/>
      <c r="I16" s="38" t="str">
        <f>VLOOKUP(A16,DATAKARYAWAN,10,0)</f>
        <v>Indonesia</v>
      </c>
      <c r="J16" s="38" t="str">
        <f>VLOOKUP(A16,DATAKARYAWAN,11,0)</f>
        <v>ISLAM</v>
      </c>
      <c r="K16" s="449" t="str">
        <f>VLOOKUP(A16,DATAKARYAWAN,12,0)</f>
        <v>3515182601096282</v>
      </c>
      <c r="L16" s="449" t="str">
        <f>VLOOKUP(A16,DATAKARYAWAN,13,0)</f>
        <v>3515182509980001</v>
      </c>
      <c r="M16" s="38" t="str">
        <f>VLOOKUP(A16,DATAKARYAWAN,14,0)</f>
        <v>OCBC NISP</v>
      </c>
      <c r="N16" s="38">
        <f>VLOOKUP(A16,DATAKARYAWAN,15,0)</f>
        <v>58810105443</v>
      </c>
      <c r="O16" s="38" t="str">
        <f>VLOOKUP(A16,DATAKARYAWAN,16,0)</f>
        <v>SLTP</v>
      </c>
      <c r="P16" s="97"/>
      <c r="Q16" s="38" t="str">
        <f>VLOOKUP(A16,DATAKARYAWAN,18,0)</f>
        <v>LAKI-LAKI</v>
      </c>
      <c r="R16" s="49" t="str">
        <f>VLOOKUP(A16,DATAKARYAWAN,19,0)</f>
        <v>25 September 1998</v>
      </c>
      <c r="S16" s="38" t="str">
        <f>VLOOKUP(A16,DATAKARYAWAN,20,0)</f>
        <v>SIDOARJO</v>
      </c>
      <c r="U16" s="38" t="str">
        <f>VLOOKUP(A16,DATAKARYAWAN,22,0)</f>
        <v>JL BOGOWONTO EM-04 RT 51/ RW 6</v>
      </c>
      <c r="V16" s="38" t="str">
        <f>VLOOKUP(A16,DATAKARYAWAN,23,0)</f>
        <v/>
      </c>
      <c r="W16" s="38" t="str">
        <f>VLOOKUP(A16,DATAKARYAWAN,24,0)</f>
        <v>JAWA TIMUR</v>
      </c>
      <c r="X16" s="38" t="str">
        <f>VLOOKUP(A16,DATAKARYAWAN,25,0)</f>
        <v>SIDOARJO</v>
      </c>
      <c r="Y16" s="38" t="str">
        <f>VLOOKUP(A16,DATAKARYAWAN,26,0)</f>
        <v>WARU</v>
      </c>
      <c r="Z16" s="38" t="str">
        <f>VLOOKUP(A16,DATAKARYAWAN,27,0)</f>
        <v>TROPODO</v>
      </c>
      <c r="AA16" s="38">
        <f>VLOOKUP(A16,DATAKARYAWAN,28,0)</f>
        <v>61256</v>
      </c>
      <c r="AD16" s="38" t="str">
        <f>VLOOKUP(A16,DATAKARYAWAN,31,0)</f>
        <v>K/0</v>
      </c>
      <c r="AE16" s="97"/>
      <c r="AF16" s="38" t="str">
        <f>VLOOKUP(A16,DATAKARYAWAN,33,0)</f>
        <v>tidak ada NPWP</v>
      </c>
      <c r="AG16" s="38">
        <f>VLOOKUP(A16,DATAKARYAWAN,34,0)</f>
        <v>18027093741</v>
      </c>
      <c r="AH16" s="38" t="str">
        <f>VLOOKUP(A16,DATAKARYAWAN,35,0)</f>
        <v>0003051571893</v>
      </c>
      <c r="AI16" s="38" t="str">
        <f>VLOOKUP(A16,DATAKARYAWAN,36,0)</f>
        <v>Kelas 1</v>
      </c>
      <c r="AK16" s="451">
        <f>VLOOKUP(A16,DATAKARYAWAN,38,0)</f>
        <v>42947</v>
      </c>
      <c r="AL16" s="38" t="str">
        <f>VLOOKUP(A16,DATAKARYAWAN,39,0)</f>
        <v/>
      </c>
    </row>
    <row r="17">
      <c r="A17" s="460" t="s">
        <v>326</v>
      </c>
      <c r="B17" s="38" t="str">
        <f>VLOOKUP(A17,DATAKARYAWAN,3,0)</f>
        <v>Karyawan Tetap</v>
      </c>
      <c r="C17" s="38" t="str">
        <f>VLOOKUP(A17,DATAKARYAWAN,4,0)</f>
        <v>17-080030</v>
      </c>
      <c r="D17" s="38" t="str">
        <f>VLOOKUP(A17,DATAKARYAWAN,5,0)</f>
        <v>085804644628</v>
      </c>
      <c r="E17" s="453" t="str">
        <f>VLOOKUP(A17,DATAKARYAWAN,6,0)</f>
        <v>wawanblegedes754@gmail.com</v>
      </c>
      <c r="F17" s="38" t="str">
        <f>VLOOKUP(A17,DATAKARYAWAN,7,0)</f>
        <v>TKBM</v>
      </c>
      <c r="G17" s="38" t="str">
        <f>VLOOKUP(A17,DATAKARYAWAN,8,0)</f>
        <v>OPERASIONAL </v>
      </c>
      <c r="H17" s="125"/>
      <c r="I17" s="38" t="str">
        <f>VLOOKUP(A17,DATAKARYAWAN,10,0)</f>
        <v>Indonesia</v>
      </c>
      <c r="J17" s="38" t="str">
        <f>VLOOKUP(A17,DATAKARYAWAN,11,0)</f>
        <v>ISLAM</v>
      </c>
      <c r="K17" s="38" t="str">
        <f>VLOOKUP(A17,DATAKARYAWAN,12,0)</f>
        <v>3578161801210001</v>
      </c>
      <c r="L17" s="38" t="str">
        <f>VLOOKUP(A17,DATAKARYAWAN,13,0)</f>
        <v>3578160812860003</v>
      </c>
      <c r="M17" s="38" t="str">
        <f>VLOOKUP(A17,DATAKARYAWAN,14,0)</f>
        <v>OCBC NISP</v>
      </c>
      <c r="N17" s="38">
        <f>VLOOKUP(A17,DATAKARYAWAN,15,0)</f>
        <v>58810105971</v>
      </c>
      <c r="O17" s="38" t="str">
        <f>VLOOKUP(A17,DATAKARYAWAN,16,0)</f>
        <v>SD</v>
      </c>
      <c r="P17" s="97"/>
      <c r="Q17" s="38" t="str">
        <f>VLOOKUP(A17,DATAKARYAWAN,18,0)</f>
        <v>LAKI-LAKI</v>
      </c>
      <c r="R17" s="49" t="str">
        <f>VLOOKUP(A17,DATAKARYAWAN,19,0)</f>
        <v>8 Desember 1986</v>
      </c>
      <c r="S17" s="38" t="str">
        <f>VLOOKUP(A17,DATAKARYAWAN,20,0)</f>
        <v>SURABAYA</v>
      </c>
      <c r="U17" s="38" t="str">
        <f>VLOOKUP(A17,DATAKARYAWAN,22,0)</f>
        <v>WONOSARI WETAN 1/29-A RT1/RW 7</v>
      </c>
      <c r="V17" s="38" t="str">
        <f>VLOOKUP(A17,DATAKARYAWAN,23,0)</f>
        <v/>
      </c>
      <c r="W17" s="38" t="str">
        <f>VLOOKUP(A17,DATAKARYAWAN,24,0)</f>
        <v>JAWA TIMUR</v>
      </c>
      <c r="X17" s="38" t="str">
        <f>VLOOKUP(A17,DATAKARYAWAN,25,0)</f>
        <v>SURABAYA</v>
      </c>
      <c r="Y17" s="38" t="str">
        <f>VLOOKUP(A17,DATAKARYAWAN,26,0)</f>
        <v>SEMAMPIR</v>
      </c>
      <c r="Z17" s="38" t="str">
        <f>VLOOKUP(A17,DATAKARYAWAN,27,0)</f>
        <v>WONOKUSUMO</v>
      </c>
      <c r="AA17" s="38">
        <f>VLOOKUP(A17,DATAKARYAWAN,28,0)</f>
        <v>60154</v>
      </c>
      <c r="AD17" s="38" t="str">
        <f>VLOOKUP(A17,DATAKARYAWAN,31,0)</f>
        <v>TK/0</v>
      </c>
      <c r="AE17" s="97"/>
      <c r="AF17" s="38" t="str">
        <f>VLOOKUP(A17,DATAKARYAWAN,33,0)</f>
        <v>tidak ada NPWP</v>
      </c>
      <c r="AG17" s="38">
        <f>VLOOKUP(A17,DATAKARYAWAN,34,0)</f>
        <v>18027093899</v>
      </c>
      <c r="AH17" s="38" t="str">
        <f>VLOOKUP(A17,DATAKARYAWAN,35,0)</f>
        <v>0000788721614</v>
      </c>
      <c r="AI17" s="38" t="str">
        <f>VLOOKUP(A17,DATAKARYAWAN,36,0)</f>
        <v>Kelas 1</v>
      </c>
      <c r="AK17" s="451">
        <f>VLOOKUP(A17,DATAKARYAWAN,38,0)</f>
        <v>42975</v>
      </c>
      <c r="AL17" s="38" t="str">
        <f>VLOOKUP(A17,DATAKARYAWAN,39,0)</f>
        <v/>
      </c>
    </row>
    <row r="18" ht="15.75" customHeight="1">
      <c r="A18" s="45" t="s">
        <v>338</v>
      </c>
      <c r="B18" s="38" t="str">
        <f>VLOOKUP(A18,DATAKARYAWAN,3,0)</f>
        <v>Karyawan Tetap</v>
      </c>
      <c r="C18" s="38" t="str">
        <f>VLOOKUP(A18,DATAKARYAWAN,4,0)</f>
        <v>17-090031</v>
      </c>
      <c r="D18" s="38" t="str">
        <f>VLOOKUP(A18,DATAKARYAWAN,5,0)</f>
        <v>085839059855</v>
      </c>
      <c r="E18" s="453" t="str">
        <f>VLOOKUP(A18,DATAKARYAWAN,6,0)</f>
        <v>hanna.elok@gmail.com</v>
      </c>
      <c r="F18" s="38" t="str">
        <f>VLOOKUP(A18,DATAKARYAWAN,7,0)</f>
        <v>MANAGER FINANCE ACC-TAX</v>
      </c>
      <c r="G18" s="38" t="str">
        <f>VLOOKUP(A18,DATAKARYAWAN,8,0)</f>
        <v>KEUANGAN</v>
      </c>
      <c r="H18" s="455"/>
      <c r="I18" s="38" t="str">
        <f>VLOOKUP(A18,DATAKARYAWAN,10,0)</f>
        <v>Indonesia</v>
      </c>
      <c r="J18" s="38" t="str">
        <f>VLOOKUP(A18,DATAKARYAWAN,11,0)</f>
        <v>ISLAM</v>
      </c>
      <c r="K18" s="449" t="str">
        <f>VLOOKUP(A18,DATAKARYAWAN,12,0)</f>
        <v>3578050201086558</v>
      </c>
      <c r="L18" s="449" t="str">
        <f>VLOOKUP(A18,DATAKARYAWAN,13,0)</f>
        <v>3578057005960001</v>
      </c>
      <c r="M18" s="38" t="str">
        <f>VLOOKUP(A18,DATAKARYAWAN,14,0)</f>
        <v>OCBC NISP</v>
      </c>
      <c r="N18" s="38">
        <f>VLOOKUP(A18,DATAKARYAWAN,15,0)</f>
        <v>58810105583</v>
      </c>
      <c r="O18" s="38" t="str">
        <f>VLOOKUP(A18,DATAKARYAWAN,16,0)</f>
        <v>SLTA</v>
      </c>
      <c r="P18" s="97"/>
      <c r="Q18" s="38" t="str">
        <f>VLOOKUP(A18,DATAKARYAWAN,18,0)</f>
        <v>PEREMPUAN</v>
      </c>
      <c r="R18" s="49" t="str">
        <f>VLOOKUP(A18,DATAKARYAWAN,19,0)</f>
        <v>30 Mei 1996</v>
      </c>
      <c r="S18" s="38" t="str">
        <f>VLOOKUP(A18,DATAKARYAWAN,20,0)</f>
        <v>SURABAYA</v>
      </c>
      <c r="U18" s="38" t="str">
        <f>VLOOKUP(A18,DATAKARYAWAN,22,0)</f>
        <v>WONOREJO 4/15 RT 11/RW 6</v>
      </c>
      <c r="V18" s="38" t="str">
        <f>VLOOKUP(A18,DATAKARYAWAN,23,0)</f>
        <v/>
      </c>
      <c r="W18" s="38" t="str">
        <f>VLOOKUP(A18,DATAKARYAWAN,24,0)</f>
        <v>JAWA TIMUR</v>
      </c>
      <c r="X18" s="38" t="str">
        <f>VLOOKUP(A18,DATAKARYAWAN,25,0)</f>
        <v>SURABAYA</v>
      </c>
      <c r="Y18" s="38" t="str">
        <f>VLOOKUP(A18,DATAKARYAWAN,26,0)</f>
        <v>TEGALSARI</v>
      </c>
      <c r="Z18" s="38" t="str">
        <f>VLOOKUP(A18,DATAKARYAWAN,27,0)</f>
        <v>WONOREJO</v>
      </c>
      <c r="AA18" s="38">
        <f>VLOOKUP(A18,DATAKARYAWAN,28,0)</f>
        <v>60263</v>
      </c>
      <c r="AD18" s="38" t="str">
        <f>VLOOKUP(A18,DATAKARYAWAN,31,0)</f>
        <v>TK/0</v>
      </c>
      <c r="AE18" s="97"/>
      <c r="AF18" s="450" t="str">
        <f>VLOOKUP(A18,DATAKARYAWAN,33,0)</f>
        <v>638785667607000</v>
      </c>
      <c r="AG18" s="38">
        <f>VLOOKUP(A18,DATAKARYAWAN,34,0)</f>
        <v>18027093782</v>
      </c>
      <c r="AH18" s="38" t="str">
        <f>VLOOKUP(A18,DATAKARYAWAN,35,0)</f>
        <v>0001544740121</v>
      </c>
      <c r="AI18" s="38" t="str">
        <f>VLOOKUP(A18,DATAKARYAWAN,36,0)</f>
        <v>Kelas 1</v>
      </c>
      <c r="AK18" s="451">
        <f>VLOOKUP(A18,DATAKARYAWAN,38,0)</f>
        <v>42982</v>
      </c>
      <c r="AL18" s="38" t="str">
        <f>VLOOKUP(A18,DATAKARYAWAN,39,0)</f>
        <v/>
      </c>
      <c r="CE18" s="45" t="s">
        <v>351</v>
      </c>
    </row>
    <row r="19" ht="15.75" customHeight="1">
      <c r="A19" s="45" t="s">
        <v>352</v>
      </c>
      <c r="B19" s="38" t="str">
        <f>VLOOKUP(A19,DATAKARYAWAN,3,0)</f>
        <v>Karyawan Tetap</v>
      </c>
      <c r="C19" s="38" t="str">
        <f>VLOOKUP(A19,DATAKARYAWAN,4,0)</f>
        <v>17-100032</v>
      </c>
      <c r="D19" s="38" t="str">
        <f>VLOOKUP(A19,DATAKARYAWAN,5,0)</f>
        <v>083830311151</v>
      </c>
      <c r="E19" s="38" t="str">
        <f>VLOOKUP(A19,DATAKARYAWAN,6,0)</f>
        <v>wididwyantoro@gmail.com</v>
      </c>
      <c r="F19" s="38" t="str">
        <f>VLOOKUP(A19,DATAKARYAWAN,7,0)</f>
        <v>DINAS LUAR</v>
      </c>
      <c r="G19" s="38" t="str">
        <f>VLOOKUP(A19,DATAKARYAWAN,8,0)</f>
        <v>OPERASIONAL </v>
      </c>
      <c r="H19" s="455"/>
      <c r="I19" s="38" t="str">
        <f>VLOOKUP(A19,DATAKARYAWAN,10,0)</f>
        <v>Indonesia</v>
      </c>
      <c r="J19" s="38" t="str">
        <f>VLOOKUP(A19,DATAKARYAWAN,11,0)</f>
        <v>ISLAM</v>
      </c>
      <c r="K19" s="449" t="str">
        <f>VLOOKUP(A19,DATAKARYAWAN,12,0)</f>
        <v>3578121305190006</v>
      </c>
      <c r="L19" s="449" t="str">
        <f>VLOOKUP(A19,DATAKARYAWAN,13,0)</f>
        <v>3578162208920002</v>
      </c>
      <c r="M19" s="38" t="str">
        <f>VLOOKUP(A19,DATAKARYAWAN,14,0)</f>
        <v>OCBC NISP</v>
      </c>
      <c r="N19" s="38">
        <f>VLOOKUP(A19,DATAKARYAWAN,15,0)</f>
        <v>58810105740</v>
      </c>
      <c r="O19" s="38" t="str">
        <f>VLOOKUP(A19,DATAKARYAWAN,16,0)</f>
        <v>SLTA</v>
      </c>
      <c r="P19" s="97"/>
      <c r="Q19" s="38" t="str">
        <f>VLOOKUP(A19,DATAKARYAWAN,18,0)</f>
        <v>LAKI-LAKI</v>
      </c>
      <c r="R19" s="49" t="str">
        <f>VLOOKUP(A19,DATAKARYAWAN,19,0)</f>
        <v>22 Agustus 1992</v>
      </c>
      <c r="S19" s="38" t="str">
        <f>VLOOKUP(A19,DATAKARYAWAN,20,0)</f>
        <v>SURABAYA</v>
      </c>
      <c r="U19" s="38" t="str">
        <f>VLOOKUP(A19,DATAKARYAWAN,22,0)</f>
        <v>PESAPEN BARAT 8-C RT 11/RW 2</v>
      </c>
      <c r="V19" s="38" t="str">
        <f>VLOOKUP(A19,DATAKARYAWAN,23,0)</f>
        <v>JL. PESAPEN BARAT GG 12 NO.30 B</v>
      </c>
      <c r="W19" s="38" t="str">
        <f>VLOOKUP(A19,DATAKARYAWAN,24,0)</f>
        <v>JAWA TIMUR</v>
      </c>
      <c r="X19" s="38" t="str">
        <f>VLOOKUP(A19,DATAKARYAWAN,25,0)</f>
        <v>SURABAYA</v>
      </c>
      <c r="Y19" s="38" t="str">
        <f>VLOOKUP(A19,DATAKARYAWAN,26,0)</f>
        <v>PABEAN CANTIAN</v>
      </c>
      <c r="Z19" s="38" t="str">
        <f>VLOOKUP(A19,DATAKARYAWAN,27,0)</f>
        <v>PERAK TIMUR</v>
      </c>
      <c r="AA19" s="38">
        <f>VLOOKUP(A19,DATAKARYAWAN,28,0)</f>
        <v>60164</v>
      </c>
      <c r="AD19" s="38" t="str">
        <f>VLOOKUP(A19,DATAKARYAWAN,31,0)</f>
        <v>K/2</v>
      </c>
      <c r="AE19" s="97"/>
      <c r="AF19" s="38" t="str">
        <f>VLOOKUP(A19,DATAKARYAWAN,33,0)</f>
        <v>tidak ada NPWP</v>
      </c>
      <c r="AG19" s="38">
        <f>VLOOKUP(A19,DATAKARYAWAN,34,0)</f>
        <v>18027093881</v>
      </c>
      <c r="AH19" s="38" t="str">
        <f>VLOOKUP(A19,DATAKARYAWAN,35,0)</f>
        <v>0001395128823</v>
      </c>
      <c r="AI19" s="38" t="str">
        <f>VLOOKUP(A19,DATAKARYAWAN,36,0)</f>
        <v>Kelas 1</v>
      </c>
      <c r="AK19" s="451">
        <f>VLOOKUP(A19,DATAKARYAWAN,38,0)</f>
        <v>43038</v>
      </c>
      <c r="AL19" s="38" t="str">
        <f>VLOOKUP(A19,DATAKARYAWAN,39,0)</f>
        <v/>
      </c>
    </row>
    <row r="20" ht="15.75" customHeight="1">
      <c r="A20" s="45" t="s">
        <v>369</v>
      </c>
      <c r="B20" s="38" t="str">
        <f>VLOOKUP(A20,DATAKARYAWAN,3,0)</f>
        <v>Karyawan Tetap</v>
      </c>
      <c r="C20" s="457" t="str">
        <f>VLOOKUP(A20,DATAKARYAWAN,4,0)</f>
        <v>18-020034</v>
      </c>
      <c r="D20" s="38" t="str">
        <f>VLOOKUP(A20,DATAKARYAWAN,5,0)</f>
        <v>085607955982</v>
      </c>
      <c r="E20" s="38" t="str">
        <f>VLOOKUP(A20,DATAKARYAWAN,6,0)</f>
        <v>hasinta631@gmail.com</v>
      </c>
      <c r="F20" s="38" t="str">
        <f>VLOOKUP(A20,DATAKARYAWAN,7,0)</f>
        <v>OPERASIONAL AQUA PANDAAN</v>
      </c>
      <c r="G20" s="38" t="str">
        <f>VLOOKUP(A20,DATAKARYAWAN,8,0)</f>
        <v>OPERASIONAL </v>
      </c>
      <c r="H20" s="455"/>
      <c r="I20" s="38" t="str">
        <f>VLOOKUP(A20,DATAKARYAWAN,10,0)</f>
        <v>Indonesia</v>
      </c>
      <c r="J20" s="38" t="str">
        <f>VLOOKUP(A20,DATAKARYAWAN,11,0)</f>
        <v>ISLAM</v>
      </c>
      <c r="K20" s="449" t="str">
        <f>VLOOKUP(A20,DATAKARYAWAN,12,0)</f>
        <v>3514100101053719</v>
      </c>
      <c r="L20" s="449" t="str">
        <f>VLOOKUP(A20,DATAKARYAWAN,13,0)</f>
        <v>3514102811980004</v>
      </c>
      <c r="M20" s="38" t="str">
        <f>VLOOKUP(A20,DATAKARYAWAN,14,0)</f>
        <v>OCBC NISP</v>
      </c>
      <c r="N20" s="38">
        <f>VLOOKUP(A20,DATAKARYAWAN,15,0)</f>
        <v>58810105427</v>
      </c>
      <c r="O20" s="38" t="str">
        <f>VLOOKUP(A20,DATAKARYAWAN,16,0)</f>
        <v>SLTP</v>
      </c>
      <c r="P20" s="97"/>
      <c r="Q20" s="38" t="str">
        <f>VLOOKUP(A20,DATAKARYAWAN,18,0)</f>
        <v>LAKI-LAKI</v>
      </c>
      <c r="R20" s="458" t="str">
        <f>VLOOKUP(A20,DATAKARYAWAN,19,0)</f>
        <v>28 November 1998</v>
      </c>
      <c r="S20" s="38" t="str">
        <f>VLOOKUP(A20,DATAKARYAWAN,20,0)</f>
        <v>PASURUAN</v>
      </c>
      <c r="U20" s="38" t="str">
        <f>VLOOKUP(A20,DATAKARYAWAN,22,0)</f>
        <v>DUSUN KESAMBEN RT 3 RW 3</v>
      </c>
      <c r="V20" s="38" t="str">
        <f>VLOOKUP(A20,DATAKARYAWAN,23,0)</f>
        <v/>
      </c>
      <c r="W20" s="38" t="str">
        <f>VLOOKUP(A20,DATAKARYAWAN,24,0)</f>
        <v>JAWA TIMUR</v>
      </c>
      <c r="X20" s="38" t="str">
        <f>VLOOKUP(A20,DATAKARYAWAN,25,0)</f>
        <v>PASURUAN</v>
      </c>
      <c r="Y20" s="38" t="str">
        <f>VLOOKUP(A20,DATAKARYAWAN,26,0)</f>
        <v>PRIGEN</v>
      </c>
      <c r="Z20" s="38" t="str">
        <f>VLOOKUP(A20,DATAKARYAWAN,27,0)</f>
        <v>SUKORENO</v>
      </c>
      <c r="AA20" s="38">
        <f>VLOOKUP(A20,DATAKARYAWAN,28,0)</f>
        <v>67157</v>
      </c>
      <c r="AD20" s="38" t="str">
        <f>VLOOKUP(A20,DATAKARYAWAN,31,0)</f>
        <v>K/1</v>
      </c>
      <c r="AE20" s="97"/>
      <c r="AF20" s="38" t="str">
        <f>VLOOKUP(A20,DATAKARYAWAN,33,0)</f>
        <v>tidak ada NPWP</v>
      </c>
      <c r="AG20" s="38">
        <f>VLOOKUP(A20,DATAKARYAWAN,34,0)</f>
        <v>20066955897</v>
      </c>
      <c r="AH20" s="38" t="str">
        <f>VLOOKUP(A20,DATAKARYAWAN,35,0)</f>
        <v>0003051928438</v>
      </c>
      <c r="AI20" s="38" t="str">
        <f>VLOOKUP(A20,DATAKARYAWAN,36,0)</f>
        <v>Kelas 1</v>
      </c>
      <c r="AK20" s="451">
        <f>VLOOKUP(A20,DATAKARYAWAN,38,0)</f>
        <v>43132</v>
      </c>
      <c r="AL20" s="38" t="str">
        <f>VLOOKUP(A20,DATAKARYAWAN,39,0)</f>
        <v/>
      </c>
    </row>
    <row r="21" ht="15.75" customHeight="1">
      <c r="A21" s="45" t="s">
        <v>383</v>
      </c>
      <c r="B21" s="38" t="str">
        <f>VLOOKUP(A21,DATAKARYAWAN,3,0)</f>
        <v>Karyawan Tetap</v>
      </c>
      <c r="C21" s="38" t="str">
        <f>VLOOKUP(A21,DATAKARYAWAN,4,0)</f>
        <v>18-070036</v>
      </c>
      <c r="D21" s="38" t="str">
        <f>VLOOKUP(A21,DATAKARYAWAN,5,0)</f>
        <v>081235617213</v>
      </c>
      <c r="E21" s="453" t="str">
        <f>VLOOKUP(A21,DATAKARYAWAN,6,0)</f>
        <v>mariaqueena21@gmail.com</v>
      </c>
      <c r="F21" s="38" t="str">
        <f>VLOOKUP(A21,DATAKARYAWAN,7,0)</f>
        <v>DINAS LUAR</v>
      </c>
      <c r="G21" s="38" t="str">
        <f>VLOOKUP(A21,DATAKARYAWAN,8,0)</f>
        <v>OPERASIONAL </v>
      </c>
      <c r="H21" s="455"/>
      <c r="I21" s="38" t="str">
        <f>VLOOKUP(A21,DATAKARYAWAN,10,0)</f>
        <v>Indonesia</v>
      </c>
      <c r="J21" s="38" t="str">
        <f>VLOOKUP(A21,DATAKARYAWAN,11,0)</f>
        <v>ISLAM</v>
      </c>
      <c r="K21" s="38" t="str">
        <f>VLOOKUP(A21,DATAKARYAWAN,12,0)</f>
        <v>3578150110130001</v>
      </c>
      <c r="L21" s="38" t="str">
        <f>VLOOKUP(A21,DATAKARYAWAN,13,0)</f>
        <v>3578061301870001</v>
      </c>
      <c r="M21" s="38" t="str">
        <f>VLOOKUP(A21,DATAKARYAWAN,14,0)</f>
        <v>OCBC NISP</v>
      </c>
      <c r="N21" s="38">
        <f>VLOOKUP(A21,DATAKARYAWAN,15,0)</f>
        <v>58810105476</v>
      </c>
      <c r="O21" s="38" t="str">
        <f>VLOOKUP(A21,DATAKARYAWAN,16,0)</f>
        <v>SLTP</v>
      </c>
      <c r="P21" s="97"/>
      <c r="Q21" s="38" t="str">
        <f>VLOOKUP(A21,DATAKARYAWAN,18,0)</f>
        <v>LAKI-LAKI</v>
      </c>
      <c r="R21" s="49" t="str">
        <f>VLOOKUP(A21,DATAKARYAWAN,19,0)</f>
        <v>13 Januari 1987</v>
      </c>
      <c r="S21" s="38" t="str">
        <f>VLOOKUP(A21,DATAKARYAWAN,20,0)</f>
        <v>SURABAYA</v>
      </c>
      <c r="U21" s="38" t="str">
        <f>VLOOKUP(A21,DATAKARYAWAN,22,0)</f>
        <v>GADUKAN UTARA 6-B/38 RT 9/ RW 5</v>
      </c>
      <c r="V21" s="38" t="str">
        <f>VLOOKUP(A21,DATAKARYAWAN,23,0)</f>
        <v/>
      </c>
      <c r="W21" s="38" t="str">
        <f>VLOOKUP(A21,DATAKARYAWAN,24,0)</f>
        <v>JAWA TIMUR</v>
      </c>
      <c r="X21" s="38" t="str">
        <f>VLOOKUP(A21,DATAKARYAWAN,25,0)</f>
        <v>SURABAYA</v>
      </c>
      <c r="Y21" s="38" t="str">
        <f>VLOOKUP(A21,DATAKARYAWAN,26,0)</f>
        <v>KREMBANGAN</v>
      </c>
      <c r="Z21" s="38" t="str">
        <f>VLOOKUP(A21,DATAKARYAWAN,27,0)</f>
        <v>MOROKREMBANGAN</v>
      </c>
      <c r="AA21" s="38">
        <f>VLOOKUP(A21,DATAKARYAWAN,28,0)</f>
        <v>60178</v>
      </c>
      <c r="AD21" s="38" t="str">
        <f>VLOOKUP(A21,DATAKARYAWAN,31,0)</f>
        <v>K/1</v>
      </c>
      <c r="AE21" s="97"/>
      <c r="AF21" s="38" t="str">
        <f>VLOOKUP(A21,DATAKARYAWAN,33,0)</f>
        <v>tidak ada NPWP</v>
      </c>
      <c r="AG21" s="38">
        <f>VLOOKUP(A21,DATAKARYAWAN,34,0)</f>
        <v>16022087601</v>
      </c>
      <c r="AH21" s="38" t="str">
        <f>VLOOKUP(A21,DATAKARYAWAN,35,0)</f>
        <v>0002162891856</v>
      </c>
      <c r="AI21" s="38" t="str">
        <f>VLOOKUP(A21,DATAKARYAWAN,36,0)</f>
        <v>Kelas 1</v>
      </c>
      <c r="AK21" s="451">
        <f>VLOOKUP(A21,DATAKARYAWAN,38,0)</f>
        <v>43252</v>
      </c>
      <c r="AL21" s="38" t="str">
        <f>VLOOKUP(A21,DATAKARYAWAN,39,0)</f>
        <v/>
      </c>
    </row>
    <row r="22" ht="15.75" customHeight="1">
      <c r="A22" s="45" t="s">
        <v>392</v>
      </c>
      <c r="B22" s="38" t="str">
        <f>VLOOKUP(A22,DATAKARYAWAN,3,0)</f>
        <v>Karyawan Tetap</v>
      </c>
      <c r="C22" s="38" t="str">
        <f>VLOOKUP(A22,DATAKARYAWAN,4,0)</f>
        <v>18-070038</v>
      </c>
      <c r="D22" s="38" t="str">
        <f>VLOOKUP(A22,DATAKARYAWAN,5,0)</f>
        <v>085784800946</v>
      </c>
      <c r="E22" s="38" t="str">
        <f>VLOOKUP(A22,DATAKARYAWAN,6,0)</f>
        <v>maftuhatunn.30@gmail.com</v>
      </c>
      <c r="F22" s="38" t="str">
        <f>VLOOKUP(A22,DATAKARYAWAN,7,0)</f>
        <v>STAFF PRICING</v>
      </c>
      <c r="G22" s="38" t="str">
        <f>VLOOKUP(A22,DATAKARYAWAN,8,0)</f>
        <v>PRICING</v>
      </c>
      <c r="H22" s="455"/>
      <c r="I22" s="38" t="str">
        <f>VLOOKUP(A22,DATAKARYAWAN,10,0)</f>
        <v>Indonesia</v>
      </c>
      <c r="J22" s="38" t="str">
        <f>VLOOKUP(A22,DATAKARYAWAN,11,0)</f>
        <v>ISLAM</v>
      </c>
      <c r="K22" s="449" t="str">
        <f>VLOOKUP(A22,DATAKARYAWAN,12,0)</f>
        <v>3578152505230003</v>
      </c>
      <c r="L22" s="449" t="str">
        <f>VLOOKUP(A22,DATAKARYAWAN,13,0)</f>
        <v>3524267009000003</v>
      </c>
      <c r="M22" s="38" t="str">
        <f>VLOOKUP(A22,DATAKARYAWAN,14,0)</f>
        <v>OCBC NISP</v>
      </c>
      <c r="N22" s="38">
        <f>VLOOKUP(A22,DATAKARYAWAN,15,0)</f>
        <v>58810105914</v>
      </c>
      <c r="O22" s="38" t="str">
        <f>VLOOKUP(A22,DATAKARYAWAN,16,0)</f>
        <v>SLTA</v>
      </c>
      <c r="P22" s="97"/>
      <c r="Q22" s="38" t="str">
        <f>VLOOKUP(A22,DATAKARYAWAN,18,0)</f>
        <v>PEREMPUAN</v>
      </c>
      <c r="R22" s="49" t="str">
        <f>VLOOKUP(A22,DATAKARYAWAN,19,0)</f>
        <v>30 September 2000</v>
      </c>
      <c r="S22" s="38" t="str">
        <f>VLOOKUP(A22,DATAKARYAWAN,20,0)</f>
        <v>LAMONGAN</v>
      </c>
      <c r="U22" s="38" t="str">
        <f>VLOOKUP(A22,DATAKARYAWAN,22,0)</f>
        <v>KREMBANGAN JAYA UTARA 8/51 RT 14 / RW 5</v>
      </c>
      <c r="V22" s="38" t="str">
        <f>VLOOKUP(A22,DATAKARYAWAN,23,0)</f>
        <v/>
      </c>
      <c r="W22" s="38" t="str">
        <f>VLOOKUP(A22,DATAKARYAWAN,24,0)</f>
        <v>JAWA TIMUR</v>
      </c>
      <c r="X22" s="38" t="str">
        <f>VLOOKUP(A22,DATAKARYAWAN,25,0)</f>
        <v>SURABAYA</v>
      </c>
      <c r="Y22" s="38" t="str">
        <f>VLOOKUP(A22,DATAKARYAWAN,26,0)</f>
        <v>KREMBANGAN</v>
      </c>
      <c r="Z22" s="38" t="str">
        <f>VLOOKUP(A22,DATAKARYAWAN,27,0)</f>
        <v>KEMAYORAN</v>
      </c>
      <c r="AA22" s="38">
        <f>VLOOKUP(A22,DATAKARYAWAN,28,0)</f>
        <v>62292</v>
      </c>
      <c r="AD22" s="38" t="str">
        <f>VLOOKUP(A22,DATAKARYAWAN,31,0)</f>
        <v>TK/0</v>
      </c>
      <c r="AE22" s="97"/>
      <c r="AF22" s="38" t="str">
        <f>VLOOKUP(A22,DATAKARYAWAN,33,0)</f>
        <v>tidak ada NPWP</v>
      </c>
      <c r="AG22" s="38">
        <f>VLOOKUP(A22,DATAKARYAWAN,34,0)</f>
        <v>19076930486</v>
      </c>
      <c r="AH22" s="38" t="str">
        <f>VLOOKUP(A22,DATAKARYAWAN,35,0)</f>
        <v>0000790241141</v>
      </c>
      <c r="AI22" s="38" t="str">
        <f>VLOOKUP(A22,DATAKARYAWAN,36,0)</f>
        <v>Kelas 1</v>
      </c>
      <c r="AK22" s="451">
        <f>VLOOKUP(A22,DATAKARYAWAN,38,0)</f>
        <v>43290</v>
      </c>
      <c r="AL22" s="38" t="str">
        <f>VLOOKUP(A22,DATAKARYAWAN,39,0)</f>
        <v/>
      </c>
    </row>
    <row r="23" ht="15.75" customHeight="1">
      <c r="A23" s="45" t="s">
        <v>401</v>
      </c>
      <c r="B23" s="38" t="str">
        <f>VLOOKUP(A23,DATAKARYAWAN,3,0)</f>
        <v>Karyawan Tetap</v>
      </c>
      <c r="C23" s="38" t="str">
        <f>VLOOKUP(A23,DATAKARYAWAN,4,0)</f>
        <v>19-010040</v>
      </c>
      <c r="D23" s="38" t="str">
        <f>VLOOKUP(A23,DATAKARYAWAN,5,0)</f>
        <v>082199540904</v>
      </c>
      <c r="E23" s="38" t="str">
        <f>VLOOKUP(A23,DATAKARYAWAN,6,0)</f>
        <v>adikonyol18@gmail.com</v>
      </c>
      <c r="F23" s="38" t="str">
        <f>VLOOKUP(A23,DATAKARYAWAN,7,0)</f>
        <v>OPERASIONAL AQUA PANDAAN</v>
      </c>
      <c r="G23" s="38" t="str">
        <f>VLOOKUP(A23,DATAKARYAWAN,8,0)</f>
        <v>OPERASIONAL </v>
      </c>
      <c r="H23" s="455"/>
      <c r="I23" s="38" t="str">
        <f>VLOOKUP(A23,DATAKARYAWAN,10,0)</f>
        <v>Indonesia</v>
      </c>
      <c r="J23" s="38" t="str">
        <f>VLOOKUP(A23,DATAKARYAWAN,11,0)</f>
        <v>ISLAM</v>
      </c>
      <c r="K23" s="38" t="str">
        <f>VLOOKUP(A23,DATAKARYAWAN,12,0)</f>
        <v>3515032103230002</v>
      </c>
      <c r="L23" s="461" t="str">
        <f>VLOOKUP(A23,DATAKARYAWAN,13,0)</f>
        <v>3515031505890006</v>
      </c>
      <c r="M23" s="38" t="str">
        <f>VLOOKUP(A23,DATAKARYAWAN,14,0)</f>
        <v>OCBC NISP</v>
      </c>
      <c r="N23" s="38">
        <f>VLOOKUP(A23,DATAKARYAWAN,15,0)</f>
        <v>58810105435</v>
      </c>
      <c r="O23" s="38" t="str">
        <f>VLOOKUP(A23,DATAKARYAWAN,16,0)</f>
        <v>SLTP</v>
      </c>
      <c r="P23" s="97"/>
      <c r="Q23" s="38" t="str">
        <f>VLOOKUP(A23,DATAKARYAWAN,18,0)</f>
        <v>LAKI-LAKI</v>
      </c>
      <c r="R23" s="49" t="str">
        <f>VLOOKUP(A23,DATAKARYAWAN,19,0)</f>
        <v>15 Mei 1989</v>
      </c>
      <c r="S23" s="38" t="str">
        <f>VLOOKUP(A23,DATAKARYAWAN,20,0)</f>
        <v>Sidoarjo</v>
      </c>
      <c r="T23" s="125" t="b">
        <v>1</v>
      </c>
      <c r="U23" s="38" t="str">
        <f>VLOOKUP(A23,DATAKARYAWAN,22,0)</f>
        <v>KEPER RT 6/RW 3</v>
      </c>
      <c r="V23" s="457" t="str">
        <f>VLOOKUP(A23,DATAKARYAWAN,23,0)</f>
        <v/>
      </c>
      <c r="W23" s="38" t="str">
        <f>VLOOKUP(A23,DATAKARYAWAN,24,0)</f>
        <v>JAWA TIMUR</v>
      </c>
      <c r="X23" s="38" t="str">
        <f>VLOOKUP(A23,DATAKARYAWAN,25,0)</f>
        <v>SIDOARJO</v>
      </c>
      <c r="Y23" s="38" t="str">
        <f>VLOOKUP(A23,DATAKARYAWAN,26,0)</f>
        <v>KREMBUNG</v>
      </c>
      <c r="Z23" s="38" t="str">
        <f>VLOOKUP(A23,DATAKARYAWAN,27,0)</f>
        <v>KEPER</v>
      </c>
      <c r="AA23" s="38">
        <f>VLOOKUP(A23,DATAKARYAWAN,28,0)</f>
        <v>61275</v>
      </c>
      <c r="AC23" s="45" t="s">
        <v>141</v>
      </c>
      <c r="AD23" s="38" t="str">
        <f>VLOOKUP(A23,DATAKARYAWAN,31,0)</f>
        <v>K/1</v>
      </c>
      <c r="AE23" s="97"/>
      <c r="AF23" s="38" t="str">
        <f>VLOOKUP(A23,DATAKARYAWAN,33,0)</f>
        <v>tidak ada NPWP</v>
      </c>
      <c r="AG23" s="38">
        <f>VLOOKUP(A23,DATAKARYAWAN,34,0)</f>
        <v>19076930445</v>
      </c>
      <c r="AH23" s="38" t="str">
        <f>VLOOKUP(A23,DATAKARYAWAN,35,0)</f>
        <v>0000721176974</v>
      </c>
      <c r="AI23" s="38" t="str">
        <f>VLOOKUP(A23,DATAKARYAWAN,36,0)</f>
        <v>Kelas 1</v>
      </c>
      <c r="AJ23" s="45" t="s">
        <v>141</v>
      </c>
      <c r="AK23" s="451">
        <f>VLOOKUP(A23,DATAKARYAWAN,38,0)</f>
        <v>43466</v>
      </c>
      <c r="AL23" s="38" t="str">
        <f>VLOOKUP(A23,DATAKARYAWAN,39,0)</f>
        <v/>
      </c>
    </row>
    <row r="24" ht="15.75" customHeight="1">
      <c r="A24" s="45" t="s">
        <v>413</v>
      </c>
      <c r="B24" s="38" t="str">
        <f>VLOOKUP(A24,DATAKARYAWAN,3,0)</f>
        <v>Karyawan Tetap</v>
      </c>
      <c r="C24" s="38" t="str">
        <f>VLOOKUP(A24,DATAKARYAWAN,4,0)</f>
        <v>19-010042</v>
      </c>
      <c r="D24" s="38" t="str">
        <f>VLOOKUP(A24,DATAKARYAWAN,5,0)</f>
        <v>081234419983</v>
      </c>
      <c r="E24" s="453" t="str">
        <f>VLOOKUP(A24,DATAKARYAWAN,6,0)</f>
        <v>kus.wantosetro@gmail.com</v>
      </c>
      <c r="F24" s="38" t="str">
        <f>VLOOKUP(A24,DATAKARYAWAN,7,0)</f>
        <v>TKBM</v>
      </c>
      <c r="G24" s="38" t="str">
        <f>VLOOKUP(A24,DATAKARYAWAN,8,0)</f>
        <v>OPERASIONAL </v>
      </c>
      <c r="H24" s="455"/>
      <c r="I24" s="38" t="str">
        <f>VLOOKUP(A24,DATAKARYAWAN,10,0)</f>
        <v>Indonesia</v>
      </c>
      <c r="J24" s="38" t="str">
        <f>VLOOKUP(A24,DATAKARYAWAN,11,0)</f>
        <v>ISLAM</v>
      </c>
      <c r="K24" s="449" t="str">
        <f>VLOOKUP(A24,DATAKARYAWAN,12,0)</f>
        <v>3525131011086515</v>
      </c>
      <c r="L24" s="449" t="str">
        <f>VLOOKUP(A24,DATAKARYAWAN,13,0)</f>
        <v>3525131912740001</v>
      </c>
      <c r="M24" s="38" t="str">
        <f>VLOOKUP(A24,DATAKARYAWAN,14,0)</f>
        <v>OCBC NISP</v>
      </c>
      <c r="N24" s="38">
        <f>VLOOKUP(A24,DATAKARYAWAN,15,0)</f>
        <v>58810105260</v>
      </c>
      <c r="O24" s="38" t="str">
        <f>VLOOKUP(A24,DATAKARYAWAN,16,0)</f>
        <v>SLTA</v>
      </c>
      <c r="P24" s="97"/>
      <c r="Q24" s="38" t="str">
        <f>VLOOKUP(A24,DATAKARYAWAN,18,0)</f>
        <v>LAKI-LAKI</v>
      </c>
      <c r="R24" s="49" t="str">
        <f>VLOOKUP(A24,DATAKARYAWAN,19,0)</f>
        <v>19 Desember 1974</v>
      </c>
      <c r="S24" s="38" t="str">
        <f>VLOOKUP(A24,DATAKARYAWAN,20,0)</f>
        <v>GRESIK</v>
      </c>
      <c r="U24" s="38" t="str">
        <f>VLOOKUP(A24,DATAKARYAWAN,22,0)</f>
        <v>SETRO RT 8/RW 4</v>
      </c>
      <c r="V24" s="38" t="str">
        <f>VLOOKUP(A24,DATAKARYAWAN,23,0)</f>
        <v/>
      </c>
      <c r="W24" s="38" t="str">
        <f>VLOOKUP(A24,DATAKARYAWAN,24,0)</f>
        <v>JAWA TIMUR</v>
      </c>
      <c r="X24" s="38" t="str">
        <f>VLOOKUP(A24,DATAKARYAWAN,25,0)</f>
        <v>GRESIK</v>
      </c>
      <c r="Y24" s="38" t="str">
        <f>VLOOKUP(A24,DATAKARYAWAN,26,0)</f>
        <v>MENGANTI</v>
      </c>
      <c r="Z24" s="38" t="str">
        <f>VLOOKUP(A24,DATAKARYAWAN,27,0)</f>
        <v>SETRO</v>
      </c>
      <c r="AA24" s="38">
        <f>VLOOKUP(A24,DATAKARYAWAN,28,0)</f>
        <v>61174</v>
      </c>
      <c r="AD24" s="38" t="str">
        <f>VLOOKUP(A24,DATAKARYAWAN,31,0)</f>
        <v>K/1</v>
      </c>
      <c r="AE24" s="97"/>
      <c r="AF24" s="38" t="str">
        <f>VLOOKUP(A24,DATAKARYAWAN,33,0)</f>
        <v>tidak ada NPWP</v>
      </c>
      <c r="AG24" s="38">
        <f>VLOOKUP(A24,DATAKARYAWAN,34,0)</f>
        <v>19076930536</v>
      </c>
      <c r="AH24" s="38" t="str">
        <f>VLOOKUP(A24,DATAKARYAWAN,35,0)</f>
        <v>0003051940059</v>
      </c>
      <c r="AI24" s="38" t="str">
        <f>VLOOKUP(A24,DATAKARYAWAN,36,0)</f>
        <v>Kelas 1</v>
      </c>
      <c r="AK24" s="451">
        <f>VLOOKUP(A24,DATAKARYAWAN,38,0)</f>
        <v>43476</v>
      </c>
      <c r="AL24" s="38" t="str">
        <f>VLOOKUP(A24,DATAKARYAWAN,39,0)</f>
        <v/>
      </c>
    </row>
    <row r="25" ht="15.75" customHeight="1">
      <c r="A25" s="45" t="s">
        <v>425</v>
      </c>
      <c r="B25" s="38" t="str">
        <f>VLOOKUP(A25,DATAKARYAWAN,3,0)</f>
        <v>Karyawan Tetap</v>
      </c>
      <c r="C25" s="38" t="str">
        <f>VLOOKUP(A25,DATAKARYAWAN,4,0)</f>
        <v>19-010043</v>
      </c>
      <c r="D25" s="38" t="str">
        <f>VLOOKUP(A25,DATAKARYAWAN,5,0)</f>
        <v>089677634696</v>
      </c>
      <c r="E25" s="38" t="str">
        <f>VLOOKUP(A25,DATAKARYAWAN,6,0)</f>
        <v>jhonpeddy81@gmail.com</v>
      </c>
      <c r="F25" s="38" t="str">
        <f>VLOOKUP(A25,DATAKARYAWAN,7,0)</f>
        <v>TKBM</v>
      </c>
      <c r="G25" s="38" t="str">
        <f>VLOOKUP(A25,DATAKARYAWAN,8,0)</f>
        <v>OPERASIONAL </v>
      </c>
      <c r="H25" s="455"/>
      <c r="I25" s="38" t="str">
        <f>VLOOKUP(A25,DATAKARYAWAN,10,0)</f>
        <v>Indonesia</v>
      </c>
      <c r="J25" s="38" t="str">
        <f>VLOOKUP(A25,DATAKARYAWAN,11,0)</f>
        <v>ISLAM</v>
      </c>
      <c r="K25" s="38" t="str">
        <f>VLOOKUP(A25,DATAKARYAWAN,12,0)</f>
        <v>3578151609130002</v>
      </c>
      <c r="L25" s="38" t="str">
        <f>VLOOKUP(A25,DATAKARYAWAN,13,0)</f>
        <v>3518162006810004</v>
      </c>
      <c r="M25" s="38" t="str">
        <f>VLOOKUP(A25,DATAKARYAWAN,14,0)</f>
        <v>OCBC NISP</v>
      </c>
      <c r="N25" s="38">
        <f>VLOOKUP(A25,DATAKARYAWAN,15,0)</f>
        <v>58810105633</v>
      </c>
      <c r="O25" s="38" t="str">
        <f>VLOOKUP(A25,DATAKARYAWAN,16,0)</f>
        <v>SD</v>
      </c>
      <c r="P25" s="97"/>
      <c r="Q25" s="38" t="str">
        <f>VLOOKUP(A25,DATAKARYAWAN,18,0)</f>
        <v>LAKI-LAKI</v>
      </c>
      <c r="R25" s="49" t="str">
        <f>VLOOKUP(A25,DATAKARYAWAN,19,0)</f>
        <v>20 Juni 1981</v>
      </c>
      <c r="S25" s="38" t="str">
        <f>VLOOKUP(A25,DATAKARYAWAN,20,0)</f>
        <v>NGANJUK</v>
      </c>
      <c r="U25" s="38" t="str">
        <f>VLOOKUP(A25,DATAKARYAWAN,22,0)</f>
        <v>GADUKAN UTARA 6 B / 12A RT 8/RW 5</v>
      </c>
      <c r="V25" s="38" t="str">
        <f>VLOOKUP(A25,DATAKARYAWAN,23,0)</f>
        <v/>
      </c>
      <c r="W25" s="38" t="str">
        <f>VLOOKUP(A25,DATAKARYAWAN,24,0)</f>
        <v>JAWA TIMUR</v>
      </c>
      <c r="X25" s="38" t="str">
        <f>VLOOKUP(A25,DATAKARYAWAN,25,0)</f>
        <v>SURABAYA</v>
      </c>
      <c r="Y25" s="38" t="str">
        <f>VLOOKUP(A25,DATAKARYAWAN,26,0)</f>
        <v>KREMBANGAN</v>
      </c>
      <c r="Z25" s="38" t="str">
        <f>VLOOKUP(A25,DATAKARYAWAN,27,0)</f>
        <v>MOROKREMBANGAN</v>
      </c>
      <c r="AA25" s="38">
        <f>VLOOKUP(A25,DATAKARYAWAN,28,0)</f>
        <v>60178</v>
      </c>
      <c r="AD25" s="38" t="str">
        <f>VLOOKUP(A25,DATAKARYAWAN,31,0)</f>
        <v>K/2</v>
      </c>
      <c r="AE25" s="97"/>
      <c r="AF25" s="38" t="str">
        <f>VLOOKUP(A25,DATAKARYAWAN,33,0)</f>
        <v>tidak ada NPWP</v>
      </c>
      <c r="AG25" s="38">
        <f>VLOOKUP(A25,DATAKARYAWAN,34,0)</f>
        <v>19076930437</v>
      </c>
      <c r="AH25" s="38" t="str">
        <f>VLOOKUP(A25,DATAKARYAWAN,35,0)</f>
        <v>0002727439031</v>
      </c>
      <c r="AI25" s="38" t="str">
        <f>VLOOKUP(A25,DATAKARYAWAN,36,0)</f>
        <v>Kelas 1</v>
      </c>
      <c r="AK25" s="451">
        <f>VLOOKUP(A25,DATAKARYAWAN,38,0)</f>
        <v>43477</v>
      </c>
      <c r="AL25" s="38" t="str">
        <f>VLOOKUP(A25,DATAKARYAWAN,39,0)</f>
        <v/>
      </c>
    </row>
    <row r="26" ht="15.75" customHeight="1">
      <c r="A26" s="45" t="s">
        <v>435</v>
      </c>
      <c r="B26" s="38" t="str">
        <f>VLOOKUP(A26,DATAKARYAWAN,3,0)</f>
        <v>Karyawan Tetap</v>
      </c>
      <c r="C26" s="38" t="str">
        <f>VLOOKUP(A26,DATAKARYAWAN,4,0)</f>
        <v>19-010044</v>
      </c>
      <c r="D26" s="38" t="str">
        <f>VLOOKUP(A26,DATAKARYAWAN,5,0)</f>
        <v>085785615079</v>
      </c>
      <c r="E26" s="453" t="str">
        <f>VLOOKUP(A26,DATAKARYAWAN,6,0)</f>
        <v>alfirasaputri476@gmail.com</v>
      </c>
      <c r="F26" s="38" t="str">
        <f>VLOOKUP(A26,DATAKARYAWAN,7,0)</f>
        <v>TKBM</v>
      </c>
      <c r="G26" s="38" t="str">
        <f>VLOOKUP(A26,DATAKARYAWAN,8,0)</f>
        <v>OPERASIONAL </v>
      </c>
      <c r="H26" s="455"/>
      <c r="I26" s="38" t="str">
        <f>VLOOKUP(A26,DATAKARYAWAN,10,0)</f>
        <v>Indonesia</v>
      </c>
      <c r="J26" s="38" t="str">
        <f>VLOOKUP(A26,DATAKARYAWAN,11,0)</f>
        <v>ISLAM</v>
      </c>
      <c r="K26" s="38" t="str">
        <f>VLOOKUP(A26,DATAKARYAWAN,12,0)</f>
        <v>3578070109200004</v>
      </c>
      <c r="L26" s="38" t="str">
        <f>VLOOKUP(A26,DATAKARYAWAN,13,0)</f>
        <v>3524222712800004</v>
      </c>
      <c r="M26" s="38" t="str">
        <f>VLOOKUP(A26,DATAKARYAWAN,14,0)</f>
        <v>OCBC NISP</v>
      </c>
      <c r="N26" s="38">
        <f>VLOOKUP(A26,DATAKARYAWAN,15,0)</f>
        <v>58810105336</v>
      </c>
      <c r="O26" s="38" t="str">
        <f>VLOOKUP(A26,DATAKARYAWAN,16,0)</f>
        <v>SD</v>
      </c>
      <c r="P26" s="97"/>
      <c r="Q26" s="38" t="str">
        <f>VLOOKUP(A26,DATAKARYAWAN,18,0)</f>
        <v>LAKI-LAKI</v>
      </c>
      <c r="R26" s="49" t="str">
        <f>VLOOKUP(A26,DATAKARYAWAN,19,0)</f>
        <v>27 Desember 1980</v>
      </c>
      <c r="S26" s="38" t="str">
        <f>VLOOKUP(A26,DATAKARYAWAN,20,0)</f>
        <v>LAMONGAN</v>
      </c>
      <c r="U26" s="38" t="str">
        <f>VLOOKUP(A26,DATAKARYAWAN,22,0)</f>
        <v>JL KAPASARI 9 DKA 46 RT 12/RW 5</v>
      </c>
      <c r="V26" s="38" t="str">
        <f>VLOOKUP(A26,DATAKARYAWAN,23,0)</f>
        <v/>
      </c>
      <c r="W26" s="38" t="str">
        <f>VLOOKUP(A26,DATAKARYAWAN,24,0)</f>
        <v>JAWA TIMUR</v>
      </c>
      <c r="X26" s="38" t="str">
        <f>VLOOKUP(A26,DATAKARYAWAN,25,0)</f>
        <v>SURABAYA</v>
      </c>
      <c r="Y26" s="38" t="str">
        <f>VLOOKUP(A26,DATAKARYAWAN,26,0)</f>
        <v>GENTENG</v>
      </c>
      <c r="Z26" s="38" t="str">
        <f>VLOOKUP(A26,DATAKARYAWAN,27,0)</f>
        <v>KAPASARI</v>
      </c>
      <c r="AA26" s="38">
        <f>VLOOKUP(A26,DATAKARYAWAN,28,0)</f>
        <v>60278</v>
      </c>
      <c r="AD26" s="38" t="str">
        <f>VLOOKUP(A26,DATAKARYAWAN,31,0)</f>
        <v>K/2</v>
      </c>
      <c r="AE26" s="97"/>
      <c r="AF26" s="38" t="str">
        <f>VLOOKUP(A26,DATAKARYAWAN,33,0)</f>
        <v>tidak ada NPWP</v>
      </c>
      <c r="AG26" s="38">
        <f>VLOOKUP(A26,DATAKARYAWAN,34,0)</f>
        <v>19076930460</v>
      </c>
      <c r="AH26" s="38" t="str">
        <f>VLOOKUP(A26,DATAKARYAWAN,35,0)</f>
        <v>0000758064565</v>
      </c>
      <c r="AI26" s="38" t="str">
        <f>VLOOKUP(A26,DATAKARYAWAN,36,0)</f>
        <v>Kelas 1</v>
      </c>
      <c r="AK26" s="451">
        <f>VLOOKUP(A26,DATAKARYAWAN,38,0)</f>
        <v>43478</v>
      </c>
      <c r="AL26" s="38" t="str">
        <f>VLOOKUP(A26,DATAKARYAWAN,39,0)</f>
        <v/>
      </c>
    </row>
    <row r="27" ht="15.75" customHeight="1">
      <c r="A27" s="45" t="s">
        <v>455</v>
      </c>
      <c r="B27" s="38" t="str">
        <f>VLOOKUP(A27,DATAKARYAWAN,3,0)</f>
        <v>Karyawan Tetap</v>
      </c>
      <c r="C27" s="38" t="str">
        <f>VLOOKUP(A27,DATAKARYAWAN,4,0)</f>
        <v>19-020047</v>
      </c>
      <c r="D27" s="38" t="str">
        <f>VLOOKUP(A27,DATAKARYAWAN,5,0)</f>
        <v>083192946679</v>
      </c>
      <c r="E27" s="38" t="str">
        <f>VLOOKUP(A27,DATAKARYAWAN,6,0)</f>
        <v>sultontriguna04@gmail.com</v>
      </c>
      <c r="F27" s="38" t="str">
        <f>VLOOKUP(A27,DATAKARYAWAN,7,0)</f>
        <v>STAFF CS &amp; DOC  BONGKAR</v>
      </c>
      <c r="G27" s="38" t="str">
        <f>VLOOKUP(A27,DATAKARYAWAN,8,0)</f>
        <v>CUSTOMER SERVICE</v>
      </c>
      <c r="H27" s="455"/>
      <c r="I27" s="38" t="str">
        <f>VLOOKUP(A27,DATAKARYAWAN,10,0)</f>
        <v>Indonesia</v>
      </c>
      <c r="J27" s="38" t="str">
        <f>VLOOKUP(A27,DATAKARYAWAN,11,0)</f>
        <v>ISLAM</v>
      </c>
      <c r="K27" s="449" t="str">
        <f>VLOOKUP(A27,DATAKARYAWAN,12,0)</f>
        <v>3578152505230003</v>
      </c>
      <c r="L27" s="38" t="str">
        <f>VLOOKUP(A27,DATAKARYAWAN,13,0)</f>
        <v>3578150401000003</v>
      </c>
      <c r="M27" s="38" t="str">
        <f>VLOOKUP(A27,DATAKARYAWAN,14,0)</f>
        <v>OCBC NISP</v>
      </c>
      <c r="N27" s="38">
        <f>VLOOKUP(A27,DATAKARYAWAN,15,0)</f>
        <v>58810105609</v>
      </c>
      <c r="O27" s="38" t="str">
        <f>VLOOKUP(A27,DATAKARYAWAN,16,0)</f>
        <v>TDK/BLM SEKOLAH</v>
      </c>
      <c r="P27" s="97"/>
      <c r="Q27" s="38" t="str">
        <f>VLOOKUP(A27,DATAKARYAWAN,18,0)</f>
        <v>LAKI-LAKI</v>
      </c>
      <c r="R27" s="49" t="str">
        <f>VLOOKUP(A27,DATAKARYAWAN,19,0)</f>
        <v>4 Januari 2000</v>
      </c>
      <c r="S27" s="38" t="str">
        <f>VLOOKUP(A27,DATAKARYAWAN,20,0)</f>
        <v>SURABAYA</v>
      </c>
      <c r="U27" s="38" t="str">
        <f>VLOOKUP(A27,DATAKARYAWAN,22,0)</f>
        <v>KREMBANGAN JAYA UTARA 8/51 RT 14 / RW 5</v>
      </c>
      <c r="V27" s="38" t="str">
        <f>VLOOKUP(A27,DATAKARYAWAN,23,0)</f>
        <v/>
      </c>
      <c r="W27" s="38" t="str">
        <f>VLOOKUP(A27,DATAKARYAWAN,24,0)</f>
        <v>JAWA TIMUR</v>
      </c>
      <c r="X27" s="38" t="str">
        <f>VLOOKUP(A27,DATAKARYAWAN,25,0)</f>
        <v>SURABAYA</v>
      </c>
      <c r="Y27" s="38" t="str">
        <f>VLOOKUP(A27,DATAKARYAWAN,26,0)</f>
        <v>KREMBANGAN</v>
      </c>
      <c r="Z27" s="38" t="str">
        <f>VLOOKUP(A27,DATAKARYAWAN,27,0)</f>
        <v>KEMAYORAN</v>
      </c>
      <c r="AA27" s="38">
        <f>VLOOKUP(A27,DATAKARYAWAN,28,0)</f>
        <v>60176</v>
      </c>
      <c r="AD27" s="38" t="str">
        <f>VLOOKUP(A27,DATAKARYAWAN,31,0)</f>
        <v>K/1</v>
      </c>
      <c r="AE27" s="97"/>
      <c r="AF27" s="38" t="str">
        <f>VLOOKUP(A27,DATAKARYAWAN,33,0)</f>
        <v>tidak ada NPWP</v>
      </c>
      <c r="AG27" s="38">
        <f>VLOOKUP(A27,DATAKARYAWAN,34,0)</f>
        <v>20016994319</v>
      </c>
      <c r="AH27" s="38" t="str">
        <f>VLOOKUP(A27,DATAKARYAWAN,35,0)</f>
        <v>0000790136976</v>
      </c>
      <c r="AI27" s="38" t="str">
        <f>VLOOKUP(A27,DATAKARYAWAN,36,0)</f>
        <v>Kelas 1</v>
      </c>
      <c r="AK27" s="451">
        <f>VLOOKUP(A27,DATAKARYAWAN,38,0)</f>
        <v>43507</v>
      </c>
      <c r="AL27" s="38" t="str">
        <f>VLOOKUP(A27,DATAKARYAWAN,39,0)</f>
        <v/>
      </c>
    </row>
    <row r="28" ht="15.75" customHeight="1">
      <c r="A28" s="45" t="s">
        <v>464</v>
      </c>
      <c r="B28" s="38" t="str">
        <f>VLOOKUP(A28,DATAKARYAWAN,3,0)</f>
        <v>Karyawan Tetap</v>
      </c>
      <c r="C28" s="38" t="str">
        <f>VLOOKUP(A28,DATAKARYAWAN,4,0)</f>
        <v>19-030048</v>
      </c>
      <c r="D28" s="38" t="str">
        <f>VLOOKUP(A28,DATAKARYAWAN,5,0)</f>
        <v>081246662706</v>
      </c>
      <c r="E28" s="38" t="str">
        <f>VLOOKUP(A28,DATAKARYAWAN,6,0)</f>
        <v>suyonosurabaya852@gmail.com</v>
      </c>
      <c r="F28" s="38" t="str">
        <f>VLOOKUP(A28,DATAKARYAWAN,7,0)</f>
        <v>TKBM</v>
      </c>
      <c r="G28" s="38" t="str">
        <f>VLOOKUP(A28,DATAKARYAWAN,8,0)</f>
        <v>OPERASIONAL </v>
      </c>
      <c r="H28" s="455"/>
      <c r="I28" s="38" t="str">
        <f>VLOOKUP(A28,DATAKARYAWAN,10,0)</f>
        <v>Indonesia</v>
      </c>
      <c r="J28" s="38" t="str">
        <f>VLOOKUP(A28,DATAKARYAWAN,11,0)</f>
        <v>ISLAM</v>
      </c>
      <c r="K28" s="38" t="str">
        <f>VLOOKUP(A28,DATAKARYAWAN,12,0)</f>
        <v>3525130911081181</v>
      </c>
      <c r="L28" s="38" t="str">
        <f>VLOOKUP(A28,DATAKARYAWAN,13,0)</f>
        <v>3525130609730004</v>
      </c>
      <c r="M28" s="38" t="str">
        <f>VLOOKUP(A28,DATAKARYAWAN,14,0)</f>
        <v>OCBC NISP</v>
      </c>
      <c r="N28" s="38">
        <f>VLOOKUP(A28,DATAKARYAWAN,15,0)</f>
        <v>58810105294</v>
      </c>
      <c r="O28" s="38" t="str">
        <f>VLOOKUP(A28,DATAKARYAWAN,16,0)</f>
        <v>SD</v>
      </c>
      <c r="P28" s="97"/>
      <c r="Q28" s="38" t="str">
        <f>VLOOKUP(A28,DATAKARYAWAN,18,0)</f>
        <v>LAKI-LAKI</v>
      </c>
      <c r="R28" s="49" t="str">
        <f>VLOOKUP(A28,DATAKARYAWAN,19,0)</f>
        <v>9 Juni 1973</v>
      </c>
      <c r="S28" s="38" t="str">
        <f>VLOOKUP(A28,DATAKARYAWAN,20,0)</f>
        <v>BLITAR</v>
      </c>
      <c r="U28" s="38" t="str">
        <f>VLOOKUP(A28,DATAKARYAWAN,22,0)</f>
        <v>SIDOJANGKUNG RT 14/RW 5</v>
      </c>
      <c r="V28" s="38" t="str">
        <f>VLOOKUP(A28,DATAKARYAWAN,23,0)</f>
        <v/>
      </c>
      <c r="W28" s="38" t="str">
        <f>VLOOKUP(A28,DATAKARYAWAN,24,0)</f>
        <v>JAWA TIMUR</v>
      </c>
      <c r="X28" s="38" t="str">
        <f>VLOOKUP(A28,DATAKARYAWAN,25,0)</f>
        <v>GRESIK</v>
      </c>
      <c r="Y28" s="38" t="str">
        <f>VLOOKUP(A28,DATAKARYAWAN,26,0)</f>
        <v>MENGANTI</v>
      </c>
      <c r="Z28" s="38" t="str">
        <f>VLOOKUP(A28,DATAKARYAWAN,27,0)</f>
        <v>SIDOJANGKUNG</v>
      </c>
      <c r="AA28" s="38">
        <f>VLOOKUP(A28,DATAKARYAWAN,28,0)</f>
        <v>61174</v>
      </c>
      <c r="AD28" s="38" t="str">
        <f>VLOOKUP(A28,DATAKARYAWAN,31,0)</f>
        <v>K/0</v>
      </c>
      <c r="AE28" s="97"/>
      <c r="AF28" s="38" t="str">
        <f>VLOOKUP(A28,DATAKARYAWAN,33,0)</f>
        <v>tidak ada NPWP</v>
      </c>
      <c r="AG28" s="38">
        <f>VLOOKUP(A28,DATAKARYAWAN,34,0)</f>
        <v>19076930510</v>
      </c>
      <c r="AH28" s="38" t="str">
        <f>VLOOKUP(A28,DATAKARYAWAN,35,0)</f>
        <v>0000760788112</v>
      </c>
      <c r="AI28" s="38" t="str">
        <f>VLOOKUP(A28,DATAKARYAWAN,36,0)</f>
        <v>Kelas 1</v>
      </c>
      <c r="AK28" s="451">
        <f>VLOOKUP(A28,DATAKARYAWAN,38,0)</f>
        <v>43528</v>
      </c>
      <c r="AL28" s="38" t="str">
        <f>VLOOKUP(A28,DATAKARYAWAN,39,0)</f>
        <v/>
      </c>
    </row>
    <row r="29" ht="15.75" customHeight="1">
      <c r="A29" s="45" t="s">
        <v>475</v>
      </c>
      <c r="B29" s="38" t="str">
        <f>VLOOKUP(A29,DATAKARYAWAN,3,0)</f>
        <v>Karyawan Tetap</v>
      </c>
      <c r="C29" s="38" t="str">
        <f>VLOOKUP(A29,DATAKARYAWAN,4,0)</f>
        <v>19-030049</v>
      </c>
      <c r="D29" s="38" t="str">
        <f>VLOOKUP(A29,DATAKARYAWAN,5,0)</f>
        <v>082139350985</v>
      </c>
      <c r="E29" s="38" t="str">
        <f>VLOOKUP(A29,DATAKARYAWAN,6,0)</f>
        <v>Ilham27112016@gmail.com</v>
      </c>
      <c r="F29" s="38" t="str">
        <f>VLOOKUP(A29,DATAKARYAWAN,7,0)</f>
        <v>TKBM</v>
      </c>
      <c r="G29" s="38" t="str">
        <f>VLOOKUP(A29,DATAKARYAWAN,8,0)</f>
        <v>OPERASIONAL </v>
      </c>
      <c r="H29" s="455"/>
      <c r="I29" s="38" t="str">
        <f>VLOOKUP(A29,DATAKARYAWAN,10,0)</f>
        <v>Indonesia</v>
      </c>
      <c r="J29" s="38" t="str">
        <f>VLOOKUP(A29,DATAKARYAWAN,11,0)</f>
        <v>ISLAM</v>
      </c>
      <c r="K29" s="449" t="str">
        <f>VLOOKUP(A29,DATAKARYAWAN,12,0)</f>
        <v>3524162708101560</v>
      </c>
      <c r="L29" s="449" t="str">
        <f>VLOOKUP(A29,DATAKARYAWAN,13,0)</f>
        <v>3524162603830002</v>
      </c>
      <c r="M29" s="38" t="str">
        <f>VLOOKUP(A29,DATAKARYAWAN,14,0)</f>
        <v>OCBC NISP</v>
      </c>
      <c r="N29" s="38">
        <f>VLOOKUP(A29,DATAKARYAWAN,15,0)</f>
        <v>58810105328</v>
      </c>
      <c r="O29" s="38" t="str">
        <f>VLOOKUP(A29,DATAKARYAWAN,16,0)</f>
        <v>SLTA</v>
      </c>
      <c r="P29" s="97"/>
      <c r="Q29" s="38" t="str">
        <f>VLOOKUP(A29,DATAKARYAWAN,18,0)</f>
        <v>LAKI-LAKI</v>
      </c>
      <c r="R29" s="49" t="str">
        <f>VLOOKUP(A29,DATAKARYAWAN,19,0)</f>
        <v>26 Maret 1983</v>
      </c>
      <c r="S29" s="38" t="str">
        <f>VLOOKUP(A29,DATAKARYAWAN,20,0)</f>
        <v>LAMONGAN</v>
      </c>
      <c r="U29" s="38" t="str">
        <f>VLOOKUP(A29,DATAKARYAWAN,22,0)</f>
        <v>SUKOWATI RT 1/ RW 1</v>
      </c>
      <c r="V29" s="38" t="str">
        <f>VLOOKUP(A29,DATAKARYAWAN,23,0)</f>
        <v/>
      </c>
      <c r="W29" s="38" t="str">
        <f>VLOOKUP(A29,DATAKARYAWAN,24,0)</f>
        <v>JAWA TIMUR</v>
      </c>
      <c r="X29" s="38" t="str">
        <f>VLOOKUP(A29,DATAKARYAWAN,25,0)</f>
        <v>LAMONGAN</v>
      </c>
      <c r="Y29" s="38" t="str">
        <f>VLOOKUP(A29,DATAKARYAWAN,26,0)</f>
        <v>MANTUP</v>
      </c>
      <c r="Z29" s="38" t="str">
        <f>VLOOKUP(A29,DATAKARYAWAN,27,0)</f>
        <v>SUMBERKEREP</v>
      </c>
      <c r="AA29" s="38">
        <f>VLOOKUP(A29,DATAKARYAWAN,28,0)</f>
        <v>62283</v>
      </c>
      <c r="AD29" s="38" t="str">
        <f>VLOOKUP(A29,DATAKARYAWAN,31,0)</f>
        <v>K/2</v>
      </c>
      <c r="AE29" s="97"/>
      <c r="AF29" s="38" t="str">
        <f>VLOOKUP(A29,DATAKARYAWAN,33,0)</f>
        <v>tidak ada NPWP</v>
      </c>
      <c r="AG29" s="38">
        <f>VLOOKUP(A29,DATAKARYAWAN,34,0)</f>
        <v>19076930502</v>
      </c>
      <c r="AH29" s="38" t="str">
        <f>VLOOKUP(A29,DATAKARYAWAN,35,0)</f>
        <v>0002811328558</v>
      </c>
      <c r="AI29" s="38" t="str">
        <f>VLOOKUP(A29,DATAKARYAWAN,36,0)</f>
        <v>Kelas 1</v>
      </c>
      <c r="AK29" s="451">
        <f>VLOOKUP(A29,DATAKARYAWAN,38,0)</f>
        <v>43528</v>
      </c>
      <c r="AL29" s="38" t="str">
        <f>VLOOKUP(A29,DATAKARYAWAN,39,0)</f>
        <v/>
      </c>
    </row>
    <row r="30" ht="15.75" customHeight="1">
      <c r="A30" s="45" t="s">
        <v>486</v>
      </c>
      <c r="B30" s="38" t="str">
        <f>VLOOKUP(A30,DATAKARYAWAN,3,0)</f>
        <v>Karyawan Tetap</v>
      </c>
      <c r="C30" s="38" t="str">
        <f>VLOOKUP(A30,DATAKARYAWAN,4,0)</f>
        <v>19-070050</v>
      </c>
      <c r="D30" s="38" t="str">
        <f>VLOOKUP(A30,DATAKARYAWAN,5,0)</f>
        <v>081235107055</v>
      </c>
      <c r="E30" s="453" t="str">
        <f>VLOOKUP(A30,DATAKARYAWAN,6,0)</f>
        <v>rinianggita0505@gmail.com</v>
      </c>
      <c r="F30" s="38" t="str">
        <f>VLOOKUP(A30,DATAKARYAWAN,7,0)</f>
        <v>STAFF AR</v>
      </c>
      <c r="G30" s="38" t="str">
        <f>VLOOKUP(A30,DATAKARYAWAN,8,0)</f>
        <v>KEUANGAN</v>
      </c>
      <c r="H30" s="455"/>
      <c r="I30" s="38" t="str">
        <f>VLOOKUP(A30,DATAKARYAWAN,10,0)</f>
        <v>Indonesia</v>
      </c>
      <c r="J30" s="38" t="str">
        <f>VLOOKUP(A30,DATAKARYAWAN,11,0)</f>
        <v>ISLAM</v>
      </c>
      <c r="K30" s="449" t="str">
        <f>VLOOKUP(A30,DATAKARYAWAN,12,0)</f>
        <v>3578050201086557</v>
      </c>
      <c r="L30" s="449" t="str">
        <f>VLOOKUP(A30,DATAKARYAWAN,13,0)</f>
        <v>3578057005980001</v>
      </c>
      <c r="M30" s="38" t="str">
        <f>VLOOKUP(A30,DATAKARYAWAN,14,0)</f>
        <v>OCBC NISP</v>
      </c>
      <c r="N30" s="38">
        <f>VLOOKUP(A30,DATAKARYAWAN,15,0)</f>
        <v>58810105690</v>
      </c>
      <c r="O30" s="38" t="str">
        <f>VLOOKUP(A30,DATAKARYAWAN,16,0)</f>
        <v>SD</v>
      </c>
      <c r="P30" s="97"/>
      <c r="Q30" s="38" t="str">
        <f>VLOOKUP(A30,DATAKARYAWAN,18,0)</f>
        <v>PEREMPUAN</v>
      </c>
      <c r="R30" s="49" t="str">
        <f>VLOOKUP(A30,DATAKARYAWAN,19,0)</f>
        <v>30 Mei 1998</v>
      </c>
      <c r="S30" s="38" t="str">
        <f>VLOOKUP(A30,DATAKARYAWAN,20,0)</f>
        <v>SURABAYA</v>
      </c>
      <c r="U30" s="38" t="str">
        <f>VLOOKUP(A30,DATAKARYAWAN,22,0)</f>
        <v>WONOREJO 4C/15 RT 4/ RW 15</v>
      </c>
      <c r="V30" s="38" t="str">
        <f>VLOOKUP(A30,DATAKARYAWAN,23,0)</f>
        <v/>
      </c>
      <c r="W30" s="38" t="str">
        <f>VLOOKUP(A30,DATAKARYAWAN,24,0)</f>
        <v>JAWA TIMUR</v>
      </c>
      <c r="X30" s="38" t="str">
        <f>VLOOKUP(A30,DATAKARYAWAN,25,0)</f>
        <v>SURABAYA</v>
      </c>
      <c r="Y30" s="38" t="str">
        <f>VLOOKUP(A30,DATAKARYAWAN,26,0)</f>
        <v>TANDES</v>
      </c>
      <c r="Z30" s="38" t="str">
        <f>VLOOKUP(A30,DATAKARYAWAN,27,0)</f>
        <v>MANUKAN KULON</v>
      </c>
      <c r="AA30" s="38">
        <f>VLOOKUP(A30,DATAKARYAWAN,28,0)</f>
        <v>60185</v>
      </c>
      <c r="AD30" s="38" t="str">
        <f>VLOOKUP(A30,DATAKARYAWAN,31,0)</f>
        <v>TK/0</v>
      </c>
      <c r="AE30" s="97"/>
      <c r="AF30" s="38" t="str">
        <f>VLOOKUP(A30,DATAKARYAWAN,33,0)</f>
        <v>tidak ada NPWP</v>
      </c>
      <c r="AG30" s="38">
        <f>VLOOKUP(A30,DATAKARYAWAN,34,0)</f>
        <v>19076930478</v>
      </c>
      <c r="AH30" s="38" t="str">
        <f>VLOOKUP(A30,DATAKARYAWAN,35,0)</f>
        <v>0002435035511</v>
      </c>
      <c r="AI30" s="38" t="str">
        <f>VLOOKUP(A30,DATAKARYAWAN,36,0)</f>
        <v>Kelas 1</v>
      </c>
      <c r="AK30" s="451">
        <f>VLOOKUP(A30,DATAKARYAWAN,38,0)</f>
        <v>43647</v>
      </c>
      <c r="AL30" s="38" t="str">
        <f>VLOOKUP(A30,DATAKARYAWAN,39,0)</f>
        <v/>
      </c>
    </row>
    <row r="31" ht="15.75" customHeight="1">
      <c r="A31" s="45" t="s">
        <v>538</v>
      </c>
      <c r="B31" s="38" t="str">
        <f>VLOOKUP(A31,DATAKARYAWAN,3,0)</f>
        <v>Karyawan Tetap</v>
      </c>
      <c r="C31" s="38" t="str">
        <f>VLOOKUP(A31,DATAKARYAWAN,4,0)</f>
        <v>19-100052</v>
      </c>
      <c r="D31" s="38" t="str">
        <f>VLOOKUP(A31,DATAKARYAWAN,5,0)</f>
        <v>085607526177</v>
      </c>
      <c r="E31" s="453" t="str">
        <f>VLOOKUP(A31,DATAKARYAWAN,6,0)</f>
        <v>warzkfirma@gmail.com</v>
      </c>
      <c r="F31" s="38" t="str">
        <f>VLOOKUP(A31,DATAKARYAWAN,7,0)</f>
        <v>PJ GUDANG OSOWILANGUN</v>
      </c>
      <c r="G31" s="38" t="str">
        <f>VLOOKUP(A31,DATAKARYAWAN,8,0)</f>
        <v>OPERASIONAL </v>
      </c>
      <c r="H31" s="455"/>
      <c r="I31" s="38" t="str">
        <f>VLOOKUP(A31,DATAKARYAWAN,10,0)</f>
        <v>Indonesia</v>
      </c>
      <c r="J31" s="38" t="str">
        <f>VLOOKUP(A31,DATAKARYAWAN,11,0)</f>
        <v>ISLAM</v>
      </c>
      <c r="K31" s="449" t="str">
        <f>VLOOKUP(A31,DATAKARYAWAN,12,0)</f>
        <v>3522082001070599</v>
      </c>
      <c r="L31" s="449" t="str">
        <f>VLOOKUP(A31,DATAKARYAWAN,13,0)</f>
        <v>3522080112970002</v>
      </c>
      <c r="M31" s="38" t="str">
        <f>VLOOKUP(A31,DATAKARYAWAN,14,0)</f>
        <v>OCBC NISP</v>
      </c>
      <c r="N31" s="38">
        <f>VLOOKUP(A31,DATAKARYAWAN,15,0)</f>
        <v>58810105195</v>
      </c>
      <c r="O31" s="38" t="str">
        <f>VLOOKUP(A31,DATAKARYAWAN,16,0)</f>
        <v>SD</v>
      </c>
      <c r="P31" s="97"/>
      <c r="Q31" s="38" t="str">
        <f>VLOOKUP(A31,DATAKARYAWAN,18,0)</f>
        <v>LAKI-LAKI</v>
      </c>
      <c r="R31" s="49" t="str">
        <f>VLOOKUP(A31,DATAKARYAWAN,19,0)</f>
        <v>1 Desember 1997</v>
      </c>
      <c r="S31" s="38" t="str">
        <f>VLOOKUP(A31,DATAKARYAWAN,20,0)</f>
        <v>SURABAYA</v>
      </c>
      <c r="U31" s="38" t="str">
        <f>VLOOKUP(A31,DATAKARYAWAN,22,0)</f>
        <v>DUSUN JAMBE RT 05/RW 05</v>
      </c>
      <c r="V31" s="38" t="str">
        <f>VLOOKUP(A31,DATAKARYAWAN,23,0)</f>
        <v>GADING 1 NO.23</v>
      </c>
      <c r="W31" s="38" t="str">
        <f>VLOOKUP(A31,DATAKARYAWAN,24,0)</f>
        <v>JAWA TIMUR</v>
      </c>
      <c r="X31" s="38" t="str">
        <f>VLOOKUP(A31,DATAKARYAWAN,25,0)</f>
        <v>BOJONEGORO</v>
      </c>
      <c r="Y31" s="38" t="str">
        <f>VLOOKUP(A31,DATAKARYAWAN,26,0)</f>
        <v>KEDUNGADEM</v>
      </c>
      <c r="Z31" s="38" t="str">
        <f>VLOOKUP(A31,DATAKARYAWAN,27,0)</f>
        <v>KEPOHKIDUL</v>
      </c>
      <c r="AA31" s="38">
        <f>VLOOKUP(A31,DATAKARYAWAN,28,0)</f>
        <v>62195</v>
      </c>
      <c r="AD31" s="38" t="str">
        <f>VLOOKUP(A31,DATAKARYAWAN,31,0)</f>
        <v>K/0</v>
      </c>
      <c r="AE31" s="97"/>
      <c r="AF31" s="38" t="str">
        <f>VLOOKUP(A31,DATAKARYAWAN,33,0)</f>
        <v>tidak ada NPWP</v>
      </c>
      <c r="AG31" s="38">
        <f>VLOOKUP(A31,DATAKARYAWAN,34,0)</f>
        <v>20029673140</v>
      </c>
      <c r="AH31" s="38" t="str">
        <f>VLOOKUP(A31,DATAKARYAWAN,35,0)</f>
        <v>0002726238442</v>
      </c>
      <c r="AI31" s="38" t="str">
        <f>VLOOKUP(A31,DATAKARYAWAN,36,0)</f>
        <v>Kelas 1</v>
      </c>
      <c r="AK31" s="451">
        <f>VLOOKUP(A31,DATAKARYAWAN,38,0)</f>
        <v>43753</v>
      </c>
      <c r="AL31" s="38" t="str">
        <f>VLOOKUP(A31,DATAKARYAWAN,39,0)</f>
        <v/>
      </c>
    </row>
    <row r="32" ht="15.75" customHeight="1">
      <c r="A32" s="45" t="s">
        <v>552</v>
      </c>
      <c r="B32" s="38" t="str">
        <f>VLOOKUP(A32,DATAKARYAWAN,3,0)</f>
        <v>Karyawan Tetap</v>
      </c>
      <c r="C32" s="38" t="str">
        <f>VLOOKUP(A32,DATAKARYAWAN,4,0)</f>
        <v>20-010053</v>
      </c>
      <c r="D32" s="38" t="str">
        <f>VLOOKUP(A32,DATAKARYAWAN,5,0)</f>
        <v>085866880424</v>
      </c>
      <c r="E32" s="453" t="str">
        <f>VLOOKUP(A32,DATAKARYAWAN,6,0)</f>
        <v>yogalistanto5@gmail.com</v>
      </c>
      <c r="F32" s="38" t="str">
        <f>VLOOKUP(A32,DATAKARYAWAN,7,0)</f>
        <v>STAFF KRANI</v>
      </c>
      <c r="G32" s="38" t="str">
        <f>VLOOKUP(A32,DATAKARYAWAN,8,0)</f>
        <v>OPERASIONAL </v>
      </c>
      <c r="H32" s="455"/>
      <c r="I32" s="38" t="str">
        <f>VLOOKUP(A32,DATAKARYAWAN,10,0)</f>
        <v>Indonesia</v>
      </c>
      <c r="J32" s="38" t="str">
        <f>VLOOKUP(A32,DATAKARYAWAN,11,0)</f>
        <v>ISLAM</v>
      </c>
      <c r="K32" s="449" t="str">
        <f>VLOOKUP(A32,DATAKARYAWAN,12,0)</f>
        <v>3578280801240001</v>
      </c>
      <c r="L32" s="449" t="str">
        <f>VLOOKUP(A32,DATAKARYAWAN,13,0)</f>
        <v>3578131611950004</v>
      </c>
      <c r="M32" s="38" t="str">
        <f>VLOOKUP(A32,DATAKARYAWAN,14,0)</f>
        <v>OCBC NISP</v>
      </c>
      <c r="N32" s="38">
        <f>VLOOKUP(A32,DATAKARYAWAN,15,0)</f>
        <v>58810105765</v>
      </c>
      <c r="O32" s="38" t="str">
        <f>VLOOKUP(A32,DATAKARYAWAN,16,0)</f>
        <v>SLTP</v>
      </c>
      <c r="P32" s="97"/>
      <c r="Q32" s="38" t="str">
        <f>VLOOKUP(A32,DATAKARYAWAN,18,0)</f>
        <v>LAKI-LAKI</v>
      </c>
      <c r="R32" s="49" t="str">
        <f>VLOOKUP(A32,DATAKARYAWAN,19,0)</f>
        <v>16 November 1995</v>
      </c>
      <c r="S32" s="38" t="str">
        <f>VLOOKUP(A32,DATAKARYAWAN,20,0)</f>
        <v>KEDIRI</v>
      </c>
      <c r="U32" s="38" t="str">
        <f>VLOOKUP(A32,DATAKARYAWAN,22,0)</f>
        <v>GUNDIH 3/14 RT 7/RW 1</v>
      </c>
      <c r="V32" s="38" t="str">
        <f>VLOOKUP(A32,DATAKARYAWAN,23,0)</f>
        <v/>
      </c>
      <c r="W32" s="38" t="str">
        <f>VLOOKUP(A32,DATAKARYAWAN,24,0)</f>
        <v>JAWA TIMUR</v>
      </c>
      <c r="X32" s="38" t="str">
        <f>VLOOKUP(A32,DATAKARYAWAN,25,0)</f>
        <v>SURABAYA</v>
      </c>
      <c r="Y32" s="38" t="str">
        <f>VLOOKUP(A32,DATAKARYAWAN,26,0)</f>
        <v>BUBUTAN</v>
      </c>
      <c r="Z32" s="38" t="str">
        <f>VLOOKUP(A32,DATAKARYAWAN,27,0)</f>
        <v>GUNDIH</v>
      </c>
      <c r="AA32" s="38">
        <f>VLOOKUP(A32,DATAKARYAWAN,28,0)</f>
        <v>60172</v>
      </c>
      <c r="AD32" s="38" t="str">
        <f>VLOOKUP(A32,DATAKARYAWAN,31,0)</f>
        <v>K/1</v>
      </c>
      <c r="AE32" s="97"/>
      <c r="AF32" s="38" t="str">
        <f>VLOOKUP(A32,DATAKARYAWAN,33,0)</f>
        <v>tidak ada NPWP</v>
      </c>
      <c r="AG32" s="38">
        <f>VLOOKUP(A32,DATAKARYAWAN,34,0)</f>
        <v>20039277619</v>
      </c>
      <c r="AH32" s="38" t="str">
        <f>VLOOKUP(A32,DATAKARYAWAN,35,0)</f>
        <v>0000790303127</v>
      </c>
      <c r="AI32" s="38" t="str">
        <f>VLOOKUP(A32,DATAKARYAWAN,36,0)</f>
        <v>Kelas 1</v>
      </c>
      <c r="AK32" s="451">
        <f>VLOOKUP(A32,DATAKARYAWAN,38,0)</f>
        <v>43844</v>
      </c>
      <c r="AL32" s="38" t="str">
        <f>VLOOKUP(A32,DATAKARYAWAN,39,0)</f>
        <v/>
      </c>
    </row>
    <row r="33" ht="15.75" customHeight="1">
      <c r="A33" s="45" t="s">
        <v>561</v>
      </c>
      <c r="B33" s="38" t="str">
        <f>VLOOKUP(A33,DATAKARYAWAN,3,0)</f>
        <v>Karyawan Tetap</v>
      </c>
      <c r="C33" s="38" t="str">
        <f>VLOOKUP(A33,DATAKARYAWAN,4,0)</f>
        <v>20-010054</v>
      </c>
      <c r="D33" s="38" t="str">
        <f>VLOOKUP(A33,DATAKARYAWAN,5,0)</f>
        <v>082141012805</v>
      </c>
      <c r="E33" s="38" t="str">
        <f>VLOOKUP(A33,DATAKARYAWAN,6,0)</f>
        <v>ridasyakdia@gmail.com</v>
      </c>
      <c r="F33" s="38" t="str">
        <f>VLOOKUP(A33,DATAKARYAWAN,7,0)</f>
        <v>MANAGER HRD</v>
      </c>
      <c r="G33" s="38" t="str">
        <f>VLOOKUP(A33,DATAKARYAWAN,8,0)</f>
        <v>MANAGERIAL</v>
      </c>
      <c r="H33" s="455"/>
      <c r="I33" s="38" t="str">
        <f>VLOOKUP(A33,DATAKARYAWAN,10,0)</f>
        <v>Indonesia</v>
      </c>
      <c r="J33" s="38" t="str">
        <f>VLOOKUP(A33,DATAKARYAWAN,11,0)</f>
        <v>ISLAM</v>
      </c>
      <c r="K33" s="449" t="str">
        <f>VLOOKUP(A33,DATAKARYAWAN,12,0)</f>
        <v>3525151711083614</v>
      </c>
      <c r="L33" s="449" t="str">
        <f>VLOOKUP(A33,DATAKARYAWAN,13,0)</f>
        <v>3278036007940001</v>
      </c>
      <c r="M33" s="38" t="str">
        <f>VLOOKUP(A33,DATAKARYAWAN,14,0)</f>
        <v>OCBC NISP</v>
      </c>
      <c r="N33" s="38">
        <f>VLOOKUP(A33,DATAKARYAWAN,15,0)</f>
        <v>58810107878</v>
      </c>
      <c r="O33" s="38" t="str">
        <f>VLOOKUP(A33,DATAKARYAWAN,16,0)</f>
        <v>S1</v>
      </c>
      <c r="P33" s="97"/>
      <c r="Q33" s="38" t="str">
        <f>VLOOKUP(A33,DATAKARYAWAN,18,0)</f>
        <v>PEREMPUAN</v>
      </c>
      <c r="R33" s="49" t="str">
        <f>VLOOKUP(A33,DATAKARYAWAN,19,0)</f>
        <v>22 Juli 1995</v>
      </c>
      <c r="S33" s="38" t="str">
        <f>VLOOKUP(A33,DATAKARYAWAN,20,0)</f>
        <v>SIDOARJO</v>
      </c>
      <c r="U33" s="38" t="str">
        <f>VLOOKUP(A33,DATAKARYAWAN,22,0)</f>
        <v>JL. KRIKILAN RT 12/RW 5</v>
      </c>
      <c r="V33" s="38" t="str">
        <f>VLOOKUP(A33,DATAKARYAWAN,23,0)</f>
        <v/>
      </c>
      <c r="W33" s="38" t="str">
        <f>VLOOKUP(A33,DATAKARYAWAN,24,0)</f>
        <v>JAWA TIMUR</v>
      </c>
      <c r="X33" s="38" t="str">
        <f>VLOOKUP(A33,DATAKARYAWAN,25,0)</f>
        <v>GRESIK</v>
      </c>
      <c r="Y33" s="38" t="str">
        <f>VLOOKUP(A33,DATAKARYAWAN,26,0)</f>
        <v>DRIYOREJO</v>
      </c>
      <c r="Z33" s="38" t="str">
        <f>VLOOKUP(A33,DATAKARYAWAN,27,0)</f>
        <v>KRIKILAN</v>
      </c>
      <c r="AA33" s="38">
        <f>VLOOKUP(A33,DATAKARYAWAN,28,0)</f>
        <v>61177</v>
      </c>
      <c r="AD33" s="38" t="str">
        <f>VLOOKUP(A33,DATAKARYAWAN,31,0)</f>
        <v>TK/0</v>
      </c>
      <c r="AE33" s="97"/>
      <c r="AF33" s="450" t="str">
        <f>VLOOKUP(A33,DATAKARYAWAN,33,0)</f>
        <v>857847594642000</v>
      </c>
      <c r="AG33" s="38">
        <f>VLOOKUP(A33,DATAKARYAWAN,34,0)</f>
        <v>19070759840</v>
      </c>
      <c r="AH33" s="38" t="str">
        <f>VLOOKUP(A33,DATAKARYAWAN,35,0)</f>
        <v>0003050819706</v>
      </c>
      <c r="AI33" s="38" t="str">
        <f>VLOOKUP(A33,DATAKARYAWAN,36,0)</f>
        <v>Kelas 1</v>
      </c>
      <c r="AK33" s="451">
        <f>VLOOKUP(A33,DATAKARYAWAN,38,0)</f>
        <v>43860</v>
      </c>
      <c r="AL33" s="38" t="str">
        <f>VLOOKUP(A33,DATAKARYAWAN,39,0)</f>
        <v/>
      </c>
    </row>
    <row r="34" ht="15.75" customHeight="1">
      <c r="A34" s="45" t="s">
        <v>599</v>
      </c>
      <c r="B34" s="38" t="str">
        <f>VLOOKUP(A34,DATAKARYAWAN,3,0)</f>
        <v>Karyawan Tetap</v>
      </c>
      <c r="C34" s="38" t="str">
        <f>VLOOKUP(A34,DATAKARYAWAN,4,0)</f>
        <v>20-040056</v>
      </c>
      <c r="D34" s="38" t="str">
        <f>VLOOKUP(A34,DATAKARYAWAN,5,0)</f>
        <v>081917176288</v>
      </c>
      <c r="E34" s="453" t="str">
        <f>VLOOKUP(A34,DATAKARYAWAN,6,0)</f>
        <v>evitaliani1997@gmail.com</v>
      </c>
      <c r="F34" s="38" t="str">
        <f>VLOOKUP(A34,DATAKARYAWAN,7,0)</f>
        <v>STAFF AR</v>
      </c>
      <c r="G34" s="38" t="str">
        <f>VLOOKUP(A34,DATAKARYAWAN,8,0)</f>
        <v>KEUANGAN</v>
      </c>
      <c r="H34" s="455"/>
      <c r="I34" s="38" t="str">
        <f>VLOOKUP(A34,DATAKARYAWAN,10,0)</f>
        <v>Indonesia</v>
      </c>
      <c r="J34" s="38" t="str">
        <f>VLOOKUP(A34,DATAKARYAWAN,11,0)</f>
        <v>ISLAM</v>
      </c>
      <c r="K34" s="449" t="str">
        <f>VLOOKUP(A34,DATAKARYAWAN,12,0)</f>
        <v>3578132308210003</v>
      </c>
      <c r="L34" s="449" t="str">
        <f>VLOOKUP(A34,DATAKARYAWAN,13,0)</f>
        <v>3578134209970002</v>
      </c>
      <c r="M34" s="38" t="str">
        <f>VLOOKUP(A34,DATAKARYAWAN,14,0)</f>
        <v>OCBC NISP</v>
      </c>
      <c r="N34" s="38">
        <f>VLOOKUP(A34,DATAKARYAWAN,15,0)</f>
        <v>58810105872</v>
      </c>
      <c r="O34" s="38" t="str">
        <f>VLOOKUP(A34,DATAKARYAWAN,16,0)</f>
        <v>SD</v>
      </c>
      <c r="P34" s="97"/>
      <c r="Q34" s="38" t="str">
        <f>VLOOKUP(A34,DATAKARYAWAN,18,0)</f>
        <v>PEREMPUAN</v>
      </c>
      <c r="R34" s="49" t="str">
        <f>VLOOKUP(A34,DATAKARYAWAN,19,0)</f>
        <v>02 September 1997</v>
      </c>
      <c r="S34" s="38" t="str">
        <f>VLOOKUP(A34,DATAKARYAWAN,20,0)</f>
        <v>SURABAYA</v>
      </c>
      <c r="U34" s="38" t="str">
        <f>VLOOKUP(A34,DATAKARYAWAN,22,0)</f>
        <v>DUPAK TENGAH 4/15 SURABAYA RT 7/RW 15</v>
      </c>
      <c r="V34" s="38" t="str">
        <f>VLOOKUP(A34,DATAKARYAWAN,23,0)</f>
        <v/>
      </c>
      <c r="W34" s="38" t="str">
        <f>VLOOKUP(A34,DATAKARYAWAN,24,0)</f>
        <v>JAWA TIMUR</v>
      </c>
      <c r="X34" s="38" t="str">
        <f>VLOOKUP(A34,DATAKARYAWAN,25,0)</f>
        <v>SURABAYA</v>
      </c>
      <c r="Y34" s="38" t="str">
        <f>VLOOKUP(A34,DATAKARYAWAN,26,0)</f>
        <v>BUBUTAN</v>
      </c>
      <c r="Z34" s="38" t="str">
        <f>VLOOKUP(A34,DATAKARYAWAN,27,0)</f>
        <v>JEPARA</v>
      </c>
      <c r="AA34" s="38">
        <f>VLOOKUP(A34,DATAKARYAWAN,28,0)</f>
        <v>60171</v>
      </c>
      <c r="AD34" s="38" t="str">
        <f>VLOOKUP(A34,DATAKARYAWAN,31,0)</f>
        <v>TK/0</v>
      </c>
      <c r="AE34" s="97"/>
      <c r="AF34" s="38" t="str">
        <f>VLOOKUP(A34,DATAKARYAWAN,33,0)</f>
        <v>tidak ada NPWP</v>
      </c>
      <c r="AG34" s="38">
        <f>VLOOKUP(A34,DATAKARYAWAN,34,0)</f>
        <v>17044721136</v>
      </c>
      <c r="AH34" s="38" t="str">
        <f>VLOOKUP(A34,DATAKARYAWAN,35,0)</f>
        <v>0001276519408</v>
      </c>
      <c r="AI34" s="38" t="str">
        <f>VLOOKUP(A34,DATAKARYAWAN,36,0)</f>
        <v>Kelas 1</v>
      </c>
      <c r="AK34" s="451">
        <f>VLOOKUP(A34,DATAKARYAWAN,38,0)</f>
        <v>43922</v>
      </c>
      <c r="AL34" s="38" t="str">
        <f>VLOOKUP(A34,DATAKARYAWAN,39,0)</f>
        <v/>
      </c>
    </row>
    <row r="35" ht="15.75" customHeight="1">
      <c r="A35" s="45" t="s">
        <v>609</v>
      </c>
      <c r="B35" s="38" t="str">
        <f>VLOOKUP(A35,DATAKARYAWAN,3,0)</f>
        <v>Karyawan Tetap</v>
      </c>
      <c r="C35" s="38" t="str">
        <f>VLOOKUP(A35,DATAKARYAWAN,4,0)</f>
        <v>20-080057</v>
      </c>
      <c r="D35" s="38" t="str">
        <f>VLOOKUP(A35,DATAKARYAWAN,5,0)</f>
        <v>082334519222</v>
      </c>
      <c r="E35" s="453" t="str">
        <f>VLOOKUP(A35,DATAKARYAWAN,6,0)</f>
        <v>hardiantoatmadibrata@gmail.com</v>
      </c>
      <c r="F35" s="38" t="str">
        <f>VLOOKUP(A35,DATAKARYAWAN,7,0)</f>
        <v>DRIVER/KRANI</v>
      </c>
      <c r="G35" s="38" t="str">
        <f>VLOOKUP(A35,DATAKARYAWAN,8,0)</f>
        <v>OPERASIONAL</v>
      </c>
      <c r="H35" s="455"/>
      <c r="I35" s="38" t="str">
        <f>VLOOKUP(A35,DATAKARYAWAN,10,0)</f>
        <v>Indonesia</v>
      </c>
      <c r="J35" s="38" t="str">
        <f>VLOOKUP(A35,DATAKARYAWAN,11,0)</f>
        <v>ISLAM</v>
      </c>
      <c r="K35" s="38" t="str">
        <f>VLOOKUP(A35,DATAKARYAWAN,12,0)</f>
        <v>3578271707180015</v>
      </c>
      <c r="L35" s="38" t="str">
        <f>VLOOKUP(A35,DATAKARYAWAN,13,0)</f>
        <v>3578271512920001</v>
      </c>
      <c r="M35" s="38" t="str">
        <f>VLOOKUP(A35,DATAKARYAWAN,14,0)</f>
        <v>OCBC NISP</v>
      </c>
      <c r="N35" s="38">
        <f>VLOOKUP(A35,DATAKARYAWAN,15,0)</f>
        <v>58810105591</v>
      </c>
      <c r="O35" s="38" t="str">
        <f>VLOOKUP(A35,DATAKARYAWAN,16,0)</f>
        <v>SLTA</v>
      </c>
      <c r="P35" s="97"/>
      <c r="Q35" s="38" t="str">
        <f>VLOOKUP(A35,DATAKARYAWAN,18,0)</f>
        <v>LAKI-LAKI</v>
      </c>
      <c r="R35" s="49" t="str">
        <f>VLOOKUP(A35,DATAKARYAWAN,19,0)</f>
        <v>15 Desember 1992</v>
      </c>
      <c r="S35" s="38" t="str">
        <f>VLOOKUP(A35,DATAKARYAWAN,20,0)</f>
        <v>SURABAYA</v>
      </c>
      <c r="U35" s="38" t="str">
        <f>VLOOKUP(A35,DATAKARYAWAN,22,0)</f>
        <v>SIMO RUKUN GG. BUNTU 07 RT 02/RW 4</v>
      </c>
      <c r="V35" s="38" t="str">
        <f>VLOOKUP(A35,DATAKARYAWAN,23,0)</f>
        <v/>
      </c>
      <c r="W35" s="38" t="str">
        <f>VLOOKUP(A35,DATAKARYAWAN,24,0)</f>
        <v>JAWA TIMUR</v>
      </c>
      <c r="X35" s="38" t="str">
        <f>VLOOKUP(A35,DATAKARYAWAN,25,0)</f>
        <v>SURABAYA</v>
      </c>
      <c r="Y35" s="38" t="str">
        <f>VLOOKUP(A35,DATAKARYAWAN,26,0)</f>
        <v>SUKOMANUNGGAL</v>
      </c>
      <c r="Z35" s="38" t="str">
        <f>VLOOKUP(A35,DATAKARYAWAN,27,0)</f>
        <v>SIMOMULYO</v>
      </c>
      <c r="AA35" s="38">
        <f>VLOOKUP(A35,DATAKARYAWAN,28,0)</f>
        <v>60161</v>
      </c>
      <c r="AD35" s="38" t="str">
        <f>VLOOKUP(A35,DATAKARYAWAN,31,0)</f>
        <v>K/2</v>
      </c>
      <c r="AE35" s="97"/>
      <c r="AF35" s="38" t="str">
        <f>VLOOKUP(A35,DATAKARYAWAN,33,0)</f>
        <v>901255794604000</v>
      </c>
      <c r="AG35" s="38">
        <f>VLOOKUP(A35,DATAKARYAWAN,34,0)</f>
        <v>19031361496</v>
      </c>
      <c r="AH35" s="38" t="str">
        <f>VLOOKUP(A35,DATAKARYAWAN,35,0)</f>
        <v>0001807833677</v>
      </c>
      <c r="AI35" s="38" t="str">
        <f>VLOOKUP(A35,DATAKARYAWAN,36,0)</f>
        <v>Kelas 1</v>
      </c>
      <c r="AK35" s="451">
        <f>VLOOKUP(A35,DATAKARYAWAN,38,0)</f>
        <v>44046</v>
      </c>
      <c r="AL35" s="38" t="str">
        <f>VLOOKUP(A35,DATAKARYAWAN,39,0)</f>
        <v/>
      </c>
    </row>
    <row r="36" ht="15.75" customHeight="1">
      <c r="A36" s="45" t="s">
        <v>623</v>
      </c>
      <c r="B36" s="38" t="str">
        <f>VLOOKUP(A36,DATAKARYAWAN,3,0)</f>
        <v>Karyawan Tetap</v>
      </c>
      <c r="C36" s="38" t="str">
        <f>VLOOKUP(A36,DATAKARYAWAN,4,0)</f>
        <v>20-080058</v>
      </c>
      <c r="D36" s="38" t="str">
        <f>VLOOKUP(A36,DATAKARYAWAN,5,0)</f>
        <v>085811090895</v>
      </c>
      <c r="E36" s="453" t="str">
        <f>VLOOKUP(A36,DATAKARYAWAN,6,0)</f>
        <v>suparman65200@gmail.com</v>
      </c>
      <c r="F36" s="38" t="str">
        <f>VLOOKUP(A36,DATAKARYAWAN,7,0)</f>
        <v>TKBM</v>
      </c>
      <c r="G36" s="38" t="str">
        <f>VLOOKUP(A36,DATAKARYAWAN,8,0)</f>
        <v>OPERASIONAL</v>
      </c>
      <c r="H36" s="455"/>
      <c r="I36" s="38" t="str">
        <f>VLOOKUP(A36,DATAKARYAWAN,10,0)</f>
        <v>Indonesia</v>
      </c>
      <c r="J36" s="38" t="str">
        <f>VLOOKUP(A36,DATAKARYAWAN,11,0)</f>
        <v>ISLAM</v>
      </c>
      <c r="K36" s="38" t="str">
        <f>VLOOKUP(A36,DATAKARYAWAN,12,0)</f>
        <v>3523010703064737</v>
      </c>
      <c r="L36" s="38" t="str">
        <f>VLOOKUP(A36,DATAKARYAWAN,13,0)</f>
        <v>3523010203830002</v>
      </c>
      <c r="M36" s="38" t="str">
        <f>VLOOKUP(A36,DATAKARYAWAN,14,0)</f>
        <v>OCBC NISP</v>
      </c>
      <c r="N36" s="38">
        <f>VLOOKUP(A36,DATAKARYAWAN,15,0)</f>
        <v>58810105781</v>
      </c>
      <c r="O36" s="38" t="str">
        <f>VLOOKUP(A36,DATAKARYAWAN,16,0)</f>
        <v>SD</v>
      </c>
      <c r="P36" s="97"/>
      <c r="Q36" s="38" t="str">
        <f>VLOOKUP(A36,DATAKARYAWAN,18,0)</f>
        <v>LAKI-LAKI</v>
      </c>
      <c r="R36" s="49" t="str">
        <f>VLOOKUP(A36,DATAKARYAWAN,19,0)</f>
        <v>2 Maret 1983</v>
      </c>
      <c r="S36" s="38" t="str">
        <f>VLOOKUP(A36,DATAKARYAWAN,20,0)</f>
        <v>TUBAN</v>
      </c>
      <c r="U36" s="38" t="str">
        <f>VLOOKUP(A36,DATAKARYAWAN,22,0)</f>
        <v>DSN KRAJAN RT 4 RW 2</v>
      </c>
      <c r="V36" s="38" t="str">
        <f>VLOOKUP(A36,DATAKARYAWAN,23,0)</f>
        <v/>
      </c>
      <c r="W36" s="38" t="str">
        <f>VLOOKUP(A36,DATAKARYAWAN,24,0)</f>
        <v>JAWA TIMUR</v>
      </c>
      <c r="X36" s="38" t="str">
        <f>VLOOKUP(A36,DATAKARYAWAN,25,0)</f>
        <v>TUBAN</v>
      </c>
      <c r="Y36" s="38" t="str">
        <f>VLOOKUP(A36,DATAKARYAWAN,26,0)</f>
        <v>KENDURUAN</v>
      </c>
      <c r="Z36" s="38" t="str">
        <f>VLOOKUP(A36,DATAKARYAWAN,27,0)</f>
        <v>TAWARAN</v>
      </c>
      <c r="AA36" s="38">
        <f>VLOOKUP(A36,DATAKARYAWAN,28,0)</f>
        <v>62363</v>
      </c>
      <c r="AD36" s="38" t="str">
        <f>VLOOKUP(A36,DATAKARYAWAN,31,0)</f>
        <v>K/1</v>
      </c>
      <c r="AE36" s="97"/>
      <c r="AF36" s="38" t="str">
        <f>VLOOKUP(A36,DATAKARYAWAN,33,0)</f>
        <v>tidak ada NPWP</v>
      </c>
      <c r="AG36" s="38">
        <f>VLOOKUP(A36,DATAKARYAWAN,34,0)</f>
        <v>16001426820</v>
      </c>
      <c r="AH36" s="38" t="str">
        <f>VLOOKUP(A36,DATAKARYAWAN,35,0)</f>
        <v>0003265552517</v>
      </c>
      <c r="AI36" s="38" t="str">
        <f>VLOOKUP(A36,DATAKARYAWAN,36,0)</f>
        <v>Kelas 1</v>
      </c>
      <c r="AK36" s="451">
        <f>VLOOKUP(A36,DATAKARYAWAN,38,0)</f>
        <v>44061</v>
      </c>
      <c r="AL36" s="38" t="str">
        <f>VLOOKUP(A36,DATAKARYAWAN,39,0)</f>
        <v/>
      </c>
    </row>
    <row r="37" ht="15.0" customHeight="1">
      <c r="A37" s="45" t="s">
        <v>651</v>
      </c>
      <c r="B37" s="38" t="str">
        <f>VLOOKUP(A37,DATAKARYAWAN,3,0)</f>
        <v>Karyawan Tetap</v>
      </c>
      <c r="C37" s="38" t="str">
        <f>VLOOKUP(A37,DATAKARYAWAN,4,0)</f>
        <v>21-090062</v>
      </c>
      <c r="D37" s="38" t="str">
        <f>VLOOKUP(A37,DATAKARYAWAN,5,0)</f>
        <v>085733071096</v>
      </c>
      <c r="E37" s="38" t="str">
        <f>VLOOKUP(A37,DATAKARYAWAN,6,0)</f>
        <v>hr5194396@gmail.com</v>
      </c>
      <c r="F37" s="38" t="str">
        <f>VLOOKUP(A37,DATAKARYAWAN,7,0)</f>
        <v>STAFF KRANI</v>
      </c>
      <c r="G37" s="38" t="str">
        <f>VLOOKUP(A37,DATAKARYAWAN,8,0)</f>
        <v>OPERASIONAL</v>
      </c>
      <c r="H37" s="455"/>
      <c r="I37" s="38" t="str">
        <f>VLOOKUP(A37,DATAKARYAWAN,10,0)</f>
        <v>Indonesia</v>
      </c>
      <c r="J37" s="38" t="str">
        <f>VLOOKUP(A37,DATAKARYAWAN,11,0)</f>
        <v>ISLAM</v>
      </c>
      <c r="K37" s="38" t="str">
        <f>VLOOKUP(A37,DATAKARYAWAN,12,0)</f>
        <v>3504141612061839</v>
      </c>
      <c r="L37" s="38" t="str">
        <f>VLOOKUP(A37,DATAKARYAWAN,13,0)</f>
        <v>3504143007790001</v>
      </c>
      <c r="M37" s="38" t="str">
        <f>VLOOKUP(A37,DATAKARYAWAN,14,0)</f>
        <v>OCBC NISP</v>
      </c>
      <c r="N37" s="38">
        <f>VLOOKUP(A37,DATAKARYAWAN,15,0)</f>
        <v>58810105807</v>
      </c>
      <c r="O37" s="38" t="str">
        <f>VLOOKUP(A37,DATAKARYAWAN,16,0)</f>
        <v>SLTP</v>
      </c>
      <c r="P37" s="97"/>
      <c r="Q37" s="38" t="str">
        <f>VLOOKUP(A37,DATAKARYAWAN,18,0)</f>
        <v>LAKI-LAKI</v>
      </c>
      <c r="R37" s="49" t="str">
        <f>VLOOKUP(A37,DATAKARYAWAN,19,0)</f>
        <v>30 Juli 1979</v>
      </c>
      <c r="S37" s="38" t="str">
        <f>VLOOKUP(A37,DATAKARYAWAN,20,0)</f>
        <v>TULUNGAGUNG</v>
      </c>
      <c r="U37" s="38" t="str">
        <f>VLOOKUP(A37,DATAKARYAWAN,22,0)</f>
        <v>DUSUN SUKOREJO RT 01/RW 04</v>
      </c>
      <c r="V37" s="38" t="str">
        <f>VLOOKUP(A37,DATAKARYAWAN,23,0)</f>
        <v/>
      </c>
      <c r="W37" s="38" t="str">
        <f>VLOOKUP(A37,DATAKARYAWAN,24,0)</f>
        <v>JAWA TIMUR</v>
      </c>
      <c r="X37" s="38" t="str">
        <f>VLOOKUP(A37,DATAKARYAWAN,25,0)</f>
        <v>TULUNGANGUNG</v>
      </c>
      <c r="Y37" s="38" t="str">
        <f>VLOOKUP(A37,DATAKARYAWAN,26,0)</f>
        <v>KALIDAWIR</v>
      </c>
      <c r="Z37" s="38" t="str">
        <f>VLOOKUP(A37,DATAKARYAWAN,27,0)</f>
        <v>SUKOREJO KULON</v>
      </c>
      <c r="AA37" s="38">
        <f>VLOOKUP(A37,DATAKARYAWAN,28,0)</f>
        <v>66281</v>
      </c>
      <c r="AD37" s="38" t="str">
        <f>VLOOKUP(A37,DATAKARYAWAN,31,0)</f>
        <v>K/2</v>
      </c>
      <c r="AE37" s="97"/>
      <c r="AF37" s="38" t="str">
        <f>VLOOKUP(A37,DATAKARYAWAN,33,0)</f>
        <v>tidak ada NPWP</v>
      </c>
      <c r="AG37" s="38">
        <f>VLOOKUP(A37,DATAKARYAWAN,34,0)</f>
        <v>22029165705</v>
      </c>
      <c r="AH37" s="38" t="str">
        <f>VLOOKUP(A37,DATAKARYAWAN,35,0)</f>
        <v>0003265551854</v>
      </c>
      <c r="AI37" s="38" t="str">
        <f>VLOOKUP(A37,DATAKARYAWAN,36,0)</f>
        <v>Kelas 1</v>
      </c>
      <c r="AK37" s="451">
        <f>VLOOKUP(A37,DATAKARYAWAN,38,0)</f>
        <v>44467</v>
      </c>
      <c r="AL37" s="38" t="str">
        <f>VLOOKUP(A37,DATAKARYAWAN,39,0)</f>
        <v/>
      </c>
    </row>
    <row r="38" ht="15.0" customHeight="1">
      <c r="A38" s="45" t="s">
        <v>691</v>
      </c>
      <c r="B38" s="38" t="str">
        <f>VLOOKUP(A38,DATAKARYAWAN,3,0)</f>
        <v>Karyawan Tetap</v>
      </c>
      <c r="C38" s="38" t="str">
        <f>VLOOKUP(A38,DATAKARYAWAN,4,0)</f>
        <v>22-040065</v>
      </c>
      <c r="D38" s="38" t="str">
        <f>VLOOKUP(A38,DATAKARYAWAN,5,0)</f>
        <v>0895328275619</v>
      </c>
      <c r="E38" s="453" t="str">
        <f>VLOOKUP(A38,DATAKARYAWAN,6,0)</f>
        <v>chamarudinpenyok@gmail.com</v>
      </c>
      <c r="F38" s="38" t="str">
        <f>VLOOKUP(A38,DATAKARYAWAN,7,0)</f>
        <v>OPERASIONAL AQUA PANDAAN</v>
      </c>
      <c r="G38" s="38" t="str">
        <f>VLOOKUP(A38,DATAKARYAWAN,8,0)</f>
        <v>OPERASIONAL</v>
      </c>
      <c r="H38" s="455"/>
      <c r="I38" s="38" t="str">
        <f>VLOOKUP(A38,DATAKARYAWAN,10,0)</f>
        <v>Indonesia</v>
      </c>
      <c r="J38" s="38" t="str">
        <f>VLOOKUP(A38,DATAKARYAWAN,11,0)</f>
        <v>ISLAM</v>
      </c>
      <c r="K38" s="38" t="str">
        <f>VLOOKUP(A38,DATAKARYAWAN,12,0)</f>
        <v>3514100112220005</v>
      </c>
      <c r="L38" s="38" t="str">
        <f>VLOOKUP(A38,DATAKARYAWAN,13,0)</f>
        <v>3514102703020002</v>
      </c>
      <c r="M38" s="38" t="str">
        <f>VLOOKUP(A38,DATAKARYAWAN,14,0)</f>
        <v>OCBC NISP</v>
      </c>
      <c r="N38" s="38">
        <f>VLOOKUP(A38,DATAKARYAWAN,15,0)</f>
        <v>58810105930</v>
      </c>
      <c r="O38" s="38" t="str">
        <f>VLOOKUP(A38,DATAKARYAWAN,16,0)</f>
        <v>BLM TAMAT SD</v>
      </c>
      <c r="P38" s="97"/>
      <c r="Q38" s="38" t="str">
        <f>VLOOKUP(A38,DATAKARYAWAN,18,0)</f>
        <v>LAKI-LAKI</v>
      </c>
      <c r="R38" s="49" t="str">
        <f>VLOOKUP(A38,DATAKARYAWAN,19,0)</f>
        <v>27 Maret 2002</v>
      </c>
      <c r="S38" s="38" t="str">
        <f>VLOOKUP(A38,DATAKARYAWAN,20,0)</f>
        <v>PASURUAN</v>
      </c>
      <c r="U38" s="38" t="str">
        <f>VLOOKUP(A38,DATAKARYAWAN,22,0)</f>
        <v>DUSUN KESAMBEN RT 2/RW 3</v>
      </c>
      <c r="V38" s="38" t="str">
        <f>VLOOKUP(A38,DATAKARYAWAN,23,0)</f>
        <v/>
      </c>
      <c r="W38" s="38" t="str">
        <f>VLOOKUP(A38,DATAKARYAWAN,24,0)</f>
        <v>JAWA TIMUR</v>
      </c>
      <c r="X38" s="38" t="str">
        <f>VLOOKUP(A38,DATAKARYAWAN,25,0)</f>
        <v>PASURUAN</v>
      </c>
      <c r="Y38" s="38" t="str">
        <f>VLOOKUP(A38,DATAKARYAWAN,26,0)</f>
        <v>PRIGEN</v>
      </c>
      <c r="Z38" s="38" t="str">
        <f>VLOOKUP(A38,DATAKARYAWAN,27,0)</f>
        <v>SUKORENO</v>
      </c>
      <c r="AA38" s="38">
        <f>VLOOKUP(A38,DATAKARYAWAN,28,0)</f>
        <v>67157</v>
      </c>
      <c r="AD38" s="38" t="str">
        <f>VLOOKUP(A38,DATAKARYAWAN,31,0)</f>
        <v>K/2</v>
      </c>
      <c r="AE38" s="97"/>
      <c r="AF38" s="38" t="str">
        <f>VLOOKUP(A38,DATAKARYAWAN,33,0)</f>
        <v>tidak ada NPWP</v>
      </c>
      <c r="AG38" s="38">
        <f>VLOOKUP(A38,DATAKARYAWAN,34,0)</f>
        <v>22077149445</v>
      </c>
      <c r="AH38" s="38" t="str">
        <f>VLOOKUP(A38,DATAKARYAWAN,35,0)</f>
        <v>0003507954039</v>
      </c>
      <c r="AI38" s="38" t="str">
        <f>VLOOKUP(A38,DATAKARYAWAN,36,0)</f>
        <v>Kelas 1</v>
      </c>
      <c r="AK38" s="451">
        <f>VLOOKUP(A38,DATAKARYAWAN,38,0)</f>
        <v>44652</v>
      </c>
      <c r="AL38" s="38" t="str">
        <f>VLOOKUP(A38,DATAKARYAWAN,39,0)</f>
        <v/>
      </c>
    </row>
    <row r="39" ht="15.0" customHeight="1">
      <c r="A39" s="45" t="s">
        <v>701</v>
      </c>
      <c r="B39" s="38" t="str">
        <f>VLOOKUP(A39,DATAKARYAWAN,3,0)</f>
        <v>Karyawan Tetap</v>
      </c>
      <c r="C39" s="38" t="str">
        <f>VLOOKUP(A39,DATAKARYAWAN,4,0)</f>
        <v>22-060066</v>
      </c>
      <c r="D39" s="38" t="str">
        <f>VLOOKUP(A39,DATAKARYAWAN,5,0)</f>
        <v>08211602435</v>
      </c>
      <c r="E39" s="453" t="str">
        <f>VLOOKUP(A39,DATAKARYAWAN,6,0)</f>
        <v>imansul22@gmail.com</v>
      </c>
      <c r="F39" s="38" t="str">
        <f>VLOOKUP(A39,DATAKARYAWAN,7,0)</f>
        <v>STAFF ACCOUNTING &amp; TAX</v>
      </c>
      <c r="G39" s="38" t="str">
        <f>VLOOKUP(A39,DATAKARYAWAN,8,0)</f>
        <v>KEUANGAN</v>
      </c>
      <c r="H39" s="455"/>
      <c r="I39" s="38" t="str">
        <f>VLOOKUP(A39,DATAKARYAWAN,10,0)</f>
        <v>Indonesia</v>
      </c>
      <c r="J39" s="38" t="str">
        <f>VLOOKUP(A39,DATAKARYAWAN,11,0)</f>
        <v>ISLAM</v>
      </c>
      <c r="K39" s="38" t="str">
        <f>VLOOKUP(A39,DATAKARYAWAN,12,0)</f>
        <v>3205220812071858</v>
      </c>
      <c r="L39" s="38" t="str">
        <f>VLOOKUP(A39,DATAKARYAWAN,13,0)</f>
        <v>3205222606920001</v>
      </c>
      <c r="M39" s="38" t="str">
        <f>VLOOKUP(A39,DATAKARYAWAN,14,0)</f>
        <v>OCBC NISP</v>
      </c>
      <c r="N39" s="38">
        <f>VLOOKUP(A39,DATAKARYAWAN,15,0)</f>
        <v>58810105203</v>
      </c>
      <c r="O39" s="38" t="str">
        <f>VLOOKUP(A39,DATAKARYAWAN,16,0)</f>
        <v>S1</v>
      </c>
      <c r="P39" s="97"/>
      <c r="Q39" s="38" t="str">
        <f>VLOOKUP(A39,DATAKARYAWAN,18,0)</f>
        <v>LAKI-LAKI</v>
      </c>
      <c r="R39" s="49" t="str">
        <f>VLOOKUP(A39,DATAKARYAWAN,19,0)</f>
        <v>26 Juni 1992</v>
      </c>
      <c r="S39" s="38" t="str">
        <f>VLOOKUP(A39,DATAKARYAWAN,20,0)</f>
        <v>GARUT</v>
      </c>
      <c r="U39" s="38" t="str">
        <f>VLOOKUP(A39,DATAKARYAWAN,22,0)</f>
        <v>KP. PADASUKA RT 05/ RW 03</v>
      </c>
      <c r="V39" s="38" t="str">
        <f>VLOOKUP(A39,DATAKARYAWAN,23,0)</f>
        <v>JL. DUPAK BANGUNREJO GANG 6 NO.16</v>
      </c>
      <c r="W39" s="38" t="str">
        <f>VLOOKUP(A39,DATAKARYAWAN,24,0)</f>
        <v>JAWA BARAT</v>
      </c>
      <c r="X39" s="38" t="str">
        <f>VLOOKUP(A39,DATAKARYAWAN,25,0)</f>
        <v>GARUT</v>
      </c>
      <c r="Y39" s="38" t="str">
        <f>VLOOKUP(A39,DATAKARYAWAN,26,0)</f>
        <v>CIKAJANG</v>
      </c>
      <c r="Z39" s="38" t="str">
        <f>VLOOKUP(A39,DATAKARYAWAN,27,0)</f>
        <v>PADASUKA</v>
      </c>
      <c r="AA39" s="38">
        <f>VLOOKUP(A39,DATAKARYAWAN,28,0)</f>
        <v>44171</v>
      </c>
      <c r="AD39" s="38" t="str">
        <f>VLOOKUP(A39,DATAKARYAWAN,31,0)</f>
        <v>TK/0</v>
      </c>
      <c r="AE39" s="97"/>
      <c r="AF39" s="450" t="str">
        <f>VLOOKUP(A39,DATAKARYAWAN,33,0)</f>
        <v>707196333443000</v>
      </c>
      <c r="AG39" s="38">
        <f>VLOOKUP(A39,DATAKARYAWAN,34,0)</f>
        <v>22103844274</v>
      </c>
      <c r="AH39" s="38" t="str">
        <f>VLOOKUP(A39,DATAKARYAWAN,35,0)</f>
        <v>0002299711443</v>
      </c>
      <c r="AI39" s="38" t="str">
        <f>VLOOKUP(A39,DATAKARYAWAN,36,0)</f>
        <v>Kelas 1</v>
      </c>
      <c r="AK39" s="451">
        <f>VLOOKUP(A39,DATAKARYAWAN,38,0)</f>
        <v>44714</v>
      </c>
      <c r="AL39" s="38" t="str">
        <f>VLOOKUP(A39,DATAKARYAWAN,39,0)</f>
        <v/>
      </c>
    </row>
    <row r="40" ht="15.0" customHeight="1">
      <c r="A40" s="45" t="s">
        <v>717</v>
      </c>
      <c r="B40" s="38" t="str">
        <f>VLOOKUP(A40,DATAKARYAWAN,3,0)</f>
        <v>Karyawan Tetap</v>
      </c>
      <c r="C40" s="38" t="str">
        <f>VLOOKUP(A40,DATAKARYAWAN,4,0)</f>
        <v>22-060067</v>
      </c>
      <c r="D40" s="38" t="str">
        <f>VLOOKUP(A40,DATAKARYAWAN,5,0)</f>
        <v>081282344757</v>
      </c>
      <c r="E40" s="453" t="str">
        <f>VLOOKUP(A40,DATAKARYAWAN,6,0)</f>
        <v>ciciliaagita09@gmail.com</v>
      </c>
      <c r="F40" s="38" t="str">
        <f>VLOOKUP(A40,DATAKARYAWAN,7,0)</f>
        <v>STAFF CS &amp; DOC LCL</v>
      </c>
      <c r="G40" s="38" t="str">
        <f>VLOOKUP(A40,DATAKARYAWAN,8,0)</f>
        <v>CUSTOMER SERVICE</v>
      </c>
      <c r="H40" s="455"/>
      <c r="I40" s="38" t="str">
        <f>VLOOKUP(A40,DATAKARYAWAN,10,0)</f>
        <v>Indonesia</v>
      </c>
      <c r="J40" s="38" t="str">
        <f>VLOOKUP(A40,DATAKARYAWAN,11,0)</f>
        <v>ISLAM</v>
      </c>
      <c r="K40" s="38" t="str">
        <f>VLOOKUP(A40,DATAKARYAWAN,12,0)</f>
        <v>3578060501083113</v>
      </c>
      <c r="L40" s="38" t="str">
        <f>VLOOKUP(A40,DATAKARYAWAN,13,0)</f>
        <v>3578065809960004</v>
      </c>
      <c r="M40" s="38" t="str">
        <f>VLOOKUP(A40,DATAKARYAWAN,14,0)</f>
        <v>OCBC NISP</v>
      </c>
      <c r="N40" s="38">
        <f>VLOOKUP(A40,DATAKARYAWAN,15,0)</f>
        <v>58810105526</v>
      </c>
      <c r="O40" s="38" t="str">
        <f>VLOOKUP(A40,DATAKARYAWAN,16,0)</f>
        <v>S1</v>
      </c>
      <c r="P40" s="97"/>
      <c r="Q40" s="38" t="str">
        <f>VLOOKUP(A40,DATAKARYAWAN,18,0)</f>
        <v>PEREMPUAN</v>
      </c>
      <c r="R40" s="49" t="str">
        <f>VLOOKUP(A40,DATAKARYAWAN,19,0)</f>
        <v>18 September 1996</v>
      </c>
      <c r="S40" s="38" t="str">
        <f>VLOOKUP(A40,DATAKARYAWAN,20,0)</f>
        <v>SURABAYA</v>
      </c>
      <c r="U40" s="38" t="str">
        <f>VLOOKUP(A40,DATAKARYAWAN,22,0)</f>
        <v>BANYU URIP LOR 11/32 RT 5/RW 6</v>
      </c>
      <c r="V40" s="38" t="str">
        <f>VLOOKUP(A40,DATAKARYAWAN,23,0)</f>
        <v/>
      </c>
      <c r="W40" s="38" t="str">
        <f>VLOOKUP(A40,DATAKARYAWAN,24,0)</f>
        <v>JAWA TIMUR</v>
      </c>
      <c r="X40" s="38" t="str">
        <f>VLOOKUP(A40,DATAKARYAWAN,25,0)</f>
        <v>SURABAYA</v>
      </c>
      <c r="Y40" s="38" t="str">
        <f>VLOOKUP(A40,DATAKARYAWAN,26,0)</f>
        <v>SAWAHAN</v>
      </c>
      <c r="Z40" s="38" t="str">
        <f>VLOOKUP(A40,DATAKARYAWAN,27,0)</f>
        <v>KUPANG KRAJAN</v>
      </c>
      <c r="AA40" s="38">
        <f>VLOOKUP(A40,DATAKARYAWAN,28,0)</f>
        <v>60253</v>
      </c>
      <c r="AD40" s="38" t="str">
        <f>VLOOKUP(A40,DATAKARYAWAN,31,0)</f>
        <v>TK/0</v>
      </c>
      <c r="AE40" s="97"/>
      <c r="AF40" s="38" t="str">
        <f>VLOOKUP(A40,DATAKARYAWAN,33,0)</f>
        <v>tidak ada NPWP</v>
      </c>
      <c r="AG40" s="38">
        <f>VLOOKUP(A40,DATAKARYAWAN,34,0)</f>
        <v>22122951688</v>
      </c>
      <c r="AH40" s="38" t="str">
        <f>VLOOKUP(A40,DATAKARYAWAN,35,0)</f>
        <v>0001109733581</v>
      </c>
      <c r="AI40" s="38" t="str">
        <f>VLOOKUP(A40,DATAKARYAWAN,36,0)</f>
        <v>Kelas 1</v>
      </c>
      <c r="AK40" s="451">
        <f>VLOOKUP(A40,DATAKARYAWAN,38,0)</f>
        <v>44734</v>
      </c>
      <c r="AL40" s="38" t="str">
        <f>VLOOKUP(A40,DATAKARYAWAN,39,0)</f>
        <v/>
      </c>
    </row>
    <row r="41" ht="15.75" customHeight="1">
      <c r="A41" s="45" t="s">
        <v>839</v>
      </c>
      <c r="B41" s="38" t="str">
        <f>VLOOKUP(A41,DATAKARYAWAN,3,0)</f>
        <v>Karyawan Tetap</v>
      </c>
      <c r="C41" s="38" t="str">
        <f>VLOOKUP(A41,DATAKARYAWAN,4,0)</f>
        <v>22-110077</v>
      </c>
      <c r="D41" s="38" t="str">
        <f>VLOOKUP(A41,DATAKARYAWAN,5,0)</f>
        <v>081259865346</v>
      </c>
      <c r="E41" s="453" t="str">
        <f>VLOOKUP(A41,DATAKARYAWAN,6,0)</f>
        <v>ributpurnomo711786@gmail.com</v>
      </c>
      <c r="F41" s="38" t="str">
        <f>VLOOKUP(A41,DATAKARYAWAN,7,0)</f>
        <v>DINAS LUAR</v>
      </c>
      <c r="G41" s="38" t="str">
        <f>VLOOKUP(A41,DATAKARYAWAN,8,0)</f>
        <v>OPERASIONAL</v>
      </c>
      <c r="H41" s="455"/>
      <c r="I41" s="38" t="str">
        <f>VLOOKUP(A41,DATAKARYAWAN,10,0)</f>
        <v>Indonesia</v>
      </c>
      <c r="J41" s="38" t="str">
        <f>VLOOKUP(A41,DATAKARYAWAN,11,0)</f>
        <v>ISLAM</v>
      </c>
      <c r="K41" s="38" t="str">
        <f>VLOOKUP(A41,DATAKARYAWAN,12,0)</f>
        <v>3578061711120011</v>
      </c>
      <c r="L41" s="38" t="str">
        <f>VLOOKUP(A41,DATAKARYAWAN,13,0)</f>
        <v>3578060711860004</v>
      </c>
      <c r="M41" s="38" t="str">
        <f>VLOOKUP(A41,DATAKARYAWAN,14,0)</f>
        <v>OCBC NISP</v>
      </c>
      <c r="N41" s="38">
        <f>VLOOKUP(A41,DATAKARYAWAN,15,0)</f>
        <v>58810105682</v>
      </c>
      <c r="O41" s="38" t="str">
        <f>VLOOKUP(A41,DATAKARYAWAN,16,0)</f>
        <v>SLTA</v>
      </c>
      <c r="Q41" s="38" t="str">
        <f>VLOOKUP(A41,DATAKARYAWAN,18,0)</f>
        <v>LAKI-LAKI</v>
      </c>
      <c r="R41" s="49" t="str">
        <f>VLOOKUP(A41,DATAKARYAWAN,19,0)</f>
        <v>07 November 1986</v>
      </c>
      <c r="S41" s="38" t="str">
        <f>VLOOKUP(A41,DATAKARYAWAN,20,0)</f>
        <v>SURABAYA</v>
      </c>
      <c r="U41" s="38" t="str">
        <f>VLOOKUP(A41,DATAKARYAWAN,22,0)</f>
        <v>TAMBAK MAYOR SELATAN III NO. 1 RT 6/RW 7</v>
      </c>
      <c r="V41" s="38" t="str">
        <f>VLOOKUP(A41,DATAKARYAWAN,23,0)</f>
        <v/>
      </c>
      <c r="W41" s="38" t="str">
        <f>VLOOKUP(A41,DATAKARYAWAN,24,0)</f>
        <v>JAWA TIMUR</v>
      </c>
      <c r="X41" s="38" t="str">
        <f>VLOOKUP(A41,DATAKARYAWAN,25,0)</f>
        <v>SURABAYA</v>
      </c>
      <c r="Y41" s="38" t="str">
        <f>VLOOKUP(A41,DATAKARYAWAN,26,0)</f>
        <v>ASEMROWO</v>
      </c>
      <c r="Z41" s="38" t="str">
        <f>VLOOKUP(A41,DATAKARYAWAN,27,0)</f>
        <v>ASEMROWO</v>
      </c>
      <c r="AA41" s="38">
        <f>VLOOKUP(A41,DATAKARYAWAN,28,0)</f>
        <v>60182</v>
      </c>
      <c r="AD41" s="38" t="str">
        <f>VLOOKUP(A41,DATAKARYAWAN,31,0)</f>
        <v>K/3</v>
      </c>
      <c r="AF41" s="38" t="str">
        <f>VLOOKUP(A41,DATAKARYAWAN,33,0)</f>
        <v>tidak ada NPWP</v>
      </c>
      <c r="AG41" s="38">
        <f>VLOOKUP(A41,DATAKARYAWAN,34,0)</f>
        <v>23051272690</v>
      </c>
      <c r="AH41" s="38" t="str">
        <f>VLOOKUP(A41,DATAKARYAWAN,35,0)</f>
        <v>0001706914675</v>
      </c>
      <c r="AI41" s="38" t="str">
        <f>VLOOKUP(A41,DATAKARYAWAN,36,0)</f>
        <v>Kelas 1</v>
      </c>
      <c r="AK41" s="451">
        <f>VLOOKUP(A41,DATAKARYAWAN,38,0)</f>
        <v>44887</v>
      </c>
      <c r="AL41" s="38" t="str">
        <f>VLOOKUP(A41,DATAKARYAWAN,39,0)</f>
        <v/>
      </c>
    </row>
    <row r="42" ht="15.75" customHeight="1">
      <c r="A42" s="45" t="s">
        <v>1025</v>
      </c>
      <c r="B42" s="38" t="str">
        <f>VLOOKUP(A42,DATAKARYAWAN,3,0)</f>
        <v>Karyawan Tetap</v>
      </c>
      <c r="C42" s="38" t="str">
        <f>VLOOKUP(A42,DATAKARYAWAN,4,0)</f>
        <v>23-070082</v>
      </c>
      <c r="D42" s="38" t="str">
        <f>VLOOKUP(A42,DATAKARYAWAN,5,0)</f>
        <v>081259680273</v>
      </c>
      <c r="E42" s="453" t="str">
        <f>VLOOKUP(A42,DATAKARYAWAN,6,0)</f>
        <v>astutiksri461@gmail.com</v>
      </c>
      <c r="F42" s="38" t="str">
        <f>VLOOKUP(A42,DATAKARYAWAN,7,0)</f>
        <v>STAFF CS &amp; DOCUMENT</v>
      </c>
      <c r="G42" s="38" t="str">
        <f>VLOOKUP(A42,DATAKARYAWAN,8,0)</f>
        <v>CUSTOMER SERVICE</v>
      </c>
      <c r="I42" s="38" t="str">
        <f>VLOOKUP(A42,DATAKARYAWAN,10,0)</f>
        <v>Indonesia</v>
      </c>
      <c r="J42" s="38" t="str">
        <f>VLOOKUP(A42,DATAKARYAWAN,11,0)</f>
        <v>ISLAM</v>
      </c>
      <c r="K42" s="38" t="str">
        <f>VLOOKUP(A42,DATAKARYAWAN,12,0)</f>
        <v>3525022011085836</v>
      </c>
      <c r="L42" s="38" t="str">
        <f>VLOOKUP(A42,DATAKARYAWAN,13,0)</f>
        <v>3525025512000001</v>
      </c>
      <c r="M42" s="38" t="str">
        <f>VLOOKUP(A42,DATAKARYAWAN,14,0)</f>
        <v/>
      </c>
      <c r="N42" s="38" t="str">
        <f>VLOOKUP(A42,DATAKARYAWAN,15,0)</f>
        <v/>
      </c>
      <c r="O42" s="38" t="str">
        <f>VLOOKUP(A42,DATAKARYAWAN,16,0)</f>
        <v>S1</v>
      </c>
      <c r="Q42" s="38" t="str">
        <f>VLOOKUP(A42,DATAKARYAWAN,18,0)</f>
        <v>PEREMPUAN</v>
      </c>
      <c r="R42" s="38" t="str">
        <f>VLOOKUP(A42,DATAKARYAWAN,19,0)</f>
        <v>15 Desember 2000</v>
      </c>
      <c r="S42" s="38" t="str">
        <f>VLOOKUP(A42,DATAKARYAWAN,20,0)</f>
        <v>GRESIK</v>
      </c>
      <c r="U42" s="38" t="str">
        <f>VLOOKUP(A42,DATAKARYAWAN,22,0)</f>
        <v>MAMBUNGLOR RT 02/RW 01 </v>
      </c>
      <c r="V42" s="38" t="str">
        <f>VLOOKUP(A42,DATAKARYAWAN,23,0)</f>
        <v/>
      </c>
      <c r="W42" s="38" t="str">
        <f>VLOOKUP(A42,DATAKARYAWAN,24,0)</f>
        <v>JAWA TIMUR</v>
      </c>
      <c r="X42" s="38" t="str">
        <f>VLOOKUP(A42,DATAKARYAWAN,25,0)</f>
        <v>GRESIK</v>
      </c>
      <c r="Y42" s="38" t="str">
        <f>VLOOKUP(A42,DATAKARYAWAN,26,0)</f>
        <v>BALONGPANGGGANG</v>
      </c>
      <c r="Z42" s="38" t="str">
        <f>VLOOKUP(A42,DATAKARYAWAN,27,0)</f>
        <v>BANJARAGUNG</v>
      </c>
      <c r="AA42" s="38">
        <f>VLOOKUP(A42,DATAKARYAWAN,28,0)</f>
        <v>61173</v>
      </c>
      <c r="AD42" s="38" t="str">
        <f>VLOOKUP(A42,DATAKARYAWAN,31,0)</f>
        <v>TK/0</v>
      </c>
      <c r="AF42" s="38" t="str">
        <f>VLOOKUP(A42,DATAKARYAWAN,33,0)</f>
        <v>tidak ada NPWP</v>
      </c>
      <c r="AG42" s="38">
        <f>VLOOKUP(A42,DATAKARYAWAN,34,0)</f>
        <v>23192786053</v>
      </c>
      <c r="AH42" s="38" t="str">
        <f>VLOOKUP(A42,DATAKARYAWAN,35,0)</f>
        <v>0000761717092</v>
      </c>
      <c r="AI42" s="38" t="str">
        <f>VLOOKUP(A42,DATAKARYAWAN,36,0)</f>
        <v>Kelas 1</v>
      </c>
      <c r="AK42" s="451">
        <f>VLOOKUP(A42,DATAKARYAWAN,38,0)</f>
        <v>45134</v>
      </c>
      <c r="AL42" s="38" t="str">
        <f>VLOOKUP(A42,DATAKARYAWAN,39,0)</f>
        <v>28 OKTOBER 2023</v>
      </c>
      <c r="AM42" s="45" t="s">
        <v>892</v>
      </c>
      <c r="AN42" s="155" t="s">
        <v>904</v>
      </c>
    </row>
    <row r="43" ht="15.75" customHeight="1">
      <c r="A43" s="28" t="s">
        <v>1037</v>
      </c>
      <c r="B43" s="38" t="str">
        <f>VLOOKUP(A43,DATAKARYAWAN,3,0)</f>
        <v>Karyawan Tetap</v>
      </c>
      <c r="C43" s="38" t="str">
        <f>VLOOKUP(A43,DATAKARYAWAN,4,0)</f>
        <v>23-080083</v>
      </c>
      <c r="D43" s="38" t="str">
        <f>VLOOKUP(A43,DATAKARYAWAN,5,0)</f>
        <v>081252694763</v>
      </c>
      <c r="E43" s="453" t="str">
        <f>VLOOKUP(A43,DATAKARYAWAN,6,0)</f>
        <v>wandadeta732@gmail.com</v>
      </c>
      <c r="F43" s="38" t="str">
        <f>VLOOKUP(A43,DATAKARYAWAN,7,0)</f>
        <v>TKBM</v>
      </c>
      <c r="G43" s="38" t="str">
        <f>VLOOKUP(A43,DATAKARYAWAN,8,0)</f>
        <v>OPERASIONAL</v>
      </c>
      <c r="H43" s="38"/>
      <c r="I43" s="38" t="str">
        <f>VLOOKUP(A43,DATAKARYAWAN,10,0)</f>
        <v>Indonesia</v>
      </c>
      <c r="J43" s="38" t="str">
        <f>VLOOKUP(A43,DATAKARYAWAN,11,0)</f>
        <v>ISLAM</v>
      </c>
      <c r="K43" s="38" t="str">
        <f>VLOOKUP(A43,DATAKARYAWAN,12,0)</f>
        <v>3525131011087567</v>
      </c>
      <c r="L43" s="38" t="str">
        <f>VLOOKUP(A43,DATAKARYAWAN,13,0)</f>
        <v>3525130707990002</v>
      </c>
      <c r="M43" s="38" t="str">
        <f>VLOOKUP(A43,DATAKARYAWAN,14,0)</f>
        <v>OCBC</v>
      </c>
      <c r="N43" s="38" t="str">
        <f>VLOOKUP(A43,DATAKARYAWAN,15,0)</f>
        <v>0000000693815544756</v>
      </c>
      <c r="O43" s="38" t="str">
        <f>VLOOKUP(A43,DATAKARYAWAN,16,0)</f>
        <v>TDK/BLM SEKOLAH</v>
      </c>
      <c r="P43" s="38"/>
      <c r="Q43" s="38" t="str">
        <f>VLOOKUP(A43,DATAKARYAWAN,18,0)</f>
        <v>LAKI-LAKI</v>
      </c>
      <c r="R43" s="38" t="str">
        <f>VLOOKUP(A43,DATAKARYAWAN,19,0)</f>
        <v>07 Juli 1999</v>
      </c>
      <c r="S43" s="38" t="str">
        <f>VLOOKUP(A43,DATAKARYAWAN,20,0)</f>
        <v>GRESIK</v>
      </c>
      <c r="T43" s="38"/>
      <c r="U43" s="38" t="str">
        <f>VLOOKUP(A43,DATAKARYAWAN,22,0)</f>
        <v>SETRO RT 06/ RW 03</v>
      </c>
      <c r="V43" s="38" t="str">
        <f>VLOOKUP(A43,DATAKARYAWAN,23,0)</f>
        <v/>
      </c>
      <c r="W43" s="38" t="str">
        <f>VLOOKUP(A43,DATAKARYAWAN,24,0)</f>
        <v>JAWA TIMUR</v>
      </c>
      <c r="X43" s="38" t="str">
        <f>VLOOKUP(A43,DATAKARYAWAN,25,0)</f>
        <v>GRESIK</v>
      </c>
      <c r="Y43" s="38" t="str">
        <f>VLOOKUP(A43,DATAKARYAWAN,26,0)</f>
        <v>MENGANTI</v>
      </c>
      <c r="Z43" s="38" t="str">
        <f>VLOOKUP(A43,DATAKARYAWAN,27,0)</f>
        <v>SETRO</v>
      </c>
      <c r="AA43" s="38">
        <f>VLOOKUP(A43,DATAKARYAWAN,28,0)</f>
        <v>61174</v>
      </c>
      <c r="AB43" s="38"/>
      <c r="AC43" s="38"/>
      <c r="AD43" s="38" t="str">
        <f>VLOOKUP(A43,DATAKARYAWAN,31,0)</f>
        <v>TK/0</v>
      </c>
      <c r="AE43" s="38"/>
      <c r="AF43" s="38" t="str">
        <f>VLOOKUP(A43,DATAKARYAWAN,33,0)</f>
        <v>tidak ada NPWP</v>
      </c>
      <c r="AG43" s="38">
        <f>VLOOKUP(A43,DATAKARYAWAN,34,0)</f>
        <v>24045200045</v>
      </c>
      <c r="AH43" s="38" t="str">
        <f>VLOOKUP(A43,DATAKARYAWAN,35,0)</f>
        <v>0001607535538</v>
      </c>
      <c r="AI43" s="38" t="str">
        <f>VLOOKUP(A43,DATAKARYAWAN,36,0)</f>
        <v>Kelas 1</v>
      </c>
      <c r="AJ43" s="38"/>
      <c r="AK43" s="451">
        <f>VLOOKUP(A43,DATAKARYAWAN,38,0)</f>
        <v>45142</v>
      </c>
      <c r="AL43" s="38" t="str">
        <f>VLOOKUP(A43,DATAKARYAWAN,39,0)</f>
        <v/>
      </c>
      <c r="AM43" s="38" t="s">
        <v>1048</v>
      </c>
      <c r="AN43" s="45" t="s">
        <v>1049</v>
      </c>
      <c r="AO43" s="45" t="s">
        <v>921</v>
      </c>
      <c r="AP43" s="253">
        <v>45624.0</v>
      </c>
      <c r="AQ43" s="370" t="s">
        <v>1050</v>
      </c>
      <c r="AR43" s="370" t="s">
        <v>1051</v>
      </c>
      <c r="AS43" s="348" t="s">
        <v>1052</v>
      </c>
    </row>
    <row r="44" ht="15.75" customHeight="1">
      <c r="A44" s="45" t="s">
        <v>1078</v>
      </c>
      <c r="B44" s="38" t="str">
        <f>VLOOKUP(A44,DATAKARYAWAN,3,0)</f>
        <v>Karyawan Tetap</v>
      </c>
      <c r="C44" s="38" t="str">
        <f>VLOOKUP(A44,DATAKARYAWAN,4,0)</f>
        <v>23-080084</v>
      </c>
      <c r="D44" s="38" t="str">
        <f>VLOOKUP(A44,DATAKARYAWAN,5,0)</f>
        <v>088804892984</v>
      </c>
      <c r="E44" s="453" t="str">
        <f>VLOOKUP(A44,DATAKARYAWAN,6,0)</f>
        <v>elryzaj@gmail.com</v>
      </c>
      <c r="F44" s="38" t="str">
        <f>VLOOKUP(A44,DATAKARYAWAN,7,0)</f>
        <v>SPV FINANCE</v>
      </c>
      <c r="G44" s="38" t="str">
        <f>VLOOKUP(A44,DATAKARYAWAN,8,0)</f>
        <v>KEUANGAN</v>
      </c>
      <c r="I44" s="38" t="str">
        <f>VLOOKUP(A44,DATAKARYAWAN,10,0)</f>
        <v>Indonesia</v>
      </c>
      <c r="J44" s="38" t="str">
        <f>VLOOKUP(A44,DATAKARYAWAN,11,0)</f>
        <v>ISLAM</v>
      </c>
      <c r="K44" s="38" t="str">
        <f>VLOOKUP(A44,DATAKARYAWAN,12,0)</f>
        <v>3578292906200001</v>
      </c>
      <c r="L44" s="38" t="str">
        <f>VLOOKUP(A44,DATAKARYAWAN,13,0)</f>
        <v>3578176910940005</v>
      </c>
      <c r="M44" s="38" t="str">
        <f>VLOOKUP(A44,DATAKARYAWAN,14,0)</f>
        <v/>
      </c>
      <c r="N44" s="38" t="str">
        <f>VLOOKUP(A44,DATAKARYAWAN,15,0)</f>
        <v/>
      </c>
      <c r="O44" s="38" t="str">
        <f>VLOOKUP(A44,DATAKARYAWAN,16,0)</f>
        <v>S1</v>
      </c>
      <c r="Q44" s="38" t="str">
        <f>VLOOKUP(A44,DATAKARYAWAN,18,0)</f>
        <v>PEREMPUAN</v>
      </c>
      <c r="R44" s="38" t="str">
        <f>VLOOKUP(A44,DATAKARYAWAN,19,0)</f>
        <v>29 Oktober 1994</v>
      </c>
      <c r="S44" s="38" t="str">
        <f>VLOOKUP(A44,DATAKARYAWAN,20,0)</f>
        <v>SURABAYA</v>
      </c>
      <c r="U44" s="38" t="str">
        <f>VLOOKUP(A44,DATAKARYAWAN,22,0)</f>
        <v>JL TANAH MERAH UTARA 3/60 RT 06/ RW 09</v>
      </c>
      <c r="V44" s="38" t="str">
        <f>VLOOKUP(A44,DATAKARYAWAN,23,0)</f>
        <v/>
      </c>
      <c r="W44" s="38" t="str">
        <f>VLOOKUP(A44,DATAKARYAWAN,24,0)</f>
        <v>JAWA TIMUR</v>
      </c>
      <c r="X44" s="38" t="str">
        <f>VLOOKUP(A44,DATAKARYAWAN,25,0)</f>
        <v>SURABAYA</v>
      </c>
      <c r="Y44" s="38" t="str">
        <f>VLOOKUP(A44,DATAKARYAWAN,26,0)</f>
        <v>KENJERAN</v>
      </c>
      <c r="Z44" s="38" t="str">
        <f>VLOOKUP(A44,DATAKARYAWAN,27,0)</f>
        <v>TANAH KALI KEDINDING</v>
      </c>
      <c r="AA44" s="38">
        <f>VLOOKUP(A44,DATAKARYAWAN,28,0)</f>
        <v>60129</v>
      </c>
      <c r="AD44" s="38" t="str">
        <f>VLOOKUP(A44,DATAKARYAWAN,31,0)</f>
        <v>TK/0</v>
      </c>
      <c r="AF44" s="38" t="str">
        <f>VLOOKUP(A44,DATAKARYAWAN,33,0)</f>
        <v>857363667619000</v>
      </c>
      <c r="AG44" s="38">
        <f>VLOOKUP(A44,DATAKARYAWAN,34,0)</f>
        <v>24004264206</v>
      </c>
      <c r="AH44" s="38" t="str">
        <f>VLOOKUP(A44,DATAKARYAWAN,35,0)</f>
        <v>0001654240285</v>
      </c>
      <c r="AI44" s="38" t="str">
        <f>VLOOKUP(A44,DATAKARYAWAN,36,0)</f>
        <v>Kelas 1</v>
      </c>
      <c r="AK44" s="451">
        <f>VLOOKUP(A44,DATAKARYAWAN,38,0)</f>
        <v>45166</v>
      </c>
      <c r="AL44" s="38" t="str">
        <f>VLOOKUP(A44,DATAKARYAWAN,39,0)</f>
        <v>TETAP</v>
      </c>
    </row>
    <row r="45" ht="15.75" customHeight="1">
      <c r="A45" s="38" t="s">
        <v>1090</v>
      </c>
      <c r="B45" s="38" t="str">
        <f>VLOOKUP(A45,DATAKARYAWAN,3,0)</f>
        <v>Karyawan Tetap</v>
      </c>
      <c r="C45" s="38" t="str">
        <f>VLOOKUP(A45,DATAKARYAWAN,4,0)</f>
        <v>23-080085</v>
      </c>
      <c r="D45" s="38" t="str">
        <f>VLOOKUP(A45,DATAKARYAWAN,5,0)</f>
        <v>082334542901</v>
      </c>
      <c r="E45" s="453" t="str">
        <f>VLOOKUP(A45,DATAKARYAWAN,6,0)</f>
        <v>istiqiffani@gmail.com</v>
      </c>
      <c r="F45" s="38" t="str">
        <f>VLOOKUP(A45,DATAKARYAWAN,7,0)</f>
        <v>STAFF AP</v>
      </c>
      <c r="G45" s="38" t="str">
        <f>VLOOKUP(A45,DATAKARYAWAN,8,0)</f>
        <v>KEUANGAN</v>
      </c>
      <c r="I45" s="38" t="str">
        <f>VLOOKUP(A45,DATAKARYAWAN,10,0)</f>
        <v>Indonesia</v>
      </c>
      <c r="J45" s="38" t="str">
        <f>VLOOKUP(A45,DATAKARYAWAN,11,0)</f>
        <v>ISLAM</v>
      </c>
      <c r="K45" s="38" t="str">
        <f>VLOOKUP(A45,DATAKARYAWAN,12,0)</f>
        <v>3578060602230001</v>
      </c>
      <c r="L45" s="38" t="str">
        <f>VLOOKUP(A45,DATAKARYAWAN,13,0)</f>
        <v>3517016106920004</v>
      </c>
      <c r="M45" s="38" t="str">
        <f>VLOOKUP(A45,DATAKARYAWAN,14,0)</f>
        <v/>
      </c>
      <c r="N45" s="38" t="str">
        <f>VLOOKUP(A45,DATAKARYAWAN,15,0)</f>
        <v/>
      </c>
      <c r="O45" s="38" t="str">
        <f>VLOOKUP(A45,DATAKARYAWAN,16,0)</f>
        <v>S1</v>
      </c>
      <c r="Q45" s="38" t="str">
        <f>VLOOKUP(A45,DATAKARYAWAN,18,0)</f>
        <v>PEREMPUAN</v>
      </c>
      <c r="R45" s="38" t="str">
        <f>VLOOKUP(A45,DATAKARYAWAN,19,0)</f>
        <v>21 Juni 1992</v>
      </c>
      <c r="S45" s="38" t="str">
        <f>VLOOKUP(A45,DATAKARYAWAN,20,0)</f>
        <v>SURABAYA</v>
      </c>
      <c r="U45" s="38" t="str">
        <f>VLOOKUP(A45,DATAKARYAWAN,22,0)</f>
        <v>DUKUH KUPANG TIMUR 19/12 RT 07/ RW 09</v>
      </c>
      <c r="V45" s="38" t="str">
        <f>VLOOKUP(A45,DATAKARYAWAN,23,0)</f>
        <v/>
      </c>
      <c r="W45" s="38" t="str">
        <f>VLOOKUP(A45,DATAKARYAWAN,24,0)</f>
        <v>JAWA TIMUR</v>
      </c>
      <c r="X45" s="38" t="str">
        <f>VLOOKUP(A45,DATAKARYAWAN,25,0)</f>
        <v>SURABAYA</v>
      </c>
      <c r="Y45" s="38" t="str">
        <f>VLOOKUP(A45,DATAKARYAWAN,26,0)</f>
        <v>SAWAHAN</v>
      </c>
      <c r="Z45" s="38" t="str">
        <f>VLOOKUP(A45,DATAKARYAWAN,27,0)</f>
        <v>PAKIS</v>
      </c>
      <c r="AA45" s="38">
        <f>VLOOKUP(A45,DATAKARYAWAN,28,0)</f>
        <v>60256</v>
      </c>
      <c r="AD45" s="38" t="str">
        <f>VLOOKUP(A45,DATAKARYAWAN,31,0)</f>
        <v>TK/0</v>
      </c>
      <c r="AF45" s="38" t="str">
        <f>VLOOKUP(A45,DATAKARYAWAN,33,0)</f>
        <v>455048832614000</v>
      </c>
      <c r="AG45" s="38">
        <f>VLOOKUP(A45,DATAKARYAWAN,34,0)</f>
        <v>24004264196</v>
      </c>
      <c r="AH45" s="38" t="str">
        <f>VLOOKUP(A45,DATAKARYAWAN,35,0)</f>
        <v>0001817140498</v>
      </c>
      <c r="AI45" s="38" t="str">
        <f>VLOOKUP(A45,DATAKARYAWAN,36,0)</f>
        <v>Kelas 1</v>
      </c>
      <c r="AK45" s="38">
        <f>VLOOKUP(A45,DATAKARYAWAN,38,0)</f>
        <v>45168</v>
      </c>
      <c r="AL45" s="38" t="str">
        <f>VLOOKUP(A45,DATAKARYAWAN,39,0)</f>
        <v/>
      </c>
      <c r="AM45" s="281" t="s">
        <v>1101</v>
      </c>
      <c r="AN45" s="155" t="s">
        <v>904</v>
      </c>
    </row>
    <row r="46">
      <c r="A46" s="98" t="s">
        <v>2095</v>
      </c>
      <c r="B46" s="67" t="s">
        <v>923</v>
      </c>
      <c r="C46" s="95" t="s">
        <v>2096</v>
      </c>
      <c r="D46" s="38" t="str">
        <f>VLOOKUP(A46,DATAKARYAWAN,5,0)</f>
        <v>0817325113</v>
      </c>
      <c r="E46" s="38" t="str">
        <f>VLOOKUP(A46,DATAKARYAWAN,6,0)</f>
        <v>arifananto60@gmail.com</v>
      </c>
      <c r="F46" s="38" t="str">
        <f>VLOOKUP(A46,DATAKARYAWAN,7,0)</f>
        <v>DRIVER</v>
      </c>
      <c r="G46" s="38" t="str">
        <f>VLOOKUP(A46,DATAKARYAWAN,8,0)</f>
        <v>OB</v>
      </c>
      <c r="I46" s="38" t="str">
        <f>VLOOKUP(A46,DATAKARYAWAN,10,0)</f>
        <v>Indonesia</v>
      </c>
      <c r="J46" s="38" t="str">
        <f>VLOOKUP(A46,DATAKARYAWAN,11,0)</f>
        <v>ISLAM</v>
      </c>
      <c r="K46" s="38" t="str">
        <f>VLOOKUP(A46,DATAKARYAWAN,12,0)</f>
        <v>3578101901180002</v>
      </c>
      <c r="L46" s="136" t="s">
        <v>2101</v>
      </c>
      <c r="Q46" s="67" t="s">
        <v>1958</v>
      </c>
      <c r="R46" s="155" t="s">
        <v>2102</v>
      </c>
      <c r="S46" s="155" t="s">
        <v>51</v>
      </c>
      <c r="U46" s="155" t="s">
        <v>2103</v>
      </c>
      <c r="W46" s="68" t="s">
        <v>53</v>
      </c>
      <c r="X46" s="155" t="s">
        <v>51</v>
      </c>
      <c r="Y46" s="155" t="s">
        <v>54</v>
      </c>
      <c r="Z46" s="155" t="s">
        <v>55</v>
      </c>
      <c r="AK46" s="462">
        <v>45901.0</v>
      </c>
    </row>
    <row r="47" ht="15.75" customHeight="1">
      <c r="A47" s="90" t="s">
        <v>2105</v>
      </c>
      <c r="B47" s="67" t="s">
        <v>923</v>
      </c>
      <c r="C47" s="95" t="s">
        <v>2106</v>
      </c>
      <c r="D47" s="38" t="str">
        <f>VLOOKUP(A47,DATAKARYAWAN,5,0)</f>
        <v>085784009812</v>
      </c>
      <c r="E47" s="38" t="str">
        <f>VLOOKUP(A47,DATAKARYAWAN,6,0)</f>
        <v>diviazahrautomo208@gmail.com</v>
      </c>
      <c r="F47" s="38" t="str">
        <f>VLOOKUP(A47,DATAKARYAWAN,7,0)</f>
        <v>OB</v>
      </c>
      <c r="G47" s="38" t="str">
        <f>VLOOKUP(A47,DATAKARYAWAN,8,0)</f>
        <v>OB</v>
      </c>
      <c r="I47" s="38" t="str">
        <f>VLOOKUP(A47,DATAKARYAWAN,10,0)</f>
        <v>Indonesia</v>
      </c>
      <c r="J47" s="38" t="str">
        <f>VLOOKUP(A47,DATAKARYAWAN,11,0)</f>
        <v>ISLAM</v>
      </c>
      <c r="K47" s="38" t="str">
        <f>VLOOKUP(A47,DATAKARYAWAN,12,0)</f>
        <v>3504141612061839</v>
      </c>
      <c r="L47" s="180" t="s">
        <v>2109</v>
      </c>
      <c r="M47" s="409"/>
      <c r="N47" s="463"/>
      <c r="O47" s="409"/>
      <c r="P47" s="409"/>
      <c r="Q47" s="67" t="s">
        <v>69</v>
      </c>
      <c r="R47" s="324" t="s">
        <v>2111</v>
      </c>
      <c r="S47" s="68" t="s">
        <v>51</v>
      </c>
      <c r="T47" s="409"/>
      <c r="U47" s="68" t="s">
        <v>2112</v>
      </c>
      <c r="V47" s="409"/>
      <c r="W47" s="68" t="s">
        <v>53</v>
      </c>
      <c r="X47" s="68" t="s">
        <v>533</v>
      </c>
      <c r="Y47" s="52" t="s">
        <v>2113</v>
      </c>
      <c r="Z47" s="68" t="s">
        <v>2114</v>
      </c>
      <c r="AA47" s="464"/>
      <c r="AB47" s="409"/>
      <c r="AC47" s="409"/>
      <c r="AD47" s="68" t="s">
        <v>56</v>
      </c>
      <c r="AE47" s="409"/>
      <c r="AF47" s="125"/>
      <c r="AG47" s="465"/>
      <c r="AH47" s="409"/>
      <c r="AI47" s="409"/>
      <c r="AJ47" s="409"/>
      <c r="AK47" s="462">
        <v>45901.0</v>
      </c>
      <c r="AL47" s="466"/>
      <c r="AM47" s="409"/>
      <c r="AN47" s="409"/>
      <c r="AO47" s="409"/>
      <c r="AP47" s="409"/>
      <c r="AR47" s="409"/>
      <c r="AS47" s="409"/>
      <c r="AT47" s="409"/>
      <c r="AU47" s="409"/>
      <c r="AV47" s="409"/>
      <c r="AW47" s="409"/>
      <c r="AX47" s="409"/>
      <c r="AY47" s="409"/>
      <c r="AZ47" s="409"/>
      <c r="BA47" s="409"/>
      <c r="BB47" s="409"/>
      <c r="BC47" s="409"/>
      <c r="BD47" s="409"/>
      <c r="BE47" s="409"/>
      <c r="BF47" s="409"/>
      <c r="BG47" s="409"/>
      <c r="BH47" s="409"/>
      <c r="BI47" s="409"/>
      <c r="BJ47" s="409"/>
      <c r="BK47" s="409"/>
      <c r="BL47" s="409"/>
      <c r="BM47" s="409"/>
      <c r="BN47" s="409"/>
      <c r="BO47" s="409"/>
      <c r="BP47" s="409"/>
      <c r="BQ47" s="409"/>
      <c r="BR47" s="409"/>
      <c r="BS47" s="409"/>
      <c r="BT47" s="409"/>
      <c r="BU47" s="409"/>
      <c r="BV47" s="409"/>
      <c r="BW47" s="409"/>
      <c r="BX47" s="409"/>
      <c r="BY47" s="409"/>
      <c r="BZ47" s="409"/>
      <c r="CA47" s="409"/>
      <c r="CB47" s="409"/>
      <c r="CC47" s="409"/>
      <c r="CD47" s="409"/>
      <c r="CE47" s="409"/>
      <c r="CF47" s="409"/>
      <c r="CG47" s="409"/>
      <c r="CH47" s="409"/>
      <c r="CI47" s="409"/>
      <c r="CJ47" s="409"/>
      <c r="CK47" s="409"/>
    </row>
    <row r="48" ht="15.75" customHeight="1">
      <c r="A48" s="52"/>
      <c r="C48" s="155"/>
      <c r="D48" s="103"/>
      <c r="E48" s="467"/>
      <c r="G48" s="252"/>
      <c r="K48" s="103"/>
      <c r="L48" s="38"/>
      <c r="R48" s="103"/>
      <c r="S48" s="38"/>
      <c r="U48" s="38"/>
      <c r="W48" s="38"/>
      <c r="X48" s="38"/>
      <c r="Y48" s="38"/>
      <c r="Z48" s="38"/>
      <c r="AA48" s="271"/>
      <c r="AD48" s="38"/>
      <c r="AF48" s="280"/>
      <c r="AG48" s="38"/>
      <c r="AK48" s="103"/>
      <c r="AN48" s="237"/>
      <c r="AO48" s="155"/>
    </row>
    <row r="49" ht="15.75" customHeight="1">
      <c r="A49" s="22" t="s">
        <v>40</v>
      </c>
      <c r="B49" s="22"/>
      <c r="C49" s="22"/>
      <c r="D49" s="468" t="s">
        <v>42</v>
      </c>
      <c r="E49" s="22"/>
      <c r="F49" s="33" t="s">
        <v>43</v>
      </c>
      <c r="G49" s="22"/>
      <c r="H49" s="22"/>
      <c r="I49" s="33" t="s">
        <v>44</v>
      </c>
      <c r="J49" s="22" t="s">
        <v>45</v>
      </c>
      <c r="K49" s="469" t="s">
        <v>46</v>
      </c>
      <c r="L49" s="469" t="s">
        <v>47</v>
      </c>
      <c r="M49" s="22"/>
      <c r="N49" s="22"/>
      <c r="O49" s="22"/>
      <c r="P49" s="22"/>
      <c r="Q49" s="22" t="s">
        <v>49</v>
      </c>
      <c r="R49" s="469" t="s">
        <v>50</v>
      </c>
      <c r="S49" s="470" t="s">
        <v>51</v>
      </c>
      <c r="T49" s="22"/>
      <c r="U49" s="22" t="s">
        <v>52</v>
      </c>
      <c r="V49" s="22"/>
      <c r="W49" s="471" t="s">
        <v>53</v>
      </c>
      <c r="X49" s="471" t="s">
        <v>51</v>
      </c>
      <c r="Y49" s="471" t="s">
        <v>54</v>
      </c>
      <c r="Z49" s="22" t="s">
        <v>55</v>
      </c>
      <c r="AA49" s="22">
        <v>60134.0</v>
      </c>
      <c r="AB49" s="22"/>
      <c r="AC49" s="22"/>
      <c r="AD49" s="471" t="s">
        <v>56</v>
      </c>
      <c r="AE49" s="22"/>
      <c r="AF49" s="472" t="s">
        <v>57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473"/>
      <c r="CG49" s="473"/>
      <c r="CH49" s="473"/>
      <c r="CI49" s="473"/>
      <c r="CJ49" s="473"/>
      <c r="CK49" s="473"/>
    </row>
    <row r="50" ht="15.75" customHeight="1">
      <c r="A50" s="22" t="s">
        <v>58</v>
      </c>
      <c r="B50" s="22"/>
      <c r="C50" s="22"/>
      <c r="D50" s="468" t="s">
        <v>59</v>
      </c>
      <c r="E50" s="22"/>
      <c r="F50" s="33" t="s">
        <v>60</v>
      </c>
      <c r="G50" s="22"/>
      <c r="H50" s="22"/>
      <c r="I50" s="33" t="s">
        <v>44</v>
      </c>
      <c r="J50" s="22" t="s">
        <v>45</v>
      </c>
      <c r="K50" s="469" t="s">
        <v>61</v>
      </c>
      <c r="L50" s="469" t="s">
        <v>62</v>
      </c>
      <c r="M50" s="22"/>
      <c r="N50" s="22"/>
      <c r="O50" s="22"/>
      <c r="P50" s="22"/>
      <c r="Q50" s="22" t="s">
        <v>49</v>
      </c>
      <c r="R50" s="469" t="s">
        <v>63</v>
      </c>
      <c r="S50" s="470" t="s">
        <v>64</v>
      </c>
      <c r="T50" s="22"/>
      <c r="U50" s="22" t="s">
        <v>52</v>
      </c>
      <c r="V50" s="22"/>
      <c r="W50" s="471" t="s">
        <v>53</v>
      </c>
      <c r="X50" s="471" t="s">
        <v>51</v>
      </c>
      <c r="Y50" s="471" t="s">
        <v>54</v>
      </c>
      <c r="Z50" s="22" t="s">
        <v>55</v>
      </c>
      <c r="AA50" s="22">
        <v>60134.0</v>
      </c>
      <c r="AB50" s="22"/>
      <c r="AC50" s="22"/>
      <c r="AD50" s="471" t="s">
        <v>56</v>
      </c>
      <c r="AE50" s="22"/>
      <c r="AF50" s="472" t="s">
        <v>66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473"/>
      <c r="CG50" s="473"/>
      <c r="CH50" s="473"/>
      <c r="CI50" s="473"/>
      <c r="CJ50" s="473"/>
      <c r="CK50" s="473"/>
    </row>
    <row r="51" ht="15.75" customHeight="1">
      <c r="A51" s="22" t="s">
        <v>67</v>
      </c>
      <c r="B51" s="22"/>
      <c r="C51" s="22"/>
      <c r="D51" s="468" t="s">
        <v>59</v>
      </c>
      <c r="E51" s="22"/>
      <c r="F51" s="33" t="s">
        <v>60</v>
      </c>
      <c r="G51" s="22"/>
      <c r="H51" s="22"/>
      <c r="I51" s="33" t="s">
        <v>44</v>
      </c>
      <c r="J51" s="22" t="s">
        <v>45</v>
      </c>
      <c r="K51" s="469" t="s">
        <v>61</v>
      </c>
      <c r="L51" s="469" t="s">
        <v>2657</v>
      </c>
      <c r="M51" s="22"/>
      <c r="N51" s="22"/>
      <c r="O51" s="22"/>
      <c r="P51" s="22"/>
      <c r="Q51" s="22" t="s">
        <v>69</v>
      </c>
      <c r="R51" s="474" t="s">
        <v>70</v>
      </c>
      <c r="S51" s="470" t="s">
        <v>64</v>
      </c>
      <c r="T51" s="22"/>
      <c r="U51" s="22" t="s">
        <v>52</v>
      </c>
      <c r="V51" s="22"/>
      <c r="W51" s="471" t="s">
        <v>53</v>
      </c>
      <c r="X51" s="471" t="s">
        <v>51</v>
      </c>
      <c r="Y51" s="471" t="s">
        <v>54</v>
      </c>
      <c r="Z51" s="22" t="s">
        <v>55</v>
      </c>
      <c r="AA51" s="22">
        <v>60134.0</v>
      </c>
      <c r="AB51" s="22"/>
      <c r="AC51" s="22"/>
      <c r="AD51" s="471" t="s">
        <v>71</v>
      </c>
      <c r="AE51" s="22"/>
      <c r="AF51" s="472" t="s">
        <v>66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473"/>
      <c r="CG51" s="473"/>
      <c r="CH51" s="473"/>
      <c r="CI51" s="473"/>
      <c r="CJ51" s="473"/>
      <c r="CK51" s="473"/>
    </row>
    <row r="52" ht="12.75" customHeight="1">
      <c r="A52" s="22" t="s">
        <v>72</v>
      </c>
      <c r="B52" s="22"/>
      <c r="C52" s="22"/>
      <c r="D52" s="468" t="s">
        <v>73</v>
      </c>
      <c r="E52" s="22"/>
      <c r="F52" s="33" t="s">
        <v>60</v>
      </c>
      <c r="G52" s="22"/>
      <c r="H52" s="22"/>
      <c r="I52" s="33" t="s">
        <v>44</v>
      </c>
      <c r="J52" s="33" t="s">
        <v>74</v>
      </c>
      <c r="K52" s="33" t="s">
        <v>75</v>
      </c>
      <c r="L52" s="472" t="s">
        <v>76</v>
      </c>
      <c r="M52" s="22"/>
      <c r="N52" s="22"/>
      <c r="O52" s="22"/>
      <c r="P52" s="22"/>
      <c r="Q52" s="22" t="s">
        <v>69</v>
      </c>
      <c r="R52" s="33" t="s">
        <v>77</v>
      </c>
      <c r="S52" s="470" t="s">
        <v>64</v>
      </c>
      <c r="T52" s="22"/>
      <c r="U52" s="33" t="s">
        <v>78</v>
      </c>
      <c r="V52" s="22"/>
      <c r="W52" s="471" t="s">
        <v>53</v>
      </c>
      <c r="X52" s="471" t="s">
        <v>51</v>
      </c>
      <c r="Y52" s="33" t="s">
        <v>79</v>
      </c>
      <c r="Z52" s="33" t="s">
        <v>80</v>
      </c>
      <c r="AA52" s="22"/>
      <c r="AB52" s="22"/>
      <c r="AC52" s="22"/>
      <c r="AD52" s="475" t="s">
        <v>71</v>
      </c>
      <c r="AE52" s="22"/>
      <c r="AF52" s="472" t="s">
        <v>82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473"/>
      <c r="CG52" s="473"/>
      <c r="CH52" s="473"/>
      <c r="CI52" s="473"/>
      <c r="CJ52" s="473"/>
      <c r="CK52" s="47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K58" s="45" t="s">
        <v>141</v>
      </c>
      <c r="AL58" s="45" t="s">
        <v>141</v>
      </c>
      <c r="AM58" s="45" t="s">
        <v>141</v>
      </c>
      <c r="AN58" s="45" t="s">
        <v>141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AK86" s="45" t="s">
        <v>141</v>
      </c>
      <c r="AL86" s="45" t="s">
        <v>141</v>
      </c>
      <c r="AM86" s="45" t="s">
        <v>141</v>
      </c>
      <c r="AN86" s="45" t="s">
        <v>141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6.29"/>
    <col customWidth="1" min="2" max="2" width="16.71"/>
    <col customWidth="1" min="3" max="3" width="10.57"/>
    <col customWidth="1" min="4" max="4" width="20.86"/>
    <col customWidth="1" min="5" max="5" width="38.0"/>
    <col customWidth="1" min="6" max="6" width="32.14"/>
    <col customWidth="1" min="7" max="7" width="23.86"/>
    <col customWidth="1" min="8" max="9" width="9.14"/>
    <col customWidth="1" min="10" max="10" width="22.14"/>
    <col customWidth="1" min="11" max="11" width="21.43"/>
    <col customWidth="1" min="12" max="12" width="21.57"/>
    <col customWidth="1" min="13" max="13" width="21.29"/>
    <col customWidth="1" min="14" max="14" width="31.86"/>
    <col customWidth="1" min="15" max="15" width="9.14"/>
    <col customWidth="1" min="16" max="16" width="13.14"/>
    <col customWidth="1" min="17" max="17" width="17.14"/>
    <col customWidth="1" min="18" max="18" width="17.71"/>
    <col customWidth="1" min="19" max="19" width="13.29"/>
    <col customWidth="1" min="20" max="20" width="38.0"/>
    <col customWidth="1" min="21" max="21" width="60.71"/>
    <col customWidth="1" min="22" max="22" width="26.57"/>
    <col customWidth="1" min="23" max="23" width="12.29"/>
    <col customWidth="1" min="24" max="24" width="18.57"/>
    <col customWidth="1" min="25" max="25" width="18.43"/>
    <col customWidth="1" min="26" max="30" width="9.14"/>
    <col customWidth="1" min="31" max="31" width="20.29"/>
    <col customWidth="1" min="32" max="32" width="38.57"/>
    <col customWidth="1" min="33" max="33" width="28.0"/>
    <col customWidth="1" min="34" max="34" width="21.0"/>
    <col customWidth="1" min="35" max="35" width="10.0"/>
    <col customWidth="1" min="36" max="36" width="20.14"/>
    <col customWidth="1" min="37" max="37" width="20.29"/>
    <col customWidth="1" min="38" max="38" width="19.0"/>
    <col customWidth="1" min="39" max="39" width="21.14"/>
    <col customWidth="1" min="40" max="40" width="17.71"/>
    <col customWidth="1" min="41" max="41" width="19.57"/>
    <col customWidth="1" min="42" max="89" width="9.14"/>
  </cols>
  <sheetData>
    <row r="1">
      <c r="A1" s="444" t="s">
        <v>1</v>
      </c>
      <c r="B1" s="444" t="s">
        <v>3</v>
      </c>
      <c r="C1" s="444" t="s">
        <v>4</v>
      </c>
      <c r="D1" s="444" t="s">
        <v>5</v>
      </c>
      <c r="E1" s="444" t="s">
        <v>6</v>
      </c>
      <c r="F1" s="444" t="s">
        <v>2650</v>
      </c>
      <c r="G1" s="445" t="s">
        <v>8</v>
      </c>
      <c r="H1" s="444" t="s">
        <v>2651</v>
      </c>
      <c r="I1" s="444" t="s">
        <v>10</v>
      </c>
      <c r="J1" s="444" t="s">
        <v>11</v>
      </c>
      <c r="K1" s="444" t="s">
        <v>12</v>
      </c>
      <c r="L1" s="444" t="s">
        <v>13</v>
      </c>
      <c r="M1" s="444" t="s">
        <v>14</v>
      </c>
      <c r="N1" s="444" t="s">
        <v>15</v>
      </c>
      <c r="O1" s="444" t="s">
        <v>16</v>
      </c>
      <c r="P1" s="444" t="s">
        <v>2652</v>
      </c>
      <c r="Q1" s="444" t="s">
        <v>18</v>
      </c>
      <c r="R1" s="444" t="s">
        <v>19</v>
      </c>
      <c r="S1" s="444" t="s">
        <v>20</v>
      </c>
      <c r="T1" s="446" t="s">
        <v>21</v>
      </c>
      <c r="U1" s="444" t="s">
        <v>22</v>
      </c>
      <c r="V1" s="444" t="s">
        <v>23</v>
      </c>
      <c r="W1" s="444" t="s">
        <v>24</v>
      </c>
      <c r="X1" s="444" t="s">
        <v>25</v>
      </c>
      <c r="Y1" s="444" t="s">
        <v>26</v>
      </c>
      <c r="Z1" s="444" t="s">
        <v>27</v>
      </c>
      <c r="AA1" s="444" t="s">
        <v>28</v>
      </c>
      <c r="AB1" s="444" t="s">
        <v>29</v>
      </c>
      <c r="AC1" s="444" t="s">
        <v>30</v>
      </c>
      <c r="AD1" s="444" t="s">
        <v>31</v>
      </c>
      <c r="AE1" s="444" t="s">
        <v>32</v>
      </c>
      <c r="AF1" s="444" t="s">
        <v>33</v>
      </c>
      <c r="AG1" s="444" t="s">
        <v>2653</v>
      </c>
      <c r="AH1" s="444" t="s">
        <v>35</v>
      </c>
      <c r="AI1" s="444" t="s">
        <v>36</v>
      </c>
      <c r="AJ1" s="444" t="s">
        <v>2654</v>
      </c>
      <c r="AK1" s="444" t="s">
        <v>38</v>
      </c>
      <c r="AL1" s="476"/>
      <c r="AM1" s="476"/>
      <c r="AN1" s="476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</row>
    <row r="2" ht="15.75" customHeight="1">
      <c r="A2" s="409" t="s">
        <v>513</v>
      </c>
      <c r="B2" s="38" t="str">
        <f>VLOOKUP(A2,DATAKARYAWAN,3,0)</f>
        <v>Karyawan Tetap</v>
      </c>
      <c r="C2" s="38" t="str">
        <f>VLOOKUP(A2,DATAKARYAWAN,4,0)</f>
        <v>23-030001</v>
      </c>
      <c r="D2" s="38" t="str">
        <f>VLOOKUP(A2,DATAKARYAWAN,5,0)</f>
        <v>081233402008</v>
      </c>
      <c r="E2" s="38" t="str">
        <f>VLOOKUP(A2,DATAKARYAWAN,6,0)</f>
        <v>sugengsantoso5628@yahoo.co.id</v>
      </c>
      <c r="F2" s="38" t="str">
        <f>VLOOKUP(A2,DATAKARYAWAN,7,0)</f>
        <v>DIREKTUR EXPRESS</v>
      </c>
      <c r="G2" s="38" t="str">
        <f>VLOOKUP(A2,DATAKARYAWAN,8,0)</f>
        <v>MANAGERIAL</v>
      </c>
      <c r="H2" s="53"/>
      <c r="I2" s="38" t="str">
        <f>VLOOKUP(A2,DATAKARYAWAN,10,0)</f>
        <v>Indonesia</v>
      </c>
      <c r="J2" s="38" t="str">
        <f>VLOOKUP(A2,DATAKARYAWAN,11,0)</f>
        <v>ISLAM</v>
      </c>
      <c r="K2" s="38" t="str">
        <f>VLOOKUP(A2,DATAKARYAWAN,12,0)</f>
        <v>3578120206140001</v>
      </c>
      <c r="L2" s="38" t="str">
        <f>VLOOKUP(A2,DATAKARYAWAN,13,0)</f>
        <v>3578060506870004</v>
      </c>
      <c r="M2" s="38" t="str">
        <f>VLOOKUP(A2,DATAKARYAWAN,14,0)</f>
        <v>OCBC NISP</v>
      </c>
      <c r="N2" s="38">
        <f>VLOOKUP(A2,DATAKARYAWAN,15,0)</f>
        <v>58810108199</v>
      </c>
      <c r="O2" s="38" t="str">
        <f>VLOOKUP(A2,DATAKARYAWAN,16,0)</f>
        <v>S1</v>
      </c>
      <c r="P2" s="48"/>
      <c r="Q2" s="38" t="str">
        <f>VLOOKUP(A2,DATAKARYAWAN,18,0)</f>
        <v>LAKI-LAKI</v>
      </c>
      <c r="R2" s="49" t="str">
        <f>VLOOKUP(A2,DATAKARYAWAN,19,0)</f>
        <v>5 Juni 1987</v>
      </c>
      <c r="S2" s="38" t="str">
        <f>VLOOKUP(A2,DATAKARYAWAN,20,0)</f>
        <v>SURABAYA</v>
      </c>
      <c r="T2" s="38"/>
      <c r="U2" s="38" t="str">
        <f>VLOOKUP(A2,DATAKARYAWAN,22,0)</f>
        <v>JL.JAMBANGAN INDAH IV/45 RT 3/ RW 1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SURABAYA</v>
      </c>
      <c r="Y2" s="38" t="str">
        <f>VLOOKUP(A2,DATAKARYAWAN,26,0)</f>
        <v>JAMBANGAN</v>
      </c>
      <c r="Z2" s="38" t="str">
        <f>VLOOKUP(A2,DATAKARYAWAN,27,0)</f>
        <v>JAMBANGAN</v>
      </c>
      <c r="AA2" s="38">
        <f>VLOOKUP(A2,DATAKARYAWAN,28,0)</f>
        <v>60232</v>
      </c>
      <c r="AB2" s="38"/>
      <c r="AC2" s="38"/>
      <c r="AD2" s="38" t="str">
        <f>VLOOKUP(A2,DATAKARYAWAN,31,0)</f>
        <v>K/2</v>
      </c>
      <c r="AE2" s="48"/>
      <c r="AF2" s="450" t="str">
        <f>VLOOKUP(A2,DATAKARYAWAN,33,0)</f>
        <v>350119285614000</v>
      </c>
      <c r="AG2" s="38">
        <f>VLOOKUP(A2,DATAKARYAWAN,34,0)</f>
        <v>21010994453</v>
      </c>
      <c r="AH2" s="38" t="str">
        <f>VLOOKUP(A2,DATAKARYAWAN,35,0)</f>
        <v>0001538146124</v>
      </c>
      <c r="AI2" s="38" t="str">
        <f>VLOOKUP(A2,DATAKARYAWAN,36,0)</f>
        <v>Kelas 1</v>
      </c>
      <c r="AJ2" s="38"/>
      <c r="AK2" s="451">
        <f>VLOOKUP(A2,DATAKARYAWAN,38,0)</f>
        <v>43710</v>
      </c>
      <c r="AL2" s="477"/>
      <c r="AM2" s="477"/>
      <c r="AN2" s="477"/>
    </row>
    <row r="3" ht="15.0" customHeight="1">
      <c r="A3" s="409" t="s">
        <v>742</v>
      </c>
      <c r="B3" s="38" t="str">
        <f>VLOOKUP(A3,DATAKARYAWAN,3,0)</f>
        <v>Karyawan Tetap</v>
      </c>
      <c r="C3" s="38" t="str">
        <f>VLOOKUP(A3,DATAKARYAWAN,4,0)</f>
        <v>22-070002</v>
      </c>
      <c r="D3" s="38" t="str">
        <f>VLOOKUP(A3,DATAKARYAWAN,5,0)</f>
        <v>0895616285600</v>
      </c>
      <c r="E3" s="453" t="str">
        <f>VLOOKUP(A3,DATAKARYAWAN,6,0)</f>
        <v>dewicsiwon@gmail.com</v>
      </c>
      <c r="F3" s="38" t="str">
        <f>VLOOKUP(A3,DATAKARYAWAN,7,0)</f>
        <v>STAFF CS &amp; DOC </v>
      </c>
      <c r="G3" s="38" t="str">
        <f>VLOOKUP(A3,DATAKARYAWAN,8,0)</f>
        <v>CUSTOMER SERVICE</v>
      </c>
      <c r="H3" s="53"/>
      <c r="I3" s="38" t="str">
        <f>VLOOKUP(A3,DATAKARYAWAN,10,0)</f>
        <v>Indonesia</v>
      </c>
      <c r="J3" s="38" t="str">
        <f>VLOOKUP(A3,DATAKARYAWAN,11,0)</f>
        <v>ISLAM</v>
      </c>
      <c r="K3" s="38" t="str">
        <f>VLOOKUP(A3,DATAKARYAWAN,12,0)</f>
        <v>3578100601086983</v>
      </c>
      <c r="L3" s="38" t="str">
        <f>VLOOKUP(A3,DATAKARYAWAN,13,0)</f>
        <v>3578105310980003</v>
      </c>
      <c r="M3" s="38" t="str">
        <f>VLOOKUP(A3,DATAKARYAWAN,14,0)</f>
        <v>OCBC NISP</v>
      </c>
      <c r="N3" s="38">
        <f>VLOOKUP(A3,DATAKARYAWAN,15,0)</f>
        <v>58810105542</v>
      </c>
      <c r="O3" s="38" t="str">
        <f>VLOOKUP(A3,DATAKARYAWAN,16,0)</f>
        <v>SLTA</v>
      </c>
      <c r="P3" s="48"/>
      <c r="Q3" s="38" t="str">
        <f>VLOOKUP(A3,DATAKARYAWAN,18,0)</f>
        <v>PEREMPUAN</v>
      </c>
      <c r="R3" s="49" t="str">
        <f>VLOOKUP(A3,DATAKARYAWAN,19,0)</f>
        <v>13 Oktober 1998</v>
      </c>
      <c r="S3" s="38" t="str">
        <f>VLOOKUP(A3,DATAKARYAWAN,20,0)</f>
        <v>SURABAYA</v>
      </c>
      <c r="T3" s="38"/>
      <c r="U3" s="38" t="str">
        <f>VLOOKUP(A3,DATAKARYAWAN,22,0)</f>
        <v>PLOSO 10 TENGAH NO. 6 RT 10/RW 5</v>
      </c>
      <c r="V3" s="38" t="str">
        <f>VLOOKUP(A3,DATAKARYAWAN,23,0)</f>
        <v/>
      </c>
      <c r="W3" s="38" t="str">
        <f>VLOOKUP(A3,DATAKARYAWAN,24,0)</f>
        <v>JAWA TIMUR</v>
      </c>
      <c r="X3" s="38" t="str">
        <f>VLOOKUP(A3,DATAKARYAWAN,25,0)</f>
        <v>SURABAYA</v>
      </c>
      <c r="Y3" s="38" t="str">
        <f>VLOOKUP(A3,DATAKARYAWAN,26,0)</f>
        <v>TAMBAKSARI</v>
      </c>
      <c r="Z3" s="38" t="str">
        <f>VLOOKUP(A3,DATAKARYAWAN,27,0)</f>
        <v>PLOSO</v>
      </c>
      <c r="AA3" s="38">
        <f>VLOOKUP(A3,DATAKARYAWAN,28,0)</f>
        <v>60133</v>
      </c>
      <c r="AB3" s="38"/>
      <c r="AC3" s="38"/>
      <c r="AD3" s="38" t="str">
        <f>VLOOKUP(A3,DATAKARYAWAN,31,0)</f>
        <v>TK/0</v>
      </c>
      <c r="AE3" s="48"/>
      <c r="AF3" s="450" t="str">
        <f>VLOOKUP(A3,DATAKARYAWAN,33,0)</f>
        <v>416635282619000</v>
      </c>
      <c r="AG3" s="38">
        <f>VLOOKUP(A3,DATAKARYAWAN,34,0)</f>
        <v>22122951696</v>
      </c>
      <c r="AH3" s="38" t="str">
        <f>VLOOKUP(A3,DATAKARYAWAN,35,0)</f>
        <v>0001792697951</v>
      </c>
      <c r="AI3" s="38" t="str">
        <f>VLOOKUP(A3,DATAKARYAWAN,36,0)</f>
        <v>Kelas 1</v>
      </c>
      <c r="AJ3" s="38"/>
      <c r="AK3" s="451">
        <f>VLOOKUP(A3,DATAKARYAWAN,38,0)</f>
        <v>44746</v>
      </c>
      <c r="AL3" s="477"/>
      <c r="AM3" s="477"/>
      <c r="AN3" s="477"/>
    </row>
    <row r="4" ht="15.0" customHeight="1">
      <c r="A4" s="478" t="s">
        <v>754</v>
      </c>
      <c r="B4" s="38" t="str">
        <f>VLOOKUP(A4,DATAKARYAWAN,3,0)</f>
        <v>Karyawan Tetap</v>
      </c>
      <c r="C4" s="38" t="str">
        <f>VLOOKUP(A4,DATAKARYAWAN,4,0)</f>
        <v>22-080004</v>
      </c>
      <c r="D4" s="38" t="str">
        <f>VLOOKUP(A4,DATAKARYAWAN,5,0)</f>
        <v>089504825566</v>
      </c>
      <c r="E4" s="453" t="str">
        <f>VLOOKUP(A4,DATAKARYAWAN,6,0)</f>
        <v>samsulfarel3@gmail.com</v>
      </c>
      <c r="F4" s="38" t="str">
        <f>VLOOKUP(A4,DATAKARYAWAN,7,0)</f>
        <v>TKBM</v>
      </c>
      <c r="G4" s="38" t="str">
        <f>VLOOKUP(A4,DATAKARYAWAN,8,0)</f>
        <v>OPERASIONAL</v>
      </c>
      <c r="H4" s="53"/>
      <c r="I4" s="38" t="str">
        <f>VLOOKUP(A4,DATAKARYAWAN,10,0)</f>
        <v>Indonesia</v>
      </c>
      <c r="J4" s="38" t="str">
        <f>VLOOKUP(A4,DATAKARYAWAN,11,0)</f>
        <v>ISLAM</v>
      </c>
      <c r="K4" s="38" t="str">
        <f>VLOOKUP(A4,DATAKARYAWAN,12,0)</f>
        <v>3578140101085001</v>
      </c>
      <c r="L4" s="38" t="str">
        <f>VLOOKUP(A4,DATAKARYAWAN,13,0)</f>
        <v>3578141006780001</v>
      </c>
      <c r="M4" s="38" t="str">
        <f>VLOOKUP(A4,DATAKARYAWAN,14,0)</f>
        <v>OCBC NISP</v>
      </c>
      <c r="N4" s="38">
        <f>VLOOKUP(A4,DATAKARYAWAN,15,0)</f>
        <v>58810105708</v>
      </c>
      <c r="O4" s="38" t="str">
        <f>VLOOKUP(A4,DATAKARYAWAN,16,0)</f>
        <v>SLTA</v>
      </c>
      <c r="P4" s="48"/>
      <c r="Q4" s="38" t="str">
        <f>VLOOKUP(A4,DATAKARYAWAN,18,0)</f>
        <v>LAKI-LAKI</v>
      </c>
      <c r="R4" s="38" t="str">
        <f>VLOOKUP(A4,DATAKARYAWAN,19,0)</f>
        <v>10 Juni 1978</v>
      </c>
      <c r="S4" s="38" t="str">
        <f>VLOOKUP(A4,DATAKARYAWAN,20,0)</f>
        <v>LUMAJANG</v>
      </c>
      <c r="T4" s="38"/>
      <c r="U4" s="38" t="str">
        <f>VLOOKUP(A4,DATAKARYAWAN,22,0)</f>
        <v>JL.GADEL TIMUR 1/24 RT 9 RW 6</v>
      </c>
      <c r="V4" s="38" t="str">
        <f>VLOOKUP(A4,DATAKARYAWAN,23,0)</f>
        <v>PURI MENGANTI INDAH BLOK H-5 GRESIK</v>
      </c>
      <c r="W4" s="38" t="str">
        <f>VLOOKUP(A4,DATAKARYAWAN,24,0)</f>
        <v>JAWA TIMUR</v>
      </c>
      <c r="X4" s="38" t="str">
        <f>VLOOKUP(A4,DATAKARYAWAN,25,0)</f>
        <v>SURABAYA</v>
      </c>
      <c r="Y4" s="38" t="str">
        <f>VLOOKUP(A4,DATAKARYAWAN,26,0)</f>
        <v>TANDES</v>
      </c>
      <c r="Z4" s="38" t="str">
        <f>VLOOKUP(A4,DATAKARYAWAN,27,0)</f>
        <v>KARANG POH</v>
      </c>
      <c r="AA4" s="38">
        <f>VLOOKUP(A4,DATAKARYAWAN,28,0)</f>
        <v>60186</v>
      </c>
      <c r="AB4" s="38"/>
      <c r="AC4" s="38"/>
      <c r="AD4" s="38" t="str">
        <f>VLOOKUP(A4,DATAKARYAWAN,31,0)</f>
        <v>K/1</v>
      </c>
      <c r="AE4" s="48"/>
      <c r="AF4" s="38" t="str">
        <f>VLOOKUP(A4,DATAKARYAWAN,33,0)</f>
        <v>tidak ada NPWP</v>
      </c>
      <c r="AG4" s="38">
        <f>VLOOKUP(A4,DATAKARYAWAN,34,0)</f>
        <v>23083538597</v>
      </c>
      <c r="AH4" s="38" t="str">
        <f>VLOOKUP(A4,DATAKARYAWAN,35,0)</f>
        <v>0003060585156</v>
      </c>
      <c r="AI4" s="38" t="str">
        <f>VLOOKUP(A4,DATAKARYAWAN,36,0)</f>
        <v>Kelas 1</v>
      </c>
      <c r="AJ4" s="38"/>
      <c r="AK4" s="451">
        <f>VLOOKUP(A4,DATAKARYAWAN,38,0)</f>
        <v>44795</v>
      </c>
      <c r="AL4" s="477"/>
      <c r="AM4" s="477"/>
      <c r="AN4" s="477"/>
    </row>
    <row r="5" ht="15.75" customHeight="1">
      <c r="A5" s="478" t="s">
        <v>766</v>
      </c>
      <c r="B5" s="38" t="str">
        <f>VLOOKUP(A5,DATAKARYAWAN,3,0)</f>
        <v>Karyawan Tetap</v>
      </c>
      <c r="C5" s="38" t="str">
        <f>VLOOKUP(A5,DATAKARYAWAN,4,0)</f>
        <v>22-090006</v>
      </c>
      <c r="D5" s="38" t="str">
        <f>VLOOKUP(A5,DATAKARYAWAN,5,0)</f>
        <v>081333221163</v>
      </c>
      <c r="E5" s="453" t="str">
        <f>VLOOKUP(A5,DATAKARYAWAN,6,0)</f>
        <v>suwotowoto051@gmail.com</v>
      </c>
      <c r="F5" s="38" t="str">
        <f>VLOOKUP(A5,DATAKARYAWAN,7,0)</f>
        <v>TKBM</v>
      </c>
      <c r="G5" s="38" t="str">
        <f>VLOOKUP(A5,DATAKARYAWAN,8,0)</f>
        <v>OPERASIONAL</v>
      </c>
      <c r="H5" s="53"/>
      <c r="I5" s="38" t="str">
        <f>VLOOKUP(A5,DATAKARYAWAN,10,0)</f>
        <v>Indonesia</v>
      </c>
      <c r="J5" s="38" t="str">
        <f>VLOOKUP(A5,DATAKARYAWAN,11,0)</f>
        <v>ISLAM</v>
      </c>
      <c r="K5" s="38" t="str">
        <f>VLOOKUP(A5,DATAKARYAWAN,12,0)</f>
        <v>3518140809080001</v>
      </c>
      <c r="L5" s="38" t="str">
        <f>VLOOKUP(A5,DATAKARYAWAN,13,0)</f>
        <v>3518160609800002</v>
      </c>
      <c r="M5" s="38" t="str">
        <f>VLOOKUP(A5,DATAKARYAWAN,14,0)</f>
        <v>OCBC NISP</v>
      </c>
      <c r="N5" s="38" t="str">
        <f>VLOOKUP(A5,DATAKARYAWAN,15,0)</f>
        <v/>
      </c>
      <c r="O5" s="38" t="str">
        <f>VLOOKUP(A5,DATAKARYAWAN,16,0)</f>
        <v>SLTA</v>
      </c>
      <c r="P5" s="48"/>
      <c r="Q5" s="38" t="str">
        <f>VLOOKUP(A5,DATAKARYAWAN,18,0)</f>
        <v>LAKI-LAKI</v>
      </c>
      <c r="R5" s="479" t="str">
        <f>VLOOKUP(A5,DATAKARYAWAN,19,0)</f>
        <v>06 September 1980</v>
      </c>
      <c r="S5" s="38" t="str">
        <f>VLOOKUP(A5,DATAKARYAWAN,20,0)</f>
        <v>NGANJUK</v>
      </c>
      <c r="T5" s="38"/>
      <c r="U5" s="38" t="str">
        <f>VLOOKUP(A5,DATAKARYAWAN,22,0)</f>
        <v>DS KUTOREJO RT 4/RW 2</v>
      </c>
      <c r="V5" s="38" t="str">
        <f>VLOOKUP(A5,DATAKARYAWAN,23,0)</f>
        <v/>
      </c>
      <c r="W5" s="38" t="str">
        <f>VLOOKUP(A5,DATAKARYAWAN,24,0)</f>
        <v>JAWA TIMUR</v>
      </c>
      <c r="X5" s="38" t="str">
        <f>VLOOKUP(A5,DATAKARYAWAN,25,0)</f>
        <v>NGANJUK</v>
      </c>
      <c r="Y5" s="38" t="str">
        <f>VLOOKUP(A5,DATAKARYAWAN,26,0)</f>
        <v>BAGOR</v>
      </c>
      <c r="Z5" s="38" t="str">
        <f>VLOOKUP(A5,DATAKARYAWAN,27,0)</f>
        <v>KUTOREJO</v>
      </c>
      <c r="AA5" s="38">
        <f>VLOOKUP(A5,DATAKARYAWAN,28,0)</f>
        <v>64461</v>
      </c>
      <c r="AB5" s="38"/>
      <c r="AC5" s="38"/>
      <c r="AD5" s="38" t="str">
        <f>VLOOKUP(A5,DATAKARYAWAN,31,0)</f>
        <v>K/2</v>
      </c>
      <c r="AE5" s="48"/>
      <c r="AF5" s="38" t="str">
        <f>VLOOKUP(A5,DATAKARYAWAN,33,0)</f>
        <v>tidak ada NPWP</v>
      </c>
      <c r="AG5" s="38">
        <f>VLOOKUP(A5,DATAKARYAWAN,34,0)</f>
        <v>23083538639</v>
      </c>
      <c r="AH5" s="38" t="str">
        <f>VLOOKUP(A5,DATAKARYAWAN,35,0)</f>
        <v>0000735562629</v>
      </c>
      <c r="AI5" s="38" t="str">
        <f>VLOOKUP(A5,DATAKARYAWAN,36,0)</f>
        <v>Kelas 1</v>
      </c>
      <c r="AJ5" s="38"/>
      <c r="AK5" s="451">
        <f>VLOOKUP(A5,DATAKARYAWAN,38,0)</f>
        <v>44806</v>
      </c>
      <c r="AL5" s="477"/>
      <c r="AM5" s="477"/>
      <c r="AN5" s="477"/>
    </row>
    <row r="6" ht="16.5" customHeight="1">
      <c r="A6" s="478" t="s">
        <v>777</v>
      </c>
      <c r="B6" s="38" t="str">
        <f>VLOOKUP(A6,DATAKARYAWAN,3,0)</f>
        <v>Karyawan Tetap</v>
      </c>
      <c r="C6" s="38" t="str">
        <f>VLOOKUP(A6,DATAKARYAWAN,4,0)</f>
        <v>22-090007</v>
      </c>
      <c r="D6" s="38" t="str">
        <f>VLOOKUP(A6,DATAKARYAWAN,5,0)</f>
        <v>082114485561</v>
      </c>
      <c r="E6" s="453" t="str">
        <f>VLOOKUP(A6,DATAKARYAWAN,6,0)</f>
        <v>cahyonoer789@gmail.com</v>
      </c>
      <c r="F6" s="38" t="str">
        <f>VLOOKUP(A6,DATAKARYAWAN,7,0)</f>
        <v>TKBM</v>
      </c>
      <c r="G6" s="38" t="str">
        <f>VLOOKUP(A6,DATAKARYAWAN,8,0)</f>
        <v>OPERASIONAL</v>
      </c>
      <c r="H6" s="53"/>
      <c r="I6" s="38" t="str">
        <f>VLOOKUP(A6,DATAKARYAWAN,10,0)</f>
        <v>Indonesia</v>
      </c>
      <c r="J6" s="38" t="str">
        <f>VLOOKUP(A6,DATAKARYAWAN,11,0)</f>
        <v>ISLAM</v>
      </c>
      <c r="K6" s="38" t="str">
        <f>VLOOKUP(A6,DATAKARYAWAN,12,0)</f>
        <v>3578062706190001</v>
      </c>
      <c r="L6" s="38" t="str">
        <f>VLOOKUP(A6,DATAKARYAWAN,13,0)</f>
        <v>3578072207920002</v>
      </c>
      <c r="M6" s="38" t="str">
        <f>VLOOKUP(A6,DATAKARYAWAN,14,0)</f>
        <v>OCBC NISP</v>
      </c>
      <c r="N6" s="38">
        <f>VLOOKUP(A6,DATAKARYAWAN,15,0)</f>
        <v>58810105674</v>
      </c>
      <c r="O6" s="38" t="str">
        <f>VLOOKUP(A6,DATAKARYAWAN,16,0)</f>
        <v>SLTA</v>
      </c>
      <c r="P6" s="48"/>
      <c r="Q6" s="38" t="str">
        <f>VLOOKUP(A6,DATAKARYAWAN,18,0)</f>
        <v>LAKI-LAKI</v>
      </c>
      <c r="R6" s="38" t="str">
        <f>VLOOKUP(A6,DATAKARYAWAN,19,0)</f>
        <v>22 Juli 1992</v>
      </c>
      <c r="S6" s="38" t="str">
        <f>VLOOKUP(A6,DATAKARYAWAN,20,0)</f>
        <v>SURABAYA</v>
      </c>
      <c r="T6" s="38"/>
      <c r="U6" s="38" t="str">
        <f>VLOOKUP(A6,DATAKARYAWAN,22,0)</f>
        <v>KEMBANG KUNING KRAMAT JAYA 2/8 RT 15/RW 6</v>
      </c>
      <c r="V6" s="38" t="str">
        <f>VLOOKUP(A6,DATAKARYAWAN,23,0)</f>
        <v/>
      </c>
      <c r="W6" s="38" t="str">
        <f>VLOOKUP(A6,DATAKARYAWAN,24,0)</f>
        <v>JAWA TIMUR</v>
      </c>
      <c r="X6" s="38" t="str">
        <f>VLOOKUP(A6,DATAKARYAWAN,25,0)</f>
        <v>SURABAYA</v>
      </c>
      <c r="Y6" s="38" t="str">
        <f>VLOOKUP(A6,DATAKARYAWAN,26,0)</f>
        <v>SAWAHAN</v>
      </c>
      <c r="Z6" s="38" t="str">
        <f>VLOOKUP(A6,DATAKARYAWAN,27,0)</f>
        <v>PAKIS</v>
      </c>
      <c r="AA6" s="38">
        <f>VLOOKUP(A6,DATAKARYAWAN,28,0)</f>
        <v>60256</v>
      </c>
      <c r="AB6" s="38"/>
      <c r="AC6" s="38"/>
      <c r="AD6" s="38" t="str">
        <f>VLOOKUP(A6,DATAKARYAWAN,31,0)</f>
        <v>TK/0</v>
      </c>
      <c r="AE6" s="48"/>
      <c r="AF6" s="38" t="str">
        <f>VLOOKUP(A6,DATAKARYAWAN,33,0)</f>
        <v>tidak ada NPWP</v>
      </c>
      <c r="AG6" s="38">
        <f>VLOOKUP(A6,DATAKARYAWAN,34,0)</f>
        <v>23083538621</v>
      </c>
      <c r="AH6" s="38" t="str">
        <f>VLOOKUP(A6,DATAKARYAWAN,35,0)</f>
        <v>0001703540755</v>
      </c>
      <c r="AI6" s="38" t="str">
        <f>VLOOKUP(A6,DATAKARYAWAN,36,0)</f>
        <v>Kelas 1</v>
      </c>
      <c r="AJ6" s="38"/>
      <c r="AK6" s="451">
        <f>VLOOKUP(A6,DATAKARYAWAN,38,0)</f>
        <v>44816</v>
      </c>
      <c r="AL6" s="477"/>
      <c r="AM6" s="480"/>
      <c r="AN6" s="477"/>
    </row>
    <row r="7" ht="17.25" customHeight="1">
      <c r="A7" s="36" t="s">
        <v>1065</v>
      </c>
      <c r="B7" s="38" t="str">
        <f>VLOOKUP(A7,DATAKARYAWAN,3,0)</f>
        <v>Karyawan Tetap</v>
      </c>
      <c r="C7" s="38" t="str">
        <f>VLOOKUP(A7,DATAKARYAWAN,4,0)</f>
        <v>23-080013</v>
      </c>
      <c r="D7" s="38" t="str">
        <f>VLOOKUP(A7,DATAKARYAWAN,5,0)</f>
        <v>081703879856</v>
      </c>
      <c r="E7" s="453" t="str">
        <f>VLOOKUP(A7,DATAKARYAWAN,6,0)</f>
        <v>zanianyahya@gmail.com</v>
      </c>
      <c r="F7" s="38" t="str">
        <f>VLOOKUP(A7,DATAKARYAWAN,7,0)</f>
        <v>PJ GUDANG KALIANAK</v>
      </c>
      <c r="G7" s="38" t="str">
        <f>VLOOKUP(A7,DATAKARYAWAN,8,0)</f>
        <v>OPERASIONAL</v>
      </c>
      <c r="H7" s="53"/>
      <c r="I7" s="38" t="str">
        <f>VLOOKUP(A7,DATAKARYAWAN,10,0)</f>
        <v>Indonesia</v>
      </c>
      <c r="J7" s="38" t="str">
        <f>VLOOKUP(A7,DATAKARYAWAN,11,0)</f>
        <v>ISLAM</v>
      </c>
      <c r="K7" s="38" t="str">
        <f>VLOOKUP(A7,DATAKARYAWAN,12,0)</f>
        <v>3578270301084840</v>
      </c>
      <c r="L7" s="38" t="str">
        <f>VLOOKUP(A7,DATAKARYAWAN,13,0)</f>
        <v>3578270602990003</v>
      </c>
      <c r="M7" s="38" t="str">
        <f>VLOOKUP(A7,DATAKARYAWAN,14,0)</f>
        <v>OCBC</v>
      </c>
      <c r="N7" s="38" t="str">
        <f>VLOOKUP(A7,DATAKARYAWAN,15,0)</f>
        <v>058810126936</v>
      </c>
      <c r="O7" s="38" t="str">
        <f>VLOOKUP(A7,DATAKARYAWAN,16,0)</f>
        <v>SLTA</v>
      </c>
      <c r="P7" s="48"/>
      <c r="Q7" s="38" t="str">
        <f>VLOOKUP(A7,DATAKARYAWAN,18,0)</f>
        <v>LAKI-LAKI</v>
      </c>
      <c r="R7" s="479" t="str">
        <f>VLOOKUP(A7,DATAKARYAWAN,19,0)</f>
        <v>06 Februari 1999</v>
      </c>
      <c r="S7" s="38" t="str">
        <f>VLOOKUP(A7,DATAKARYAWAN,20,0)</f>
        <v>SURABAYA</v>
      </c>
      <c r="T7" s="38"/>
      <c r="U7" s="38" t="str">
        <f>VLOOKUP(A7,DATAKARYAWAN,22,0)</f>
        <v>SIMO KALANGAN 1/96-K RT 02/RW 07</v>
      </c>
      <c r="V7" s="38" t="str">
        <f>VLOOKUP(A7,DATAKARYAWAN,23,0)</f>
        <v/>
      </c>
      <c r="W7" s="38" t="str">
        <f>VLOOKUP(A7,DATAKARYAWAN,24,0)</f>
        <v>JAWA TIMUR</v>
      </c>
      <c r="X7" s="38" t="str">
        <f>VLOOKUP(A7,DATAKARYAWAN,25,0)</f>
        <v>SURABAYA</v>
      </c>
      <c r="Y7" s="38" t="str">
        <f>VLOOKUP(A7,DATAKARYAWAN,26,0)</f>
        <v>SUKOMANUNGGAL</v>
      </c>
      <c r="Z7" s="38" t="str">
        <f>VLOOKUP(A7,DATAKARYAWAN,27,0)</f>
        <v>SIMOMULYO</v>
      </c>
      <c r="AA7" s="38">
        <f>VLOOKUP(A7,DATAKARYAWAN,28,0)</f>
        <v>60181</v>
      </c>
      <c r="AB7" s="38"/>
      <c r="AC7" s="38"/>
      <c r="AD7" s="38" t="str">
        <f>VLOOKUP(A7,DATAKARYAWAN,31,0)</f>
        <v>K/1</v>
      </c>
      <c r="AE7" s="48"/>
      <c r="AF7" s="38" t="str">
        <f>VLOOKUP(A7,DATAKARYAWAN,33,0)</f>
        <v>434473617604000</v>
      </c>
      <c r="AG7" s="38">
        <f>VLOOKUP(A7,DATAKARYAWAN,34,0)</f>
        <v>24004250106</v>
      </c>
      <c r="AH7" s="38" t="str">
        <f>VLOOKUP(A7,DATAKARYAWAN,35,0)</f>
        <v>0001832038108</v>
      </c>
      <c r="AI7" s="38" t="str">
        <f>VLOOKUP(A7,DATAKARYAWAN,36,0)</f>
        <v>Kelas 1</v>
      </c>
      <c r="AJ7" s="38"/>
      <c r="AK7" s="451">
        <f>VLOOKUP(A7,DATAKARYAWAN,38,0)</f>
        <v>45161</v>
      </c>
      <c r="AL7" s="32" t="s">
        <v>1049</v>
      </c>
      <c r="AM7" s="481" t="s">
        <v>1077</v>
      </c>
      <c r="AN7" s="477"/>
    </row>
    <row r="8" ht="15.75" customHeight="1">
      <c r="A8" s="68" t="s">
        <v>1457</v>
      </c>
      <c r="B8" s="38" t="str">
        <f>VLOOKUP(A8,DATAKARYAWAN,3,0)</f>
        <v>Karyawan Tetap</v>
      </c>
      <c r="C8" s="38" t="str">
        <f>VLOOKUP(A8,DATAKARYAWAN,4,0)</f>
        <v>24-080016</v>
      </c>
      <c r="D8" s="38" t="str">
        <f>VLOOKUP(A8,DATAKARYAWAN,5,0)</f>
        <v>089653942426</v>
      </c>
      <c r="E8" s="38" t="str">
        <f>VLOOKUP(A8,DATAKARYAWAN,6,0)</f>
        <v>sofyan99jp@gmail.com</v>
      </c>
      <c r="F8" s="38" t="str">
        <f>VLOOKUP(A8,DATAKARYAWAN,7,0)</f>
        <v>TKBM</v>
      </c>
      <c r="G8" s="38" t="str">
        <f>VLOOKUP(A8,DATAKARYAWAN,8,0)</f>
        <v>OPERASIONAL</v>
      </c>
      <c r="H8" s="53"/>
      <c r="I8" s="38" t="str">
        <f>VLOOKUP(A8,DATAKARYAWAN,10,0)</f>
        <v>Indonesia</v>
      </c>
      <c r="J8" s="38" t="str">
        <f>VLOOKUP(A8,DATAKARYAWAN,11,0)</f>
        <v>ISLAM</v>
      </c>
      <c r="K8" s="38" t="str">
        <f>VLOOKUP(A8,DATAKARYAWAN,12,0)</f>
        <v>3578130906160001</v>
      </c>
      <c r="L8" s="38" t="str">
        <f>VLOOKUP(A8,DATAKARYAWAN,13,0)</f>
        <v>3517120102850008</v>
      </c>
      <c r="M8" s="38" t="str">
        <f>VLOOKUP(A8,DATAKARYAWAN,14,0)</f>
        <v/>
      </c>
      <c r="N8" s="38" t="str">
        <f>VLOOKUP(A8,DATAKARYAWAN,15,0)</f>
        <v/>
      </c>
      <c r="O8" s="38" t="str">
        <f>VLOOKUP(A8,DATAKARYAWAN,16,0)</f>
        <v>SLTP</v>
      </c>
      <c r="P8" s="48"/>
      <c r="Q8" s="38" t="str">
        <f>VLOOKUP(A8,DATAKARYAWAN,18,0)</f>
        <v>LAKI-LAKI</v>
      </c>
      <c r="R8" s="38" t="str">
        <f>VLOOKUP(A8,DATAKARYAWAN,19,0)</f>
        <v>01 Februari 1985</v>
      </c>
      <c r="S8" s="38" t="str">
        <f>VLOOKUP(A8,DATAKARYAWAN,20,0)</f>
        <v>SURABAYA</v>
      </c>
      <c r="T8" s="38"/>
      <c r="U8" s="38" t="str">
        <f>VLOOKUP(A8,DATAKARYAWAN,22,0)</f>
        <v>DSN CUMPLENG</v>
      </c>
      <c r="V8" s="38" t="str">
        <f>VLOOKUP(A8,DATAKARYAWAN,23,0)</f>
        <v/>
      </c>
      <c r="W8" s="38" t="str">
        <f>VLOOKUP(A8,DATAKARYAWAN,24,0)</f>
        <v>JAWA TIMUR</v>
      </c>
      <c r="X8" s="38" t="str">
        <f>VLOOKUP(A8,DATAKARYAWAN,25,0)</f>
        <v>JOMBANG</v>
      </c>
      <c r="Y8" s="38" t="str">
        <f>VLOOKUP(A8,DATAKARYAWAN,26,0)</f>
        <v>TEMBELANG</v>
      </c>
      <c r="Z8" s="38" t="str">
        <f>VLOOKUP(A8,DATAKARYAWAN,27,0)</f>
        <v>PULOREJO</v>
      </c>
      <c r="AA8" s="38">
        <f>VLOOKUP(A8,DATAKARYAWAN,28,0)</f>
        <v>61452</v>
      </c>
      <c r="AB8" s="38"/>
      <c r="AC8" s="38"/>
      <c r="AD8" s="38" t="str">
        <f>VLOOKUP(A8,DATAKARYAWAN,31,0)</f>
        <v>TK/0</v>
      </c>
      <c r="AE8" s="48"/>
      <c r="AF8" s="38" t="str">
        <f>VLOOKUP(A8,DATAKARYAWAN,33,0)</f>
        <v>tidak ada NPWP</v>
      </c>
      <c r="AG8" s="38">
        <f>VLOOKUP(A8,DATAKARYAWAN,34,0)</f>
        <v>24215066218</v>
      </c>
      <c r="AH8" s="38" t="str">
        <f>VLOOKUP(A8,DATAKARYAWAN,35,0)</f>
        <v>0002683327847</v>
      </c>
      <c r="AI8" s="38" t="str">
        <f>VLOOKUP(A8,DATAKARYAWAN,36,0)</f>
        <v/>
      </c>
      <c r="AJ8" s="38"/>
      <c r="AK8" s="451">
        <f>VLOOKUP(A8,DATAKARYAWAN,38,0)</f>
        <v>45525</v>
      </c>
      <c r="AL8" s="328" t="s">
        <v>1468</v>
      </c>
      <c r="AM8" s="482">
        <v>45990.0</v>
      </c>
      <c r="AN8" s="477"/>
    </row>
    <row r="9" ht="15.75" customHeight="1">
      <c r="A9" s="67" t="s">
        <v>1807</v>
      </c>
      <c r="B9" s="38" t="str">
        <f>VLOOKUP(A9,DATAKARYAWAN,3,0)</f>
        <v>Karyawan Kontrak</v>
      </c>
      <c r="C9" s="38" t="str">
        <f>VLOOKUP(A9,DATAKARYAWAN,4,0)</f>
        <v>25-040018</v>
      </c>
      <c r="D9" s="38" t="str">
        <f>VLOOKUP(A9,DATAKARYAWAN,5,0)</f>
        <v>081328785409</v>
      </c>
      <c r="E9" s="38" t="str">
        <f>VLOOKUP(A9,DATAKARYAWAN,6,0)</f>
        <v>yafipradana63@gmail.com</v>
      </c>
      <c r="F9" s="38" t="str">
        <f>VLOOKUP(A9,DATAKARYAWAN,7,0)</f>
        <v>STAFF KRANI</v>
      </c>
      <c r="G9" s="38" t="str">
        <f>VLOOKUP(A9,DATAKARYAWAN,8,0)</f>
        <v>OPERASIONAL</v>
      </c>
      <c r="H9" s="53"/>
      <c r="I9" s="38" t="str">
        <f>VLOOKUP(A9,DATAKARYAWAN,10,0)</f>
        <v>Indonesia</v>
      </c>
      <c r="J9" s="38" t="str">
        <f>VLOOKUP(A9,DATAKARYAWAN,11,0)</f>
        <v>ISLAM</v>
      </c>
      <c r="K9" s="38" t="str">
        <f>VLOOKUP(A9,DATAKARYAWAN,12,0)</f>
        <v>3578200307230004</v>
      </c>
      <c r="L9" s="38" t="str">
        <f>VLOOKUP(A9,DATAKARYAWAN,13,0)</f>
        <v>3502181001950002</v>
      </c>
      <c r="M9" s="38" t="str">
        <f>VLOOKUP(A9,DATAKARYAWAN,14,0)</f>
        <v>BCA</v>
      </c>
      <c r="N9" s="38">
        <f>VLOOKUP(A9,DATAKARYAWAN,15,0)</f>
        <v>1500908404</v>
      </c>
      <c r="O9" s="38" t="str">
        <f>VLOOKUP(A9,DATAKARYAWAN,16,0)</f>
        <v>SMA</v>
      </c>
      <c r="P9" s="48"/>
      <c r="Q9" s="38" t="str">
        <f>VLOOKUP(A9,DATAKARYAWAN,18,0)</f>
        <v>LAKI-LAKI</v>
      </c>
      <c r="R9" s="38" t="str">
        <f>VLOOKUP(A9,DATAKARYAWAN,19,0)</f>
        <v>10 Januari 1995</v>
      </c>
      <c r="S9" s="38" t="str">
        <f>VLOOKUP(A9,DATAKARYAWAN,20,0)</f>
        <v>KUTAI</v>
      </c>
      <c r="T9" s="38"/>
      <c r="U9" s="38" t="str">
        <f>VLOOKUP(A9,DATAKARYAWAN,22,0)</f>
        <v>WIYUNG SAWAH II/133</v>
      </c>
      <c r="V9" s="38" t="str">
        <f>VLOOKUP(A9,DATAKARYAWAN,23,0)</f>
        <v/>
      </c>
      <c r="W9" s="38" t="str">
        <f>VLOOKUP(A9,DATAKARYAWAN,24,0)</f>
        <v>JAWA TIMUR</v>
      </c>
      <c r="X9" s="38" t="str">
        <f>VLOOKUP(A9,DATAKARYAWAN,25,0)</f>
        <v>SURABAYA</v>
      </c>
      <c r="Y9" s="38" t="str">
        <f>VLOOKUP(A9,DATAKARYAWAN,26,0)</f>
        <v>WIYUNG</v>
      </c>
      <c r="Z9" s="38" t="str">
        <f>VLOOKUP(A9,DATAKARYAWAN,27,0)</f>
        <v>WIYUNG</v>
      </c>
      <c r="AA9" s="38">
        <f>VLOOKUP(A9,DATAKARYAWAN,28,0)</f>
        <v>60228</v>
      </c>
      <c r="AB9" s="38"/>
      <c r="AC9" s="38"/>
      <c r="AD9" s="38" t="str">
        <f>VLOOKUP(A9,DATAKARYAWAN,31,0)</f>
        <v>K/1</v>
      </c>
      <c r="AE9" s="48"/>
      <c r="AF9" s="38" t="str">
        <f>VLOOKUP(A9,DATAKARYAWAN,33,0)</f>
        <v>tidak ada NPWP</v>
      </c>
      <c r="AG9" s="38">
        <f>VLOOKUP(A9,DATAKARYAWAN,34,0)</f>
        <v>25112911141</v>
      </c>
      <c r="AH9" s="38" t="str">
        <f>VLOOKUP(A9,DATAKARYAWAN,35,0)</f>
        <v>0001770273292</v>
      </c>
      <c r="AI9" s="38" t="str">
        <f>VLOOKUP(A9,DATAKARYAWAN,36,0)</f>
        <v/>
      </c>
      <c r="AJ9" s="38"/>
      <c r="AK9" s="313" t="s">
        <v>1817</v>
      </c>
      <c r="AL9" s="483" t="s">
        <v>1208</v>
      </c>
      <c r="AM9" s="484" t="s">
        <v>1529</v>
      </c>
      <c r="AN9" s="477"/>
    </row>
    <row r="10" ht="15.75" customHeight="1">
      <c r="A10" s="67" t="s">
        <v>1819</v>
      </c>
      <c r="B10" s="38" t="str">
        <f>VLOOKUP(A10,DATAKARYAWAN,3,0)</f>
        <v>Karyawan Kontrak</v>
      </c>
      <c r="C10" s="38" t="str">
        <f>VLOOKUP(A10,DATAKARYAWAN,4,0)</f>
        <v>25-040019</v>
      </c>
      <c r="D10" s="38" t="str">
        <f>VLOOKUP(A10,DATAKARYAWAN,5,0)</f>
        <v/>
      </c>
      <c r="E10" s="38" t="str">
        <f>VLOOKUP(A10,DATAKARYAWAN,6,0)</f>
        <v>alviarchmn@gmail.com</v>
      </c>
      <c r="F10" s="38" t="str">
        <f>VLOOKUP(A10,DATAKARYAWAN,7,0)</f>
        <v>STAFF PRICING</v>
      </c>
      <c r="G10" s="38" t="str">
        <f>VLOOKUP(A10,DATAKARYAWAN,8,0)</f>
        <v>PRICING</v>
      </c>
      <c r="H10" s="53"/>
      <c r="I10" s="38" t="str">
        <f>VLOOKUP(A10,DATAKARYAWAN,10,0)</f>
        <v>Indonesia</v>
      </c>
      <c r="J10" s="38" t="str">
        <f>VLOOKUP(A10,DATAKARYAWAN,11,0)</f>
        <v>ISLAM</v>
      </c>
      <c r="K10" s="38" t="str">
        <f>VLOOKUP(A10,DATAKARYAWAN,12,0)</f>
        <v>3578011508220001</v>
      </c>
      <c r="L10" s="38" t="str">
        <f>VLOOKUP(A10,DATAKARYAWAN,13,0)</f>
        <v>3526156503970002</v>
      </c>
      <c r="M10" s="38" t="str">
        <f>VLOOKUP(A10,DATAKARYAWAN,14,0)</f>
        <v>BCA</v>
      </c>
      <c r="N10" s="38">
        <f>VLOOKUP(A10,DATAKARYAWAN,15,0)</f>
        <v>881974419</v>
      </c>
      <c r="O10" s="38" t="str">
        <f>VLOOKUP(A10,DATAKARYAWAN,16,0)</f>
        <v>SMA</v>
      </c>
      <c r="P10" s="48"/>
      <c r="Q10" s="38" t="str">
        <f>VLOOKUP(A10,DATAKARYAWAN,18,0)</f>
        <v>PEREMPUAN</v>
      </c>
      <c r="R10" s="38" t="str">
        <f>VLOOKUP(A10,DATAKARYAWAN,19,0)</f>
        <v>25 Maret 1997</v>
      </c>
      <c r="S10" s="38" t="str">
        <f>VLOOKUP(A10,DATAKARYAWAN,20,0)</f>
        <v>BANGKALAN</v>
      </c>
      <c r="T10" s="38"/>
      <c r="U10" s="38" t="str">
        <f>VLOOKUP(A10,DATAKARYAWAN,22,0)</f>
        <v>KEMLATEN ASRI KAV.68 RT 04/ RW 05</v>
      </c>
      <c r="V10" s="38" t="str">
        <f>VLOOKUP(A10,DATAKARYAWAN,23,0)</f>
        <v/>
      </c>
      <c r="W10" s="38" t="str">
        <f>VLOOKUP(A10,DATAKARYAWAN,24,0)</f>
        <v>JAWA TIMUR</v>
      </c>
      <c r="X10" s="38" t="str">
        <f>VLOOKUP(A10,DATAKARYAWAN,25,0)</f>
        <v>SURABAYA</v>
      </c>
      <c r="Y10" s="38" t="str">
        <f>VLOOKUP(A10,DATAKARYAWAN,26,0)</f>
        <v>KEBRAON</v>
      </c>
      <c r="Z10" s="38" t="str">
        <f>VLOOKUP(A10,DATAKARYAWAN,27,0)</f>
        <v>KARANGPILANG</v>
      </c>
      <c r="AA10" s="38">
        <f>VLOOKUP(A10,DATAKARYAWAN,28,0)</f>
        <v>60222</v>
      </c>
      <c r="AB10" s="38"/>
      <c r="AC10" s="38"/>
      <c r="AD10" s="38" t="str">
        <f>VLOOKUP(A10,DATAKARYAWAN,31,0)</f>
        <v>TK/0</v>
      </c>
      <c r="AE10" s="48"/>
      <c r="AF10" s="38" t="str">
        <f>VLOOKUP(A10,DATAKARYAWAN,33,0)</f>
        <v>tidak ada NPWP</v>
      </c>
      <c r="AG10" s="38">
        <f>VLOOKUP(A10,DATAKARYAWAN,34,0)</f>
        <v>25112911109</v>
      </c>
      <c r="AH10" s="38" t="str">
        <f>VLOOKUP(A10,DATAKARYAWAN,35,0)</f>
        <v>0002308491426</v>
      </c>
      <c r="AI10" s="38" t="str">
        <f>VLOOKUP(A10,DATAKARYAWAN,36,0)</f>
        <v/>
      </c>
      <c r="AJ10" s="38"/>
      <c r="AK10" s="313" t="s">
        <v>1817</v>
      </c>
      <c r="AL10" s="135" t="s">
        <v>1208</v>
      </c>
      <c r="AM10" s="484" t="s">
        <v>1818</v>
      </c>
      <c r="AN10" s="477"/>
    </row>
    <row r="11" ht="15.75" customHeight="1">
      <c r="A11" s="67" t="s">
        <v>1829</v>
      </c>
      <c r="B11" s="38" t="str">
        <f>VLOOKUP(A11,DATAKARYAWAN,3,0)</f>
        <v>Karyawan Kontrak</v>
      </c>
      <c r="C11" s="38" t="str">
        <f>VLOOKUP(A11,DATAKARYAWAN,4,0)</f>
        <v>25-040020</v>
      </c>
      <c r="D11" s="38" t="str">
        <f>VLOOKUP(A11,DATAKARYAWAN,5,0)</f>
        <v>081259300805</v>
      </c>
      <c r="E11" s="38" t="str">
        <f>VLOOKUP(A11,DATAKARYAWAN,6,0)</f>
        <v>prasetyario13807@gmail.com</v>
      </c>
      <c r="F11" s="38" t="str">
        <f>VLOOKUP(A11,DATAKARYAWAN,7,0)</f>
        <v>STAFF CS &amp; DOC</v>
      </c>
      <c r="G11" s="38" t="str">
        <f>VLOOKUP(A11,DATAKARYAWAN,8,0)</f>
        <v>CUSTOMER SERVICE</v>
      </c>
      <c r="H11" s="53"/>
      <c r="I11" s="38" t="str">
        <f>VLOOKUP(A11,DATAKARYAWAN,10,0)</f>
        <v>Indonesia</v>
      </c>
      <c r="J11" s="38" t="str">
        <f>VLOOKUP(A11,DATAKARYAWAN,11,0)</f>
        <v>ISLAM</v>
      </c>
      <c r="K11" s="38" t="str">
        <f>VLOOKUP(A11,DATAKARYAWAN,12,0)</f>
        <v>3515080202110010</v>
      </c>
      <c r="L11" s="38" t="str">
        <f>VLOOKUP(A11,DATAKARYAWAN,13,0)</f>
        <v>3515081809930008</v>
      </c>
      <c r="M11" s="38" t="str">
        <f>VLOOKUP(A11,DATAKARYAWAN,14,0)</f>
        <v>BCA</v>
      </c>
      <c r="N11" s="38" t="str">
        <f>VLOOKUP(A11,DATAKARYAWAN,15,0)</f>
        <v>0184428730</v>
      </c>
      <c r="O11" s="38" t="str">
        <f>VLOOKUP(A11,DATAKARYAWAN,16,0)</f>
        <v>S1</v>
      </c>
      <c r="P11" s="48"/>
      <c r="Q11" s="38" t="str">
        <f>VLOOKUP(A11,DATAKARYAWAN,18,0)</f>
        <v>LAKI-LAKI</v>
      </c>
      <c r="R11" s="38" t="str">
        <f>VLOOKUP(A11,DATAKARYAWAN,19,0)</f>
        <v>18 September 1993</v>
      </c>
      <c r="S11" s="38" t="str">
        <f>VLOOKUP(A11,DATAKARYAWAN,20,0)</f>
        <v>SIDOARJO</v>
      </c>
      <c r="T11" s="38"/>
      <c r="U11" s="38" t="str">
        <f>VLOOKUP(A11,DATAKARYAWAN,22,0)</f>
        <v>JL. DR SOETOMO III/07 RT 04/RW 02</v>
      </c>
      <c r="V11" s="38" t="str">
        <f>VLOOKUP(A11,DATAKARYAWAN,23,0)</f>
        <v/>
      </c>
      <c r="W11" s="38" t="str">
        <f>VLOOKUP(A11,DATAKARYAWAN,24,0)</f>
        <v>JAWA TIMUR</v>
      </c>
      <c r="X11" s="38" t="str">
        <f>VLOOKUP(A11,DATAKARYAWAN,25,0)</f>
        <v>SIDOARJO</v>
      </c>
      <c r="Y11" s="38" t="str">
        <f>VLOOKUP(A11,DATAKARYAWAN,26,0)</f>
        <v>SIDOARJO</v>
      </c>
      <c r="Z11" s="38" t="str">
        <f>VLOOKUP(A11,DATAKARYAWAN,27,0)</f>
        <v>MAGERSARI</v>
      </c>
      <c r="AA11" s="38">
        <f>VLOOKUP(A11,DATAKARYAWAN,28,0)</f>
        <v>61211</v>
      </c>
      <c r="AB11" s="38"/>
      <c r="AC11" s="38"/>
      <c r="AD11" s="38" t="str">
        <f>VLOOKUP(A11,DATAKARYAWAN,31,0)</f>
        <v>TK/0</v>
      </c>
      <c r="AE11" s="48"/>
      <c r="AF11" s="38" t="str">
        <f>VLOOKUP(A11,DATAKARYAWAN,33,0)</f>
        <v>425232071617000</v>
      </c>
      <c r="AG11" s="38">
        <f>VLOOKUP(A11,DATAKARYAWAN,34,0)</f>
        <v>25112911117</v>
      </c>
      <c r="AH11" s="38" t="str">
        <f>VLOOKUP(A11,DATAKARYAWAN,35,0)</f>
        <v>0001834139485</v>
      </c>
      <c r="AI11" s="38" t="str">
        <f>VLOOKUP(A11,DATAKARYAWAN,36,0)</f>
        <v/>
      </c>
      <c r="AJ11" s="38"/>
      <c r="AK11" s="373">
        <v>45775.0</v>
      </c>
      <c r="AL11" s="135" t="s">
        <v>1208</v>
      </c>
      <c r="AM11" s="484" t="s">
        <v>1209</v>
      </c>
      <c r="AN11" s="477"/>
    </row>
    <row r="12" ht="15.75" customHeight="1">
      <c r="A12" s="67" t="s">
        <v>1859</v>
      </c>
      <c r="B12" s="38" t="str">
        <f>VLOOKUP(A12,DATAKARYAWAN,3,0)</f>
        <v>Karyawan Kontrak</v>
      </c>
      <c r="C12" s="38" t="str">
        <f>VLOOKUP(A12,DATAKARYAWAN,4,0)</f>
        <v>25-050021</v>
      </c>
      <c r="D12" s="38" t="str">
        <f>VLOOKUP(A12,DATAKARYAWAN,5,0)</f>
        <v>085282089503</v>
      </c>
      <c r="E12" s="453" t="str">
        <f>VLOOKUP(A12,DATAKARYAWAN,6,0)</f>
        <v>nurcahyoredzan22@gmail.com</v>
      </c>
      <c r="F12" s="38" t="str">
        <f>VLOOKUP(A12,DATAKARYAWAN,7,0)</f>
        <v>STAFF KRANI</v>
      </c>
      <c r="G12" s="38" t="str">
        <f>VLOOKUP(A12,DATAKARYAWAN,8,0)</f>
        <v>OPERASIONAL</v>
      </c>
      <c r="H12" s="53"/>
      <c r="I12" s="38" t="str">
        <f>VLOOKUP(A12,DATAKARYAWAN,10,0)</f>
        <v>Indonesia</v>
      </c>
      <c r="J12" s="38" t="str">
        <f>VLOOKUP(A12,DATAKARYAWAN,11,0)</f>
        <v>ISLAM</v>
      </c>
      <c r="K12" s="38" t="str">
        <f>VLOOKUP(A12,DATAKARYAWAN,12,0)</f>
        <v>3214132103170003</v>
      </c>
      <c r="L12" s="38" t="str">
        <f>VLOOKUP(A12,DATAKARYAWAN,13,0)</f>
        <v>3214012201020010</v>
      </c>
      <c r="M12" s="38" t="str">
        <f>VLOOKUP(A12,DATAKARYAWAN,14,0)</f>
        <v>OCBC</v>
      </c>
      <c r="N12" s="38" t="str">
        <f>VLOOKUP(A12,DATAKARYAWAN,15,0)</f>
        <v>058810127017</v>
      </c>
      <c r="O12" s="38" t="str">
        <f>VLOOKUP(A12,DATAKARYAWAN,16,0)</f>
        <v>SMA</v>
      </c>
      <c r="P12" s="48"/>
      <c r="Q12" s="38" t="str">
        <f>VLOOKUP(A12,DATAKARYAWAN,18,0)</f>
        <v>LAKI-LAKI</v>
      </c>
      <c r="R12" s="38" t="str">
        <f>VLOOKUP(A12,DATAKARYAWAN,19,0)</f>
        <v>22 Januari 2002</v>
      </c>
      <c r="S12" s="38" t="str">
        <f>VLOOKUP(A12,DATAKARYAWAN,20,0)</f>
        <v>PURWAKARTA</v>
      </c>
      <c r="T12" s="38"/>
      <c r="U12" s="38" t="str">
        <f>VLOOKUP(A12,DATAKARYAWAN,22,0)</f>
        <v>PERUM BIP BLOK G 36 NO.10 RT 024/008</v>
      </c>
      <c r="V12" s="38" t="str">
        <f>VLOOKUP(A12,DATAKARYAWAN,23,0)</f>
        <v/>
      </c>
      <c r="W12" s="38" t="str">
        <f>VLOOKUP(A12,DATAKARYAWAN,24,0)</f>
        <v>JAWA BARAT</v>
      </c>
      <c r="X12" s="38" t="str">
        <f>VLOOKUP(A12,DATAKARYAWAN,25,0)</f>
        <v>PURWAKARTA</v>
      </c>
      <c r="Y12" s="38" t="str">
        <f>VLOOKUP(A12,DATAKARYAWAN,26,0)</f>
        <v>BUNGURSARI</v>
      </c>
      <c r="Z12" s="38" t="str">
        <f>VLOOKUP(A12,DATAKARYAWAN,27,0)</f>
        <v>CIBENING</v>
      </c>
      <c r="AA12" s="38">
        <f>VLOOKUP(A12,DATAKARYAWAN,28,0)</f>
        <v>41181</v>
      </c>
      <c r="AB12" s="38"/>
      <c r="AC12" s="38"/>
      <c r="AD12" s="38" t="str">
        <f>VLOOKUP(A12,DATAKARYAWAN,31,0)</f>
        <v>TK/0</v>
      </c>
      <c r="AE12" s="48"/>
      <c r="AF12" s="38" t="str">
        <f>VLOOKUP(A12,DATAKARYAWAN,33,0)</f>
        <v>tidak ada NPWP</v>
      </c>
      <c r="AG12" s="38">
        <f>VLOOKUP(A12,DATAKARYAWAN,34,0)</f>
        <v>25112911125</v>
      </c>
      <c r="AH12" s="38" t="str">
        <f>VLOOKUP(A12,DATAKARYAWAN,35,0)</f>
        <v>0001659876164</v>
      </c>
      <c r="AI12" s="38" t="str">
        <f>VLOOKUP(A12,DATAKARYAWAN,36,0)</f>
        <v/>
      </c>
      <c r="AJ12" s="38"/>
      <c r="AK12" s="485">
        <f>VLOOKUP(A12,DATAKARYAWAN,38,0)</f>
        <v>45790</v>
      </c>
      <c r="AL12" s="486" t="s">
        <v>1208</v>
      </c>
      <c r="AM12" s="155" t="s">
        <v>1529</v>
      </c>
      <c r="AN12" s="477"/>
    </row>
    <row r="13" ht="15.75" customHeight="1">
      <c r="A13" s="378" t="s">
        <v>1884</v>
      </c>
      <c r="B13" s="38" t="str">
        <f>VLOOKUP(A13,DATAKARYAWAN,3,0)</f>
        <v>Karyawan Tetap</v>
      </c>
      <c r="C13" s="38" t="str">
        <f>VLOOKUP(A13,DATAKARYAWAN,4,0)</f>
        <v>25-050023</v>
      </c>
      <c r="D13" s="38" t="str">
        <f>VLOOKUP(A13,DATAKARYAWAN,5,0)</f>
        <v>089678457740</v>
      </c>
      <c r="E13" s="38" t="str">
        <f>VLOOKUP(A13,DATAKARYAWAN,6,0)</f>
        <v>putriratna1214@gmail.com</v>
      </c>
      <c r="F13" s="38" t="str">
        <f>VLOOKUP(A13,DATAKARYAWAN,7,0)</f>
        <v>STAFF HRD</v>
      </c>
      <c r="G13" s="38" t="str">
        <f>VLOOKUP(A13,DATAKARYAWAN,8,0)</f>
        <v>HRD</v>
      </c>
      <c r="H13" s="53"/>
      <c r="I13" s="38" t="str">
        <f>VLOOKUP(A13,DATAKARYAWAN,10,0)</f>
        <v>Indonesia</v>
      </c>
      <c r="J13" s="38" t="str">
        <f>VLOOKUP(A13,DATAKARYAWAN,11,0)</f>
        <v>ISLAM</v>
      </c>
      <c r="K13" s="38" t="str">
        <f>VLOOKUP(A13,DATAKARYAWAN,12,0)</f>
        <v>3578233001190007</v>
      </c>
      <c r="L13" s="38" t="str">
        <f>VLOOKUP(A13,DATAKARYAWAN,13,0)</f>
        <v>3525155412950001</v>
      </c>
      <c r="M13" s="38" t="str">
        <f>VLOOKUP(A13,DATAKARYAWAN,14,0)</f>
        <v>OCBC</v>
      </c>
      <c r="N13" s="38" t="str">
        <f>VLOOKUP(A13,DATAKARYAWAN,15,0)</f>
        <v>058810126985</v>
      </c>
      <c r="O13" s="38" t="str">
        <f>VLOOKUP(A13,DATAKARYAWAN,16,0)</f>
        <v>D3</v>
      </c>
      <c r="P13" s="48"/>
      <c r="Q13" s="38" t="str">
        <f>VLOOKUP(A13,DATAKARYAWAN,18,0)</f>
        <v>PEREMPUAN</v>
      </c>
      <c r="R13" s="38" t="str">
        <f>VLOOKUP(A13,DATAKARYAWAN,19,0)</f>
        <v>14 Desember 1995</v>
      </c>
      <c r="S13" s="38" t="str">
        <f>VLOOKUP(A13,DATAKARYAWAN,20,0)</f>
        <v>SURABAYA</v>
      </c>
      <c r="T13" s="38"/>
      <c r="U13" s="38" t="str">
        <f>VLOOKUP(A13,DATAKARYAWAN,22,0)</f>
        <v>JL. KARAH GG. V NO 46 B RT 03/RW 05</v>
      </c>
      <c r="V13" s="38" t="str">
        <f>VLOOKUP(A13,DATAKARYAWAN,23,0)</f>
        <v/>
      </c>
      <c r="W13" s="38" t="str">
        <f>VLOOKUP(A13,DATAKARYAWAN,24,0)</f>
        <v>JAWA TIMUR</v>
      </c>
      <c r="X13" s="38" t="str">
        <f>VLOOKUP(A13,DATAKARYAWAN,25,0)</f>
        <v>SURABAYA</v>
      </c>
      <c r="Y13" s="38" t="str">
        <f>VLOOKUP(A13,DATAKARYAWAN,26,0)</f>
        <v>JAMBANGAN</v>
      </c>
      <c r="Z13" s="38" t="str">
        <f>VLOOKUP(A13,DATAKARYAWAN,27,0)</f>
        <v>KARAH </v>
      </c>
      <c r="AA13" s="38">
        <f>VLOOKUP(A13,DATAKARYAWAN,28,0)</f>
        <v>60232</v>
      </c>
      <c r="AB13" s="38"/>
      <c r="AC13" s="38"/>
      <c r="AD13" s="38" t="str">
        <f>VLOOKUP(A13,DATAKARYAWAN,31,0)</f>
        <v>TK/0</v>
      </c>
      <c r="AE13" s="48"/>
      <c r="AF13" s="38" t="str">
        <f>VLOOKUP(A13,DATAKARYAWAN,33,0)</f>
        <v>tidak ada NPWP</v>
      </c>
      <c r="AG13" s="38">
        <f>VLOOKUP(A13,DATAKARYAWAN,34,0)</f>
        <v>17072867918</v>
      </c>
      <c r="AH13" s="38" t="str">
        <f>VLOOKUP(A13,DATAKARYAWAN,35,0)</f>
        <v>0001543880845</v>
      </c>
      <c r="AI13" s="38" t="str">
        <f>VLOOKUP(A13,DATAKARYAWAN,36,0)</f>
        <v/>
      </c>
      <c r="AJ13" s="38"/>
      <c r="AK13" s="485">
        <f>VLOOKUP(A13,DATAKARYAWAN,38,0)</f>
        <v>45790</v>
      </c>
      <c r="AL13" s="106" t="s">
        <v>1208</v>
      </c>
      <c r="AN13" s="477"/>
    </row>
    <row r="14" ht="15.75" customHeight="1">
      <c r="A14" s="67" t="s">
        <v>1895</v>
      </c>
      <c r="B14" s="38" t="str">
        <f>VLOOKUP(A14,DATAKARYAWAN,3,0)</f>
        <v>Karyawan Kontrak</v>
      </c>
      <c r="C14" s="38" t="str">
        <f>VLOOKUP(A14,DATAKARYAWAN,4,0)</f>
        <v>25-050024</v>
      </c>
      <c r="D14" s="38" t="str">
        <f>VLOOKUP(A14,DATAKARYAWAN,5,0)</f>
        <v>083856453129</v>
      </c>
      <c r="E14" s="38" t="str">
        <f>VLOOKUP(A14,DATAKARYAWAN,6,0)</f>
        <v>agnesaristamayasari@gmail.com</v>
      </c>
      <c r="F14" s="38" t="str">
        <f>VLOOKUP(A14,DATAKARYAWAN,7,0)</f>
        <v>STAFF ACCOUNTING &amp; TAX</v>
      </c>
      <c r="G14" s="38" t="str">
        <f>VLOOKUP(A14,DATAKARYAWAN,8,0)</f>
        <v>KEUANGAN</v>
      </c>
      <c r="H14" s="53"/>
      <c r="I14" s="38" t="str">
        <f>VLOOKUP(A14,DATAKARYAWAN,10,0)</f>
        <v>Indonesia</v>
      </c>
      <c r="J14" s="38" t="str">
        <f>VLOOKUP(A14,DATAKARYAWAN,11,0)</f>
        <v>ISLAM</v>
      </c>
      <c r="K14" s="38" t="str">
        <f>VLOOKUP(A14,DATAKARYAWAN,12,0)</f>
        <v>3578041705210003</v>
      </c>
      <c r="L14" s="38" t="str">
        <f>VLOOKUP(A14,DATAKARYAWAN,13,0)</f>
        <v>3578045706960005</v>
      </c>
      <c r="M14" s="38" t="str">
        <f>VLOOKUP(A14,DATAKARYAWAN,14,0)</f>
        <v>BCA</v>
      </c>
      <c r="N14" s="38">
        <f>VLOOKUP(A14,DATAKARYAWAN,15,0)</f>
        <v>3640093331</v>
      </c>
      <c r="O14" s="38" t="str">
        <f>VLOOKUP(A14,DATAKARYAWAN,16,0)</f>
        <v>S1</v>
      </c>
      <c r="P14" s="48"/>
      <c r="Q14" s="38" t="str">
        <f>VLOOKUP(A14,DATAKARYAWAN,18,0)</f>
        <v>PEREMPUAN</v>
      </c>
      <c r="R14" s="38" t="str">
        <f>VLOOKUP(A14,DATAKARYAWAN,19,0)</f>
        <v>17 Juni 1996</v>
      </c>
      <c r="S14" s="38" t="str">
        <f>VLOOKUP(A14,DATAKARYAWAN,20,0)</f>
        <v>SURABAYA</v>
      </c>
      <c r="T14" s="38"/>
      <c r="U14" s="38" t="str">
        <f>VLOOKUP(A14,DATAKARYAWAN,22,0)</f>
        <v>KESATRIAN ASRAMA YONIF 516 RT 05/ RW 10</v>
      </c>
      <c r="V14" s="38" t="str">
        <f>VLOOKUP(A14,DATAKARYAWAN,23,0)</f>
        <v/>
      </c>
      <c r="W14" s="38" t="str">
        <f>VLOOKUP(A14,DATAKARYAWAN,24,0)</f>
        <v>JAWA TIMUR</v>
      </c>
      <c r="X14" s="38" t="str">
        <f>VLOOKUP(A14,DATAKARYAWAN,25,0)</f>
        <v>SURABAYA</v>
      </c>
      <c r="Y14" s="38" t="str">
        <f>VLOOKUP(A14,DATAKARYAWAN,26,0)</f>
        <v>WONOKROMO</v>
      </c>
      <c r="Z14" s="38" t="str">
        <f>VLOOKUP(A14,DATAKARYAWAN,27,0)</f>
        <v>SAWUNGGALING</v>
      </c>
      <c r="AA14" s="38">
        <f>VLOOKUP(A14,DATAKARYAWAN,28,0)</f>
        <v>60242</v>
      </c>
      <c r="AB14" s="38"/>
      <c r="AC14" s="38"/>
      <c r="AD14" s="38" t="str">
        <f>VLOOKUP(A14,DATAKARYAWAN,31,0)</f>
        <v>TK/0</v>
      </c>
      <c r="AE14" s="48"/>
      <c r="AF14" s="38" t="str">
        <f>VLOOKUP(A14,DATAKARYAWAN,33,0)</f>
        <v>tidak ada NPWP</v>
      </c>
      <c r="AG14" s="38">
        <f>VLOOKUP(A14,DATAKARYAWAN,34,0)</f>
        <v>25112911091</v>
      </c>
      <c r="AH14" s="38" t="str">
        <f>VLOOKUP(A14,DATAKARYAWAN,35,0)</f>
        <v>0002926454455</v>
      </c>
      <c r="AI14" s="38" t="str">
        <f>VLOOKUP(A14,DATAKARYAWAN,36,0)</f>
        <v/>
      </c>
      <c r="AJ14" s="38"/>
      <c r="AK14" s="485">
        <f>VLOOKUP(A14,DATAKARYAWAN,38,0)</f>
        <v>45791</v>
      </c>
      <c r="AL14" s="106" t="s">
        <v>1208</v>
      </c>
      <c r="AM14" s="155" t="s">
        <v>1529</v>
      </c>
      <c r="AN14" s="477"/>
    </row>
    <row r="15" ht="15.75" customHeight="1">
      <c r="A15" s="67" t="s">
        <v>1921</v>
      </c>
      <c r="B15" s="38" t="str">
        <f>VLOOKUP(A15,DATAKARYAWAN,3,0)</f>
        <v>Karyawan Tetap</v>
      </c>
      <c r="C15" s="38" t="str">
        <f>VLOOKUP(A15,DATAKARYAWAN,4,0)</f>
        <v>25-050025</v>
      </c>
      <c r="D15" s="38" t="str">
        <f>VLOOKUP(A15,DATAKARYAWAN,5,0)</f>
        <v>081217560437</v>
      </c>
      <c r="E15" s="38" t="str">
        <f>VLOOKUP(A15,DATAKARYAWAN,6,0)</f>
        <v>ariasthanatha@gmail.com</v>
      </c>
      <c r="F15" s="38" t="str">
        <f>VLOOKUP(A15,DATAKARYAWAN,7,0)</f>
        <v>STAFF PLANNER</v>
      </c>
      <c r="G15" s="38" t="str">
        <f>VLOOKUP(A15,DATAKARYAWAN,8,0)</f>
        <v>PLANNER</v>
      </c>
      <c r="H15" s="53"/>
      <c r="I15" s="38" t="str">
        <f>VLOOKUP(A15,DATAKARYAWAN,10,0)</f>
        <v>Indonesia</v>
      </c>
      <c r="J15" s="38" t="str">
        <f>VLOOKUP(A15,DATAKARYAWAN,11,0)</f>
        <v>HINDU</v>
      </c>
      <c r="K15" s="38" t="str">
        <f>VLOOKUP(A15,DATAKARYAWAN,12,0)</f>
        <v>3578302108240001</v>
      </c>
      <c r="L15" s="38" t="str">
        <f>VLOOKUP(A15,DATAKARYAWAN,13,0)</f>
        <v>3578062406940002</v>
      </c>
      <c r="M15" s="38" t="str">
        <f>VLOOKUP(A15,DATAKARYAWAN,14,0)</f>
        <v>BCA</v>
      </c>
      <c r="N15" s="38">
        <f>VLOOKUP(A15,DATAKARYAWAN,15,0)</f>
        <v>2582550132</v>
      </c>
      <c r="O15" s="38" t="str">
        <f>VLOOKUP(A15,DATAKARYAWAN,16,0)</f>
        <v>SMA</v>
      </c>
      <c r="P15" s="48"/>
      <c r="Q15" s="38" t="str">
        <f>VLOOKUP(A15,DATAKARYAWAN,18,0)</f>
        <v>LAKI-LAKI</v>
      </c>
      <c r="R15" s="38" t="str">
        <f>VLOOKUP(A15,DATAKARYAWAN,19,0)</f>
        <v>24 Juni 1994</v>
      </c>
      <c r="S15" s="38" t="str">
        <f>VLOOKUP(A15,DATAKARYAWAN,20,0)</f>
        <v>SURABAYA</v>
      </c>
      <c r="T15" s="38"/>
      <c r="U15" s="38" t="str">
        <f>VLOOKUP(A15,DATAKARYAWAN,22,0)</f>
        <v>KEMBANG KUNING KULON BSR 8 RT 3/RW 6</v>
      </c>
      <c r="V15" s="38" t="str">
        <f>VLOOKUP(A15,DATAKARYAWAN,23,0)</f>
        <v/>
      </c>
      <c r="W15" s="38" t="str">
        <f>VLOOKUP(A15,DATAKARYAWAN,24,0)</f>
        <v>JAWA TIMUR</v>
      </c>
      <c r="X15" s="38" t="str">
        <f>VLOOKUP(A15,DATAKARYAWAN,25,0)</f>
        <v>SURABAYA</v>
      </c>
      <c r="Y15" s="38" t="str">
        <f>VLOOKUP(A15,DATAKARYAWAN,26,0)</f>
        <v>SAWAHAN</v>
      </c>
      <c r="Z15" s="38" t="str">
        <f>VLOOKUP(A15,DATAKARYAWAN,27,0)</f>
        <v>PAKIS</v>
      </c>
      <c r="AA15" s="38">
        <f>VLOOKUP(A15,DATAKARYAWAN,28,0)</f>
        <v>60197</v>
      </c>
      <c r="AB15" s="38"/>
      <c r="AC15" s="38"/>
      <c r="AD15" s="38" t="str">
        <f>VLOOKUP(A15,DATAKARYAWAN,31,0)</f>
        <v>K/0</v>
      </c>
      <c r="AE15" s="48"/>
      <c r="AF15" s="38" t="str">
        <f>VLOOKUP(A15,DATAKARYAWAN,33,0)</f>
        <v>tidak ada NPWP</v>
      </c>
      <c r="AG15" s="38">
        <f>VLOOKUP(A15,DATAKARYAWAN,34,0)</f>
        <v>25112911133</v>
      </c>
      <c r="AH15" s="38" t="str">
        <f>VLOOKUP(A15,DATAKARYAWAN,35,0)</f>
        <v>0001097548953</v>
      </c>
      <c r="AI15" s="38" t="str">
        <f>VLOOKUP(A15,DATAKARYAWAN,36,0)</f>
        <v/>
      </c>
      <c r="AJ15" s="38"/>
      <c r="AK15" s="237" t="s">
        <v>2658</v>
      </c>
      <c r="AL15" s="106" t="s">
        <v>1208</v>
      </c>
      <c r="AM15" s="155" t="s">
        <v>1818</v>
      </c>
      <c r="AN15" s="477"/>
    </row>
    <row r="16" ht="15.75" customHeight="1">
      <c r="A16" s="67" t="s">
        <v>2022</v>
      </c>
      <c r="B16" s="38" t="str">
        <f>VLOOKUP(A16,DATAKARYAWAN,3,0)</f>
        <v>Karyawan Kontrak</v>
      </c>
      <c r="C16" s="38" t="str">
        <f>VLOOKUP(A16,DATAKARYAWAN,4,0)</f>
        <v>25-080026</v>
      </c>
      <c r="D16" s="38" t="str">
        <f>VLOOKUP(A16,DATAKARYAWAN,5,0)</f>
        <v>08191460327</v>
      </c>
      <c r="E16" s="38" t="str">
        <f>VLOOKUP(A16,DATAKARYAWAN,6,0)</f>
        <v>noviantorendy76@gmail.com</v>
      </c>
      <c r="F16" s="38" t="str">
        <f>VLOOKUP(A16,DATAKARYAWAN,7,0)</f>
        <v>TKBM</v>
      </c>
      <c r="G16" s="38" t="str">
        <f>VLOOKUP(A16,DATAKARYAWAN,8,0)</f>
        <v>OPERASIONAL </v>
      </c>
      <c r="H16" s="53"/>
      <c r="I16" s="38" t="str">
        <f>VLOOKUP(A16,DATAKARYAWAN,10,0)</f>
        <v>Indonesia</v>
      </c>
      <c r="J16" s="38" t="str">
        <f>VLOOKUP(A16,DATAKARYAWAN,11,0)</f>
        <v>ISLAM</v>
      </c>
      <c r="K16" s="38" t="str">
        <f>VLOOKUP(A16,DATAKARYAWAN,12,0)</f>
        <v>3578100101085501</v>
      </c>
      <c r="L16" s="38" t="str">
        <f>VLOOKUP(A16,DATAKARYAWAN,13,0)</f>
        <v>3578102011030007</v>
      </c>
      <c r="M16" s="38" t="str">
        <f>VLOOKUP(A16,DATAKARYAWAN,14,0)</f>
        <v>BCA</v>
      </c>
      <c r="N16" s="38">
        <f>VLOOKUP(A16,DATAKARYAWAN,15,0)</f>
        <v>1012104914</v>
      </c>
      <c r="O16" s="38" t="str">
        <f>VLOOKUP(A16,DATAKARYAWAN,16,0)</f>
        <v>SD</v>
      </c>
      <c r="P16" s="48"/>
      <c r="Q16" s="38" t="str">
        <f>VLOOKUP(A16,DATAKARYAWAN,18,0)</f>
        <v>LAKI - LAKI</v>
      </c>
      <c r="R16" s="485">
        <f>VLOOKUP(A16,DATAKARYAWAN,19,0)</f>
        <v>37945</v>
      </c>
      <c r="S16" s="38" t="str">
        <f>VLOOKUP(A16,DATAKARYAWAN,20,0)</f>
        <v>SURABAYA</v>
      </c>
      <c r="T16" s="38"/>
      <c r="U16" s="38" t="str">
        <f>VLOOKUP(A16,DATAKARYAWAN,22,0)</f>
        <v>PLOSO 2/18 RT 02/ RW 05</v>
      </c>
      <c r="V16" s="38" t="str">
        <f>VLOOKUP(A16,DATAKARYAWAN,23,0)</f>
        <v/>
      </c>
      <c r="W16" s="38" t="str">
        <f>VLOOKUP(A16,DATAKARYAWAN,24,0)</f>
        <v>JAWA TIMUR</v>
      </c>
      <c r="X16" s="38" t="str">
        <f>VLOOKUP(A16,DATAKARYAWAN,25,0)</f>
        <v>SURABAYA</v>
      </c>
      <c r="Y16" s="38" t="str">
        <f>VLOOKUP(A16,DATAKARYAWAN,26,0)</f>
        <v>TAMBAKSARI</v>
      </c>
      <c r="Z16" s="38" t="str">
        <f>VLOOKUP(A16,DATAKARYAWAN,27,0)</f>
        <v>PLOSO</v>
      </c>
      <c r="AA16" s="38">
        <f>VLOOKUP(A16,DATAKARYAWAN,28,0)</f>
        <v>60133</v>
      </c>
      <c r="AB16" s="38"/>
      <c r="AC16" s="38"/>
      <c r="AD16" s="38" t="str">
        <f>VLOOKUP(A16,DATAKARYAWAN,31,0)</f>
        <v>TK/0</v>
      </c>
      <c r="AE16" s="48"/>
      <c r="AF16" s="38" t="str">
        <f>VLOOKUP(A16,DATAKARYAWAN,33,0)</f>
        <v>tidak ada NPWP</v>
      </c>
      <c r="AG16" s="38">
        <f>VLOOKUP(A16,DATAKARYAWAN,34,0)</f>
        <v>25175560298</v>
      </c>
      <c r="AH16" s="38" t="str">
        <f>VLOOKUP(A16,DATAKARYAWAN,35,0)</f>
        <v>0002683115818</v>
      </c>
      <c r="AK16" s="155" t="s">
        <v>2659</v>
      </c>
      <c r="AL16" s="155" t="s">
        <v>1209</v>
      </c>
    </row>
    <row r="17" ht="15.75" customHeight="1">
      <c r="A17" s="155" t="s">
        <v>2136</v>
      </c>
      <c r="B17" s="38" t="str">
        <f>VLOOKUP(A17,DATAKARYAWAN,3,0)</f>
        <v>Karyawan Kontrak</v>
      </c>
      <c r="C17" s="38" t="str">
        <f>VLOOKUP(A17,DATAKARYAWAN,4,0)</f>
        <v>25-090028</v>
      </c>
      <c r="D17" s="38" t="str">
        <f>VLOOKUP(A17,DATAKARYAWAN,5,0)</f>
        <v>62 8158700419</v>
      </c>
      <c r="E17" s="38" t="str">
        <f>VLOOKUP(A17,DATAKARYAWAN,6,0)</f>
        <v>nadya.angelina42@gmail.com</v>
      </c>
      <c r="F17" s="38" t="str">
        <f>VLOOKUP(A17,DATAKARYAWAN,7,0)</f>
        <v>STAFF CS &amp; DOC</v>
      </c>
      <c r="G17" s="38" t="str">
        <f>VLOOKUP(A17,DATAKARYAWAN,8,0)</f>
        <v>CUSTOMER SERVICE</v>
      </c>
      <c r="H17" s="53"/>
      <c r="I17" s="38" t="str">
        <f>VLOOKUP(A17,DATAKARYAWAN,10,0)</f>
        <v>Indonesia</v>
      </c>
      <c r="J17" s="38" t="str">
        <f>VLOOKUP(A17,DATAKARYAWAN,11,0)</f>
        <v>ISLAM</v>
      </c>
      <c r="K17" s="38" t="str">
        <f>VLOOKUP(A17,DATAKARYAWAN,12,0)</f>
        <v>3172040203111075</v>
      </c>
      <c r="L17" s="38" t="str">
        <f>VLOOKUP(A17,DATAKARYAWAN,13,0)</f>
        <v>3172046209000008</v>
      </c>
      <c r="M17" s="38" t="str">
        <f>VLOOKUP(A17,DATAKARYAWAN,14,0)</f>
        <v>OCBC</v>
      </c>
      <c r="N17" s="38" t="str">
        <f>VLOOKUP(A17,DATAKARYAWAN,15,0)</f>
        <v>058810127710</v>
      </c>
      <c r="O17" s="38" t="str">
        <f>VLOOKUP(A17,DATAKARYAWAN,16,0)</f>
        <v>SMK</v>
      </c>
      <c r="P17" s="48"/>
      <c r="Q17" s="38" t="str">
        <f>VLOOKUP(A17,DATAKARYAWAN,18,0)</f>
        <v>PEREMPUAN</v>
      </c>
      <c r="R17" s="485">
        <f>VLOOKUP(A17,DATAKARYAWAN,19,0)</f>
        <v>36791</v>
      </c>
      <c r="S17" s="38" t="str">
        <f>VLOOKUP(A17,DATAKARYAWAN,20,0)</f>
        <v>JAKARTA</v>
      </c>
      <c r="T17" s="38"/>
      <c r="U17" s="38" t="str">
        <f>VLOOKUP(A17,DATAKARYAWAN,22,0)</f>
        <v>Jl. Kalibaru Barat RT/RW 004/010</v>
      </c>
      <c r="V17" s="38" t="str">
        <f>VLOOKUP(A17,DATAKARYAWAN,23,0)</f>
        <v/>
      </c>
      <c r="W17" s="38" t="str">
        <f>VLOOKUP(A17,DATAKARYAWAN,24,0)</f>
        <v>JAKARTA</v>
      </c>
      <c r="X17" s="38" t="str">
        <f>VLOOKUP(A17,DATAKARYAWAN,25,0)</f>
        <v>JAKARTA UTARA</v>
      </c>
      <c r="Y17" s="38" t="str">
        <f>VLOOKUP(A17,DATAKARYAWAN,26,0)</f>
        <v>CILINCING</v>
      </c>
      <c r="Z17" s="38" t="str">
        <f>VLOOKUP(A17,DATAKARYAWAN,27,0)</f>
        <v>KALIBARU</v>
      </c>
      <c r="AA17" s="38">
        <f>VLOOKUP(A17,DATAKARYAWAN,28,0)</f>
        <v>14110</v>
      </c>
      <c r="AB17" s="38"/>
      <c r="AC17" s="38"/>
      <c r="AD17" s="38" t="str">
        <f>VLOOKUP(A17,DATAKARYAWAN,31,0)</f>
        <v>TK/0</v>
      </c>
      <c r="AE17" s="48"/>
      <c r="AF17" s="38">
        <f>VLOOKUP(A17,DATAKARYAWAN,33,0)</f>
        <v>918159237045000</v>
      </c>
      <c r="AG17" s="38">
        <f>VLOOKUP(A17,DATAKARYAWAN,34,0)</f>
        <v>26016015740</v>
      </c>
      <c r="AH17" s="38" t="str">
        <f>VLOOKUP(A17,DATAKARYAWAN,35,0)</f>
        <v>0000379639001</v>
      </c>
    </row>
    <row r="18" ht="15.75" customHeight="1">
      <c r="A18" s="155" t="s">
        <v>2280</v>
      </c>
      <c r="B18" s="38" t="str">
        <f>VLOOKUP(A18,DATAKARYAWAN,3,0)</f>
        <v>Karyawan Kontrak</v>
      </c>
      <c r="C18" s="38" t="str">
        <f>VLOOKUP(A18,DATAKARYAWAN,4,0)</f>
        <v>25-110029</v>
      </c>
      <c r="D18" s="38" t="str">
        <f>VLOOKUP(A18,DATAKARYAWAN,5,0)</f>
        <v>0895329456747</v>
      </c>
      <c r="E18" s="38" t="str">
        <f>VLOOKUP(A18,DATAKARYAWAN,6,0)</f>
        <v>tiohernadiansah@gmail.com</v>
      </c>
      <c r="F18" s="38" t="str">
        <f>VLOOKUP(A18,DATAKARYAWAN,7,0)</f>
        <v>TKBM</v>
      </c>
      <c r="G18" s="38" t="str">
        <f>VLOOKUP(A18,DATAKARYAWAN,8,0)</f>
        <v>OPERASIONAL</v>
      </c>
      <c r="H18" s="53"/>
      <c r="I18" s="38" t="str">
        <f>VLOOKUP(A18,DATAKARYAWAN,10,0)</f>
        <v>Indonesia</v>
      </c>
      <c r="J18" s="38" t="str">
        <f>VLOOKUP(A18,DATAKARYAWAN,11,0)</f>
        <v>ISLAM</v>
      </c>
      <c r="K18" s="38" t="str">
        <f>VLOOKUP(A18,DATAKARYAWAN,12,0)</f>
        <v>3525151711084618</v>
      </c>
      <c r="L18" s="38" t="str">
        <f>VLOOKUP(A18,DATAKARYAWAN,13,0)</f>
        <v>3525161006000001</v>
      </c>
      <c r="M18" s="38" t="str">
        <f>VLOOKUP(A18,DATAKARYAWAN,14,0)</f>
        <v>OCBC</v>
      </c>
      <c r="N18" s="38" t="str">
        <f>VLOOKUP(A18,DATAKARYAWAN,15,0)</f>
        <v>058810128692</v>
      </c>
      <c r="O18" s="38" t="str">
        <f>VLOOKUP(A18,DATAKARYAWAN,16,0)</f>
        <v>SMK</v>
      </c>
      <c r="P18" s="48"/>
      <c r="Q18" s="38" t="str">
        <f>VLOOKUP(A18,DATAKARYAWAN,18,0)</f>
        <v>LAKI - LAKI</v>
      </c>
      <c r="R18" s="38" t="str">
        <f>VLOOKUP(A18,DATAKARYAWAN,19,0)</f>
        <v>10 MEI 2000</v>
      </c>
      <c r="S18" s="38" t="str">
        <f>VLOOKUP(A18,DATAKARYAWAN,20,0)</f>
        <v>GRESIK</v>
      </c>
      <c r="T18" s="38"/>
      <c r="U18" s="38" t="str">
        <f>VLOOKUP(A18,DATAKARYAWAN,22,0)</f>
        <v>PERUM GRIYA KENCANA BLOK I C /76</v>
      </c>
      <c r="V18" s="38" t="str">
        <f>VLOOKUP(A18,DATAKARYAWAN,23,0)</f>
        <v/>
      </c>
      <c r="W18" s="38" t="str">
        <f>VLOOKUP(A18,DATAKARYAWAN,24,0)</f>
        <v>JAWA TIMUR</v>
      </c>
      <c r="X18" s="38" t="str">
        <f>VLOOKUP(A18,DATAKARYAWAN,25,0)</f>
        <v>GRESIK</v>
      </c>
      <c r="Y18" s="38" t="str">
        <f>VLOOKUP(A18,DATAKARYAWAN,26,0)</f>
        <v>DRIYOREJO</v>
      </c>
      <c r="Z18" s="38" t="str">
        <f>VLOOKUP(A18,DATAKARYAWAN,27,0)</f>
        <v>MOJOSARIREJO</v>
      </c>
      <c r="AA18" s="38">
        <f>VLOOKUP(A18,DATAKARYAWAN,28,0)</f>
        <v>61177</v>
      </c>
      <c r="AB18" s="38"/>
      <c r="AC18" s="38"/>
      <c r="AD18" s="38" t="str">
        <f>VLOOKUP(A18,DATAKARYAWAN,31,0)</f>
        <v>TK/0</v>
      </c>
      <c r="AE18" s="48"/>
      <c r="AF18" s="38" t="str">
        <f>VLOOKUP(A18,DATAKARYAWAN,33,0)</f>
        <v>oke</v>
      </c>
      <c r="AG18" s="38" t="str">
        <f>VLOOKUP(A18,DATAKARYAWAN,34,0)</f>
        <v/>
      </c>
      <c r="AH18" s="38" t="str">
        <f>VLOOKUP(A18,DATAKARYAWAN,35,0)</f>
        <v/>
      </c>
    </row>
    <row r="19" ht="15.75" customHeight="1">
      <c r="A19" s="155" t="s">
        <v>2312</v>
      </c>
      <c r="B19" s="38" t="str">
        <f>VLOOKUP(A19,DATAKARYAWAN,3,0)</f>
        <v>Karyawan Kontrak</v>
      </c>
      <c r="C19" s="38" t="str">
        <f>VLOOKUP(A19,DATAKARYAWAN,4,0)</f>
        <v>25-110030</v>
      </c>
      <c r="D19" s="38" t="str">
        <f>VLOOKUP(A19,DATAKARYAWAN,5,0)</f>
        <v>083115774149</v>
      </c>
      <c r="E19" s="38" t="str">
        <f>VLOOKUP(A19,DATAKARYAWAN,6,0)</f>
        <v>baretoardo672@gmail.com</v>
      </c>
      <c r="F19" s="38" t="str">
        <f>VLOOKUP(A19,DATAKARYAWAN,7,0)</f>
        <v>TKBM</v>
      </c>
      <c r="G19" s="38" t="str">
        <f>VLOOKUP(A19,DATAKARYAWAN,8,0)</f>
        <v>OPERASIONAL</v>
      </c>
      <c r="H19" s="53"/>
      <c r="I19" s="38" t="str">
        <f>VLOOKUP(A19,DATAKARYAWAN,10,0)</f>
        <v>Indonesia</v>
      </c>
      <c r="J19" s="38" t="str">
        <f>VLOOKUP(A19,DATAKARYAWAN,11,0)</f>
        <v>ISLAM</v>
      </c>
      <c r="K19" s="38" t="str">
        <f>VLOOKUP(A19,DATAKARYAWAN,12,0)</f>
        <v>3525132708090010</v>
      </c>
      <c r="L19" s="38" t="str">
        <f>VLOOKUP(A19,DATAKARYAWAN,13,0)</f>
        <v>3525132906060003</v>
      </c>
      <c r="M19" s="38" t="str">
        <f>VLOOKUP(A19,DATAKARYAWAN,14,0)</f>
        <v>OCBC</v>
      </c>
      <c r="N19" s="38" t="str">
        <f>VLOOKUP(A19,DATAKARYAWAN,15,0)</f>
        <v>058810128684</v>
      </c>
      <c r="O19" s="38" t="str">
        <f>VLOOKUP(A19,DATAKARYAWAN,16,0)</f>
        <v>SMP</v>
      </c>
      <c r="P19" s="48"/>
      <c r="Q19" s="38" t="str">
        <f>VLOOKUP(A19,DATAKARYAWAN,18,0)</f>
        <v>LAKI-LAKI</v>
      </c>
      <c r="R19" s="38" t="str">
        <f>VLOOKUP(A19,DATAKARYAWAN,19,0)</f>
        <v>29 Desember 2006</v>
      </c>
      <c r="S19" s="38" t="str">
        <f>VLOOKUP(A19,DATAKARYAWAN,20,0)</f>
        <v>GRESIK</v>
      </c>
      <c r="T19" s="38"/>
      <c r="U19" s="38" t="str">
        <f>VLOOKUP(A19,DATAKARYAWAN,22,0)</f>
        <v>SETRO RT04 RW02</v>
      </c>
      <c r="V19" s="38" t="str">
        <f>VLOOKUP(A19,DATAKARYAWAN,23,0)</f>
        <v/>
      </c>
      <c r="W19" s="38" t="str">
        <f>VLOOKUP(A19,DATAKARYAWAN,24,0)</f>
        <v>JAWA TIMUR</v>
      </c>
      <c r="X19" s="38" t="str">
        <f>VLOOKUP(A19,DATAKARYAWAN,25,0)</f>
        <v>GRESIK</v>
      </c>
      <c r="Y19" s="38" t="str">
        <f>VLOOKUP(A19,DATAKARYAWAN,26,0)</f>
        <v>MENGANTI</v>
      </c>
      <c r="Z19" s="38" t="str">
        <f>VLOOKUP(A19,DATAKARYAWAN,27,0)</f>
        <v>SETRO</v>
      </c>
      <c r="AA19" s="38">
        <f>VLOOKUP(A19,DATAKARYAWAN,28,0)</f>
        <v>61174</v>
      </c>
      <c r="AB19" s="38"/>
      <c r="AC19" s="38"/>
      <c r="AD19" s="38" t="str">
        <f>VLOOKUP(A19,DATAKARYAWAN,31,0)</f>
        <v>TK/0</v>
      </c>
      <c r="AE19" s="48"/>
      <c r="AF19" s="38" t="str">
        <f>VLOOKUP(A19,DATAKARYAWAN,33,0)</f>
        <v>OKE</v>
      </c>
      <c r="AG19" s="38">
        <f>VLOOKUP(A19,DATAKARYAWAN,34,0)</f>
        <v>26019227433</v>
      </c>
      <c r="AH19" s="38" t="str">
        <f>VLOOKUP(A19,DATAKARYAWAN,35,0)</f>
        <v>0000760498187</v>
      </c>
    </row>
    <row r="20" ht="15.75" customHeight="1">
      <c r="A20" s="155" t="s">
        <v>2322</v>
      </c>
      <c r="B20" s="38" t="str">
        <f>VLOOKUP(A20,DATAKARYAWAN,3,0)</f>
        <v>Karyawan Kontrak</v>
      </c>
      <c r="C20" s="38" t="str">
        <f>VLOOKUP(A20,DATAKARYAWAN,4,0)</f>
        <v>25-110031</v>
      </c>
      <c r="D20" s="38" t="str">
        <f>VLOOKUP(A20,DATAKARYAWAN,5,0)</f>
        <v>081356595071</v>
      </c>
      <c r="E20" s="38" t="str">
        <f>VLOOKUP(A20,DATAKARYAWAN,6,0)</f>
        <v>ciciknurhayati2@gmail.com</v>
      </c>
      <c r="F20" s="38" t="str">
        <f>VLOOKUP(A20,DATAKARYAWAN,7,0)</f>
        <v>ACCOUNT PAYABLE</v>
      </c>
      <c r="G20" s="38" t="str">
        <f>VLOOKUP(A20,DATAKARYAWAN,8,0)</f>
        <v>KEUANGAN</v>
      </c>
      <c r="H20" s="53"/>
      <c r="I20" s="38" t="str">
        <f>VLOOKUP(A20,DATAKARYAWAN,10,0)</f>
        <v>indonesia</v>
      </c>
      <c r="J20" s="38" t="str">
        <f>VLOOKUP(A20,DATAKARYAWAN,11,0)</f>
        <v>ISLAM</v>
      </c>
      <c r="K20" s="38" t="str">
        <f>VLOOKUP(A20,DATAKARYAWAN,12,0)</f>
        <v>3524092511150002</v>
      </c>
      <c r="L20" s="38" t="str">
        <f>VLOOKUP(A20,DATAKARYAWAN,13,0)</f>
        <v>3524096507890001</v>
      </c>
      <c r="M20" s="38" t="str">
        <f>VLOOKUP(A20,DATAKARYAWAN,14,0)</f>
        <v>OCBC</v>
      </c>
      <c r="N20" s="38" t="str">
        <f>VLOOKUP(A20,DATAKARYAWAN,15,0)</f>
        <v>058810129443</v>
      </c>
      <c r="O20" s="38" t="str">
        <f>VLOOKUP(A20,DATAKARYAWAN,16,0)</f>
        <v>S1</v>
      </c>
      <c r="P20" s="48"/>
      <c r="Q20" s="38" t="str">
        <f>VLOOKUP(A20,DATAKARYAWAN,18,0)</f>
        <v>PEREMPUAN</v>
      </c>
      <c r="R20" s="38" t="str">
        <f>VLOOKUP(A20,DATAKARYAWAN,19,0)</f>
        <v>25 Juli 1989</v>
      </c>
      <c r="S20" s="38" t="str">
        <f>VLOOKUP(A20,DATAKARYAWAN,20,0)</f>
        <v>LAMONGAN</v>
      </c>
      <c r="T20" s="38"/>
      <c r="U20" s="38" t="str">
        <f>VLOOKUP(A20,DATAKARYAWAN,22,0)</f>
        <v>MIRU RT02 RW01</v>
      </c>
      <c r="V20" s="38" t="str">
        <f>VLOOKUP(A20,DATAKARYAWAN,23,0)</f>
        <v/>
      </c>
      <c r="W20" s="38" t="str">
        <f>VLOOKUP(A20,DATAKARYAWAN,24,0)</f>
        <v>JAWA TIMUR</v>
      </c>
      <c r="X20" s="38" t="str">
        <f>VLOOKUP(A20,DATAKARYAWAN,25,0)</f>
        <v>LAMONGAN</v>
      </c>
      <c r="Y20" s="38" t="str">
        <f>VLOOKUP(A20,DATAKARYAWAN,26,0)</f>
        <v>SEKARAN</v>
      </c>
      <c r="Z20" s="38" t="str">
        <f>VLOOKUP(A20,DATAKARYAWAN,27,0)</f>
        <v>MIRU</v>
      </c>
      <c r="AA20" s="38">
        <f>VLOOKUP(A20,DATAKARYAWAN,28,0)</f>
        <v>62260</v>
      </c>
      <c r="AB20" s="38"/>
      <c r="AC20" s="38"/>
      <c r="AD20" s="38" t="str">
        <f>VLOOKUP(A20,DATAKARYAWAN,31,0)</f>
        <v>TK/0</v>
      </c>
      <c r="AE20" s="48"/>
      <c r="AF20" s="38" t="str">
        <f>VLOOKUP(A20,DATAKARYAWAN,33,0)</f>
        <v>OKE</v>
      </c>
      <c r="AG20" s="38" t="str">
        <f>VLOOKUP(A20,DATAKARYAWAN,34,0)</f>
        <v>BELUM</v>
      </c>
      <c r="AH20" s="38" t="str">
        <f>VLOOKUP(A20,DATAKARYAWAN,35,0)</f>
        <v>AKTIF MARET</v>
      </c>
    </row>
    <row r="21" ht="15.75" customHeight="1">
      <c r="A21" s="155" t="s">
        <v>2361</v>
      </c>
      <c r="B21" s="38" t="str">
        <f>VLOOKUP(A21,DATAKARYAWAN,3,0)</f>
        <v>Karyawan Kontrak</v>
      </c>
      <c r="C21" s="38" t="str">
        <f>VLOOKUP(A21,DATAKARYAWAN,4,0)</f>
        <v>25-120032</v>
      </c>
      <c r="D21" s="38" t="str">
        <f>VLOOKUP(A21,DATAKARYAWAN,5,0)</f>
        <v>081559615650</v>
      </c>
      <c r="E21" s="38" t="str">
        <f>VLOOKUP(A21,DATAKARYAWAN,6,0)</f>
        <v>anissasmita5@gmail.com</v>
      </c>
      <c r="F21" s="38" t="str">
        <f>VLOOKUP(A21,DATAKARYAWAN,7,0)</f>
        <v>ACCOUNT RECEIVABLE</v>
      </c>
      <c r="G21" s="38" t="str">
        <f>VLOOKUP(A21,DATAKARYAWAN,8,0)</f>
        <v>KEUANGAN</v>
      </c>
      <c r="H21" s="53"/>
      <c r="I21" s="38" t="str">
        <f>VLOOKUP(A21,DATAKARYAWAN,10,0)</f>
        <v>Indonesia</v>
      </c>
      <c r="J21" s="38" t="str">
        <f>VLOOKUP(A21,DATAKARYAWAN,11,0)</f>
        <v>ISLAM</v>
      </c>
      <c r="K21" s="38" t="str">
        <f>VLOOKUP(A21,DATAKARYAWAN,12,0)</f>
        <v>3578130301086709</v>
      </c>
      <c r="L21" s="38" t="str">
        <f>VLOOKUP(A21,DATAKARYAWAN,13,0)</f>
        <v>3578135909980001</v>
      </c>
      <c r="M21" s="38" t="str">
        <f>VLOOKUP(A21,DATAKARYAWAN,14,0)</f>
        <v>OCBC</v>
      </c>
      <c r="N21" s="38" t="str">
        <f>VLOOKUP(A21,DATAKARYAWAN,15,0)</f>
        <v>058810129435</v>
      </c>
      <c r="O21" s="38" t="str">
        <f>VLOOKUP(A21,DATAKARYAWAN,16,0)</f>
        <v>S1</v>
      </c>
      <c r="P21" s="48"/>
      <c r="Q21" s="38" t="str">
        <f>VLOOKUP(A21,DATAKARYAWAN,18,0)</f>
        <v>PEREMPUAN</v>
      </c>
      <c r="R21" s="38">
        <f>VLOOKUP(A21,DATAKARYAWAN,19,0)</f>
        <v>36057</v>
      </c>
      <c r="S21" s="38" t="str">
        <f>VLOOKUP(A21,DATAKARYAWAN,20,0)</f>
        <v>SURABAYA</v>
      </c>
      <c r="T21" s="38"/>
      <c r="U21" s="38" t="str">
        <f>VLOOKUP(A21,DATAKARYAWAN,22,0)</f>
        <v>MARGORUKUN V/40 RT006 RW010</v>
      </c>
      <c r="V21" s="38" t="str">
        <f>VLOOKUP(A21,DATAKARYAWAN,23,0)</f>
        <v/>
      </c>
      <c r="W21" s="38" t="str">
        <f>VLOOKUP(A21,DATAKARYAWAN,24,0)</f>
        <v>JAWA TIMUR</v>
      </c>
      <c r="X21" s="38" t="str">
        <f>VLOOKUP(A21,DATAKARYAWAN,25,0)</f>
        <v>SURABAYA</v>
      </c>
      <c r="Y21" s="38" t="str">
        <f>VLOOKUP(A21,DATAKARYAWAN,26,0)</f>
        <v>BUBUTAN</v>
      </c>
      <c r="Z21" s="38" t="str">
        <f>VLOOKUP(A21,DATAKARYAWAN,27,0)</f>
        <v>GUNDIH</v>
      </c>
      <c r="AA21" s="38">
        <f>VLOOKUP(A21,DATAKARYAWAN,28,0)</f>
        <v>60172</v>
      </c>
      <c r="AB21" s="38"/>
      <c r="AC21" s="38"/>
      <c r="AD21" s="38" t="str">
        <f>VLOOKUP(A21,DATAKARYAWAN,31,0)</f>
        <v>TK/0</v>
      </c>
      <c r="AE21" s="48"/>
      <c r="AF21" s="38" t="str">
        <f>VLOOKUP(A21,DATAKARYAWAN,33,0)</f>
        <v>OKE</v>
      </c>
      <c r="AG21" s="38" t="str">
        <f>VLOOKUP(A21,DATAKARYAWAN,34,0)</f>
        <v>BELUM</v>
      </c>
      <c r="AH21" s="38" t="str">
        <f>VLOOKUP(A21,DATAKARYAWAN,35,0)</f>
        <v>BELUM</v>
      </c>
    </row>
    <row r="22" ht="15.75" customHeight="1">
      <c r="A22" s="155" t="s">
        <v>2421</v>
      </c>
      <c r="B22" s="38" t="str">
        <f>VLOOKUP(A22,DATAKARYAWAN,3,0)</f>
        <v>Karyawan Kontrak</v>
      </c>
      <c r="C22" s="38" t="str">
        <f>VLOOKUP(A22,DATAKARYAWAN,4,0)</f>
        <v>26-010033</v>
      </c>
      <c r="D22" s="38" t="str">
        <f>VLOOKUP(A22,DATAKARYAWAN,5,0)</f>
        <v>085706636569</v>
      </c>
      <c r="E22" s="38" t="str">
        <f>VLOOKUP(A22,DATAKARYAWAN,6,0)</f>
        <v>aurelliyadesita25@gmail.com</v>
      </c>
      <c r="F22" s="38" t="str">
        <f>VLOOKUP(A22,DATAKARYAWAN,7,0)</f>
        <v>ACCOUNT PAYABLE</v>
      </c>
      <c r="G22" s="38" t="str">
        <f>VLOOKUP(A22,DATAKARYAWAN,8,0)</f>
        <v>KEUANGAN</v>
      </c>
      <c r="H22" s="53"/>
      <c r="I22" s="38" t="str">
        <f>VLOOKUP(A22,DATAKARYAWAN,10,0)</f>
        <v>indonesia</v>
      </c>
      <c r="J22" s="38" t="str">
        <f>VLOOKUP(A22,DATAKARYAWAN,11,0)</f>
        <v>ISLAM</v>
      </c>
      <c r="K22" s="38" t="str">
        <f>VLOOKUP(A22,DATAKARYAWAN,12,0)</f>
        <v>3516143005230005</v>
      </c>
      <c r="L22" s="38" t="str">
        <f>VLOOKUP(A22,DATAKARYAWAN,13,0)</f>
        <v>3517126512990005</v>
      </c>
      <c r="M22" s="38" t="str">
        <f>VLOOKUP(A22,DATAKARYAWAN,14,0)</f>
        <v>OCBC</v>
      </c>
      <c r="N22" s="38" t="str">
        <f>VLOOKUP(A22,DATAKARYAWAN,15,0)</f>
        <v>058810129732</v>
      </c>
      <c r="O22" s="38" t="str">
        <f>VLOOKUP(A22,DATAKARYAWAN,16,0)</f>
        <v>S1</v>
      </c>
      <c r="P22" s="48"/>
      <c r="Q22" s="38" t="str">
        <f>VLOOKUP(A22,DATAKARYAWAN,18,0)</f>
        <v>PEREMPUAN</v>
      </c>
      <c r="R22" s="38" t="str">
        <f>VLOOKUP(A22,DATAKARYAWAN,19,0)</f>
        <v>25 Desember 1999</v>
      </c>
      <c r="S22" s="38" t="str">
        <f>VLOOKUP(A22,DATAKARYAWAN,20,0)</f>
        <v>JOMBANG</v>
      </c>
      <c r="T22" s="38"/>
      <c r="U22" s="38" t="str">
        <f>VLOOKUP(A22,DATAKARYAWAN,22,0)</f>
        <v>DJAWAKARYA RESIDENCE BLOK. M-36</v>
      </c>
      <c r="V22" s="38" t="str">
        <f>VLOOKUP(A22,DATAKARYAWAN,23,0)</f>
        <v/>
      </c>
      <c r="W22" s="38" t="str">
        <f>VLOOKUP(A22,DATAKARYAWAN,24,0)</f>
        <v>JAWA TIMUR</v>
      </c>
      <c r="X22" s="38" t="str">
        <f>VLOOKUP(A22,DATAKARYAWAN,25,0)</f>
        <v>MOJOKERTO</v>
      </c>
      <c r="Y22" s="38" t="str">
        <f>VLOOKUP(A22,DATAKARYAWAN,26,0)</f>
        <v>GEDEG</v>
      </c>
      <c r="Z22" s="38" t="str">
        <f>VLOOKUP(A22,DATAKARYAWAN,27,0)</f>
        <v>BANDUNG</v>
      </c>
      <c r="AA22" s="38">
        <f>VLOOKUP(A22,DATAKARYAWAN,28,0)</f>
        <v>61351</v>
      </c>
      <c r="AB22" s="38"/>
      <c r="AC22" s="38"/>
      <c r="AD22" s="38" t="str">
        <f>VLOOKUP(A22,DATAKARYAWAN,31,0)</f>
        <v>TK/0</v>
      </c>
      <c r="AE22" s="48"/>
      <c r="AF22" s="38" t="str">
        <f>VLOOKUP(A22,DATAKARYAWAN,33,0)</f>
        <v>OKE</v>
      </c>
      <c r="AG22" s="38">
        <f>VLOOKUP(A22,DATAKARYAWAN,34,0)</f>
        <v>26041979563</v>
      </c>
      <c r="AH22" s="38" t="str">
        <f>VLOOKUP(A22,DATAKARYAWAN,35,0)</f>
        <v>BELUM</v>
      </c>
    </row>
    <row r="23" ht="15.75" customHeight="1">
      <c r="B23" s="38"/>
      <c r="C23" s="38"/>
      <c r="D23" s="38"/>
      <c r="E23" s="38"/>
      <c r="F23" s="38"/>
      <c r="G23" s="38"/>
      <c r="H23" s="53"/>
      <c r="I23" s="38"/>
      <c r="J23" s="38"/>
      <c r="K23" s="38"/>
      <c r="L23" s="38"/>
      <c r="M23" s="38"/>
      <c r="N23" s="38"/>
      <c r="O23" s="38"/>
      <c r="P23" s="4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48"/>
      <c r="AF23" s="38"/>
      <c r="AG23" s="38"/>
      <c r="AH23" s="38"/>
    </row>
    <row r="24" ht="15.75" customHeight="1">
      <c r="C24" s="98" t="s">
        <v>2660</v>
      </c>
      <c r="Q24" s="38"/>
    </row>
    <row r="25" ht="15.75" customHeight="1">
      <c r="Q25" s="38"/>
    </row>
    <row r="26" ht="15.75" customHeight="1">
      <c r="Q26" s="38"/>
    </row>
    <row r="27" ht="15.75" customHeight="1">
      <c r="Q27" s="38"/>
    </row>
    <row r="28" ht="15.75" customHeight="1">
      <c r="Q28" s="38"/>
    </row>
    <row r="29" ht="15.75" customHeight="1">
      <c r="Q29" s="38"/>
    </row>
    <row r="30" ht="15.75" customHeight="1">
      <c r="Q30" s="38"/>
    </row>
    <row r="31" ht="15.75" customHeight="1">
      <c r="Q31" s="38"/>
    </row>
    <row r="32" ht="15.75" customHeight="1">
      <c r="Q32" s="38"/>
    </row>
    <row r="33" ht="15.75" customHeight="1">
      <c r="Q33" s="38"/>
    </row>
    <row r="34" ht="15.75" customHeight="1">
      <c r="Q34" s="38"/>
    </row>
    <row r="35" ht="15.75" customHeight="1">
      <c r="Q35" s="38"/>
    </row>
    <row r="36" ht="15.75" customHeight="1">
      <c r="Q36" s="38"/>
    </row>
    <row r="37" ht="15.75" customHeight="1">
      <c r="Q37" s="38"/>
    </row>
    <row r="38" ht="15.75" customHeight="1">
      <c r="Q38" s="38"/>
    </row>
    <row r="39" ht="15.75" customHeight="1">
      <c r="Q39" s="38"/>
    </row>
    <row r="40" ht="15.75" customHeight="1">
      <c r="Q40" s="38"/>
    </row>
    <row r="41" ht="15.75" customHeight="1">
      <c r="Q41" s="38"/>
    </row>
    <row r="42" ht="15.75" customHeight="1">
      <c r="Q42" s="38"/>
    </row>
    <row r="43" ht="15.75" customHeight="1">
      <c r="Q43" s="38"/>
    </row>
    <row r="44" ht="15.75" customHeight="1">
      <c r="Q44" s="38"/>
    </row>
    <row r="45" ht="15.75" customHeight="1">
      <c r="Q45" s="38"/>
    </row>
    <row r="46" ht="15.75" customHeight="1">
      <c r="Q46" s="38"/>
    </row>
    <row r="47" ht="15.75" customHeight="1">
      <c r="Q47" s="38"/>
    </row>
    <row r="48" ht="15.75" customHeight="1">
      <c r="Q48" s="38"/>
    </row>
    <row r="49" ht="15.75" customHeight="1">
      <c r="Q49" s="38"/>
    </row>
    <row r="50" ht="15.75" customHeight="1">
      <c r="Q50" s="38"/>
    </row>
    <row r="51" ht="15.75" customHeight="1">
      <c r="Q51" s="38"/>
    </row>
    <row r="52" ht="15.75" customHeight="1">
      <c r="Q52" s="38"/>
    </row>
    <row r="53" ht="15.75" customHeight="1">
      <c r="Q53" s="38"/>
    </row>
    <row r="54" ht="15.75" customHeight="1">
      <c r="Q54" s="38"/>
    </row>
    <row r="55" ht="15.75" customHeight="1">
      <c r="Q55" s="38"/>
    </row>
    <row r="56" ht="15.75" customHeight="1">
      <c r="Q56" s="38"/>
    </row>
    <row r="57" ht="15.75" customHeight="1">
      <c r="Q57" s="38"/>
    </row>
    <row r="58" ht="15.75" customHeight="1">
      <c r="Q58" s="38"/>
    </row>
    <row r="59" ht="15.75" customHeight="1">
      <c r="Q59" s="38"/>
    </row>
    <row r="60" ht="15.75" customHeight="1">
      <c r="Q60" s="38"/>
    </row>
    <row r="61" ht="15.75" customHeight="1">
      <c r="Q61" s="38"/>
    </row>
    <row r="62" ht="15.75" customHeight="1">
      <c r="Q62" s="38"/>
    </row>
    <row r="63" ht="15.75" customHeight="1">
      <c r="Q63" s="38"/>
    </row>
    <row r="64" ht="15.75" customHeight="1">
      <c r="Q64" s="38"/>
    </row>
    <row r="65" ht="15.75" customHeight="1">
      <c r="Q65" s="38"/>
    </row>
    <row r="66" ht="15.75" customHeight="1">
      <c r="Q66" s="38"/>
    </row>
    <row r="67" ht="15.75" customHeight="1">
      <c r="Q67" s="38"/>
    </row>
    <row r="68" ht="15.75" customHeight="1">
      <c r="Q68" s="38"/>
    </row>
    <row r="69" ht="15.75" customHeight="1">
      <c r="Q69" s="38"/>
    </row>
    <row r="70" ht="15.75" customHeight="1">
      <c r="Q70" s="38"/>
    </row>
    <row r="71" ht="15.75" customHeight="1">
      <c r="Q71" s="38"/>
    </row>
    <row r="72" ht="15.75" customHeight="1">
      <c r="Q72" s="38"/>
    </row>
    <row r="73" ht="15.75" customHeight="1">
      <c r="Q73" s="38"/>
    </row>
    <row r="74" ht="15.75" customHeight="1">
      <c r="Q74" s="38"/>
    </row>
    <row r="75" ht="15.75" customHeight="1">
      <c r="Q75" s="38"/>
    </row>
    <row r="76" ht="15.75" customHeight="1">
      <c r="Q76" s="38"/>
    </row>
    <row r="77" ht="15.75" customHeight="1">
      <c r="Q77" s="38"/>
    </row>
    <row r="78" ht="15.75" customHeight="1">
      <c r="Q78" s="38"/>
    </row>
    <row r="79" ht="15.75" customHeight="1">
      <c r="Q79" s="38"/>
    </row>
    <row r="80" ht="15.75" customHeight="1">
      <c r="Q80" s="38"/>
    </row>
    <row r="81" ht="15.75" customHeight="1">
      <c r="Q81" s="38"/>
    </row>
    <row r="82" ht="15.75" customHeight="1">
      <c r="Q82" s="38"/>
    </row>
    <row r="83" ht="15.75" customHeight="1">
      <c r="Q83" s="38"/>
    </row>
    <row r="84" ht="15.75" customHeight="1">
      <c r="Q84" s="38"/>
    </row>
    <row r="85" ht="15.75" customHeight="1">
      <c r="Q85" s="38"/>
    </row>
    <row r="86" ht="15.75" customHeight="1">
      <c r="Q86" s="38"/>
    </row>
    <row r="87" ht="15.75" customHeight="1">
      <c r="Q87" s="38"/>
    </row>
    <row r="88" ht="15.75" customHeight="1">
      <c r="Q88" s="38"/>
    </row>
    <row r="89" ht="15.75" customHeight="1">
      <c r="Q89" s="38"/>
    </row>
    <row r="90" ht="15.75" customHeight="1">
      <c r="Q90" s="38"/>
    </row>
    <row r="91" ht="15.75" customHeight="1">
      <c r="Q91" s="38"/>
    </row>
    <row r="92" ht="15.75" customHeight="1">
      <c r="Q92" s="38"/>
    </row>
    <row r="93" ht="15.75" customHeight="1">
      <c r="Q93" s="38"/>
    </row>
    <row r="94" ht="15.75" customHeight="1">
      <c r="Q94" s="38"/>
    </row>
    <row r="95" ht="15.75" customHeight="1">
      <c r="Q95" s="38"/>
    </row>
    <row r="96" ht="15.75" customHeight="1">
      <c r="Q96" s="38"/>
    </row>
    <row r="97" ht="15.75" customHeight="1">
      <c r="Q97" s="38"/>
    </row>
    <row r="98" ht="15.75" customHeight="1">
      <c r="Q98" s="38"/>
    </row>
    <row r="99" ht="15.75" customHeight="1">
      <c r="Q99" s="38"/>
    </row>
    <row r="100" ht="15.75" customHeight="1">
      <c r="Q100" s="38"/>
    </row>
    <row r="101" ht="15.75" customHeight="1">
      <c r="Q101" s="38"/>
    </row>
    <row r="102" ht="15.75" customHeight="1">
      <c r="Q102" s="38"/>
    </row>
    <row r="103" ht="15.75" customHeight="1">
      <c r="Q103" s="38"/>
    </row>
    <row r="104" ht="15.75" customHeight="1">
      <c r="Q104" s="38"/>
    </row>
    <row r="105" ht="15.75" customHeight="1">
      <c r="Q105" s="38"/>
    </row>
    <row r="106" ht="15.75" customHeight="1">
      <c r="Q106" s="38"/>
    </row>
    <row r="107" ht="15.75" customHeight="1">
      <c r="Q107" s="38"/>
    </row>
    <row r="108" ht="15.75" customHeight="1">
      <c r="Q108" s="38"/>
    </row>
    <row r="109" ht="15.75" customHeight="1">
      <c r="Q109" s="38"/>
    </row>
    <row r="110" ht="15.75" customHeight="1">
      <c r="Q110" s="38"/>
    </row>
    <row r="111" ht="15.75" customHeight="1">
      <c r="Q111" s="38"/>
    </row>
    <row r="112" ht="15.75" customHeight="1">
      <c r="Q112" s="38"/>
    </row>
    <row r="113" ht="15.75" customHeight="1">
      <c r="Q113" s="38"/>
    </row>
    <row r="114" ht="15.75" customHeight="1">
      <c r="Q114" s="38"/>
    </row>
    <row r="115" ht="15.75" customHeight="1">
      <c r="Q115" s="38"/>
    </row>
    <row r="116" ht="15.75" customHeight="1">
      <c r="Q116" s="38"/>
    </row>
    <row r="117" ht="15.75" customHeight="1">
      <c r="Q117" s="38"/>
    </row>
    <row r="118" ht="15.75" customHeight="1">
      <c r="Q118" s="38"/>
    </row>
    <row r="119" ht="15.75" customHeight="1">
      <c r="Q119" s="38"/>
    </row>
    <row r="120" ht="15.75" customHeight="1">
      <c r="Q120" s="38"/>
    </row>
    <row r="121" ht="15.75" customHeight="1">
      <c r="Q121" s="38"/>
    </row>
    <row r="122" ht="15.75" customHeight="1">
      <c r="Q122" s="38"/>
    </row>
    <row r="123" ht="15.75" customHeight="1">
      <c r="Q123" s="38"/>
    </row>
    <row r="124" ht="15.75" customHeight="1">
      <c r="Q124" s="38"/>
    </row>
    <row r="125" ht="15.75" customHeight="1">
      <c r="Q125" s="38"/>
    </row>
    <row r="126" ht="15.75" customHeight="1">
      <c r="Q126" s="38"/>
    </row>
    <row r="127" ht="15.75" customHeight="1">
      <c r="Q127" s="38"/>
    </row>
    <row r="128" ht="15.75" customHeight="1">
      <c r="Q128" s="38"/>
    </row>
    <row r="129" ht="15.75" customHeight="1">
      <c r="Q129" s="38"/>
    </row>
    <row r="130" ht="15.75" customHeight="1">
      <c r="Q130" s="38"/>
    </row>
    <row r="131" ht="15.75" customHeight="1">
      <c r="Q131" s="38"/>
    </row>
    <row r="132" ht="15.75" customHeight="1">
      <c r="Q132" s="38"/>
    </row>
    <row r="133" ht="15.75" customHeight="1">
      <c r="Q133" s="38"/>
    </row>
    <row r="134" ht="15.75" customHeight="1">
      <c r="Q134" s="38"/>
    </row>
    <row r="135" ht="15.75" customHeight="1">
      <c r="Q135" s="38"/>
    </row>
    <row r="136" ht="15.75" customHeight="1">
      <c r="Q136" s="38"/>
    </row>
    <row r="137" ht="15.75" customHeight="1">
      <c r="Q137" s="38"/>
    </row>
    <row r="138" ht="15.75" customHeight="1">
      <c r="Q138" s="38"/>
    </row>
    <row r="139" ht="15.75" customHeight="1">
      <c r="Q139" s="38"/>
    </row>
    <row r="140" ht="15.75" customHeight="1">
      <c r="Q140" s="38"/>
    </row>
    <row r="141" ht="15.75" customHeight="1">
      <c r="Q141" s="38"/>
    </row>
    <row r="142" ht="15.75" customHeight="1">
      <c r="Q142" s="38"/>
    </row>
    <row r="143" ht="15.75" customHeight="1">
      <c r="Q143" s="38"/>
    </row>
    <row r="144" ht="15.75" customHeight="1">
      <c r="Q144" s="38"/>
    </row>
    <row r="145" ht="15.75" customHeight="1">
      <c r="Q145" s="38"/>
    </row>
    <row r="146" ht="15.75" customHeight="1">
      <c r="Q146" s="38"/>
    </row>
    <row r="147" ht="15.75" customHeight="1">
      <c r="Q147" s="38"/>
    </row>
    <row r="148" ht="15.75" customHeight="1">
      <c r="Q148" s="38"/>
    </row>
    <row r="149" ht="15.75" customHeight="1">
      <c r="Q149" s="38"/>
    </row>
    <row r="150" ht="15.75" customHeight="1">
      <c r="Q150" s="38"/>
    </row>
    <row r="151" ht="15.75" customHeight="1">
      <c r="Q151" s="38"/>
    </row>
    <row r="152" ht="15.75" customHeight="1">
      <c r="Q152" s="38"/>
    </row>
    <row r="153" ht="15.75" customHeight="1">
      <c r="Q153" s="38"/>
    </row>
    <row r="154" ht="15.75" customHeight="1">
      <c r="Q154" s="38"/>
    </row>
    <row r="155" ht="15.75" customHeight="1">
      <c r="Q155" s="38"/>
    </row>
    <row r="156" ht="15.75" customHeight="1">
      <c r="Q156" s="38"/>
    </row>
    <row r="157" ht="15.75" customHeight="1">
      <c r="Q157" s="38"/>
    </row>
    <row r="158" ht="15.75" customHeight="1">
      <c r="Q158" s="38"/>
    </row>
    <row r="159" ht="15.75" customHeight="1">
      <c r="Q159" s="38"/>
    </row>
    <row r="160" ht="15.75" customHeight="1">
      <c r="Q160" s="38"/>
    </row>
    <row r="161" ht="15.75" customHeight="1">
      <c r="Q161" s="38"/>
    </row>
    <row r="162" ht="15.75" customHeight="1">
      <c r="Q162" s="38"/>
    </row>
    <row r="163" ht="15.75" customHeight="1">
      <c r="Q163" s="38"/>
    </row>
    <row r="164" ht="15.75" customHeight="1">
      <c r="Q164" s="38"/>
    </row>
    <row r="165" ht="15.75" customHeight="1">
      <c r="Q165" s="38"/>
    </row>
    <row r="166" ht="15.75" customHeight="1">
      <c r="Q166" s="38"/>
    </row>
    <row r="167" ht="15.75" customHeight="1">
      <c r="Q167" s="38"/>
    </row>
    <row r="168" ht="15.75" customHeight="1">
      <c r="Q168" s="38"/>
    </row>
    <row r="169" ht="15.75" customHeight="1">
      <c r="Q169" s="38"/>
    </row>
    <row r="170" ht="15.75" customHeight="1">
      <c r="Q170" s="38"/>
    </row>
    <row r="171" ht="15.75" customHeight="1">
      <c r="Q171" s="38"/>
    </row>
    <row r="172" ht="15.75" customHeight="1">
      <c r="Q172" s="38"/>
    </row>
    <row r="173" ht="15.75" customHeight="1">
      <c r="Q173" s="38"/>
    </row>
    <row r="174" ht="15.75" customHeight="1">
      <c r="Q174" s="38"/>
    </row>
    <row r="175" ht="15.75" customHeight="1">
      <c r="Q175" s="38"/>
    </row>
    <row r="176" ht="15.75" customHeight="1">
      <c r="Q176" s="38"/>
    </row>
    <row r="177" ht="15.75" customHeight="1">
      <c r="Q177" s="38"/>
    </row>
    <row r="178" ht="15.75" customHeight="1">
      <c r="Q178" s="38"/>
    </row>
    <row r="179" ht="15.75" customHeight="1">
      <c r="Q179" s="38"/>
    </row>
    <row r="180" ht="15.75" customHeight="1">
      <c r="Q180" s="38"/>
    </row>
    <row r="181" ht="15.75" customHeight="1">
      <c r="Q181" s="38"/>
    </row>
    <row r="182" ht="15.75" customHeight="1">
      <c r="Q182" s="38"/>
    </row>
    <row r="183" ht="15.75" customHeight="1">
      <c r="Q183" s="38"/>
    </row>
    <row r="184" ht="15.75" customHeight="1">
      <c r="Q184" s="38"/>
    </row>
    <row r="185" ht="15.75" customHeight="1">
      <c r="Q185" s="38"/>
    </row>
    <row r="186" ht="15.75" customHeight="1">
      <c r="Q186" s="38"/>
    </row>
    <row r="187" ht="15.75" customHeight="1">
      <c r="Q187" s="38"/>
    </row>
    <row r="188" ht="15.75" customHeight="1">
      <c r="Q188" s="38"/>
    </row>
    <row r="189" ht="15.75" customHeight="1">
      <c r="Q189" s="38"/>
    </row>
    <row r="190" ht="15.75" customHeight="1">
      <c r="Q190" s="38"/>
    </row>
    <row r="191" ht="15.75" customHeight="1">
      <c r="Q191" s="38"/>
    </row>
    <row r="192" ht="15.75" customHeight="1">
      <c r="Q192" s="38"/>
    </row>
    <row r="193" ht="15.75" customHeight="1">
      <c r="Q193" s="38"/>
    </row>
    <row r="194" ht="15.75" customHeight="1">
      <c r="Q194" s="38"/>
    </row>
    <row r="195" ht="15.75" customHeight="1">
      <c r="Q195" s="38"/>
    </row>
    <row r="196" ht="15.75" customHeight="1">
      <c r="Q196" s="38"/>
    </row>
    <row r="197" ht="15.75" customHeight="1">
      <c r="Q197" s="38"/>
    </row>
    <row r="198" ht="15.75" customHeight="1">
      <c r="Q198" s="38"/>
    </row>
    <row r="199" ht="15.75" customHeight="1">
      <c r="Q199" s="38"/>
    </row>
    <row r="200" ht="15.75" customHeight="1">
      <c r="Q200" s="38"/>
    </row>
    <row r="201" ht="15.75" customHeight="1">
      <c r="Q201" s="38"/>
    </row>
    <row r="202" ht="15.75" customHeight="1">
      <c r="Q202" s="38"/>
    </row>
    <row r="203" ht="15.75" customHeight="1">
      <c r="Q203" s="38"/>
    </row>
    <row r="204" ht="15.75" customHeight="1">
      <c r="Q204" s="38"/>
    </row>
    <row r="205" ht="15.75" customHeight="1">
      <c r="Q205" s="38"/>
    </row>
    <row r="206" ht="15.75" customHeight="1">
      <c r="Q206" s="38"/>
    </row>
    <row r="207" ht="15.75" customHeight="1">
      <c r="Q207" s="38"/>
    </row>
    <row r="208" ht="15.75" customHeight="1">
      <c r="Q208" s="38"/>
    </row>
    <row r="209" ht="15.75" customHeight="1">
      <c r="Q209" s="38"/>
    </row>
    <row r="210" ht="15.75" customHeight="1">
      <c r="Q210" s="38"/>
    </row>
    <row r="211" ht="15.75" customHeight="1">
      <c r="Q211" s="38"/>
    </row>
    <row r="212" ht="15.75" customHeight="1">
      <c r="Q212" s="38"/>
    </row>
    <row r="213" ht="15.75" customHeight="1">
      <c r="Q213" s="38"/>
    </row>
    <row r="214" ht="15.75" customHeight="1">
      <c r="Q214" s="38"/>
    </row>
    <row r="215" ht="15.75" customHeight="1">
      <c r="Q215" s="38"/>
    </row>
    <row r="216" ht="15.75" customHeight="1">
      <c r="Q216" s="38"/>
    </row>
    <row r="217" ht="15.75" customHeight="1">
      <c r="Q217" s="38"/>
    </row>
    <row r="218" ht="15.75" customHeight="1">
      <c r="Q218" s="38"/>
    </row>
    <row r="219" ht="15.75" customHeight="1">
      <c r="Q219" s="38"/>
    </row>
    <row r="220" ht="15.75" customHeight="1">
      <c r="Q220" s="38"/>
    </row>
    <row r="221" ht="15.75" customHeight="1">
      <c r="Q221" s="38"/>
    </row>
    <row r="222" ht="15.75" customHeight="1">
      <c r="Q222" s="38"/>
    </row>
    <row r="223" ht="15.75" customHeight="1">
      <c r="Q223" s="38"/>
    </row>
    <row r="224" ht="15.75" customHeight="1">
      <c r="Q224" s="38"/>
    </row>
    <row r="225" ht="15.75" customHeight="1">
      <c r="Q225" s="38"/>
    </row>
    <row r="226" ht="15.75" customHeight="1">
      <c r="Q226" s="38"/>
    </row>
    <row r="227" ht="15.75" customHeight="1">
      <c r="Q227" s="38"/>
    </row>
    <row r="228" ht="15.75" customHeight="1">
      <c r="Q228" s="38"/>
    </row>
    <row r="229" ht="15.75" customHeight="1">
      <c r="Q229" s="38"/>
    </row>
    <row r="230" ht="15.75" customHeight="1">
      <c r="Q230" s="38"/>
    </row>
    <row r="231" ht="15.75" customHeight="1">
      <c r="Q231" s="38"/>
    </row>
    <row r="232" ht="15.75" customHeight="1">
      <c r="Q232" s="38"/>
    </row>
    <row r="233" ht="15.75" customHeight="1">
      <c r="Q233" s="38"/>
    </row>
    <row r="234" ht="15.75" customHeight="1">
      <c r="Q234" s="38"/>
    </row>
    <row r="235" ht="15.75" customHeight="1">
      <c r="Q235" s="38"/>
    </row>
    <row r="236" ht="15.75" customHeight="1">
      <c r="Q236" s="38"/>
    </row>
    <row r="237" ht="15.75" customHeight="1">
      <c r="Q237" s="38"/>
    </row>
    <row r="238" ht="15.75" customHeight="1">
      <c r="Q238" s="38"/>
    </row>
    <row r="239" ht="15.75" customHeight="1">
      <c r="Q239" s="38"/>
    </row>
    <row r="240" ht="15.75" customHeight="1">
      <c r="Q240" s="38"/>
    </row>
    <row r="241" ht="15.75" customHeight="1">
      <c r="Q241" s="38"/>
    </row>
    <row r="242" ht="15.75" customHeight="1">
      <c r="Q242" s="38"/>
    </row>
    <row r="243" ht="15.75" customHeight="1">
      <c r="Q243" s="38"/>
    </row>
    <row r="244" ht="15.75" customHeight="1">
      <c r="Q244" s="38"/>
    </row>
    <row r="245" ht="15.75" customHeight="1">
      <c r="Q245" s="38"/>
    </row>
    <row r="246" ht="15.75" customHeight="1">
      <c r="Q246" s="38"/>
    </row>
    <row r="247" ht="15.75" customHeight="1">
      <c r="Q247" s="38"/>
    </row>
    <row r="248" ht="15.75" customHeight="1">
      <c r="Q248" s="38"/>
    </row>
    <row r="249" ht="15.75" customHeight="1">
      <c r="Q249" s="38"/>
    </row>
    <row r="250" ht="15.75" customHeight="1">
      <c r="Q250" s="38"/>
    </row>
    <row r="251" ht="15.75" customHeight="1">
      <c r="Q251" s="38"/>
    </row>
    <row r="252" ht="15.75" customHeight="1">
      <c r="Q252" s="38"/>
    </row>
    <row r="253" ht="15.75" customHeight="1">
      <c r="Q253" s="38"/>
    </row>
    <row r="254" ht="15.75" customHeight="1">
      <c r="Q254" s="38"/>
    </row>
    <row r="255" ht="15.75" customHeight="1">
      <c r="Q255" s="38"/>
    </row>
    <row r="256" ht="15.75" customHeight="1">
      <c r="Q256" s="38"/>
    </row>
    <row r="257" ht="15.75" customHeight="1">
      <c r="Q257" s="38"/>
    </row>
    <row r="258" ht="15.75" customHeight="1">
      <c r="Q258" s="38"/>
    </row>
    <row r="259" ht="15.75" customHeight="1">
      <c r="Q259" s="38"/>
    </row>
    <row r="260" ht="15.75" customHeight="1">
      <c r="Q260" s="38"/>
    </row>
    <row r="261" ht="15.75" customHeight="1">
      <c r="Q261" s="38"/>
    </row>
    <row r="262" ht="15.75" customHeight="1">
      <c r="Q262" s="38"/>
    </row>
    <row r="263" ht="15.75" customHeight="1">
      <c r="Q263" s="38"/>
    </row>
    <row r="264" ht="15.75" customHeight="1">
      <c r="Q264" s="38"/>
    </row>
    <row r="265" ht="15.75" customHeight="1">
      <c r="Q265" s="38"/>
    </row>
    <row r="266" ht="15.75" customHeight="1">
      <c r="Q266" s="38"/>
    </row>
    <row r="267" ht="15.75" customHeight="1">
      <c r="Q267" s="38"/>
    </row>
    <row r="268" ht="15.75" customHeight="1">
      <c r="Q268" s="38"/>
    </row>
    <row r="269" ht="15.75" customHeight="1">
      <c r="Q269" s="38"/>
    </row>
    <row r="270" ht="15.75" customHeight="1">
      <c r="Q270" s="38"/>
    </row>
    <row r="271" ht="15.75" customHeight="1">
      <c r="Q271" s="38"/>
    </row>
    <row r="272" ht="15.75" customHeight="1">
      <c r="Q272" s="38"/>
    </row>
    <row r="273" ht="15.75" customHeight="1">
      <c r="Q273" s="38"/>
    </row>
    <row r="274" ht="15.75" customHeight="1">
      <c r="Q274" s="38"/>
    </row>
    <row r="275" ht="15.75" customHeight="1">
      <c r="Q275" s="38"/>
    </row>
    <row r="276" ht="15.75" customHeight="1">
      <c r="Q276" s="38"/>
    </row>
    <row r="277" ht="15.75" customHeight="1">
      <c r="Q277" s="38"/>
    </row>
    <row r="278" ht="15.75" customHeight="1">
      <c r="Q278" s="38"/>
    </row>
    <row r="279" ht="15.75" customHeight="1">
      <c r="Q279" s="38"/>
    </row>
    <row r="280" ht="15.75" customHeight="1">
      <c r="Q280" s="38"/>
    </row>
    <row r="281" ht="15.75" customHeight="1">
      <c r="Q281" s="38"/>
    </row>
    <row r="282" ht="15.75" customHeight="1">
      <c r="Q282" s="38"/>
    </row>
    <row r="283" ht="15.75" customHeight="1">
      <c r="Q283" s="38"/>
    </row>
    <row r="284" ht="15.75" customHeight="1">
      <c r="Q284" s="38"/>
    </row>
    <row r="285" ht="15.75" customHeight="1">
      <c r="Q285" s="38"/>
    </row>
    <row r="286" ht="15.75" customHeight="1">
      <c r="Q286" s="38"/>
    </row>
    <row r="287" ht="15.75" customHeight="1">
      <c r="Q287" s="38"/>
    </row>
    <row r="288" ht="15.75" customHeight="1">
      <c r="Q288" s="38"/>
    </row>
    <row r="289" ht="15.75" customHeight="1">
      <c r="Q289" s="38"/>
    </row>
    <row r="290" ht="15.75" customHeight="1">
      <c r="Q290" s="38"/>
    </row>
    <row r="291" ht="15.75" customHeight="1">
      <c r="Q291" s="38"/>
    </row>
    <row r="292" ht="15.75" customHeight="1">
      <c r="Q292" s="38"/>
    </row>
    <row r="293" ht="15.75" customHeight="1">
      <c r="Q293" s="38"/>
    </row>
    <row r="294" ht="15.75" customHeight="1">
      <c r="Q294" s="38"/>
    </row>
    <row r="295" ht="15.75" customHeight="1">
      <c r="Q295" s="38"/>
    </row>
    <row r="296" ht="15.75" customHeight="1">
      <c r="Q296" s="38"/>
    </row>
    <row r="297" ht="15.75" customHeight="1">
      <c r="Q297" s="38"/>
    </row>
    <row r="298" ht="15.75" customHeight="1">
      <c r="Q298" s="38"/>
    </row>
    <row r="299" ht="15.75" customHeight="1">
      <c r="Q299" s="38"/>
    </row>
    <row r="300" ht="15.75" customHeight="1">
      <c r="Q300" s="38"/>
    </row>
    <row r="301" ht="15.75" customHeight="1">
      <c r="Q301" s="38"/>
    </row>
    <row r="302" ht="15.75" customHeight="1">
      <c r="Q302" s="38"/>
    </row>
    <row r="303" ht="15.75" customHeight="1">
      <c r="Q303" s="38"/>
    </row>
    <row r="304" ht="15.75" customHeight="1">
      <c r="Q304" s="38"/>
    </row>
    <row r="305" ht="15.75" customHeight="1">
      <c r="Q305" s="38"/>
    </row>
    <row r="306" ht="15.75" customHeight="1">
      <c r="Q306" s="38"/>
    </row>
    <row r="307" ht="15.75" customHeight="1">
      <c r="Q307" s="38"/>
    </row>
    <row r="308" ht="15.75" customHeight="1">
      <c r="Q308" s="38"/>
    </row>
    <row r="309" ht="15.75" customHeight="1">
      <c r="Q309" s="38"/>
    </row>
    <row r="310" ht="15.75" customHeight="1">
      <c r="Q310" s="38"/>
    </row>
    <row r="311" ht="15.75" customHeight="1">
      <c r="Q311" s="38"/>
    </row>
    <row r="312" ht="15.75" customHeight="1">
      <c r="Q312" s="38"/>
    </row>
    <row r="313" ht="15.75" customHeight="1">
      <c r="Q313" s="38"/>
    </row>
    <row r="314" ht="15.75" customHeight="1">
      <c r="Q314" s="38"/>
    </row>
    <row r="315" ht="15.75" customHeight="1">
      <c r="Q315" s="38"/>
    </row>
    <row r="316" ht="15.75" customHeight="1">
      <c r="Q316" s="38"/>
    </row>
    <row r="317" ht="15.75" customHeight="1">
      <c r="Q317" s="38"/>
    </row>
    <row r="318" ht="15.75" customHeight="1">
      <c r="Q318" s="38"/>
    </row>
    <row r="319" ht="15.75" customHeight="1">
      <c r="Q319" s="38"/>
    </row>
    <row r="320" ht="15.75" customHeight="1">
      <c r="Q320" s="38"/>
    </row>
    <row r="321" ht="15.75" customHeight="1">
      <c r="Q321" s="38"/>
    </row>
    <row r="322" ht="15.75" customHeight="1">
      <c r="Q322" s="38"/>
    </row>
    <row r="323" ht="15.75" customHeight="1">
      <c r="Q323" s="38"/>
    </row>
    <row r="324" ht="15.75" customHeight="1">
      <c r="Q324" s="38"/>
    </row>
    <row r="325" ht="15.75" customHeight="1">
      <c r="Q325" s="38"/>
    </row>
    <row r="326" ht="15.75" customHeight="1">
      <c r="Q326" s="38"/>
    </row>
    <row r="327" ht="15.75" customHeight="1">
      <c r="Q327" s="38"/>
    </row>
    <row r="328" ht="15.75" customHeight="1">
      <c r="Q328" s="38"/>
    </row>
    <row r="329" ht="15.75" customHeight="1">
      <c r="Q329" s="38"/>
    </row>
    <row r="330" ht="15.75" customHeight="1">
      <c r="Q330" s="38"/>
    </row>
    <row r="331" ht="15.75" customHeight="1">
      <c r="Q331" s="38"/>
    </row>
    <row r="332" ht="15.75" customHeight="1">
      <c r="Q332" s="38"/>
    </row>
    <row r="333" ht="15.75" customHeight="1">
      <c r="Q333" s="38"/>
    </row>
    <row r="334" ht="15.75" customHeight="1">
      <c r="Q334" s="38"/>
    </row>
    <row r="335" ht="15.75" customHeight="1">
      <c r="Q335" s="38"/>
    </row>
    <row r="336" ht="15.75" customHeight="1">
      <c r="Q336" s="38"/>
    </row>
    <row r="337" ht="15.75" customHeight="1">
      <c r="Q337" s="38"/>
    </row>
    <row r="338" ht="15.75" customHeight="1">
      <c r="Q338" s="38"/>
    </row>
    <row r="339" ht="15.75" customHeight="1">
      <c r="Q339" s="38"/>
    </row>
    <row r="340" ht="15.75" customHeight="1">
      <c r="Q340" s="38"/>
    </row>
    <row r="341" ht="15.75" customHeight="1">
      <c r="Q341" s="38"/>
    </row>
    <row r="342" ht="15.75" customHeight="1">
      <c r="Q342" s="38"/>
    </row>
    <row r="343" ht="15.75" customHeight="1">
      <c r="Q343" s="38"/>
    </row>
    <row r="344" ht="15.75" customHeight="1">
      <c r="Q344" s="38"/>
    </row>
    <row r="345" ht="15.75" customHeight="1">
      <c r="Q345" s="38"/>
    </row>
    <row r="346" ht="15.75" customHeight="1">
      <c r="Q346" s="38"/>
    </row>
    <row r="347" ht="15.75" customHeight="1">
      <c r="Q347" s="38"/>
    </row>
    <row r="348" ht="15.75" customHeight="1">
      <c r="Q348" s="38"/>
    </row>
    <row r="349" ht="15.75" customHeight="1">
      <c r="Q349" s="38"/>
    </row>
    <row r="350" ht="15.75" customHeight="1">
      <c r="Q350" s="38"/>
    </row>
    <row r="351" ht="15.75" customHeight="1">
      <c r="Q351" s="38"/>
    </row>
    <row r="352" ht="15.75" customHeight="1">
      <c r="Q352" s="38"/>
    </row>
    <row r="353" ht="15.75" customHeight="1">
      <c r="Q353" s="38"/>
    </row>
    <row r="354" ht="15.75" customHeight="1">
      <c r="Q354" s="38"/>
    </row>
    <row r="355" ht="15.75" customHeight="1">
      <c r="Q355" s="38"/>
    </row>
    <row r="356" ht="15.75" customHeight="1">
      <c r="Q356" s="38"/>
    </row>
    <row r="357" ht="15.75" customHeight="1">
      <c r="Q357" s="38"/>
    </row>
    <row r="358" ht="15.75" customHeight="1">
      <c r="Q358" s="38"/>
    </row>
    <row r="359" ht="15.75" customHeight="1">
      <c r="Q359" s="38"/>
    </row>
    <row r="360" ht="15.75" customHeight="1">
      <c r="Q360" s="38"/>
    </row>
    <row r="361" ht="15.75" customHeight="1">
      <c r="Q361" s="38"/>
    </row>
    <row r="362" ht="15.75" customHeight="1">
      <c r="Q362" s="38"/>
    </row>
    <row r="363" ht="15.75" customHeight="1">
      <c r="Q363" s="38"/>
    </row>
    <row r="364" ht="15.75" customHeight="1">
      <c r="Q364" s="38"/>
    </row>
    <row r="365" ht="15.75" customHeight="1">
      <c r="Q365" s="38"/>
    </row>
    <row r="366" ht="15.75" customHeight="1">
      <c r="Q366" s="38"/>
    </row>
    <row r="367" ht="15.75" customHeight="1">
      <c r="Q367" s="38"/>
    </row>
    <row r="368" ht="15.75" customHeight="1">
      <c r="Q368" s="38"/>
    </row>
    <row r="369" ht="15.75" customHeight="1">
      <c r="Q369" s="38"/>
    </row>
    <row r="370" ht="15.75" customHeight="1">
      <c r="Q370" s="38"/>
    </row>
    <row r="371" ht="15.75" customHeight="1">
      <c r="Q371" s="38"/>
    </row>
    <row r="372" ht="15.75" customHeight="1">
      <c r="Q372" s="38"/>
    </row>
    <row r="373" ht="15.75" customHeight="1">
      <c r="Q373" s="38"/>
    </row>
    <row r="374" ht="15.75" customHeight="1">
      <c r="Q374" s="38"/>
    </row>
    <row r="375" ht="15.75" customHeight="1">
      <c r="Q375" s="38"/>
    </row>
    <row r="376" ht="15.75" customHeight="1">
      <c r="Q376" s="38"/>
    </row>
    <row r="377" ht="15.75" customHeight="1">
      <c r="Q377" s="38"/>
    </row>
    <row r="378" ht="15.75" customHeight="1">
      <c r="Q378" s="38"/>
    </row>
    <row r="379" ht="15.75" customHeight="1">
      <c r="Q379" s="38"/>
    </row>
    <row r="380" ht="15.75" customHeight="1">
      <c r="Q380" s="38"/>
    </row>
    <row r="381" ht="15.75" customHeight="1">
      <c r="Q381" s="38"/>
    </row>
    <row r="382" ht="15.75" customHeight="1">
      <c r="Q382" s="38"/>
    </row>
    <row r="383" ht="15.75" customHeight="1">
      <c r="Q383" s="38"/>
    </row>
    <row r="384" ht="15.75" customHeight="1">
      <c r="Q384" s="38"/>
    </row>
    <row r="385" ht="15.75" customHeight="1">
      <c r="Q385" s="38"/>
    </row>
    <row r="386" ht="15.75" customHeight="1">
      <c r="Q386" s="38"/>
    </row>
    <row r="387" ht="15.75" customHeight="1">
      <c r="Q387" s="38"/>
    </row>
    <row r="388" ht="15.75" customHeight="1">
      <c r="Q388" s="38"/>
    </row>
    <row r="389" ht="15.75" customHeight="1">
      <c r="Q389" s="38"/>
    </row>
    <row r="390" ht="15.75" customHeight="1">
      <c r="Q390" s="38"/>
    </row>
    <row r="391" ht="15.75" customHeight="1">
      <c r="Q391" s="38"/>
    </row>
    <row r="392" ht="15.75" customHeight="1">
      <c r="Q392" s="38"/>
    </row>
    <row r="393" ht="15.75" customHeight="1">
      <c r="Q393" s="38"/>
    </row>
    <row r="394" ht="15.75" customHeight="1">
      <c r="Q394" s="38"/>
    </row>
    <row r="395" ht="15.75" customHeight="1">
      <c r="Q395" s="38"/>
    </row>
    <row r="396" ht="15.75" customHeight="1">
      <c r="Q396" s="38"/>
    </row>
    <row r="397" ht="15.75" customHeight="1">
      <c r="Q397" s="38"/>
    </row>
    <row r="398" ht="15.75" customHeight="1">
      <c r="Q398" s="38"/>
    </row>
    <row r="399" ht="15.75" customHeight="1">
      <c r="Q399" s="38"/>
    </row>
    <row r="400" ht="15.75" customHeight="1">
      <c r="Q400" s="38"/>
    </row>
    <row r="401" ht="15.75" customHeight="1">
      <c r="Q401" s="38"/>
    </row>
    <row r="402" ht="15.75" customHeight="1">
      <c r="Q402" s="38"/>
    </row>
    <row r="403" ht="15.75" customHeight="1">
      <c r="Q403" s="38"/>
    </row>
    <row r="404" ht="15.75" customHeight="1">
      <c r="Q404" s="38"/>
    </row>
    <row r="405" ht="15.75" customHeight="1">
      <c r="Q405" s="38"/>
    </row>
    <row r="406" ht="15.75" customHeight="1">
      <c r="Q406" s="38"/>
    </row>
    <row r="407" ht="15.75" customHeight="1">
      <c r="Q407" s="38"/>
    </row>
    <row r="408" ht="15.75" customHeight="1">
      <c r="Q408" s="38"/>
    </row>
    <row r="409" ht="15.75" customHeight="1">
      <c r="Q409" s="38"/>
    </row>
    <row r="410" ht="15.75" customHeight="1">
      <c r="Q410" s="38"/>
    </row>
    <row r="411" ht="15.75" customHeight="1">
      <c r="Q411" s="38"/>
    </row>
    <row r="412" ht="15.75" customHeight="1">
      <c r="Q412" s="38"/>
    </row>
    <row r="413" ht="15.75" customHeight="1">
      <c r="Q413" s="38"/>
    </row>
    <row r="414" ht="15.75" customHeight="1">
      <c r="Q414" s="38"/>
    </row>
    <row r="415" ht="15.75" customHeight="1">
      <c r="Q415" s="38"/>
    </row>
    <row r="416" ht="15.75" customHeight="1">
      <c r="Q416" s="38"/>
    </row>
    <row r="417" ht="15.75" customHeight="1">
      <c r="Q417" s="38"/>
    </row>
    <row r="418" ht="15.75" customHeight="1">
      <c r="Q418" s="38"/>
    </row>
    <row r="419" ht="15.75" customHeight="1">
      <c r="Q419" s="38"/>
    </row>
    <row r="420" ht="15.75" customHeight="1">
      <c r="Q420" s="38"/>
    </row>
    <row r="421" ht="15.75" customHeight="1">
      <c r="Q421" s="38"/>
    </row>
    <row r="422" ht="15.75" customHeight="1">
      <c r="Q422" s="38"/>
    </row>
    <row r="423" ht="15.75" customHeight="1">
      <c r="Q423" s="38"/>
    </row>
    <row r="424" ht="15.75" customHeight="1">
      <c r="Q424" s="38"/>
    </row>
    <row r="425" ht="15.75" customHeight="1">
      <c r="Q425" s="38"/>
    </row>
    <row r="426" ht="15.75" customHeight="1">
      <c r="Q426" s="38"/>
    </row>
    <row r="427" ht="15.75" customHeight="1">
      <c r="Q427" s="38"/>
    </row>
    <row r="428" ht="15.75" customHeight="1">
      <c r="Q428" s="38"/>
    </row>
    <row r="429" ht="15.75" customHeight="1">
      <c r="Q429" s="38"/>
    </row>
    <row r="430" ht="15.75" customHeight="1">
      <c r="Q430" s="38"/>
    </row>
    <row r="431" ht="15.75" customHeight="1">
      <c r="Q431" s="38"/>
    </row>
    <row r="432" ht="15.75" customHeight="1">
      <c r="Q432" s="38"/>
    </row>
    <row r="433" ht="15.75" customHeight="1">
      <c r="Q433" s="38"/>
    </row>
    <row r="434" ht="15.75" customHeight="1">
      <c r="Q434" s="38"/>
    </row>
    <row r="435" ht="15.75" customHeight="1">
      <c r="Q435" s="38"/>
    </row>
    <row r="436" ht="15.75" customHeight="1">
      <c r="Q436" s="38"/>
    </row>
    <row r="437" ht="15.75" customHeight="1">
      <c r="Q437" s="38"/>
    </row>
    <row r="438" ht="15.75" customHeight="1">
      <c r="Q438" s="38"/>
    </row>
    <row r="439" ht="15.75" customHeight="1">
      <c r="Q439" s="38"/>
    </row>
    <row r="440" ht="15.75" customHeight="1">
      <c r="Q440" s="38"/>
    </row>
    <row r="441" ht="15.75" customHeight="1">
      <c r="Q441" s="38"/>
    </row>
    <row r="442" ht="15.75" customHeight="1">
      <c r="Q442" s="38"/>
    </row>
    <row r="443" ht="15.75" customHeight="1">
      <c r="Q443" s="38"/>
    </row>
    <row r="444" ht="15.75" customHeight="1">
      <c r="Q444" s="38"/>
    </row>
    <row r="445" ht="15.75" customHeight="1">
      <c r="Q445" s="38"/>
    </row>
    <row r="446" ht="15.75" customHeight="1">
      <c r="Q446" s="38"/>
    </row>
    <row r="447" ht="15.75" customHeight="1">
      <c r="Q447" s="38"/>
    </row>
    <row r="448" ht="15.75" customHeight="1">
      <c r="Q448" s="38"/>
    </row>
    <row r="449" ht="15.75" customHeight="1">
      <c r="Q449" s="38"/>
    </row>
    <row r="450" ht="15.75" customHeight="1">
      <c r="Q450" s="38"/>
    </row>
    <row r="451" ht="15.75" customHeight="1">
      <c r="Q451" s="38"/>
    </row>
    <row r="452" ht="15.75" customHeight="1">
      <c r="Q452" s="38"/>
    </row>
    <row r="453" ht="15.75" customHeight="1">
      <c r="Q453" s="38"/>
    </row>
    <row r="454" ht="15.75" customHeight="1">
      <c r="Q454" s="38"/>
    </row>
    <row r="455" ht="15.75" customHeight="1">
      <c r="Q455" s="38"/>
    </row>
    <row r="456" ht="15.75" customHeight="1">
      <c r="Q456" s="38"/>
    </row>
    <row r="457" ht="15.75" customHeight="1">
      <c r="Q457" s="38"/>
    </row>
    <row r="458" ht="15.75" customHeight="1">
      <c r="Q458" s="38"/>
    </row>
    <row r="459" ht="15.75" customHeight="1">
      <c r="Q459" s="38"/>
    </row>
    <row r="460" ht="15.75" customHeight="1">
      <c r="Q460" s="38"/>
    </row>
    <row r="461" ht="15.75" customHeight="1">
      <c r="Q461" s="38"/>
    </row>
    <row r="462" ht="15.75" customHeight="1">
      <c r="Q462" s="38"/>
    </row>
    <row r="463" ht="15.75" customHeight="1">
      <c r="Q463" s="38"/>
    </row>
    <row r="464" ht="15.75" customHeight="1">
      <c r="Q464" s="38"/>
    </row>
    <row r="465" ht="15.75" customHeight="1">
      <c r="Q465" s="38"/>
    </row>
    <row r="466" ht="15.75" customHeight="1">
      <c r="Q466" s="38"/>
    </row>
    <row r="467" ht="15.75" customHeight="1">
      <c r="Q467" s="38"/>
    </row>
    <row r="468" ht="15.75" customHeight="1">
      <c r="Q468" s="38"/>
    </row>
    <row r="469" ht="15.75" customHeight="1">
      <c r="Q469" s="38"/>
    </row>
    <row r="470" ht="15.75" customHeight="1">
      <c r="Q470" s="38"/>
    </row>
    <row r="471" ht="15.75" customHeight="1">
      <c r="Q471" s="38"/>
    </row>
    <row r="472" ht="15.75" customHeight="1">
      <c r="Q472" s="38"/>
    </row>
    <row r="473" ht="15.75" customHeight="1">
      <c r="Q473" s="38"/>
    </row>
    <row r="474" ht="15.75" customHeight="1">
      <c r="Q474" s="38"/>
    </row>
    <row r="475" ht="15.75" customHeight="1">
      <c r="Q475" s="38"/>
    </row>
    <row r="476" ht="15.75" customHeight="1">
      <c r="Q476" s="38"/>
    </row>
    <row r="477" ht="15.75" customHeight="1">
      <c r="Q477" s="38"/>
    </row>
    <row r="478" ht="15.75" customHeight="1">
      <c r="Q478" s="38"/>
    </row>
    <row r="479" ht="15.75" customHeight="1">
      <c r="Q479" s="38"/>
    </row>
    <row r="480" ht="15.75" customHeight="1">
      <c r="Q480" s="38"/>
    </row>
    <row r="481" ht="15.75" customHeight="1">
      <c r="Q481" s="38"/>
    </row>
    <row r="482" ht="15.75" customHeight="1">
      <c r="Q482" s="38"/>
    </row>
    <row r="483" ht="15.75" customHeight="1">
      <c r="Q483" s="38"/>
    </row>
    <row r="484" ht="15.75" customHeight="1">
      <c r="Q484" s="38"/>
    </row>
    <row r="485" ht="15.75" customHeight="1">
      <c r="Q485" s="38"/>
    </row>
    <row r="486" ht="15.75" customHeight="1">
      <c r="Q486" s="38"/>
    </row>
    <row r="487" ht="15.75" customHeight="1">
      <c r="Q487" s="38"/>
    </row>
    <row r="488" ht="15.75" customHeight="1">
      <c r="Q488" s="38"/>
    </row>
    <row r="489" ht="15.75" customHeight="1">
      <c r="Q489" s="38"/>
    </row>
    <row r="490" ht="15.75" customHeight="1">
      <c r="Q490" s="38"/>
    </row>
    <row r="491" ht="15.75" customHeight="1">
      <c r="Q491" s="38"/>
    </row>
    <row r="492" ht="15.75" customHeight="1">
      <c r="Q492" s="38"/>
    </row>
    <row r="493" ht="15.75" customHeight="1">
      <c r="Q493" s="38"/>
    </row>
    <row r="494" ht="15.75" customHeight="1">
      <c r="Q494" s="38"/>
    </row>
    <row r="495" ht="15.75" customHeight="1">
      <c r="Q495" s="38"/>
    </row>
    <row r="496" ht="15.75" customHeight="1">
      <c r="Q496" s="38"/>
    </row>
    <row r="497" ht="15.75" customHeight="1">
      <c r="Q497" s="38"/>
    </row>
    <row r="498" ht="15.75" customHeight="1">
      <c r="Q498" s="38"/>
    </row>
    <row r="499" ht="15.75" customHeight="1">
      <c r="Q499" s="38"/>
    </row>
    <row r="500" ht="15.75" customHeight="1">
      <c r="Q500" s="38"/>
    </row>
    <row r="501" ht="15.75" customHeight="1">
      <c r="Q501" s="38"/>
    </row>
    <row r="502" ht="15.75" customHeight="1">
      <c r="Q502" s="38"/>
    </row>
    <row r="503" ht="15.75" customHeight="1">
      <c r="Q503" s="38"/>
    </row>
    <row r="504" ht="15.75" customHeight="1">
      <c r="Q504" s="38"/>
    </row>
    <row r="505" ht="15.75" customHeight="1">
      <c r="Q505" s="38"/>
    </row>
    <row r="506" ht="15.75" customHeight="1">
      <c r="Q506" s="38"/>
    </row>
    <row r="507" ht="15.75" customHeight="1">
      <c r="Q507" s="38"/>
    </row>
    <row r="508" ht="15.75" customHeight="1">
      <c r="Q508" s="38"/>
    </row>
    <row r="509" ht="15.75" customHeight="1">
      <c r="Q509" s="38"/>
    </row>
    <row r="510" ht="15.75" customHeight="1">
      <c r="Q510" s="38"/>
    </row>
    <row r="511" ht="15.75" customHeight="1">
      <c r="Q511" s="38"/>
    </row>
    <row r="512" ht="15.75" customHeight="1">
      <c r="Q512" s="38"/>
    </row>
    <row r="513" ht="15.75" customHeight="1">
      <c r="Q513" s="38"/>
    </row>
    <row r="514" ht="15.75" customHeight="1">
      <c r="Q514" s="38"/>
    </row>
    <row r="515" ht="15.75" customHeight="1">
      <c r="Q515" s="38"/>
    </row>
    <row r="516" ht="15.75" customHeight="1">
      <c r="Q516" s="38"/>
    </row>
    <row r="517" ht="15.75" customHeight="1">
      <c r="Q517" s="38"/>
    </row>
    <row r="518" ht="15.75" customHeight="1">
      <c r="Q518" s="38"/>
    </row>
    <row r="519" ht="15.75" customHeight="1">
      <c r="Q519" s="38"/>
    </row>
    <row r="520" ht="15.75" customHeight="1">
      <c r="Q520" s="38"/>
    </row>
    <row r="521" ht="15.75" customHeight="1">
      <c r="Q521" s="38"/>
    </row>
    <row r="522" ht="15.75" customHeight="1">
      <c r="Q522" s="38"/>
    </row>
    <row r="523" ht="15.75" customHeight="1">
      <c r="Q523" s="38"/>
    </row>
    <row r="524" ht="15.75" customHeight="1">
      <c r="Q524" s="38"/>
    </row>
    <row r="525" ht="15.75" customHeight="1">
      <c r="Q525" s="38"/>
    </row>
    <row r="526" ht="15.75" customHeight="1">
      <c r="Q526" s="38"/>
    </row>
    <row r="527" ht="15.75" customHeight="1">
      <c r="Q527" s="38"/>
    </row>
    <row r="528" ht="15.75" customHeight="1">
      <c r="Q528" s="38"/>
    </row>
    <row r="529" ht="15.75" customHeight="1">
      <c r="Q529" s="38"/>
    </row>
    <row r="530" ht="15.75" customHeight="1">
      <c r="Q530" s="38"/>
    </row>
    <row r="531" ht="15.75" customHeight="1">
      <c r="Q531" s="38"/>
    </row>
    <row r="532" ht="15.75" customHeight="1">
      <c r="Q532" s="38"/>
    </row>
    <row r="533" ht="15.75" customHeight="1">
      <c r="Q533" s="38"/>
    </row>
    <row r="534" ht="15.75" customHeight="1">
      <c r="Q534" s="38"/>
    </row>
    <row r="535" ht="15.75" customHeight="1">
      <c r="Q535" s="38"/>
    </row>
    <row r="536" ht="15.75" customHeight="1">
      <c r="Q536" s="38"/>
    </row>
    <row r="537" ht="15.75" customHeight="1">
      <c r="Q537" s="38"/>
    </row>
    <row r="538" ht="15.75" customHeight="1">
      <c r="Q538" s="38"/>
    </row>
    <row r="539" ht="15.75" customHeight="1">
      <c r="Q539" s="38"/>
    </row>
    <row r="540" ht="15.75" customHeight="1">
      <c r="Q540" s="38"/>
    </row>
    <row r="541" ht="15.75" customHeight="1">
      <c r="Q541" s="38"/>
    </row>
    <row r="542" ht="15.75" customHeight="1">
      <c r="Q542" s="38"/>
    </row>
    <row r="543" ht="15.75" customHeight="1">
      <c r="Q543" s="38"/>
    </row>
    <row r="544" ht="15.75" customHeight="1">
      <c r="Q544" s="38"/>
    </row>
    <row r="545" ht="15.75" customHeight="1">
      <c r="Q545" s="38"/>
    </row>
    <row r="546" ht="15.75" customHeight="1">
      <c r="Q546" s="38"/>
    </row>
    <row r="547" ht="15.75" customHeight="1">
      <c r="Q547" s="38"/>
    </row>
    <row r="548" ht="15.75" customHeight="1">
      <c r="Q548" s="38"/>
    </row>
    <row r="549" ht="15.75" customHeight="1">
      <c r="Q549" s="38"/>
    </row>
    <row r="550" ht="15.75" customHeight="1">
      <c r="Q550" s="38"/>
    </row>
    <row r="551" ht="15.75" customHeight="1">
      <c r="Q551" s="38"/>
    </row>
    <row r="552" ht="15.75" customHeight="1">
      <c r="Q552" s="38"/>
    </row>
    <row r="553" ht="15.75" customHeight="1">
      <c r="Q553" s="38"/>
    </row>
    <row r="554" ht="15.75" customHeight="1">
      <c r="Q554" s="38"/>
    </row>
    <row r="555" ht="15.75" customHeight="1">
      <c r="Q555" s="38"/>
    </row>
    <row r="556" ht="15.75" customHeight="1">
      <c r="Q556" s="38"/>
    </row>
    <row r="557" ht="15.75" customHeight="1">
      <c r="Q557" s="38"/>
    </row>
    <row r="558" ht="15.75" customHeight="1">
      <c r="Q558" s="38"/>
    </row>
    <row r="559" ht="15.75" customHeight="1">
      <c r="Q559" s="38"/>
    </row>
    <row r="560" ht="15.75" customHeight="1">
      <c r="Q560" s="38"/>
    </row>
    <row r="561" ht="15.75" customHeight="1">
      <c r="Q561" s="38"/>
    </row>
    <row r="562" ht="15.75" customHeight="1">
      <c r="Q562" s="38"/>
    </row>
    <row r="563" ht="15.75" customHeight="1">
      <c r="Q563" s="38"/>
    </row>
    <row r="564" ht="15.75" customHeight="1">
      <c r="Q564" s="38"/>
    </row>
    <row r="565" ht="15.75" customHeight="1">
      <c r="Q565" s="38"/>
    </row>
    <row r="566" ht="15.75" customHeight="1">
      <c r="Q566" s="38"/>
    </row>
    <row r="567" ht="15.75" customHeight="1">
      <c r="Q567" s="38"/>
    </row>
    <row r="568" ht="15.75" customHeight="1">
      <c r="Q568" s="38"/>
    </row>
    <row r="569" ht="15.75" customHeight="1">
      <c r="Q569" s="38"/>
    </row>
    <row r="570" ht="15.75" customHeight="1">
      <c r="Q570" s="38"/>
    </row>
    <row r="571" ht="15.75" customHeight="1">
      <c r="Q571" s="38"/>
    </row>
    <row r="572" ht="15.75" customHeight="1">
      <c r="Q572" s="38"/>
    </row>
    <row r="573" ht="15.75" customHeight="1">
      <c r="Q573" s="38"/>
    </row>
    <row r="574" ht="15.75" customHeight="1">
      <c r="Q574" s="38"/>
    </row>
    <row r="575" ht="15.75" customHeight="1">
      <c r="Q575" s="38"/>
    </row>
    <row r="576" ht="15.75" customHeight="1">
      <c r="Q576" s="38"/>
    </row>
    <row r="577" ht="15.75" customHeight="1">
      <c r="Q577" s="38"/>
    </row>
    <row r="578" ht="15.75" customHeight="1">
      <c r="Q578" s="38"/>
    </row>
    <row r="579" ht="15.75" customHeight="1">
      <c r="Q579" s="38"/>
    </row>
    <row r="580" ht="15.75" customHeight="1">
      <c r="Q580" s="38"/>
    </row>
    <row r="581" ht="15.75" customHeight="1">
      <c r="Q581" s="38"/>
    </row>
    <row r="582" ht="15.75" customHeight="1">
      <c r="Q582" s="38"/>
    </row>
    <row r="583" ht="15.75" customHeight="1">
      <c r="Q583" s="38"/>
    </row>
    <row r="584" ht="15.75" customHeight="1">
      <c r="Q584" s="38"/>
    </row>
    <row r="585" ht="15.75" customHeight="1">
      <c r="Q585" s="38"/>
    </row>
    <row r="586" ht="15.75" customHeight="1">
      <c r="Q586" s="38"/>
    </row>
    <row r="587" ht="15.75" customHeight="1">
      <c r="Q587" s="38"/>
    </row>
    <row r="588" ht="15.75" customHeight="1">
      <c r="Q588" s="38"/>
    </row>
    <row r="589" ht="15.75" customHeight="1">
      <c r="Q589" s="38"/>
    </row>
    <row r="590" ht="15.75" customHeight="1">
      <c r="Q590" s="38"/>
    </row>
    <row r="591" ht="15.75" customHeight="1">
      <c r="Q591" s="38"/>
    </row>
    <row r="592" ht="15.75" customHeight="1">
      <c r="Q592" s="38"/>
    </row>
    <row r="593" ht="15.75" customHeight="1">
      <c r="Q593" s="38"/>
    </row>
    <row r="594" ht="15.75" customHeight="1">
      <c r="Q594" s="38"/>
    </row>
    <row r="595" ht="15.75" customHeight="1">
      <c r="Q595" s="38"/>
    </row>
    <row r="596" ht="15.75" customHeight="1">
      <c r="Q596" s="38"/>
    </row>
    <row r="597" ht="15.75" customHeight="1">
      <c r="Q597" s="38"/>
    </row>
    <row r="598" ht="15.75" customHeight="1">
      <c r="Q598" s="38"/>
    </row>
    <row r="599" ht="15.75" customHeight="1">
      <c r="Q599" s="38"/>
    </row>
    <row r="600" ht="15.75" customHeight="1">
      <c r="Q600" s="38"/>
    </row>
    <row r="601" ht="15.75" customHeight="1">
      <c r="Q601" s="38"/>
    </row>
    <row r="602" ht="15.75" customHeight="1">
      <c r="Q602" s="38"/>
    </row>
    <row r="603" ht="15.75" customHeight="1">
      <c r="Q603" s="38"/>
    </row>
    <row r="604" ht="15.75" customHeight="1">
      <c r="Q604" s="38"/>
    </row>
    <row r="605" ht="15.75" customHeight="1">
      <c r="Q605" s="38"/>
    </row>
    <row r="606" ht="15.75" customHeight="1">
      <c r="Q606" s="38"/>
    </row>
    <row r="607" ht="15.75" customHeight="1">
      <c r="Q607" s="38"/>
    </row>
    <row r="608" ht="15.75" customHeight="1">
      <c r="Q608" s="38"/>
    </row>
    <row r="609" ht="15.75" customHeight="1">
      <c r="Q609" s="38"/>
    </row>
    <row r="610" ht="15.75" customHeight="1">
      <c r="Q610" s="38"/>
    </row>
    <row r="611" ht="15.75" customHeight="1">
      <c r="Q611" s="38"/>
    </row>
    <row r="612" ht="15.75" customHeight="1">
      <c r="Q612" s="38"/>
    </row>
    <row r="613" ht="15.75" customHeight="1">
      <c r="Q613" s="38"/>
    </row>
    <row r="614" ht="15.75" customHeight="1">
      <c r="Q614" s="38"/>
    </row>
    <row r="615" ht="15.75" customHeight="1">
      <c r="Q615" s="38"/>
    </row>
    <row r="616" ht="15.75" customHeight="1">
      <c r="Q616" s="38"/>
    </row>
    <row r="617" ht="15.75" customHeight="1">
      <c r="Q617" s="38"/>
    </row>
    <row r="618" ht="15.75" customHeight="1">
      <c r="Q618" s="38"/>
    </row>
    <row r="619" ht="15.75" customHeight="1">
      <c r="Q619" s="38"/>
    </row>
    <row r="620" ht="15.75" customHeight="1">
      <c r="Q620" s="38"/>
    </row>
    <row r="621" ht="15.75" customHeight="1">
      <c r="Q621" s="38"/>
    </row>
    <row r="622" ht="15.75" customHeight="1">
      <c r="Q622" s="38"/>
    </row>
    <row r="623" ht="15.75" customHeight="1">
      <c r="Q623" s="38"/>
    </row>
    <row r="624" ht="15.75" customHeight="1">
      <c r="Q624" s="38"/>
    </row>
    <row r="625" ht="15.75" customHeight="1">
      <c r="Q625" s="38"/>
    </row>
    <row r="626" ht="15.75" customHeight="1">
      <c r="Q626" s="38"/>
    </row>
    <row r="627" ht="15.75" customHeight="1">
      <c r="Q627" s="38"/>
    </row>
    <row r="628" ht="15.75" customHeight="1">
      <c r="Q628" s="38"/>
    </row>
    <row r="629" ht="15.75" customHeight="1">
      <c r="Q629" s="38"/>
    </row>
    <row r="630" ht="15.75" customHeight="1">
      <c r="Q630" s="38"/>
    </row>
    <row r="631" ht="15.75" customHeight="1">
      <c r="Q631" s="38"/>
    </row>
    <row r="632" ht="15.75" customHeight="1">
      <c r="Q632" s="38"/>
    </row>
    <row r="633" ht="15.75" customHeight="1">
      <c r="Q633" s="38"/>
    </row>
    <row r="634" ht="15.75" customHeight="1">
      <c r="Q634" s="38"/>
    </row>
    <row r="635" ht="15.75" customHeight="1">
      <c r="Q635" s="38"/>
    </row>
    <row r="636" ht="15.75" customHeight="1">
      <c r="Q636" s="38"/>
    </row>
    <row r="637" ht="15.75" customHeight="1">
      <c r="Q637" s="38"/>
    </row>
    <row r="638" ht="15.75" customHeight="1">
      <c r="Q638" s="38"/>
    </row>
    <row r="639" ht="15.75" customHeight="1">
      <c r="Q639" s="38"/>
    </row>
    <row r="640" ht="15.75" customHeight="1">
      <c r="Q640" s="38"/>
    </row>
    <row r="641" ht="15.75" customHeight="1">
      <c r="Q641" s="38"/>
    </row>
    <row r="642" ht="15.75" customHeight="1">
      <c r="Q642" s="38"/>
    </row>
    <row r="643" ht="15.75" customHeight="1">
      <c r="Q643" s="38"/>
    </row>
    <row r="644" ht="15.75" customHeight="1">
      <c r="Q644" s="38"/>
    </row>
    <row r="645" ht="15.75" customHeight="1">
      <c r="Q645" s="38"/>
    </row>
    <row r="646" ht="15.75" customHeight="1">
      <c r="Q646" s="38"/>
    </row>
    <row r="647" ht="15.75" customHeight="1">
      <c r="Q647" s="38"/>
    </row>
    <row r="648" ht="15.75" customHeight="1">
      <c r="Q648" s="38"/>
    </row>
    <row r="649" ht="15.75" customHeight="1">
      <c r="Q649" s="38"/>
    </row>
    <row r="650" ht="15.75" customHeight="1">
      <c r="Q650" s="38"/>
    </row>
    <row r="651" ht="15.75" customHeight="1">
      <c r="Q651" s="38"/>
    </row>
    <row r="652" ht="15.75" customHeight="1">
      <c r="Q652" s="38"/>
    </row>
    <row r="653" ht="15.75" customHeight="1">
      <c r="Q653" s="38"/>
    </row>
    <row r="654" ht="15.75" customHeight="1">
      <c r="Q654" s="38"/>
    </row>
    <row r="655" ht="15.75" customHeight="1">
      <c r="Q655" s="38"/>
    </row>
    <row r="656" ht="15.75" customHeight="1">
      <c r="Q656" s="38"/>
    </row>
    <row r="657" ht="15.75" customHeight="1">
      <c r="Q657" s="38"/>
    </row>
    <row r="658" ht="15.75" customHeight="1">
      <c r="Q658" s="38"/>
    </row>
    <row r="659" ht="15.75" customHeight="1">
      <c r="Q659" s="38"/>
    </row>
    <row r="660" ht="15.75" customHeight="1">
      <c r="Q660" s="38"/>
    </row>
    <row r="661" ht="15.75" customHeight="1">
      <c r="Q661" s="38"/>
    </row>
    <row r="662" ht="15.75" customHeight="1">
      <c r="Q662" s="38"/>
    </row>
    <row r="663" ht="15.75" customHeight="1">
      <c r="Q663" s="38"/>
    </row>
    <row r="664" ht="15.75" customHeight="1">
      <c r="Q664" s="38"/>
    </row>
    <row r="665" ht="15.75" customHeight="1">
      <c r="Q665" s="38"/>
    </row>
    <row r="666" ht="15.75" customHeight="1">
      <c r="Q666" s="38"/>
    </row>
    <row r="667" ht="15.75" customHeight="1">
      <c r="Q667" s="38"/>
    </row>
    <row r="668" ht="15.75" customHeight="1">
      <c r="Q668" s="38"/>
    </row>
    <row r="669" ht="15.75" customHeight="1">
      <c r="Q669" s="38"/>
    </row>
    <row r="670" ht="15.75" customHeight="1">
      <c r="Q670" s="38"/>
    </row>
    <row r="671" ht="15.75" customHeight="1">
      <c r="Q671" s="38"/>
    </row>
    <row r="672" ht="15.75" customHeight="1">
      <c r="Q672" s="38"/>
    </row>
    <row r="673" ht="15.75" customHeight="1">
      <c r="Q673" s="38"/>
    </row>
    <row r="674" ht="15.75" customHeight="1">
      <c r="Q674" s="38"/>
    </row>
    <row r="675" ht="15.75" customHeight="1">
      <c r="Q675" s="38"/>
    </row>
    <row r="676" ht="15.75" customHeight="1">
      <c r="Q676" s="38"/>
    </row>
    <row r="677" ht="15.75" customHeight="1">
      <c r="Q677" s="38"/>
    </row>
    <row r="678" ht="15.75" customHeight="1">
      <c r="Q678" s="38"/>
    </row>
    <row r="679" ht="15.75" customHeight="1">
      <c r="Q679" s="38"/>
    </row>
    <row r="680" ht="15.75" customHeight="1">
      <c r="Q680" s="38"/>
    </row>
    <row r="681" ht="15.75" customHeight="1">
      <c r="Q681" s="38"/>
    </row>
    <row r="682" ht="15.75" customHeight="1">
      <c r="Q682" s="38"/>
    </row>
    <row r="683" ht="15.75" customHeight="1">
      <c r="Q683" s="38"/>
    </row>
    <row r="684" ht="15.75" customHeight="1">
      <c r="Q684" s="38"/>
    </row>
    <row r="685" ht="15.75" customHeight="1">
      <c r="Q685" s="38"/>
    </row>
    <row r="686" ht="15.75" customHeight="1">
      <c r="Q686" s="38"/>
    </row>
    <row r="687" ht="15.75" customHeight="1">
      <c r="Q687" s="38"/>
    </row>
    <row r="688" ht="15.75" customHeight="1">
      <c r="Q688" s="38"/>
    </row>
    <row r="689" ht="15.75" customHeight="1">
      <c r="Q689" s="38"/>
    </row>
    <row r="690" ht="15.75" customHeight="1">
      <c r="Q690" s="38"/>
    </row>
    <row r="691" ht="15.75" customHeight="1">
      <c r="Q691" s="38"/>
    </row>
    <row r="692" ht="15.75" customHeight="1">
      <c r="Q692" s="38"/>
    </row>
    <row r="693" ht="15.75" customHeight="1">
      <c r="Q693" s="38"/>
    </row>
    <row r="694" ht="15.75" customHeight="1">
      <c r="Q694" s="38"/>
    </row>
    <row r="695" ht="15.75" customHeight="1">
      <c r="Q695" s="38"/>
    </row>
    <row r="696" ht="15.75" customHeight="1">
      <c r="Q696" s="38"/>
    </row>
    <row r="697" ht="15.75" customHeight="1">
      <c r="Q697" s="38"/>
    </row>
    <row r="698" ht="15.75" customHeight="1">
      <c r="Q698" s="38"/>
    </row>
    <row r="699" ht="15.75" customHeight="1">
      <c r="Q699" s="38"/>
    </row>
    <row r="700" ht="15.75" customHeight="1">
      <c r="Q700" s="38"/>
    </row>
    <row r="701" ht="15.75" customHeight="1">
      <c r="Q701" s="38"/>
    </row>
    <row r="702" ht="15.75" customHeight="1">
      <c r="Q702" s="38"/>
    </row>
    <row r="703" ht="15.75" customHeight="1">
      <c r="Q703" s="38"/>
    </row>
    <row r="704" ht="15.75" customHeight="1">
      <c r="Q704" s="38"/>
    </row>
    <row r="705" ht="15.75" customHeight="1">
      <c r="Q705" s="38"/>
    </row>
    <row r="706" ht="15.75" customHeight="1">
      <c r="Q706" s="38"/>
    </row>
    <row r="707" ht="15.75" customHeight="1">
      <c r="Q707" s="38"/>
    </row>
    <row r="708" ht="15.75" customHeight="1">
      <c r="Q708" s="38"/>
    </row>
    <row r="709" ht="15.75" customHeight="1">
      <c r="Q709" s="38"/>
    </row>
    <row r="710" ht="15.75" customHeight="1">
      <c r="Q710" s="38"/>
    </row>
    <row r="711" ht="15.75" customHeight="1">
      <c r="Q711" s="38"/>
    </row>
    <row r="712" ht="15.75" customHeight="1">
      <c r="Q712" s="38"/>
    </row>
    <row r="713" ht="15.75" customHeight="1">
      <c r="Q713" s="38"/>
    </row>
    <row r="714" ht="15.75" customHeight="1">
      <c r="Q714" s="38"/>
    </row>
    <row r="715" ht="15.75" customHeight="1">
      <c r="Q715" s="38"/>
    </row>
    <row r="716" ht="15.75" customHeight="1">
      <c r="Q716" s="38"/>
    </row>
    <row r="717" ht="15.75" customHeight="1">
      <c r="Q717" s="38"/>
    </row>
    <row r="718" ht="15.75" customHeight="1">
      <c r="Q718" s="38"/>
    </row>
    <row r="719" ht="15.75" customHeight="1">
      <c r="Q719" s="38"/>
    </row>
    <row r="720" ht="15.75" customHeight="1">
      <c r="Q720" s="38"/>
    </row>
    <row r="721" ht="15.75" customHeight="1">
      <c r="Q721" s="38"/>
    </row>
    <row r="722" ht="15.75" customHeight="1">
      <c r="Q722" s="38"/>
    </row>
    <row r="723" ht="15.75" customHeight="1">
      <c r="Q723" s="38"/>
    </row>
    <row r="724" ht="15.75" customHeight="1">
      <c r="Q724" s="38"/>
    </row>
    <row r="725" ht="15.75" customHeight="1">
      <c r="Q725" s="38"/>
    </row>
    <row r="726" ht="15.75" customHeight="1">
      <c r="Q726" s="38"/>
    </row>
    <row r="727" ht="15.75" customHeight="1">
      <c r="Q727" s="38"/>
    </row>
    <row r="728" ht="15.75" customHeight="1">
      <c r="Q728" s="38"/>
    </row>
    <row r="729" ht="15.75" customHeight="1">
      <c r="Q729" s="38"/>
    </row>
    <row r="730" ht="15.75" customHeight="1">
      <c r="Q730" s="38"/>
    </row>
    <row r="731" ht="15.75" customHeight="1">
      <c r="Q731" s="38"/>
    </row>
    <row r="732" ht="15.75" customHeight="1">
      <c r="Q732" s="38"/>
    </row>
    <row r="733" ht="15.75" customHeight="1">
      <c r="Q733" s="38"/>
    </row>
    <row r="734" ht="15.75" customHeight="1">
      <c r="Q734" s="38"/>
    </row>
    <row r="735" ht="15.75" customHeight="1">
      <c r="Q735" s="38"/>
    </row>
    <row r="736" ht="15.75" customHeight="1">
      <c r="Q736" s="38"/>
    </row>
    <row r="737" ht="15.75" customHeight="1">
      <c r="Q737" s="38"/>
    </row>
    <row r="738" ht="15.75" customHeight="1">
      <c r="Q738" s="38"/>
    </row>
    <row r="739" ht="15.75" customHeight="1">
      <c r="Q739" s="38"/>
    </row>
    <row r="740" ht="15.75" customHeight="1">
      <c r="Q740" s="38"/>
    </row>
    <row r="741" ht="15.75" customHeight="1">
      <c r="Q741" s="38"/>
    </row>
    <row r="742" ht="15.75" customHeight="1">
      <c r="Q742" s="38"/>
    </row>
    <row r="743" ht="15.75" customHeight="1">
      <c r="Q743" s="38"/>
    </row>
    <row r="744" ht="15.75" customHeight="1">
      <c r="Q744" s="38"/>
    </row>
    <row r="745" ht="15.75" customHeight="1">
      <c r="Q745" s="38"/>
    </row>
    <row r="746" ht="15.75" customHeight="1">
      <c r="Q746" s="38"/>
    </row>
    <row r="747" ht="15.75" customHeight="1">
      <c r="Q747" s="38"/>
    </row>
    <row r="748" ht="15.75" customHeight="1">
      <c r="Q748" s="38"/>
    </row>
    <row r="749" ht="15.75" customHeight="1">
      <c r="Q749" s="38"/>
    </row>
    <row r="750" ht="15.75" customHeight="1">
      <c r="Q750" s="38"/>
    </row>
    <row r="751" ht="15.75" customHeight="1">
      <c r="Q751" s="38"/>
    </row>
    <row r="752" ht="15.75" customHeight="1">
      <c r="Q752" s="38"/>
    </row>
    <row r="753" ht="15.75" customHeight="1">
      <c r="Q753" s="38"/>
    </row>
    <row r="754" ht="15.75" customHeight="1">
      <c r="Q754" s="38"/>
    </row>
    <row r="755" ht="15.75" customHeight="1">
      <c r="Q755" s="38"/>
    </row>
    <row r="756" ht="15.75" customHeight="1">
      <c r="Q756" s="38"/>
    </row>
    <row r="757" ht="15.75" customHeight="1">
      <c r="Q757" s="38"/>
    </row>
    <row r="758" ht="15.75" customHeight="1">
      <c r="Q758" s="38"/>
    </row>
    <row r="759" ht="15.75" customHeight="1">
      <c r="Q759" s="38"/>
    </row>
    <row r="760" ht="15.75" customHeight="1">
      <c r="Q760" s="38"/>
    </row>
    <row r="761" ht="15.75" customHeight="1">
      <c r="Q761" s="38"/>
    </row>
    <row r="762" ht="15.75" customHeight="1">
      <c r="Q762" s="38"/>
    </row>
    <row r="763" ht="15.75" customHeight="1">
      <c r="Q763" s="38"/>
    </row>
    <row r="764" ht="15.75" customHeight="1">
      <c r="Q764" s="38"/>
    </row>
    <row r="765" ht="15.75" customHeight="1">
      <c r="Q765" s="38"/>
    </row>
    <row r="766" ht="15.75" customHeight="1">
      <c r="Q766" s="38"/>
    </row>
    <row r="767" ht="15.75" customHeight="1">
      <c r="Q767" s="38"/>
    </row>
    <row r="768" ht="15.75" customHeight="1">
      <c r="Q768" s="38"/>
    </row>
    <row r="769" ht="15.75" customHeight="1">
      <c r="Q769" s="38"/>
    </row>
    <row r="770" ht="15.75" customHeight="1">
      <c r="Q770" s="38"/>
    </row>
    <row r="771" ht="15.75" customHeight="1">
      <c r="Q771" s="38"/>
    </row>
    <row r="772" ht="15.75" customHeight="1">
      <c r="Q772" s="38"/>
    </row>
    <row r="773" ht="15.75" customHeight="1">
      <c r="Q773" s="38"/>
    </row>
    <row r="774" ht="15.75" customHeight="1">
      <c r="Q774" s="38"/>
    </row>
    <row r="775" ht="15.75" customHeight="1">
      <c r="Q775" s="38"/>
    </row>
    <row r="776" ht="15.75" customHeight="1">
      <c r="Q776" s="38"/>
    </row>
    <row r="777" ht="15.75" customHeight="1">
      <c r="Q777" s="38"/>
    </row>
    <row r="778" ht="15.75" customHeight="1">
      <c r="Q778" s="38"/>
    </row>
    <row r="779" ht="15.75" customHeight="1">
      <c r="Q779" s="38"/>
    </row>
    <row r="780" ht="15.75" customHeight="1">
      <c r="Q780" s="38"/>
    </row>
    <row r="781" ht="15.75" customHeight="1">
      <c r="Q781" s="38"/>
    </row>
    <row r="782" ht="15.75" customHeight="1">
      <c r="Q782" s="38"/>
    </row>
    <row r="783" ht="15.75" customHeight="1">
      <c r="Q783" s="38"/>
    </row>
    <row r="784" ht="15.75" customHeight="1">
      <c r="Q784" s="38"/>
    </row>
    <row r="785" ht="15.75" customHeight="1">
      <c r="Q785" s="38"/>
    </row>
    <row r="786" ht="15.75" customHeight="1">
      <c r="Q786" s="38"/>
    </row>
    <row r="787" ht="15.75" customHeight="1">
      <c r="Q787" s="38"/>
    </row>
    <row r="788" ht="15.75" customHeight="1">
      <c r="Q788" s="38"/>
    </row>
    <row r="789" ht="15.75" customHeight="1">
      <c r="Q789" s="38"/>
    </row>
    <row r="790" ht="15.75" customHeight="1">
      <c r="Q790" s="38"/>
    </row>
    <row r="791" ht="15.75" customHeight="1">
      <c r="Q791" s="38"/>
    </row>
    <row r="792" ht="15.75" customHeight="1">
      <c r="Q792" s="38"/>
    </row>
    <row r="793" ht="15.75" customHeight="1">
      <c r="Q793" s="38"/>
    </row>
    <row r="794" ht="15.75" customHeight="1">
      <c r="Q794" s="38"/>
    </row>
    <row r="795" ht="15.75" customHeight="1">
      <c r="Q795" s="38"/>
    </row>
    <row r="796" ht="15.75" customHeight="1">
      <c r="Q796" s="38"/>
    </row>
    <row r="797" ht="15.75" customHeight="1">
      <c r="Q797" s="38"/>
    </row>
    <row r="798" ht="15.75" customHeight="1">
      <c r="Q798" s="38"/>
    </row>
    <row r="799" ht="15.75" customHeight="1">
      <c r="Q799" s="38"/>
    </row>
    <row r="800" ht="15.75" customHeight="1">
      <c r="Q800" s="38"/>
    </row>
    <row r="801" ht="15.75" customHeight="1">
      <c r="Q801" s="38"/>
    </row>
    <row r="802" ht="15.75" customHeight="1">
      <c r="Q802" s="38"/>
    </row>
    <row r="803" ht="15.75" customHeight="1">
      <c r="Q803" s="38"/>
    </row>
    <row r="804" ht="15.75" customHeight="1">
      <c r="Q804" s="38"/>
    </row>
    <row r="805" ht="15.75" customHeight="1">
      <c r="Q805" s="38"/>
    </row>
    <row r="806" ht="15.75" customHeight="1">
      <c r="Q806" s="38"/>
    </row>
    <row r="807" ht="15.75" customHeight="1">
      <c r="Q807" s="38"/>
    </row>
    <row r="808" ht="15.75" customHeight="1">
      <c r="Q808" s="38"/>
    </row>
    <row r="809" ht="15.75" customHeight="1">
      <c r="Q809" s="38"/>
    </row>
    <row r="810" ht="15.75" customHeight="1">
      <c r="Q810" s="38"/>
    </row>
    <row r="811" ht="15.75" customHeight="1">
      <c r="Q811" s="38"/>
    </row>
    <row r="812" ht="15.75" customHeight="1">
      <c r="Q812" s="38"/>
    </row>
    <row r="813" ht="15.75" customHeight="1">
      <c r="Q813" s="38"/>
    </row>
    <row r="814" ht="15.75" customHeight="1">
      <c r="Q814" s="38"/>
    </row>
    <row r="815" ht="15.75" customHeight="1">
      <c r="Q815" s="38"/>
    </row>
    <row r="816" ht="15.75" customHeight="1">
      <c r="Q816" s="38"/>
    </row>
    <row r="817" ht="15.75" customHeight="1">
      <c r="Q817" s="38"/>
    </row>
    <row r="818" ht="15.75" customHeight="1">
      <c r="Q818" s="38"/>
    </row>
    <row r="819" ht="15.75" customHeight="1">
      <c r="Q819" s="38"/>
    </row>
    <row r="820" ht="15.75" customHeight="1">
      <c r="Q820" s="38"/>
    </row>
    <row r="821" ht="15.75" customHeight="1">
      <c r="Q821" s="38"/>
    </row>
    <row r="822" ht="15.75" customHeight="1">
      <c r="Q822" s="38"/>
    </row>
    <row r="823" ht="15.75" customHeight="1">
      <c r="Q823" s="38"/>
    </row>
    <row r="824" ht="15.75" customHeight="1">
      <c r="Q824" s="38"/>
    </row>
    <row r="825" ht="15.75" customHeight="1">
      <c r="Q825" s="38"/>
    </row>
    <row r="826" ht="15.75" customHeight="1">
      <c r="Q826" s="38"/>
    </row>
    <row r="827" ht="15.75" customHeight="1">
      <c r="Q827" s="38"/>
    </row>
    <row r="828" ht="15.75" customHeight="1">
      <c r="Q828" s="38"/>
    </row>
    <row r="829" ht="15.75" customHeight="1">
      <c r="Q829" s="38"/>
    </row>
    <row r="830" ht="15.75" customHeight="1">
      <c r="Q830" s="38"/>
    </row>
    <row r="831" ht="15.75" customHeight="1">
      <c r="Q831" s="38"/>
    </row>
    <row r="832" ht="15.75" customHeight="1">
      <c r="Q832" s="38"/>
    </row>
    <row r="833" ht="15.75" customHeight="1">
      <c r="Q833" s="38"/>
    </row>
    <row r="834" ht="15.75" customHeight="1">
      <c r="Q834" s="38"/>
    </row>
    <row r="835" ht="15.75" customHeight="1">
      <c r="Q835" s="38"/>
    </row>
    <row r="836" ht="15.75" customHeight="1">
      <c r="Q836" s="38"/>
    </row>
    <row r="837" ht="15.75" customHeight="1">
      <c r="Q837" s="38"/>
    </row>
    <row r="838" ht="15.75" customHeight="1">
      <c r="Q838" s="38"/>
    </row>
    <row r="839" ht="15.75" customHeight="1">
      <c r="Q839" s="38"/>
    </row>
    <row r="840" ht="15.75" customHeight="1">
      <c r="Q840" s="38"/>
    </row>
    <row r="841" ht="15.75" customHeight="1">
      <c r="Q841" s="38"/>
    </row>
    <row r="842" ht="15.75" customHeight="1">
      <c r="Q842" s="38"/>
    </row>
    <row r="843" ht="15.75" customHeight="1">
      <c r="Q843" s="38"/>
    </row>
    <row r="844" ht="15.75" customHeight="1">
      <c r="Q844" s="38"/>
    </row>
    <row r="845" ht="15.75" customHeight="1">
      <c r="Q845" s="38"/>
    </row>
    <row r="846" ht="15.75" customHeight="1">
      <c r="Q846" s="38"/>
    </row>
    <row r="847" ht="15.75" customHeight="1">
      <c r="Q847" s="38"/>
    </row>
    <row r="848" ht="15.75" customHeight="1">
      <c r="Q848" s="38"/>
    </row>
    <row r="849" ht="15.75" customHeight="1">
      <c r="Q849" s="38"/>
    </row>
    <row r="850" ht="15.75" customHeight="1">
      <c r="Q850" s="38"/>
    </row>
    <row r="851" ht="15.75" customHeight="1">
      <c r="Q851" s="38"/>
    </row>
    <row r="852" ht="15.75" customHeight="1">
      <c r="Q852" s="38"/>
    </row>
    <row r="853" ht="15.75" customHeight="1">
      <c r="Q853" s="38"/>
    </row>
    <row r="854" ht="15.75" customHeight="1">
      <c r="Q854" s="38"/>
    </row>
    <row r="855" ht="15.75" customHeight="1">
      <c r="Q855" s="38"/>
    </row>
    <row r="856" ht="15.75" customHeight="1">
      <c r="Q856" s="38"/>
    </row>
    <row r="857" ht="15.75" customHeight="1">
      <c r="Q857" s="38"/>
    </row>
    <row r="858" ht="15.75" customHeight="1">
      <c r="Q858" s="38"/>
    </row>
    <row r="859" ht="15.75" customHeight="1">
      <c r="Q859" s="38"/>
    </row>
    <row r="860" ht="15.75" customHeight="1">
      <c r="Q860" s="38"/>
    </row>
    <row r="861" ht="15.75" customHeight="1">
      <c r="Q861" s="38"/>
    </row>
    <row r="862" ht="15.75" customHeight="1">
      <c r="Q862" s="38"/>
    </row>
    <row r="863" ht="15.75" customHeight="1">
      <c r="Q863" s="38"/>
    </row>
    <row r="864" ht="15.75" customHeight="1">
      <c r="Q864" s="38"/>
    </row>
    <row r="865" ht="15.75" customHeight="1">
      <c r="Q865" s="38"/>
    </row>
    <row r="866" ht="15.75" customHeight="1">
      <c r="Q866" s="38"/>
    </row>
    <row r="867" ht="15.75" customHeight="1">
      <c r="Q867" s="38"/>
    </row>
    <row r="868" ht="15.75" customHeight="1">
      <c r="Q868" s="38"/>
    </row>
    <row r="869" ht="15.75" customHeight="1">
      <c r="Q869" s="38"/>
    </row>
    <row r="870" ht="15.75" customHeight="1">
      <c r="Q870" s="38"/>
    </row>
    <row r="871" ht="15.75" customHeight="1">
      <c r="Q871" s="38"/>
    </row>
    <row r="872" ht="15.75" customHeight="1">
      <c r="Q872" s="38"/>
    </row>
    <row r="873" ht="15.75" customHeight="1">
      <c r="Q873" s="38"/>
    </row>
    <row r="874" ht="15.75" customHeight="1">
      <c r="Q874" s="38"/>
    </row>
    <row r="875" ht="15.75" customHeight="1">
      <c r="Q875" s="38"/>
    </row>
    <row r="876" ht="15.75" customHeight="1">
      <c r="Q876" s="38"/>
    </row>
    <row r="877" ht="15.75" customHeight="1">
      <c r="Q877" s="38"/>
    </row>
    <row r="878" ht="15.75" customHeight="1">
      <c r="Q878" s="38"/>
    </row>
    <row r="879" ht="15.75" customHeight="1">
      <c r="Q879" s="38"/>
    </row>
    <row r="880" ht="15.75" customHeight="1">
      <c r="Q880" s="38"/>
    </row>
    <row r="881" ht="15.75" customHeight="1">
      <c r="Q881" s="38"/>
    </row>
    <row r="882" ht="15.75" customHeight="1">
      <c r="Q882" s="38"/>
    </row>
    <row r="883" ht="15.75" customHeight="1">
      <c r="Q883" s="38"/>
    </row>
    <row r="884" ht="15.75" customHeight="1">
      <c r="Q884" s="38"/>
    </row>
    <row r="885" ht="15.75" customHeight="1">
      <c r="Q885" s="38"/>
    </row>
    <row r="886" ht="15.75" customHeight="1">
      <c r="Q886" s="38"/>
    </row>
    <row r="887" ht="15.75" customHeight="1">
      <c r="Q887" s="38"/>
    </row>
    <row r="888" ht="15.75" customHeight="1">
      <c r="Q888" s="38"/>
    </row>
    <row r="889" ht="15.75" customHeight="1">
      <c r="Q889" s="38"/>
    </row>
    <row r="890" ht="15.75" customHeight="1">
      <c r="Q890" s="38"/>
    </row>
    <row r="891" ht="15.75" customHeight="1">
      <c r="Q891" s="38"/>
    </row>
    <row r="892" ht="15.75" customHeight="1">
      <c r="Q892" s="38"/>
    </row>
    <row r="893" ht="15.75" customHeight="1">
      <c r="Q893" s="38"/>
    </row>
    <row r="894" ht="15.75" customHeight="1">
      <c r="Q894" s="38"/>
    </row>
    <row r="895" ht="15.75" customHeight="1">
      <c r="Q895" s="38"/>
    </row>
    <row r="896" ht="15.75" customHeight="1">
      <c r="Q896" s="38"/>
    </row>
    <row r="897" ht="15.75" customHeight="1">
      <c r="Q897" s="38"/>
    </row>
    <row r="898" ht="15.75" customHeight="1">
      <c r="Q898" s="38"/>
    </row>
    <row r="899" ht="15.75" customHeight="1">
      <c r="Q899" s="38"/>
    </row>
    <row r="900" ht="15.75" customHeight="1">
      <c r="Q900" s="38"/>
    </row>
    <row r="901" ht="15.75" customHeight="1">
      <c r="Q901" s="38"/>
    </row>
    <row r="902" ht="15.75" customHeight="1">
      <c r="Q902" s="38"/>
    </row>
    <row r="903" ht="15.75" customHeight="1">
      <c r="Q903" s="38"/>
    </row>
    <row r="904" ht="15.75" customHeight="1">
      <c r="Q904" s="38"/>
    </row>
    <row r="905" ht="15.75" customHeight="1">
      <c r="Q905" s="38"/>
    </row>
    <row r="906" ht="15.75" customHeight="1">
      <c r="Q906" s="38"/>
    </row>
    <row r="907" ht="15.75" customHeight="1">
      <c r="Q907" s="38"/>
    </row>
    <row r="908" ht="15.75" customHeight="1">
      <c r="Q908" s="38"/>
    </row>
    <row r="909" ht="15.75" customHeight="1">
      <c r="Q909" s="38"/>
    </row>
    <row r="910" ht="15.75" customHeight="1">
      <c r="Q910" s="38"/>
    </row>
    <row r="911" ht="15.75" customHeight="1">
      <c r="Q911" s="38"/>
    </row>
    <row r="912" ht="15.75" customHeight="1">
      <c r="Q912" s="38"/>
    </row>
    <row r="913" ht="15.75" customHeight="1">
      <c r="Q913" s="38"/>
    </row>
    <row r="914" ht="15.75" customHeight="1">
      <c r="Q914" s="38"/>
    </row>
    <row r="915" ht="15.75" customHeight="1">
      <c r="Q915" s="38"/>
    </row>
    <row r="916" ht="15.75" customHeight="1">
      <c r="Q916" s="38"/>
    </row>
    <row r="917" ht="15.75" customHeight="1">
      <c r="Q917" s="38"/>
    </row>
    <row r="918" ht="15.75" customHeight="1">
      <c r="Q918" s="38"/>
    </row>
    <row r="919" ht="15.75" customHeight="1">
      <c r="Q919" s="38"/>
    </row>
    <row r="920" ht="15.75" customHeight="1">
      <c r="Q920" s="38"/>
    </row>
    <row r="921" ht="15.75" customHeight="1">
      <c r="Q921" s="38"/>
    </row>
    <row r="922" ht="15.75" customHeight="1">
      <c r="Q922" s="38"/>
    </row>
    <row r="923" ht="15.75" customHeight="1">
      <c r="Q923" s="38"/>
    </row>
    <row r="924" ht="15.75" customHeight="1">
      <c r="Q924" s="38"/>
    </row>
    <row r="925" ht="15.75" customHeight="1">
      <c r="Q925" s="38"/>
    </row>
    <row r="926" ht="15.75" customHeight="1">
      <c r="Q926" s="38"/>
    </row>
    <row r="927" ht="15.75" customHeight="1">
      <c r="Q927" s="38"/>
    </row>
    <row r="928" ht="15.75" customHeight="1">
      <c r="Q928" s="38"/>
    </row>
    <row r="929" ht="15.75" customHeight="1">
      <c r="Q929" s="38"/>
    </row>
    <row r="930" ht="15.75" customHeight="1">
      <c r="Q930" s="38"/>
    </row>
    <row r="931" ht="15.75" customHeight="1">
      <c r="Q931" s="38"/>
    </row>
    <row r="932" ht="15.75" customHeight="1">
      <c r="Q932" s="38"/>
    </row>
    <row r="933" ht="15.75" customHeight="1">
      <c r="Q933" s="38"/>
    </row>
    <row r="934" ht="15.75" customHeight="1">
      <c r="Q934" s="38"/>
    </row>
    <row r="935" ht="15.75" customHeight="1">
      <c r="Q935" s="38"/>
    </row>
    <row r="936" ht="15.75" customHeight="1">
      <c r="Q936" s="38"/>
    </row>
    <row r="937" ht="15.75" customHeight="1">
      <c r="Q937" s="38"/>
    </row>
    <row r="938" ht="15.75" customHeight="1">
      <c r="Q938" s="38"/>
    </row>
    <row r="939" ht="15.75" customHeight="1">
      <c r="Q939" s="38"/>
    </row>
    <row r="940" ht="15.75" customHeight="1">
      <c r="Q940" s="38"/>
    </row>
    <row r="941" ht="15.75" customHeight="1">
      <c r="Q941" s="38"/>
    </row>
    <row r="942" ht="15.75" customHeight="1">
      <c r="Q942" s="38"/>
    </row>
    <row r="943" ht="15.75" customHeight="1">
      <c r="Q943" s="38"/>
    </row>
    <row r="944" ht="15.75" customHeight="1">
      <c r="Q944" s="38"/>
    </row>
    <row r="945" ht="15.75" customHeight="1">
      <c r="Q945" s="38"/>
    </row>
    <row r="946" ht="15.75" customHeight="1">
      <c r="Q946" s="38"/>
    </row>
    <row r="947" ht="15.75" customHeight="1">
      <c r="Q947" s="38"/>
    </row>
    <row r="948" ht="15.75" customHeight="1">
      <c r="Q948" s="38"/>
    </row>
    <row r="949" ht="15.75" customHeight="1">
      <c r="Q949" s="38"/>
    </row>
    <row r="950" ht="15.75" customHeight="1">
      <c r="Q950" s="38"/>
    </row>
    <row r="951" ht="15.75" customHeight="1">
      <c r="Q951" s="38"/>
    </row>
    <row r="952" ht="15.75" customHeight="1">
      <c r="Q952" s="38"/>
    </row>
    <row r="953" ht="15.75" customHeight="1">
      <c r="Q953" s="38"/>
    </row>
    <row r="954" ht="15.75" customHeight="1">
      <c r="Q954" s="38"/>
    </row>
    <row r="955" ht="15.75" customHeight="1">
      <c r="Q955" s="38"/>
    </row>
    <row r="956" ht="15.75" customHeight="1">
      <c r="Q956" s="38"/>
    </row>
    <row r="957" ht="15.75" customHeight="1">
      <c r="Q957" s="38"/>
    </row>
    <row r="958" ht="15.75" customHeight="1">
      <c r="Q958" s="38"/>
    </row>
    <row r="959" ht="15.75" customHeight="1">
      <c r="Q959" s="38"/>
    </row>
    <row r="960" ht="15.75" customHeight="1">
      <c r="Q960" s="38"/>
    </row>
    <row r="961" ht="15.75" customHeight="1">
      <c r="Q961" s="38"/>
    </row>
    <row r="962" ht="15.75" customHeight="1">
      <c r="Q962" s="38"/>
    </row>
    <row r="963" ht="15.75" customHeight="1">
      <c r="Q963" s="38"/>
    </row>
    <row r="964" ht="15.75" customHeight="1">
      <c r="Q964" s="38"/>
    </row>
    <row r="965" ht="15.75" customHeight="1">
      <c r="Q965" s="38"/>
    </row>
    <row r="966" ht="15.75" customHeight="1">
      <c r="Q966" s="38"/>
    </row>
    <row r="967" ht="15.75" customHeight="1">
      <c r="Q967" s="38"/>
    </row>
    <row r="968" ht="15.75" customHeight="1">
      <c r="Q968" s="38"/>
    </row>
    <row r="969" ht="15.75" customHeight="1">
      <c r="Q969" s="38"/>
    </row>
    <row r="970" ht="15.75" customHeight="1">
      <c r="Q970" s="38"/>
    </row>
    <row r="971" ht="15.75" customHeight="1">
      <c r="Q971" s="38"/>
    </row>
    <row r="972" ht="15.75" customHeight="1">
      <c r="Q972" s="38"/>
    </row>
    <row r="973" ht="15.75" customHeight="1">
      <c r="Q973" s="38"/>
    </row>
    <row r="974" ht="15.75" customHeight="1">
      <c r="Q974" s="38"/>
    </row>
    <row r="975" ht="15.75" customHeight="1">
      <c r="Q975" s="38"/>
    </row>
    <row r="976" ht="15.75" customHeight="1">
      <c r="Q976" s="38"/>
    </row>
    <row r="977" ht="15.75" customHeight="1">
      <c r="Q977" s="38"/>
    </row>
    <row r="978" ht="15.75" customHeight="1">
      <c r="Q978" s="38"/>
    </row>
    <row r="979" ht="15.75" customHeight="1">
      <c r="Q979" s="38"/>
    </row>
    <row r="980" ht="15.75" customHeight="1">
      <c r="Q980" s="38"/>
    </row>
    <row r="981" ht="15.75" customHeight="1">
      <c r="Q981" s="38"/>
    </row>
    <row r="982" ht="15.75" customHeight="1">
      <c r="Q982" s="38"/>
    </row>
    <row r="983" ht="15.75" customHeight="1">
      <c r="Q983" s="38"/>
    </row>
    <row r="984" ht="15.75" customHeight="1">
      <c r="Q984" s="38"/>
    </row>
    <row r="985" ht="15.75" customHeight="1">
      <c r="Q985" s="38"/>
    </row>
    <row r="986" ht="15.75" customHeight="1">
      <c r="Q986" s="38"/>
    </row>
    <row r="987" ht="15.75" customHeight="1">
      <c r="Q987" s="38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1.43"/>
    <col customWidth="1" min="2" max="2" width="19.57"/>
    <col customWidth="1" min="3" max="3" width="20.86"/>
    <col customWidth="1" min="4" max="5" width="38.0"/>
    <col customWidth="1" min="6" max="6" width="23.86"/>
    <col customWidth="1" min="7" max="7" width="9.14"/>
    <col customWidth="1" min="8" max="8" width="22.57"/>
    <col customWidth="1" min="9" max="9" width="22.14"/>
    <col customWidth="1" min="10" max="10" width="21.43"/>
    <col customWidth="1" min="11" max="11" width="21.57"/>
    <col customWidth="1" min="12" max="12" width="20.71"/>
    <col customWidth="1" min="13" max="14" width="9.14"/>
    <col customWidth="1" min="15" max="15" width="13.14"/>
    <col customWidth="1" min="16" max="16" width="17.14"/>
    <col customWidth="1" min="17" max="17" width="17.71"/>
    <col customWidth="1" min="18" max="18" width="39.0"/>
    <col customWidth="1" min="19" max="19" width="47.0"/>
    <col customWidth="1" min="20" max="20" width="60.71"/>
    <col customWidth="1" min="21" max="21" width="26.57"/>
    <col customWidth="1" min="22" max="22" width="12.29"/>
    <col customWidth="1" min="23" max="23" width="18.57"/>
    <col customWidth="1" min="24" max="24" width="18.43"/>
    <col customWidth="1" min="25" max="29" width="9.14"/>
    <col customWidth="1" min="30" max="30" width="20.29"/>
    <col customWidth="1" min="31" max="31" width="38.57"/>
    <col customWidth="1" min="32" max="32" width="21.0"/>
    <col customWidth="1" min="33" max="33" width="26.57"/>
    <col customWidth="1" min="34" max="34" width="21.0"/>
    <col customWidth="1" min="35" max="35" width="20.14"/>
    <col customWidth="1" min="36" max="36" width="20.29"/>
    <col customWidth="1" min="37" max="37" width="19.0"/>
    <col customWidth="1" min="38" max="38" width="21.14"/>
    <col customWidth="1" min="39" max="39" width="17.71"/>
    <col customWidth="1" min="40" max="40" width="19.57"/>
    <col customWidth="1" min="41" max="90" width="9.14"/>
  </cols>
  <sheetData>
    <row r="1">
      <c r="A1" s="444" t="s">
        <v>1</v>
      </c>
      <c r="B1" s="444" t="s">
        <v>3</v>
      </c>
      <c r="C1" s="444" t="s">
        <v>4</v>
      </c>
      <c r="D1" s="444" t="s">
        <v>5</v>
      </c>
      <c r="E1" s="444" t="s">
        <v>6</v>
      </c>
      <c r="F1" s="444" t="s">
        <v>2650</v>
      </c>
      <c r="G1" s="445" t="s">
        <v>8</v>
      </c>
      <c r="H1" s="444" t="s">
        <v>2651</v>
      </c>
      <c r="I1" s="444" t="s">
        <v>10</v>
      </c>
      <c r="J1" s="444" t="s">
        <v>11</v>
      </c>
      <c r="K1" s="444" t="s">
        <v>12</v>
      </c>
      <c r="L1" s="444" t="s">
        <v>13</v>
      </c>
      <c r="M1" s="444" t="s">
        <v>14</v>
      </c>
      <c r="N1" s="444" t="s">
        <v>15</v>
      </c>
      <c r="O1" s="444" t="s">
        <v>16</v>
      </c>
      <c r="P1" s="444" t="s">
        <v>2652</v>
      </c>
      <c r="Q1" s="444" t="s">
        <v>18</v>
      </c>
      <c r="R1" s="444" t="s">
        <v>19</v>
      </c>
      <c r="S1" s="444" t="s">
        <v>20</v>
      </c>
      <c r="T1" s="446" t="s">
        <v>21</v>
      </c>
      <c r="U1" s="444" t="s">
        <v>22</v>
      </c>
      <c r="V1" s="444" t="s">
        <v>23</v>
      </c>
      <c r="W1" s="444" t="s">
        <v>24</v>
      </c>
      <c r="X1" s="444" t="s">
        <v>25</v>
      </c>
      <c r="Y1" s="444" t="s">
        <v>26</v>
      </c>
      <c r="Z1" s="444" t="s">
        <v>27</v>
      </c>
      <c r="AA1" s="444" t="s">
        <v>28</v>
      </c>
      <c r="AB1" s="444" t="s">
        <v>29</v>
      </c>
      <c r="AC1" s="444" t="s">
        <v>30</v>
      </c>
      <c r="AD1" s="444" t="s">
        <v>31</v>
      </c>
      <c r="AE1" s="444" t="s">
        <v>32</v>
      </c>
      <c r="AF1" s="444" t="s">
        <v>33</v>
      </c>
      <c r="AG1" s="444" t="s">
        <v>2653</v>
      </c>
      <c r="AH1" s="444" t="s">
        <v>35</v>
      </c>
      <c r="AI1" s="444" t="s">
        <v>36</v>
      </c>
      <c r="AJ1" s="444" t="s">
        <v>2654</v>
      </c>
      <c r="AK1" s="444" t="s">
        <v>38</v>
      </c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</row>
    <row r="2" ht="15.0" customHeight="1">
      <c r="A2" s="487" t="s">
        <v>676</v>
      </c>
      <c r="B2" s="38" t="str">
        <f>VLOOKUP(A2,DATAKARYAWAN,3,0)</f>
        <v>Karyawan Tetap</v>
      </c>
      <c r="C2" s="38" t="str">
        <f>VLOOKUP(A2,DATAKARYAWAN,4,0)</f>
        <v>22-020064</v>
      </c>
      <c r="D2" s="38" t="str">
        <f>VLOOKUP(A2,DATAKARYAWAN,5,0)</f>
        <v>08123040412</v>
      </c>
      <c r="E2" s="38" t="str">
        <f>VLOOKUP(A2,DATAKARYAWAN,6,0)</f>
        <v>gharinaji11@gmail.com</v>
      </c>
      <c r="F2" s="38" t="str">
        <f>VLOOKUP(A2,DATAKARYAWAN,7,0)</f>
        <v>DIREKTUR KHARISMA</v>
      </c>
      <c r="G2" s="38" t="str">
        <f>VLOOKUP(A2,DATAKARYAWAN,8,0)</f>
        <v>MANAGER</v>
      </c>
      <c r="H2" s="53"/>
      <c r="I2" s="38" t="str">
        <f>VLOOKUP(A2,DATAKARYAWAN,10,0)</f>
        <v>Indonesia</v>
      </c>
      <c r="J2" s="38" t="str">
        <f>VLOOKUP(A2,DATAKARYAWAN,11,0)</f>
        <v>ISLAM</v>
      </c>
      <c r="K2" s="449" t="str">
        <f>VLOOKUP(A2,DATAKARYAWAN,12,0)</f>
        <v>3578250801210008</v>
      </c>
      <c r="L2" s="38" t="str">
        <f>VLOOKUP(A2,DATAKARYAWAN,13,0)</f>
        <v>3322021107850001</v>
      </c>
      <c r="M2" s="38" t="str">
        <f>VLOOKUP(A2,DATAKARYAWAN,14,0)</f>
        <v>OCBC NISP</v>
      </c>
      <c r="N2" s="38">
        <f>VLOOKUP(A2,DATAKARYAWAN,15,0)</f>
        <v>58810108181</v>
      </c>
      <c r="O2" s="38" t="str">
        <f>VLOOKUP(A2,DATAKARYAWAN,16,0)</f>
        <v>D3</v>
      </c>
      <c r="P2" s="48"/>
      <c r="Q2" s="38" t="str">
        <f>VLOOKUP(A2,DATAKARYAWAN,18,0)</f>
        <v>LAKI-LAKI</v>
      </c>
      <c r="R2" s="49" t="str">
        <f>VLOOKUP(A2,DATAKARYAWAN,19,0)</f>
        <v>11 Juli 1985</v>
      </c>
      <c r="S2" s="38" t="str">
        <f>VLOOKUP(A2,DATAKARYAWAN,20,0)</f>
        <v>SURABAYA</v>
      </c>
      <c r="T2" s="38"/>
      <c r="U2" s="38" t="str">
        <f>VLOOKUP(A2,DATAKARYAWAN,22,0)</f>
        <v>RUNGKUT BARATA IV - 7 RT 2/RW 3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SURABAYA</v>
      </c>
      <c r="Y2" s="38" t="str">
        <f>VLOOKUP(A2,DATAKARYAWAN,26,0)</f>
        <v>GUNUNG ANYAR</v>
      </c>
      <c r="Z2" s="38" t="str">
        <f>VLOOKUP(A2,DATAKARYAWAN,27,0)</f>
        <v>RUNGKUT MENANGGAL</v>
      </c>
      <c r="AA2" s="38">
        <f>VLOOKUP(A2,DATAKARYAWAN,28,0)</f>
        <v>60293</v>
      </c>
      <c r="AB2" s="38"/>
      <c r="AC2" s="38"/>
      <c r="AD2" s="38" t="str">
        <f>VLOOKUP(A2,DATAKARYAWAN,31,0)</f>
        <v>K/2</v>
      </c>
      <c r="AE2" s="48"/>
      <c r="AF2" s="450" t="str">
        <f>VLOOKUP(A2,DATAKARYAWAN,33,0)</f>
        <v>581102795505000</v>
      </c>
      <c r="AG2" s="38">
        <f>VLOOKUP(A2,DATAKARYAWAN,34,0)</f>
        <v>22049714383</v>
      </c>
      <c r="AH2" s="38" t="str">
        <f>VLOOKUP(A2,DATAKARYAWAN,35,0)</f>
        <v>0001538253753</v>
      </c>
      <c r="AI2" s="38" t="str">
        <f>VLOOKUP(A2,DATAKARYAWAN,36,0)</f>
        <v>Kelas 1</v>
      </c>
      <c r="AJ2" s="38"/>
      <c r="AK2" s="451">
        <f>VLOOKUP(A2,DATAKARYAWAN,38,0)</f>
        <v>44599</v>
      </c>
    </row>
    <row r="3" ht="15.75" customHeight="1">
      <c r="A3" s="289" t="s">
        <v>1556</v>
      </c>
      <c r="B3" s="38" t="str">
        <f>VLOOKUP(A3,DATAKARYAWAN,3,0)</f>
        <v>Karyawan Kontrak</v>
      </c>
      <c r="C3" s="38" t="str">
        <f>VLOOKUP(A3,DATAKARYAWAN,4,0)</f>
        <v>24-100003</v>
      </c>
      <c r="D3" s="38" t="str">
        <f>VLOOKUP(A3,DATAKARYAWAN,5,0)</f>
        <v>087854754235</v>
      </c>
      <c r="E3" s="38" t="str">
        <f>VLOOKUP(A3,DATAKARYAWAN,6,0)</f>
        <v>Awiyaningsih1805@gmail.com</v>
      </c>
      <c r="F3" s="38" t="str">
        <f>VLOOKUP(A3,DATAKARYAWAN,7,0)</f>
        <v>STAFF AP</v>
      </c>
      <c r="G3" s="38" t="str">
        <f>VLOOKUP(A3,DATAKARYAWAN,8,0)</f>
        <v>KEUANGAN</v>
      </c>
      <c r="H3" s="53"/>
      <c r="I3" s="38" t="str">
        <f>VLOOKUP(A3,DATAKARYAWAN,10,0)</f>
        <v>Indonesia</v>
      </c>
      <c r="J3" s="38" t="str">
        <f>VLOOKUP(A3,DATAKARYAWAN,11,0)</f>
        <v>ISLAM</v>
      </c>
      <c r="K3" s="38" t="str">
        <f>VLOOKUP(A3,DATAKARYAWAN,12,0)</f>
        <v>3578240311200011</v>
      </c>
      <c r="L3" s="38" t="str">
        <f>VLOOKUP(A3,DATAKARYAWAN,13,0)</f>
        <v>3516075805940001</v>
      </c>
      <c r="M3" s="38" t="str">
        <f>VLOOKUP(A3,DATAKARYAWAN,14,0)</f>
        <v/>
      </c>
      <c r="N3" s="38" t="str">
        <f>VLOOKUP(A3,DATAKARYAWAN,15,0)</f>
        <v/>
      </c>
      <c r="O3" s="38" t="str">
        <f>VLOOKUP(A3,DATAKARYAWAN,16,0)</f>
        <v>SLTA</v>
      </c>
      <c r="P3" s="48"/>
      <c r="Q3" s="38" t="str">
        <f>VLOOKUP(A3,DATAKARYAWAN,18,0)</f>
        <v>PEREMPUAN</v>
      </c>
      <c r="R3" s="38" t="str">
        <f>VLOOKUP(A3,DATAKARYAWAN,19,0)</f>
        <v>18 Mei 1994</v>
      </c>
      <c r="S3" s="38" t="str">
        <f>VLOOKUP(A3,DATAKARYAWAN,20,0)</f>
        <v>MOJOKERTO</v>
      </c>
      <c r="T3" s="38"/>
      <c r="U3" s="38" t="str">
        <f>VLOOKUP(A3,DATAKARYAWAN,22,0)</f>
        <v>PANJANGJIWO SDI NO 42 RT 03/RW 02</v>
      </c>
      <c r="V3" s="38" t="str">
        <f>VLOOKUP(A3,DATAKARYAWAN,23,0)</f>
        <v/>
      </c>
      <c r="W3" s="38" t="str">
        <f>VLOOKUP(A3,DATAKARYAWAN,24,0)</f>
        <v>JAWA TIMUR</v>
      </c>
      <c r="X3" s="38" t="str">
        <f>VLOOKUP(A3,DATAKARYAWAN,25,0)</f>
        <v>SURABAYA</v>
      </c>
      <c r="Y3" s="38" t="str">
        <f>VLOOKUP(A3,DATAKARYAWAN,26,0)</f>
        <v>TENGGILIS MEJOYO</v>
      </c>
      <c r="Z3" s="38" t="str">
        <f>VLOOKUP(A3,DATAKARYAWAN,27,0)</f>
        <v>PANJANG JIWO</v>
      </c>
      <c r="AA3" s="38">
        <f>VLOOKUP(A3,DATAKARYAWAN,28,0)</f>
        <v>60299</v>
      </c>
      <c r="AB3" s="38"/>
      <c r="AC3" s="38"/>
      <c r="AD3" s="38" t="str">
        <f>VLOOKUP(A3,DATAKARYAWAN,31,0)</f>
        <v>TK/0</v>
      </c>
      <c r="AE3" s="48"/>
      <c r="AF3" s="38">
        <f>VLOOKUP(A3,DATAKARYAWAN,33,0)</f>
        <v>715548129615000</v>
      </c>
      <c r="AG3" s="38">
        <f>VLOOKUP(A3,DATAKARYAWAN,34,0)</f>
        <v>25024378322</v>
      </c>
      <c r="AH3" s="38" t="str">
        <f>VLOOKUP(A3,DATAKARYAWAN,35,0)</f>
        <v>0001639581478</v>
      </c>
      <c r="AI3" s="38" t="str">
        <f>VLOOKUP(A3,DATAKARYAWAN,36,0)</f>
        <v/>
      </c>
      <c r="AJ3" s="38"/>
      <c r="AK3" s="451">
        <f>VLOOKUP(A3,DATAKARYAWAN,38,0)</f>
        <v>45594</v>
      </c>
      <c r="AL3" s="237" t="s">
        <v>1529</v>
      </c>
      <c r="AM3" s="45" t="str">
        <f>'DATA KARYAWAN RILL'!AO124</f>
        <v>28 Januari 2026</v>
      </c>
    </row>
    <row r="4" ht="15.75" customHeight="1">
      <c r="A4" s="289" t="s">
        <v>1582</v>
      </c>
      <c r="B4" s="38" t="str">
        <f>VLOOKUP(A4,DATAKARYAWAN,3,0)</f>
        <v>Karyawan Kontrak</v>
      </c>
      <c r="C4" s="38" t="str">
        <f>VLOOKUP(A4,DATAKARYAWAN,4,0)</f>
        <v>24-110004</v>
      </c>
      <c r="D4" s="38" t="str">
        <f>VLOOKUP(A4,DATAKARYAWAN,5,0)</f>
        <v>083111637368</v>
      </c>
      <c r="E4" s="38" t="str">
        <f>VLOOKUP(A4,DATAKARYAWAN,6,0)</f>
        <v>Osowilangondimas@gmail.com</v>
      </c>
      <c r="F4" s="38" t="str">
        <f>VLOOKUP(A4,DATAKARYAWAN,7,0)</f>
        <v>STAFF KRANI</v>
      </c>
      <c r="G4" s="38" t="str">
        <f>VLOOKUP(A4,DATAKARYAWAN,8,0)</f>
        <v>OPERASIONAL</v>
      </c>
      <c r="H4" s="53"/>
      <c r="I4" s="38" t="str">
        <f>VLOOKUP(A4,DATAKARYAWAN,10,0)</f>
        <v>Indonesia</v>
      </c>
      <c r="J4" s="38" t="str">
        <f>VLOOKUP(A4,DATAKARYAWAN,11,0)</f>
        <v>ISLAM</v>
      </c>
      <c r="K4" s="38" t="str">
        <f>VLOOKUP(A4,DATAKARYAWAN,12,0)</f>
        <v>3578170102100046</v>
      </c>
      <c r="L4" s="38" t="str">
        <f>VLOOKUP(A4,DATAKARYAWAN,13,0)</f>
        <v>3578171908970001</v>
      </c>
      <c r="M4" s="38" t="str">
        <f>VLOOKUP(A4,DATAKARYAWAN,14,0)</f>
        <v/>
      </c>
      <c r="N4" s="38" t="str">
        <f>VLOOKUP(A4,DATAKARYAWAN,15,0)</f>
        <v/>
      </c>
      <c r="O4" s="38" t="str">
        <f>VLOOKUP(A4,DATAKARYAWAN,16,0)</f>
        <v>SLTA</v>
      </c>
      <c r="P4" s="48"/>
      <c r="Q4" s="38" t="str">
        <f>VLOOKUP(A4,DATAKARYAWAN,18,0)</f>
        <v>LAKI-LAKI</v>
      </c>
      <c r="R4" s="38" t="str">
        <f>VLOOKUP(A4,DATAKARYAWAN,19,0)</f>
        <v>19 Agustus 1997</v>
      </c>
      <c r="S4" s="38" t="str">
        <f>VLOOKUP(A4,DATAKARYAWAN,20,0)</f>
        <v>SURABAYA</v>
      </c>
      <c r="T4" s="38"/>
      <c r="U4" s="38" t="str">
        <f>VLOOKUP(A4,DATAKARYAWAN,22,0)</f>
        <v>BULAK BANTENG BANDAREJO 2 RT 01/RW 03</v>
      </c>
      <c r="V4" s="38" t="str">
        <f>VLOOKUP(A4,DATAKARYAWAN,23,0)</f>
        <v/>
      </c>
      <c r="W4" s="38" t="str">
        <f>VLOOKUP(A4,DATAKARYAWAN,24,0)</f>
        <v>JAWA TIMUR</v>
      </c>
      <c r="X4" s="38" t="str">
        <f>VLOOKUP(A4,DATAKARYAWAN,25,0)</f>
        <v>SURABAYA</v>
      </c>
      <c r="Y4" s="38" t="str">
        <f>VLOOKUP(A4,DATAKARYAWAN,26,0)</f>
        <v>KENJERAN</v>
      </c>
      <c r="Z4" s="38" t="str">
        <f>VLOOKUP(A4,DATAKARYAWAN,27,0)</f>
        <v>BULAK BANTENG</v>
      </c>
      <c r="AA4" s="38" t="str">
        <f>VLOOKUP(A4,DATAKARYAWAN,28,0)</f>
        <v>60127</v>
      </c>
      <c r="AB4" s="38"/>
      <c r="AC4" s="38"/>
      <c r="AD4" s="38" t="str">
        <f>VLOOKUP(A4,DATAKARYAWAN,31,0)</f>
        <v>TK/0</v>
      </c>
      <c r="AE4" s="48"/>
      <c r="AF4" s="38" t="str">
        <f>VLOOKUP(A4,DATAKARYAWAN,33,0)</f>
        <v>tidak ada NPWP</v>
      </c>
      <c r="AG4" s="38">
        <f>VLOOKUP(A4,DATAKARYAWAN,34,0)</f>
        <v>25031730945</v>
      </c>
      <c r="AH4" s="38" t="str">
        <f>VLOOKUP(A4,DATAKARYAWAN,35,0)</f>
        <v>0002413837888</v>
      </c>
      <c r="AI4" s="38" t="str">
        <f>VLOOKUP(A4,DATAKARYAWAN,36,0)</f>
        <v/>
      </c>
      <c r="AJ4" s="38"/>
      <c r="AK4" s="38" t="str">
        <f>VLOOKUP(A4,DATAKARYAWAN,38,0)</f>
        <v>18 November 2024</v>
      </c>
      <c r="AL4" s="237" t="s">
        <v>1422</v>
      </c>
      <c r="AM4" s="45" t="str">
        <f>'DATA KARYAWAN RILL'!AO126</f>
        <v>28 Mei 2025</v>
      </c>
      <c r="AN4" s="98" t="s">
        <v>1209</v>
      </c>
    </row>
    <row r="5" ht="15.75" customHeight="1">
      <c r="A5" s="289" t="s">
        <v>1649</v>
      </c>
      <c r="B5" s="38" t="str">
        <f>VLOOKUP(A5,DATAKARYAWAN,3,0)</f>
        <v>Karyawan Tetap</v>
      </c>
      <c r="C5" s="38" t="str">
        <f>VLOOKUP(A5,DATAKARYAWAN,4,0)</f>
        <v>24-120006</v>
      </c>
      <c r="D5" s="38" t="str">
        <f>VLOOKUP(A5,DATAKARYAWAN,5,0)</f>
        <v>0895420097400</v>
      </c>
      <c r="E5" s="38" t="str">
        <f>VLOOKUP(A5,DATAKARYAWAN,6,0)</f>
        <v>momay.july24@gmail.com</v>
      </c>
      <c r="F5" s="38" t="str">
        <f>VLOOKUP(A5,DATAKARYAWAN,7,0)</f>
        <v>STAFF PLANNER</v>
      </c>
      <c r="G5" s="38" t="str">
        <f>VLOOKUP(A5,DATAKARYAWAN,8,0)</f>
        <v>PLANNER</v>
      </c>
      <c r="H5" s="53"/>
      <c r="I5" s="38" t="str">
        <f>VLOOKUP(A5,DATAKARYAWAN,10,0)</f>
        <v>Indonesia</v>
      </c>
      <c r="J5" s="38" t="str">
        <f>VLOOKUP(A5,DATAKARYAWAN,11,0)</f>
        <v>ISLAM</v>
      </c>
      <c r="K5" s="38" t="str">
        <f>VLOOKUP(A5,DATAKARYAWAN,12,0)</f>
        <v>3578040512200002</v>
      </c>
      <c r="L5" s="38" t="str">
        <f>VLOOKUP(A5,DATAKARYAWAN,13,0)</f>
        <v>3578045207960004</v>
      </c>
      <c r="M5" s="38" t="str">
        <f>VLOOKUP(A5,DATAKARYAWAN,14,0)</f>
        <v>OCBC</v>
      </c>
      <c r="N5" s="38" t="str">
        <f>VLOOKUP(A5,DATAKARYAWAN,15,0)</f>
        <v>58810131175</v>
      </c>
      <c r="O5" s="38" t="str">
        <f>VLOOKUP(A5,DATAKARYAWAN,16,0)</f>
        <v>S1</v>
      </c>
      <c r="P5" s="48"/>
      <c r="Q5" s="38" t="str">
        <f>VLOOKUP(A5,DATAKARYAWAN,18,0)</f>
        <v>PEREMPUAN</v>
      </c>
      <c r="R5" s="38" t="str">
        <f>VLOOKUP(A5,DATAKARYAWAN,19,0)</f>
        <v>12 Juli 1996</v>
      </c>
      <c r="S5" s="38" t="str">
        <f>VLOOKUP(A5,DATAKARYAWAN,20,0)</f>
        <v>SURABAYA</v>
      </c>
      <c r="T5" s="38"/>
      <c r="U5" s="38" t="str">
        <f>VLOOKUP(A5,DATAKARYAWAN,22,0)</f>
        <v>WONOSARI KIDUL 4/18 RT 04 RW 03</v>
      </c>
      <c r="V5" s="38" t="str">
        <f>VLOOKUP(A5,DATAKARYAWAN,23,0)</f>
        <v/>
      </c>
      <c r="W5" s="38" t="str">
        <f>VLOOKUP(A5,DATAKARYAWAN,24,0)</f>
        <v>JAWA TIMUR</v>
      </c>
      <c r="X5" s="38" t="str">
        <f>VLOOKUP(A5,DATAKARYAWAN,25,0)</f>
        <v>SURABAYA</v>
      </c>
      <c r="Y5" s="38" t="str">
        <f>VLOOKUP(A5,DATAKARYAWAN,26,0)</f>
        <v>WONOKROMO</v>
      </c>
      <c r="Z5" s="38" t="str">
        <f>VLOOKUP(A5,DATAKARYAWAN,27,0)</f>
        <v>SAWUNGGALING</v>
      </c>
      <c r="AA5" s="38">
        <f>VLOOKUP(A5,DATAKARYAWAN,28,0)</f>
        <v>60242</v>
      </c>
      <c r="AB5" s="38"/>
      <c r="AC5" s="38"/>
      <c r="AD5" s="38" t="str">
        <f>VLOOKUP(A5,DATAKARYAWAN,31,0)</f>
        <v>TK/0</v>
      </c>
      <c r="AE5" s="48"/>
      <c r="AF5" s="38" t="str">
        <f>VLOOKUP(A5,DATAKARYAWAN,33,0)</f>
        <v>906951454609000</v>
      </c>
      <c r="AG5" s="38">
        <f>VLOOKUP(A5,DATAKARYAWAN,34,0)</f>
        <v>25045536163</v>
      </c>
      <c r="AH5" s="38" t="str">
        <f>VLOOKUP(A5,DATAKARYAWAN,35,0)</f>
        <v>0001616628249</v>
      </c>
      <c r="AI5" s="38" t="str">
        <f>VLOOKUP(A5,DATAKARYAWAN,36,0)</f>
        <v/>
      </c>
      <c r="AJ5" s="38"/>
      <c r="AK5" s="485">
        <f>VLOOKUP(A5,DATAKARYAWAN,38,0)</f>
        <v>45646</v>
      </c>
      <c r="AL5" s="237" t="s">
        <v>1232</v>
      </c>
      <c r="AM5" s="341">
        <v>45928.0</v>
      </c>
    </row>
    <row r="6" ht="15.75" customHeight="1">
      <c r="A6" s="289" t="s">
        <v>1663</v>
      </c>
      <c r="B6" s="38" t="str">
        <f>VLOOKUP(A6,DATAKARYAWAN,3,0)</f>
        <v>Karyawan Tetap</v>
      </c>
      <c r="C6" s="38" t="str">
        <f>VLOOKUP(A6,DATAKARYAWAN,4,0)</f>
        <v>24-120007</v>
      </c>
      <c r="D6" s="38" t="str">
        <f>VLOOKUP(A6,DATAKARYAWAN,5,0)</f>
        <v>085655466927</v>
      </c>
      <c r="E6" s="38" t="str">
        <f>VLOOKUP(A6,DATAKARYAWAN,6,0)</f>
        <v>chandra.k.pratiwi@gmail.com</v>
      </c>
      <c r="F6" s="38" t="str">
        <f>VLOOKUP(A6,DATAKARYAWAN,7,0)</f>
        <v>SPV KEUANGAN PESONA</v>
      </c>
      <c r="G6" s="38" t="str">
        <f>VLOOKUP(A6,DATAKARYAWAN,8,0)</f>
        <v>PESONA</v>
      </c>
      <c r="H6" s="53"/>
      <c r="I6" s="38" t="str">
        <f>VLOOKUP(A6,DATAKARYAWAN,10,0)</f>
        <v>Indonesia</v>
      </c>
      <c r="J6" s="38" t="str">
        <f>VLOOKUP(A6,DATAKARYAWAN,11,0)</f>
        <v>ISLAM</v>
      </c>
      <c r="K6" s="38" t="str">
        <f>VLOOKUP(A6,DATAKARYAWAN,12,0)</f>
        <v>3578150504230006</v>
      </c>
      <c r="L6" s="38" t="str">
        <f>VLOOKUP(A6,DATAKARYAWAN,13,0)</f>
        <v>3508045005930003</v>
      </c>
      <c r="M6" s="38" t="str">
        <f>VLOOKUP(A6,DATAKARYAWAN,14,0)</f>
        <v>BCA</v>
      </c>
      <c r="N6" s="38">
        <f>VLOOKUP(A6,DATAKARYAWAN,15,0)</f>
        <v>4680143426</v>
      </c>
      <c r="O6" s="38" t="str">
        <f>VLOOKUP(A6,DATAKARYAWAN,16,0)</f>
        <v>S1</v>
      </c>
      <c r="P6" s="48"/>
      <c r="Q6" s="38" t="str">
        <f>VLOOKUP(A6,DATAKARYAWAN,18,0)</f>
        <v>PEREMPUAN</v>
      </c>
      <c r="R6" s="38" t="str">
        <f>VLOOKUP(A6,DATAKARYAWAN,19,0)</f>
        <v>10 Mei 1993</v>
      </c>
      <c r="S6" s="38" t="str">
        <f>VLOOKUP(A6,DATAKARYAWAN,20,0)</f>
        <v>LUMAJANG</v>
      </c>
      <c r="T6" s="38"/>
      <c r="U6" s="38" t="str">
        <f>VLOOKUP(A6,DATAKARYAWAN,22,0)</f>
        <v>IKAN GURAMI 3/31 RT 07 RW 06</v>
      </c>
      <c r="V6" s="38" t="str">
        <f>VLOOKUP(A6,DATAKARYAWAN,23,0)</f>
        <v/>
      </c>
      <c r="W6" s="38" t="str">
        <f>VLOOKUP(A6,DATAKARYAWAN,24,0)</f>
        <v>JAWA TIMUR</v>
      </c>
      <c r="X6" s="38" t="str">
        <f>VLOOKUP(A6,DATAKARYAWAN,25,0)</f>
        <v>SURABAYA</v>
      </c>
      <c r="Y6" s="38" t="str">
        <f>VLOOKUP(A6,DATAKARYAWAN,26,0)</f>
        <v>KREMBANGAN</v>
      </c>
      <c r="Z6" s="38" t="str">
        <f>VLOOKUP(A6,DATAKARYAWAN,27,0)</f>
        <v>PERAK BARAT</v>
      </c>
      <c r="AA6" s="38">
        <f>VLOOKUP(A6,DATAKARYAWAN,28,0)</f>
        <v>60177</v>
      </c>
      <c r="AB6" s="38"/>
      <c r="AC6" s="38"/>
      <c r="AD6" s="38" t="str">
        <f>VLOOKUP(A6,DATAKARYAWAN,31,0)</f>
        <v>TK/0</v>
      </c>
      <c r="AE6" s="48"/>
      <c r="AF6" s="38" t="str">
        <f>VLOOKUP(A6,DATAKARYAWAN,33,0)</f>
        <v>410622401625000</v>
      </c>
      <c r="AG6" s="38">
        <f>VLOOKUP(A6,DATAKARYAWAN,34,0)</f>
        <v>25045536171</v>
      </c>
      <c r="AH6" s="38" t="str">
        <f>VLOOKUP(A6,DATAKARYAWAN,35,0)</f>
        <v>0000113627733</v>
      </c>
      <c r="AI6" s="38" t="str">
        <f>VLOOKUP(A6,DATAKARYAWAN,36,0)</f>
        <v/>
      </c>
      <c r="AJ6" s="38"/>
      <c r="AK6" s="485">
        <f>VLOOKUP(A6,DATAKARYAWAN,38,0)</f>
        <v>45649</v>
      </c>
      <c r="AL6" s="237" t="s">
        <v>1232</v>
      </c>
      <c r="AM6" s="106" t="s">
        <v>1648</v>
      </c>
    </row>
    <row r="7" ht="15.75" customHeight="1">
      <c r="A7" s="289" t="s">
        <v>1687</v>
      </c>
      <c r="B7" s="38" t="str">
        <f>VLOOKUP(A7,DATAKARYAWAN,3,0)</f>
        <v>Karyawan Tetap</v>
      </c>
      <c r="C7" s="38" t="str">
        <f>VLOOKUP(A7,DATAKARYAWAN,4,0)</f>
        <v>25-010009</v>
      </c>
      <c r="D7" s="38" t="str">
        <f>VLOOKUP(A7,DATAKARYAWAN,5,0)</f>
        <v>08977010030</v>
      </c>
      <c r="E7" s="38" t="str">
        <f>VLOOKUP(A7,DATAKARYAWAN,6,0)</f>
        <v>maulandarishinta@gmail.com</v>
      </c>
      <c r="F7" s="38" t="str">
        <f>VLOOKUP(A7,DATAKARYAWAN,7,0)</f>
        <v>STAFF CS &amp; DOC LCL</v>
      </c>
      <c r="G7" s="38" t="str">
        <f>VLOOKUP(A7,DATAKARYAWAN,8,0)</f>
        <v>CUSTOMER SERVICE</v>
      </c>
      <c r="H7" s="53"/>
      <c r="I7" s="38" t="str">
        <f>VLOOKUP(A7,DATAKARYAWAN,10,0)</f>
        <v>Indonesia</v>
      </c>
      <c r="J7" s="38" t="str">
        <f>VLOOKUP(A7,DATAKARYAWAN,11,0)</f>
        <v>ISLAM</v>
      </c>
      <c r="K7" s="38" t="str">
        <f>VLOOKUP(A7,DATAKARYAWAN,12,0)</f>
        <v>3578180408170002</v>
      </c>
      <c r="L7" s="38" t="str">
        <f>VLOOKUP(A7,DATAKARYAWAN,13,0)</f>
        <v>3578185807970001</v>
      </c>
      <c r="M7" s="38" t="str">
        <f>VLOOKUP(A7,DATAKARYAWAN,14,0)</f>
        <v>BCA</v>
      </c>
      <c r="N7" s="38">
        <f>VLOOKUP(A7,DATAKARYAWAN,15,0)</f>
        <v>4630137000</v>
      </c>
      <c r="O7" s="38" t="str">
        <f>VLOOKUP(A7,DATAKARYAWAN,16,0)</f>
        <v>S1</v>
      </c>
      <c r="P7" s="48"/>
      <c r="Q7" s="38" t="str">
        <f>VLOOKUP(A7,DATAKARYAWAN,18,0)</f>
        <v>PEREMPUAN</v>
      </c>
      <c r="R7" s="38" t="str">
        <f>VLOOKUP(A7,DATAKARYAWAN,19,0)</f>
        <v>18 Juli 1997</v>
      </c>
      <c r="S7" s="38" t="str">
        <f>VLOOKUP(A7,DATAKARYAWAN,20,0)</f>
        <v>SURABAYA</v>
      </c>
      <c r="T7" s="38"/>
      <c r="U7" s="38" t="str">
        <f>VLOOKUP(A7,DATAKARYAWAN,22,0)</f>
        <v>BANGKINGAN TIMUR  V RT 06 RW 01</v>
      </c>
      <c r="V7" s="38" t="str">
        <f>VLOOKUP(A7,DATAKARYAWAN,23,0)</f>
        <v/>
      </c>
      <c r="W7" s="38" t="str">
        <f>VLOOKUP(A7,DATAKARYAWAN,24,0)</f>
        <v>JAWA TIMUR</v>
      </c>
      <c r="X7" s="38" t="str">
        <f>VLOOKUP(A7,DATAKARYAWAN,25,0)</f>
        <v>SURABAYA</v>
      </c>
      <c r="Y7" s="38" t="str">
        <f>VLOOKUP(A7,DATAKARYAWAN,26,0)</f>
        <v>LAKARSANTRI</v>
      </c>
      <c r="Z7" s="38" t="str">
        <f>VLOOKUP(A7,DATAKARYAWAN,27,0)</f>
        <v>BANGKINGAN</v>
      </c>
      <c r="AA7" s="38">
        <f>VLOOKUP(A7,DATAKARYAWAN,28,0)</f>
        <v>60214</v>
      </c>
      <c r="AB7" s="38"/>
      <c r="AC7" s="38"/>
      <c r="AD7" s="38" t="str">
        <f>VLOOKUP(A7,DATAKARYAWAN,31,0)</f>
        <v>TK/0</v>
      </c>
      <c r="AE7" s="48"/>
      <c r="AF7" s="38">
        <f>VLOOKUP(A7,DATAKARYAWAN,33,0)</f>
        <v>634668842604000</v>
      </c>
      <c r="AG7" s="38">
        <f>VLOOKUP(A7,DATAKARYAWAN,34,0)</f>
        <v>25056512590</v>
      </c>
      <c r="AH7" s="38" t="str">
        <f>VLOOKUP(A7,DATAKARYAWAN,35,0)</f>
        <v>0001238254536</v>
      </c>
      <c r="AI7" s="38" t="str">
        <f>VLOOKUP(A7,DATAKARYAWAN,36,0)</f>
        <v/>
      </c>
      <c r="AJ7" s="38"/>
      <c r="AK7" s="485">
        <f>VLOOKUP(A7,DATAKARYAWAN,38,0)</f>
        <v>45687</v>
      </c>
      <c r="AL7" s="488">
        <v>45775.0</v>
      </c>
      <c r="AM7" s="155"/>
    </row>
    <row r="8" ht="15.75" customHeight="1">
      <c r="A8" s="252" t="s">
        <v>1841</v>
      </c>
      <c r="B8" s="38" t="str">
        <f>VLOOKUP(A8,DATAKARYAWAN,3,0)</f>
        <v>Karyawan Kontrak</v>
      </c>
      <c r="C8" s="38" t="str">
        <f>VLOOKUP(A8,DATAKARYAWAN,4,0)</f>
        <v>25-040020</v>
      </c>
      <c r="D8" s="38" t="str">
        <f>VLOOKUP(A8,DATAKARYAWAN,5,0)</f>
        <v>085730306874</v>
      </c>
      <c r="E8" s="38" t="str">
        <f>VLOOKUP(A8,DATAKARYAWAN,6,0)</f>
        <v>cindykarmilaaa@gmail.com</v>
      </c>
      <c r="F8" s="38" t="str">
        <f>VLOOKUP(A8,DATAKARYAWAN,7,0)</f>
        <v>STAFF ACCOUNTING &amp; TAX</v>
      </c>
      <c r="G8" s="38" t="str">
        <f>VLOOKUP(A8,DATAKARYAWAN,8,0)</f>
        <v>KEUANGAN</v>
      </c>
      <c r="H8" s="53"/>
      <c r="I8" s="38" t="str">
        <f>VLOOKUP(A8,DATAKARYAWAN,10,0)</f>
        <v>Indonesia</v>
      </c>
      <c r="J8" s="38" t="str">
        <f>VLOOKUP(A8,DATAKARYAWAN,11,0)</f>
        <v>ISLAM</v>
      </c>
      <c r="K8" s="38" t="str">
        <f>VLOOKUP(A8,DATAKARYAWAN,12,0)</f>
        <v>3522011701075005</v>
      </c>
      <c r="L8" s="38" t="str">
        <f>VLOOKUP(A8,DATAKARYAWAN,13,0)</f>
        <v>3522016207000002</v>
      </c>
      <c r="M8" s="38" t="str">
        <f>VLOOKUP(A8,DATAKARYAWAN,14,0)</f>
        <v>BRI</v>
      </c>
      <c r="N8" s="38">
        <f>VLOOKUP(A8,DATAKARYAWAN,15,0)</f>
        <v>618001021174531</v>
      </c>
      <c r="O8" s="38" t="str">
        <f>VLOOKUP(A8,DATAKARYAWAN,16,0)</f>
        <v>S1</v>
      </c>
      <c r="P8" s="48"/>
      <c r="Q8" s="38" t="str">
        <f>VLOOKUP(A8,DATAKARYAWAN,18,0)</f>
        <v>PEREMPUAN</v>
      </c>
      <c r="R8" s="38" t="str">
        <f>VLOOKUP(A8,DATAKARYAWAN,19,0)</f>
        <v>22 Juli 2000</v>
      </c>
      <c r="S8" s="38" t="str">
        <f>VLOOKUP(A8,DATAKARYAWAN,20,0)</f>
        <v>BOJONEGORO</v>
      </c>
      <c r="T8" s="38"/>
      <c r="U8" s="38" t="str">
        <f>VLOOKUP(A8,DATAKARYAWAN,22,0)</f>
        <v>DUSUN NGANTI RT 017 RW 05</v>
      </c>
      <c r="V8" s="38" t="str">
        <f>VLOOKUP(A8,DATAKARYAWAN,23,0)</f>
        <v/>
      </c>
      <c r="W8" s="38" t="str">
        <f>VLOOKUP(A8,DATAKARYAWAN,24,0)</f>
        <v>JAWA TIMUR</v>
      </c>
      <c r="X8" s="38" t="str">
        <f>VLOOKUP(A8,DATAKARYAWAN,25,0)</f>
        <v>BOJONEGORO</v>
      </c>
      <c r="Y8" s="38" t="str">
        <f>VLOOKUP(A8,DATAKARYAWAN,26,0)</f>
        <v>NGRAHO</v>
      </c>
      <c r="Z8" s="38" t="str">
        <f>VLOOKUP(A8,DATAKARYAWAN,27,0)</f>
        <v>NGANTI</v>
      </c>
      <c r="AA8" s="38">
        <f>VLOOKUP(A8,DATAKARYAWAN,28,0)</f>
        <v>62165</v>
      </c>
      <c r="AB8" s="38"/>
      <c r="AC8" s="38"/>
      <c r="AD8" s="38" t="str">
        <f>VLOOKUP(A8,DATAKARYAWAN,31,0)</f>
        <v>TK/0</v>
      </c>
      <c r="AE8" s="48"/>
      <c r="AF8" s="38" t="str">
        <f>VLOOKUP(A8,DATAKARYAWAN,33,0)</f>
        <v>tidak ada NPWP</v>
      </c>
      <c r="AG8" s="38">
        <f>VLOOKUP(A8,DATAKARYAWAN,34,0)</f>
        <v>25112912289</v>
      </c>
      <c r="AH8" s="38" t="str">
        <f>VLOOKUP(A8,DATAKARYAWAN,35,0)</f>
        <v>0000745919043</v>
      </c>
      <c r="AK8" s="485">
        <f>VLOOKUP(A8,DATAKARYAWAN,38,0)</f>
        <v>45775</v>
      </c>
      <c r="AL8" s="346" t="s">
        <v>1208</v>
      </c>
      <c r="AM8" s="98" t="s">
        <v>1567</v>
      </c>
      <c r="CL8" s="489"/>
    </row>
    <row r="9" ht="15.75" customHeight="1">
      <c r="A9" s="265" t="s">
        <v>2070</v>
      </c>
      <c r="B9" s="38" t="str">
        <f>VLOOKUP(A9,DATAKARYAWAN,3,0)</f>
        <v>Karyawan Kontrak</v>
      </c>
      <c r="C9" s="38" t="str">
        <f>VLOOKUP(A9,DATAKARYAWAN,4,0)</f>
        <v>25-080015</v>
      </c>
      <c r="D9" s="38" t="str">
        <f>VLOOKUP(A9,DATAKARYAWAN,5,0)</f>
        <v>087879285489</v>
      </c>
      <c r="E9" s="38" t="str">
        <f>VLOOKUP(A9,DATAKARYAWAN,6,0)</f>
        <v>c.ramadani1312@gmail.com</v>
      </c>
      <c r="F9" s="38" t="str">
        <f>VLOOKUP(A9,DATAKARYAWAN,7,0)</f>
        <v>DINAS LUAR</v>
      </c>
      <c r="G9" s="38" t="str">
        <f>VLOOKUP(A9,DATAKARYAWAN,8,0)</f>
        <v>OPERASIONAL</v>
      </c>
      <c r="H9" s="53"/>
      <c r="I9" s="38" t="str">
        <f>VLOOKUP(A9,DATAKARYAWAN,10,0)</f>
        <v>Indonesia</v>
      </c>
      <c r="J9" s="38" t="str">
        <f>VLOOKUP(A9,DATAKARYAWAN,11,0)</f>
        <v>ISLAM</v>
      </c>
      <c r="K9" s="38" t="str">
        <f>VLOOKUP(A9,DATAKARYAWAN,12,0)</f>
        <v>3578152206230008</v>
      </c>
      <c r="L9" s="38" t="str">
        <f>VLOOKUP(A9,DATAKARYAWAN,13,0)</f>
        <v>3578152803930003</v>
      </c>
      <c r="M9" s="38" t="str">
        <f>VLOOKUP(A9,DATAKARYAWAN,14,0)</f>
        <v>BCA</v>
      </c>
      <c r="N9" s="38">
        <f>VLOOKUP(A9,DATAKARYAWAN,15,0)</f>
        <v>1870516084</v>
      </c>
      <c r="O9" s="38" t="str">
        <f>VLOOKUP(A9,DATAKARYAWAN,16,0)</f>
        <v>SMA</v>
      </c>
      <c r="P9" s="48"/>
      <c r="Q9" s="38" t="str">
        <f>VLOOKUP(A9,DATAKARYAWAN,18,0)</f>
        <v>LAKI - LAKI</v>
      </c>
      <c r="R9" s="38" t="str">
        <f>VLOOKUP(A9,DATAKARYAWAN,19,0)</f>
        <v>28 Maret 1993</v>
      </c>
      <c r="S9" s="38" t="str">
        <f>VLOOKUP(A9,DATAKARYAWAN,20,0)</f>
        <v>SURABAYA</v>
      </c>
      <c r="T9" s="38"/>
      <c r="U9" s="38" t="str">
        <f>VLOOKUP(A9,DATAKARYAWAN,22,0)</f>
        <v>JL REMBANG 132-B RT 01/RW 05</v>
      </c>
      <c r="V9" s="38" t="str">
        <f>VLOOKUP(A9,DATAKARYAWAN,23,0)</f>
        <v/>
      </c>
      <c r="W9" s="38" t="str">
        <f>VLOOKUP(A9,DATAKARYAWAN,24,0)</f>
        <v>JAWA TIMUR</v>
      </c>
      <c r="X9" s="38" t="str">
        <f>VLOOKUP(A9,DATAKARYAWAN,25,0)</f>
        <v>SURABAYA</v>
      </c>
      <c r="Y9" s="38" t="str">
        <f>VLOOKUP(A9,DATAKARYAWAN,26,0)</f>
        <v>KREMBANGAN</v>
      </c>
      <c r="Z9" s="38" t="str">
        <f>VLOOKUP(A9,DATAKARYAWAN,27,0)</f>
        <v>DUPAK</v>
      </c>
      <c r="AA9" s="38">
        <f>VLOOKUP(A9,DATAKARYAWAN,28,0)</f>
        <v>60174</v>
      </c>
      <c r="AB9" s="38"/>
      <c r="AC9" s="38"/>
      <c r="AD9" s="38" t="str">
        <f>VLOOKUP(A9,DATAKARYAWAN,31,0)</f>
        <v>K/3</v>
      </c>
      <c r="AE9" s="48"/>
      <c r="AF9" s="38" t="str">
        <f>VLOOKUP(A9,DATAKARYAWAN,33,0)</f>
        <v>tidak ada NPWP</v>
      </c>
      <c r="AG9" s="38">
        <f>VLOOKUP(A9,DATAKARYAWAN,34,0)</f>
        <v>25193066856</v>
      </c>
      <c r="AH9" s="38" t="str">
        <f>VLOOKUP(A9,DATAKARYAWAN,35,0)</f>
        <v>0002162887863</v>
      </c>
      <c r="AI9" s="57"/>
      <c r="AJ9" s="57"/>
      <c r="AK9" s="485">
        <f>VLOOKUP(A9,DATAKARYAWAN,38,0)</f>
        <v>45888</v>
      </c>
      <c r="AL9" s="396">
        <v>45989.0</v>
      </c>
      <c r="AM9" s="57"/>
      <c r="AN9" s="57"/>
      <c r="AO9" s="57"/>
      <c r="AP9" s="57"/>
      <c r="AQ9" s="57"/>
      <c r="AR9" s="57"/>
      <c r="AS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489"/>
    </row>
    <row r="10" ht="15.75" customHeight="1">
      <c r="A10" s="265" t="s">
        <v>2123</v>
      </c>
      <c r="B10" s="38" t="str">
        <f>VLOOKUP(A10,DATAKARYAWAN,3,0)</f>
        <v>Karyawan Kontrak</v>
      </c>
      <c r="C10" s="38" t="str">
        <f>VLOOKUP(A10,DATAKARYAWAN,4,0)</f>
        <v>25-090017</v>
      </c>
      <c r="D10" s="38" t="str">
        <f>VLOOKUP(A10,DATAKARYAWAN,5,0)</f>
        <v>081327813337</v>
      </c>
      <c r="E10" s="38" t="str">
        <f>VLOOKUP(A10,DATAKARYAWAN,6,0)</f>
        <v>ulinprawibowo@gmail.com</v>
      </c>
      <c r="F10" s="38" t="str">
        <f>VLOOKUP(A10,DATAKARYAWAN,7,0)</f>
        <v>STAFF HRD</v>
      </c>
      <c r="G10" s="38" t="str">
        <f>VLOOKUP(A10,DATAKARYAWAN,8,0)</f>
        <v>HRD</v>
      </c>
      <c r="H10" s="53"/>
      <c r="I10" s="38" t="str">
        <f>VLOOKUP(A10,DATAKARYAWAN,10,0)</f>
        <v>Indonesia</v>
      </c>
      <c r="J10" s="38" t="str">
        <f>VLOOKUP(A10,DATAKARYAWAN,11,0)</f>
        <v>ISLAM</v>
      </c>
      <c r="K10" s="38" t="str">
        <f>VLOOKUP(A10,DATAKARYAWAN,12,0)</f>
        <v>3522241905120005</v>
      </c>
      <c r="L10" s="38" t="str">
        <f>VLOOKUP(A10,DATAKARYAWAN,13,0)</f>
        <v>3522241205970001</v>
      </c>
      <c r="M10" s="38" t="str">
        <f>VLOOKUP(A10,DATAKARYAWAN,14,0)</f>
        <v>MANDIRI</v>
      </c>
      <c r="N10" s="38">
        <f>VLOOKUP(A10,DATAKARYAWAN,15,0)</f>
        <v>1420024022807</v>
      </c>
      <c r="O10" s="38" t="str">
        <f>VLOOKUP(A10,DATAKARYAWAN,16,0)</f>
        <v>S1</v>
      </c>
      <c r="P10" s="48"/>
      <c r="Q10" s="38" t="str">
        <f>VLOOKUP(A10,DATAKARYAWAN,18,0)</f>
        <v>LAKI - LAKI</v>
      </c>
      <c r="R10" s="38" t="str">
        <f>VLOOKUP(A10,DATAKARYAWAN,19,0)</f>
        <v>12 MEI 1997</v>
      </c>
      <c r="S10" s="38" t="str">
        <f>VLOOKUP(A10,DATAKARYAWAN,20,0)</f>
        <v>BOJONEGORO</v>
      </c>
      <c r="T10" s="38"/>
      <c r="U10" s="38" t="str">
        <f>VLOOKUP(A10,DATAKARYAWAN,22,0)</f>
        <v>DSN.BULU DS. SAWO</v>
      </c>
      <c r="V10" s="38" t="str">
        <f>VLOOKUP(A10,DATAKARYAWAN,23,0)</f>
        <v/>
      </c>
      <c r="W10" s="38" t="str">
        <f>VLOOKUP(A10,DATAKARYAWAN,24,0)</f>
        <v>JAWA TIMUR</v>
      </c>
      <c r="X10" s="38" t="str">
        <f>VLOOKUP(A10,DATAKARYAWAN,25,0)</f>
        <v>MOJOKERTO</v>
      </c>
      <c r="Y10" s="38" t="str">
        <f>VLOOKUP(A10,DATAKARYAWAN,26,0)</f>
        <v>JETIS</v>
      </c>
      <c r="Z10" s="38" t="str">
        <f>VLOOKUP(A10,DATAKARYAWAN,27,0)</f>
        <v>SAWO</v>
      </c>
      <c r="AA10" s="38">
        <f>VLOOKUP(A10,DATAKARYAWAN,28,0)</f>
        <v>61352</v>
      </c>
      <c r="AB10" s="38"/>
      <c r="AC10" s="38"/>
      <c r="AD10" s="38" t="str">
        <f>VLOOKUP(A10,DATAKARYAWAN,31,0)</f>
        <v>K/0</v>
      </c>
      <c r="AE10" s="48"/>
      <c r="AF10" s="38" t="str">
        <f>VLOOKUP(A10,DATAKARYAWAN,33,0)</f>
        <v>OKE</v>
      </c>
      <c r="AG10" s="38">
        <f>VLOOKUP(A10,DATAKARYAWAN,34,0)</f>
        <v>26016016425</v>
      </c>
      <c r="AH10" s="38" t="str">
        <f>VLOOKUP(A10,DATAKARYAWAN,35,0)</f>
        <v>0002725959655</v>
      </c>
      <c r="AI10" s="409"/>
      <c r="AJ10" s="409"/>
      <c r="AK10" s="485">
        <f>VLOOKUP(A10,DATAKARYAWAN,38,0)</f>
        <v>45915</v>
      </c>
      <c r="AL10" s="156" t="s">
        <v>1662</v>
      </c>
      <c r="AM10" s="409"/>
      <c r="AN10" s="409"/>
      <c r="AO10" s="409"/>
      <c r="AP10" s="409"/>
      <c r="AQ10" s="409"/>
      <c r="AR10" s="409"/>
      <c r="AS10" s="409"/>
      <c r="AT10" s="409"/>
      <c r="AU10" s="409"/>
      <c r="AV10" s="409"/>
      <c r="AW10" s="409"/>
      <c r="AY10" s="409"/>
      <c r="AZ10" s="409"/>
      <c r="BA10" s="409"/>
      <c r="BB10" s="409"/>
      <c r="BC10" s="409"/>
      <c r="BD10" s="409"/>
      <c r="BE10" s="409"/>
      <c r="BF10" s="409"/>
      <c r="BG10" s="409"/>
      <c r="BH10" s="409"/>
      <c r="BI10" s="409"/>
      <c r="BJ10" s="409"/>
      <c r="BK10" s="409"/>
      <c r="BL10" s="409"/>
      <c r="BM10" s="409"/>
      <c r="BN10" s="409"/>
      <c r="BO10" s="409"/>
      <c r="BP10" s="409"/>
      <c r="BQ10" s="409"/>
      <c r="BR10" s="409"/>
      <c r="BS10" s="409"/>
      <c r="BT10" s="409"/>
      <c r="BU10" s="409"/>
      <c r="BV10" s="409"/>
      <c r="BW10" s="409"/>
      <c r="BX10" s="409"/>
      <c r="BY10" s="409"/>
      <c r="BZ10" s="409"/>
      <c r="CA10" s="409"/>
      <c r="CB10" s="409"/>
      <c r="CC10" s="409"/>
      <c r="CD10" s="409"/>
      <c r="CE10" s="409"/>
      <c r="CF10" s="409"/>
      <c r="CG10" s="409"/>
      <c r="CH10" s="409"/>
      <c r="CI10" s="409"/>
      <c r="CJ10" s="409"/>
      <c r="CK10" s="409"/>
      <c r="CL10" s="489"/>
    </row>
    <row r="11" ht="15.75" customHeight="1">
      <c r="A11" s="155" t="s">
        <v>2172</v>
      </c>
      <c r="B11" s="38" t="str">
        <f>VLOOKUP(A11,DATAKARYAWAN,3,0)</f>
        <v>Karyawan Kontrak</v>
      </c>
      <c r="C11" s="38" t="str">
        <f>VLOOKUP(A11,DATAKARYAWAN,4,0)</f>
        <v>25-100019</v>
      </c>
      <c r="D11" s="38" t="str">
        <f>VLOOKUP(A11,DATAKARYAWAN,5,0)</f>
        <v>089696996200</v>
      </c>
      <c r="E11" s="38" t="str">
        <f>VLOOKUP(A11,DATAKARYAWAN,6,0)</f>
        <v>abdulharis1409@gmail.com</v>
      </c>
      <c r="F11" s="38" t="str">
        <f>VLOOKUP(A11,DATAKARYAWAN,7,0)</f>
        <v>DINAS LUAR</v>
      </c>
      <c r="G11" s="38" t="str">
        <f>VLOOKUP(A11,DATAKARYAWAN,8,0)</f>
        <v>OPERASIONAL</v>
      </c>
      <c r="H11" s="53"/>
      <c r="I11" s="38" t="str">
        <f>VLOOKUP(A11,DATAKARYAWAN,10,0)</f>
        <v>Indonesia</v>
      </c>
      <c r="J11" s="38" t="str">
        <f>VLOOKUP(A11,DATAKARYAWAN,11,0)</f>
        <v>ISLAM</v>
      </c>
      <c r="K11" s="38" t="str">
        <f>VLOOKUP(A11,DATAKARYAWAN,12,0)</f>
        <v>3578110706210011</v>
      </c>
      <c r="L11" s="38" t="str">
        <f>VLOOKUP(A11,DATAKARYAWAN,13,0)</f>
        <v>3578110909960001</v>
      </c>
      <c r="M11" s="38" t="str">
        <f>VLOOKUP(A11,DATAKARYAWAN,14,0)</f>
        <v>BCA</v>
      </c>
      <c r="N11" s="38">
        <f>VLOOKUP(A11,DATAKARYAWAN,15,0)</f>
        <v>5130119613</v>
      </c>
      <c r="O11" s="38" t="str">
        <f>VLOOKUP(A11,DATAKARYAWAN,16,0)</f>
        <v>SMA</v>
      </c>
      <c r="P11" s="48"/>
      <c r="Q11" s="38" t="str">
        <f>VLOOKUP(A11,DATAKARYAWAN,18,0)</f>
        <v>LAKI - LAKI</v>
      </c>
      <c r="R11" s="485">
        <f>VLOOKUP(A11,DATAKARYAWAN,19,0)</f>
        <v>35317</v>
      </c>
      <c r="S11" s="38" t="str">
        <f>VLOOKUP(A11,DATAKARYAWAN,20,0)</f>
        <v>SURABAYA</v>
      </c>
      <c r="T11" s="38"/>
      <c r="U11" s="38" t="str">
        <f>VLOOKUP(A11,DATAKARYAWAN,22,0)</f>
        <v>KAPASARI PEDUKUHAN 3/1 RT/RW 001/010</v>
      </c>
      <c r="V11" s="38" t="str">
        <f>VLOOKUP(A11,DATAKARYAWAN,23,0)</f>
        <v/>
      </c>
      <c r="W11" s="38" t="str">
        <f>VLOOKUP(A11,DATAKARYAWAN,24,0)</f>
        <v>JAWA TIMUR</v>
      </c>
      <c r="X11" s="38" t="str">
        <f>VLOOKUP(A11,DATAKARYAWAN,25,0)</f>
        <v>SURABAYA</v>
      </c>
      <c r="Y11" s="38" t="str">
        <f>VLOOKUP(A11,DATAKARYAWAN,26,0)</f>
        <v>SIMOKERTO</v>
      </c>
      <c r="Z11" s="38" t="str">
        <f>VLOOKUP(A11,DATAKARYAWAN,27,0)</f>
        <v>TAMBAKREJO</v>
      </c>
      <c r="AA11" s="38">
        <f>VLOOKUP(A11,DATAKARYAWAN,28,0)</f>
        <v>60142</v>
      </c>
      <c r="AB11" s="38"/>
      <c r="AC11" s="38"/>
      <c r="AD11" s="38" t="str">
        <f>VLOOKUP(A11,DATAKARYAWAN,31,0)</f>
        <v>K/1</v>
      </c>
      <c r="AE11" s="48"/>
      <c r="AF11" s="38" t="str">
        <f>VLOOKUP(A11,DATAKARYAWAN,33,0)</f>
        <v>OKE</v>
      </c>
      <c r="AG11" s="38">
        <f>VLOOKUP(A11,DATAKARYAWAN,34,0)</f>
        <v>26016016417</v>
      </c>
      <c r="AH11" s="38" t="str">
        <f>VLOOKUP(A11,DATAKARYAWAN,35,0)</f>
        <v>0001176974346</v>
      </c>
      <c r="AK11" s="485">
        <f>VLOOKUP(A11,DATAKARYAWAN,38,0)</f>
        <v>45937</v>
      </c>
    </row>
    <row r="12" ht="15.75" customHeight="1">
      <c r="A12" s="155" t="s">
        <v>2201</v>
      </c>
      <c r="B12" s="38" t="str">
        <f>VLOOKUP(A12,DATAKARYAWAN,3,0)</f>
        <v>Karyawan Kontrak</v>
      </c>
      <c r="C12" s="38" t="str">
        <f>VLOOKUP(A12,DATAKARYAWAN,4,0)</f>
        <v>25-110020</v>
      </c>
      <c r="D12" s="38" t="str">
        <f>VLOOKUP(A12,DATAKARYAWAN,5,0)</f>
        <v>087861406764</v>
      </c>
      <c r="E12" s="38" t="str">
        <f>VLOOKUP(A12,DATAKARYAWAN,6,0)</f>
        <v>p.sarii1106@gmail.com</v>
      </c>
      <c r="F12" s="38" t="str">
        <f>VLOOKUP(A12,DATAKARYAWAN,7,0)</f>
        <v>ACCOUNT PAYABLE</v>
      </c>
      <c r="G12" s="38" t="str">
        <f>VLOOKUP(A12,DATAKARYAWAN,8,0)</f>
        <v>KEUANGAN</v>
      </c>
      <c r="H12" s="53"/>
      <c r="I12" s="38" t="str">
        <f>VLOOKUP(A12,DATAKARYAWAN,10,0)</f>
        <v>Indonesia</v>
      </c>
      <c r="J12" s="38" t="str">
        <f>VLOOKUP(A12,DATAKARYAWAN,11,0)</f>
        <v>KRISTEN</v>
      </c>
      <c r="K12" s="38" t="str">
        <f>VLOOKUP(A12,DATAKARYAWAN,12,0)</f>
        <v>3519122702980034</v>
      </c>
      <c r="L12" s="38" t="str">
        <f>VLOOKUP(A12,DATAKARYAWAN,13,0)</f>
        <v>3519125106940003</v>
      </c>
      <c r="M12" s="38" t="str">
        <f>VLOOKUP(A12,DATAKARYAWAN,14,0)</f>
        <v>BCA</v>
      </c>
      <c r="N12" s="38">
        <f>VLOOKUP(A12,DATAKARYAWAN,15,0)</f>
        <v>5105112448</v>
      </c>
      <c r="O12" s="38" t="str">
        <f>VLOOKUP(A12,DATAKARYAWAN,16,0)</f>
        <v>S1</v>
      </c>
      <c r="P12" s="48"/>
      <c r="Q12" s="38" t="str">
        <f>VLOOKUP(A12,DATAKARYAWAN,18,0)</f>
        <v>PEREMPUAN</v>
      </c>
      <c r="R12" s="38" t="str">
        <f>VLOOKUP(A12,DATAKARYAWAN,19,0)</f>
        <v>11 Juni 1994</v>
      </c>
      <c r="S12" s="38" t="str">
        <f>VLOOKUP(A12,DATAKARYAWAN,20,0)</f>
        <v>MADIUN</v>
      </c>
      <c r="T12" s="38"/>
      <c r="U12" s="38" t="str">
        <f>VLOOKUP(A12,DATAKARYAWAN,22,0)</f>
        <v>BRUWOK RT004 RW001</v>
      </c>
      <c r="V12" s="38" t="str">
        <f>VLOOKUP(A12,DATAKARYAWAN,23,0)</f>
        <v/>
      </c>
      <c r="W12" s="38" t="str">
        <f>VLOOKUP(A12,DATAKARYAWAN,24,0)</f>
        <v>JAWA TIMUR</v>
      </c>
      <c r="X12" s="38" t="str">
        <f>VLOOKUP(A12,DATAKARYAWAN,25,0)</f>
        <v>MADIUN</v>
      </c>
      <c r="Y12" s="38" t="str">
        <f>VLOOKUP(A12,DATAKARYAWAN,26,0)</f>
        <v>SARADAN</v>
      </c>
      <c r="Z12" s="38" t="str">
        <f>VLOOKUP(A12,DATAKARYAWAN,27,0)</f>
        <v>KLUMUTAN</v>
      </c>
      <c r="AA12" s="38">
        <f>VLOOKUP(A12,DATAKARYAWAN,28,0)</f>
        <v>63155</v>
      </c>
      <c r="AB12" s="38"/>
      <c r="AC12" s="38"/>
      <c r="AD12" s="38" t="str">
        <f>VLOOKUP(A12,DATAKARYAWAN,31,0)</f>
        <v>TK/0</v>
      </c>
      <c r="AE12" s="48"/>
      <c r="AF12" s="38" t="str">
        <f>VLOOKUP(A12,DATAKARYAWAN,33,0)</f>
        <v>OKE</v>
      </c>
      <c r="AG12" s="38" t="str">
        <f>VLOOKUP(A12,DATAKARYAWAN,34,0)</f>
        <v>BELUM</v>
      </c>
      <c r="AH12" s="38" t="str">
        <f>VLOOKUP(A12,DATAKARYAWAN,35,0)</f>
        <v>BELUM</v>
      </c>
      <c r="AK12" s="485">
        <f>VLOOKUP(A12,DATAKARYAWAN,38,0)</f>
        <v>45965</v>
      </c>
    </row>
    <row r="13" ht="15.75" customHeight="1">
      <c r="A13" s="155" t="s">
        <v>2212</v>
      </c>
      <c r="B13" s="38" t="str">
        <f>VLOOKUP(A13,DATAKARYAWAN,3,0)</f>
        <v>Karyawan Kontrak</v>
      </c>
      <c r="C13" s="38" t="str">
        <f>VLOOKUP(A13,DATAKARYAWAN,4,0)</f>
        <v>25-110021</v>
      </c>
      <c r="D13" s="38" t="str">
        <f>VLOOKUP(A13,DATAKARYAWAN,5,0)</f>
        <v>082146241608</v>
      </c>
      <c r="E13" s="38" t="str">
        <f>VLOOKUP(A13,DATAKARYAWAN,6,0)</f>
        <v>niastari26@gmail.com</v>
      </c>
      <c r="F13" s="38" t="str">
        <f>VLOOKUP(A13,DATAKARYAWAN,7,0)</f>
        <v>ACCOUNT RECEIVABLE</v>
      </c>
      <c r="G13" s="38" t="str">
        <f>VLOOKUP(A13,DATAKARYAWAN,8,0)</f>
        <v>KEUANGAN</v>
      </c>
      <c r="H13" s="53"/>
      <c r="I13" s="38" t="str">
        <f>VLOOKUP(A13,DATAKARYAWAN,10,0)</f>
        <v>Indonesia</v>
      </c>
      <c r="J13" s="38" t="str">
        <f>VLOOKUP(A13,DATAKARYAWAN,11,0)</f>
        <v>KRISTEN</v>
      </c>
      <c r="K13" s="38" t="str">
        <f>VLOOKUP(A13,DATAKARYAWAN,12,0)</f>
        <v>3578061811210007</v>
      </c>
      <c r="L13" s="38" t="str">
        <f>VLOOKUP(A13,DATAKARYAWAN,13,0)</f>
        <v>3578066606980004</v>
      </c>
      <c r="M13" s="38" t="str">
        <f>VLOOKUP(A13,DATAKARYAWAN,14,0)</f>
        <v>BCA</v>
      </c>
      <c r="N13" s="38">
        <f>VLOOKUP(A13,DATAKARYAWAN,15,0)</f>
        <v>1030693619</v>
      </c>
      <c r="O13" s="38" t="str">
        <f>VLOOKUP(A13,DATAKARYAWAN,16,0)</f>
        <v>D2</v>
      </c>
      <c r="P13" s="48"/>
      <c r="Q13" s="38" t="str">
        <f>VLOOKUP(A13,DATAKARYAWAN,18,0)</f>
        <v>PEREMPUAN</v>
      </c>
      <c r="R13" s="38" t="str">
        <f>VLOOKUP(A13,DATAKARYAWAN,19,0)</f>
        <v>26 Juni 1998</v>
      </c>
      <c r="S13" s="38" t="str">
        <f>VLOOKUP(A13,DATAKARYAWAN,20,0)</f>
        <v>SURABAYA</v>
      </c>
      <c r="T13" s="38"/>
      <c r="U13" s="38" t="str">
        <f>VLOOKUP(A13,DATAKARYAWAN,22,0)</f>
        <v>PAKIS 3/56</v>
      </c>
      <c r="V13" s="38" t="str">
        <f>VLOOKUP(A13,DATAKARYAWAN,23,0)</f>
        <v/>
      </c>
      <c r="W13" s="38" t="str">
        <f>VLOOKUP(A13,DATAKARYAWAN,24,0)</f>
        <v>JAWA TIMUR</v>
      </c>
      <c r="X13" s="38" t="str">
        <f>VLOOKUP(A13,DATAKARYAWAN,25,0)</f>
        <v>SURABAYA</v>
      </c>
      <c r="Y13" s="38" t="str">
        <f>VLOOKUP(A13,DATAKARYAWAN,26,0)</f>
        <v>SAWAHAN</v>
      </c>
      <c r="Z13" s="38" t="str">
        <f>VLOOKUP(A13,DATAKARYAWAN,27,0)</f>
        <v>PAKIS</v>
      </c>
      <c r="AA13" s="38">
        <f>VLOOKUP(A13,DATAKARYAWAN,28,0)</f>
        <v>60256</v>
      </c>
      <c r="AB13" s="38"/>
      <c r="AC13" s="38"/>
      <c r="AD13" s="38" t="str">
        <f>VLOOKUP(A13,DATAKARYAWAN,31,0)</f>
        <v>TK/0</v>
      </c>
      <c r="AE13" s="48"/>
      <c r="AF13" s="38" t="str">
        <f>VLOOKUP(A13,DATAKARYAWAN,33,0)</f>
        <v>OKE</v>
      </c>
      <c r="AG13" s="38">
        <f>VLOOKUP(A13,DATAKARYAWAN,34,0)</f>
        <v>26028919657</v>
      </c>
      <c r="AH13" s="38" t="str">
        <f>VLOOKUP(A13,DATAKARYAWAN,35,0)</f>
        <v>0002436957281</v>
      </c>
      <c r="AK13" s="485">
        <f>VLOOKUP(A13,DATAKARYAWAN,38,0)</f>
        <v>45966</v>
      </c>
    </row>
    <row r="14" ht="15.75" customHeight="1">
      <c r="A14" s="155" t="s">
        <v>2291</v>
      </c>
      <c r="B14" s="38" t="str">
        <f>VLOOKUP(A14,DATAKARYAWAN,3,0)</f>
        <v>Karyawan Kontrak</v>
      </c>
      <c r="C14" s="38" t="str">
        <f>VLOOKUP(A14,DATAKARYAWAN,4,0)</f>
        <v>25-110022</v>
      </c>
      <c r="D14" s="38" t="str">
        <f>VLOOKUP(A14,DATAKARYAWAN,5,0)</f>
        <v>085785810477</v>
      </c>
      <c r="E14" s="38" t="str">
        <f>VLOOKUP(A14,DATAKARYAWAN,6,0)</f>
        <v>shodikm60@gmail.com</v>
      </c>
      <c r="F14" s="38" t="str">
        <f>VLOOKUP(A14,DATAKARYAWAN,7,0)</f>
        <v>TKBM</v>
      </c>
      <c r="G14" s="38" t="str">
        <f>VLOOKUP(A14,DATAKARYAWAN,8,0)</f>
        <v>OPERASIONAL</v>
      </c>
      <c r="H14" s="53"/>
      <c r="I14" s="38" t="str">
        <f>VLOOKUP(A14,DATAKARYAWAN,10,0)</f>
        <v>Indonesia</v>
      </c>
      <c r="J14" s="38" t="str">
        <f>VLOOKUP(A14,DATAKARYAWAN,11,0)</f>
        <v>ISLAM</v>
      </c>
      <c r="K14" s="38" t="str">
        <f>VLOOKUP(A14,DATAKARYAWAN,12,0)</f>
        <v>3517090710100010</v>
      </c>
      <c r="L14" s="38" t="str">
        <f>VLOOKUP(A14,DATAKARYAWAN,13,0)</f>
        <v>3517090708790008</v>
      </c>
      <c r="M14" s="38" t="str">
        <f>VLOOKUP(A14,DATAKARYAWAN,14,0)</f>
        <v>OCBC</v>
      </c>
      <c r="N14" s="38" t="str">
        <f>VLOOKUP(A14,DATAKARYAWAN,15,0)</f>
        <v>058810128726</v>
      </c>
      <c r="O14" s="38" t="str">
        <f>VLOOKUP(A14,DATAKARYAWAN,16,0)</f>
        <v>SMK</v>
      </c>
      <c r="P14" s="48"/>
      <c r="Q14" s="38" t="str">
        <f>VLOOKUP(A14,DATAKARYAWAN,18,0)</f>
        <v>LAKI - LAKI</v>
      </c>
      <c r="R14" s="38" t="str">
        <f>VLOOKUP(A14,DATAKARYAWAN,19,0)</f>
        <v>07 Agustus 1979</v>
      </c>
      <c r="S14" s="38" t="str">
        <f>VLOOKUP(A14,DATAKARYAWAN,20,0)</f>
        <v>JOMBANG</v>
      </c>
      <c r="T14" s="38"/>
      <c r="U14" s="38" t="str">
        <f>VLOOKUP(A14,DATAKARYAWAN,22,0)</f>
        <v>DSN SARILOYO RT007 RW006</v>
      </c>
      <c r="V14" s="38" t="str">
        <f>VLOOKUP(A14,DATAKARYAWAN,23,0)</f>
        <v/>
      </c>
      <c r="W14" s="38" t="str">
        <f>VLOOKUP(A14,DATAKARYAWAN,24,0)</f>
        <v>JAWA TIMUR</v>
      </c>
      <c r="X14" s="38" t="str">
        <f>VLOOKUP(A14,DATAKARYAWAN,25,0)</f>
        <v>JOMBANG</v>
      </c>
      <c r="Y14" s="38" t="str">
        <f>VLOOKUP(A14,DATAKARYAWAN,26,0)</f>
        <v>JOMBANG</v>
      </c>
      <c r="Z14" s="38" t="str">
        <f>VLOOKUP(A14,DATAKARYAWAN,27,0)</f>
        <v>SAMBONG DUKUH</v>
      </c>
      <c r="AA14" s="38">
        <f>VLOOKUP(A14,DATAKARYAWAN,28,0)</f>
        <v>61414</v>
      </c>
      <c r="AB14" s="38"/>
      <c r="AC14" s="38"/>
      <c r="AD14" s="38" t="str">
        <f>VLOOKUP(A14,DATAKARYAWAN,31,0)</f>
        <v>K/2</v>
      </c>
      <c r="AE14" s="48"/>
      <c r="AF14" s="38" t="str">
        <f>VLOOKUP(A14,DATAKARYAWAN,33,0)</f>
        <v>OKE</v>
      </c>
      <c r="AG14" s="38">
        <f>VLOOKUP(A14,DATAKARYAWAN,34,0)</f>
        <v>26042384821</v>
      </c>
      <c r="AH14" s="38" t="str">
        <f>VLOOKUP(A14,DATAKARYAWAN,35,0)</f>
        <v>0002378552949</v>
      </c>
    </row>
    <row r="15" ht="15.75" customHeight="1">
      <c r="A15" s="155" t="s">
        <v>2302</v>
      </c>
      <c r="B15" s="38" t="str">
        <f>VLOOKUP(A15,DATAKARYAWAN,3,0)</f>
        <v>Karyawan Kontrak</v>
      </c>
      <c r="C15" s="38" t="str">
        <f>VLOOKUP(A15,DATAKARYAWAN,4,0)</f>
        <v>25-110023</v>
      </c>
      <c r="D15" s="38" t="str">
        <f>VLOOKUP(A15,DATAKARYAWAN,5,0)</f>
        <v>08999001289</v>
      </c>
      <c r="E15" s="38" t="str">
        <f>VLOOKUP(A15,DATAKARYAWAN,6,0)</f>
        <v>ilhamsaputra.111102@gmail.com</v>
      </c>
      <c r="F15" s="38" t="str">
        <f>VLOOKUP(A15,DATAKARYAWAN,7,0)</f>
        <v>KRANI</v>
      </c>
      <c r="G15" s="38" t="str">
        <f>VLOOKUP(A15,DATAKARYAWAN,8,0)</f>
        <v>OPERASIONAL</v>
      </c>
      <c r="H15" s="53"/>
      <c r="I15" s="38" t="str">
        <f>VLOOKUP(A15,DATAKARYAWAN,10,0)</f>
        <v>Indonesia</v>
      </c>
      <c r="J15" s="38" t="str">
        <f>VLOOKUP(A15,DATAKARYAWAN,11,0)</f>
        <v>ISLAM</v>
      </c>
      <c r="K15" s="38" t="str">
        <f>VLOOKUP(A15,DATAKARYAWAN,12,0)</f>
        <v>3578130101083516</v>
      </c>
      <c r="L15" s="38" t="str">
        <f>VLOOKUP(A15,DATAKARYAWAN,13,0)</f>
        <v>3578130509980002</v>
      </c>
      <c r="M15" s="38" t="str">
        <f>VLOOKUP(A15,DATAKARYAWAN,14,0)</f>
        <v>BCA</v>
      </c>
      <c r="N15" s="38" t="str">
        <f>VLOOKUP(A15,DATAKARYAWAN,15,0)</f>
        <v>4100237097</v>
      </c>
      <c r="O15" s="38" t="str">
        <f>VLOOKUP(A15,DATAKARYAWAN,16,0)</f>
        <v>MA</v>
      </c>
      <c r="P15" s="48"/>
      <c r="Q15" s="38" t="str">
        <f>VLOOKUP(A15,DATAKARYAWAN,18,0)</f>
        <v>LAKI - LAKI</v>
      </c>
      <c r="R15" s="490">
        <f>VLOOKUP(A15,DATAKARYAWAN,19,0)</f>
        <v>36043</v>
      </c>
      <c r="S15" s="38" t="str">
        <f>VLOOKUP(A15,DATAKARYAWAN,20,0)</f>
        <v>SURABAYA</v>
      </c>
      <c r="T15" s="38"/>
      <c r="U15" s="38" t="str">
        <f>VLOOKUP(A15,DATAKARYAWAN,22,0)</f>
        <v>JEPARA VI/17 SURABAYA RT06 RW01</v>
      </c>
      <c r="V15" s="38" t="str">
        <f>VLOOKUP(A15,DATAKARYAWAN,23,0)</f>
        <v/>
      </c>
      <c r="W15" s="38" t="str">
        <f>VLOOKUP(A15,DATAKARYAWAN,24,0)</f>
        <v>JAWA TIMUR</v>
      </c>
      <c r="X15" s="38" t="str">
        <f>VLOOKUP(A15,DATAKARYAWAN,25,0)</f>
        <v>SURABAYA</v>
      </c>
      <c r="Y15" s="38" t="str">
        <f>VLOOKUP(A15,DATAKARYAWAN,26,0)</f>
        <v>BUBUTAN</v>
      </c>
      <c r="Z15" s="38" t="str">
        <f>VLOOKUP(A15,DATAKARYAWAN,27,0)</f>
        <v>JEPARA</v>
      </c>
      <c r="AA15" s="38">
        <f>VLOOKUP(A15,DATAKARYAWAN,28,0)</f>
        <v>60171</v>
      </c>
      <c r="AB15" s="38"/>
      <c r="AC15" s="38"/>
      <c r="AD15" s="38" t="str">
        <f>VLOOKUP(A15,DATAKARYAWAN,31,0)</f>
        <v>TK/0</v>
      </c>
      <c r="AE15" s="48"/>
      <c r="AF15" s="38" t="str">
        <f>VLOOKUP(A15,DATAKARYAWAN,33,0)</f>
        <v>OKE</v>
      </c>
      <c r="AG15" s="38">
        <f>VLOOKUP(A15,DATAKARYAWAN,34,0)</f>
        <v>26042384839</v>
      </c>
      <c r="AH15" s="38" t="str">
        <f>VLOOKUP(A15,DATAKARYAWAN,35,0)</f>
        <v>0001544484881</v>
      </c>
    </row>
    <row r="16" ht="15.75" customHeight="1">
      <c r="A16" s="155" t="s">
        <v>2346</v>
      </c>
      <c r="B16" s="38" t="str">
        <f>VLOOKUP(A16,DATAKARYAWAN,3,0)</f>
        <v>Karyawan Kontrak</v>
      </c>
      <c r="C16" s="38" t="str">
        <f>VLOOKUP(A16,DATAKARYAWAN,4,0)</f>
        <v>25-120024</v>
      </c>
      <c r="D16" s="38" t="str">
        <f>VLOOKUP(A16,DATAKARYAWAN,5,0)</f>
        <v>085704122434</v>
      </c>
      <c r="E16" s="38" t="str">
        <f>VLOOKUP(A16,DATAKARYAWAN,6,0)</f>
        <v>muhamuhana8@gmail.com</v>
      </c>
      <c r="F16" s="38" t="str">
        <f>VLOOKUP(A16,DATAKARYAWAN,7,0)</f>
        <v>TKBM</v>
      </c>
      <c r="G16" s="38" t="str">
        <f>VLOOKUP(A16,DATAKARYAWAN,8,0)</f>
        <v>OPERASIONAL</v>
      </c>
      <c r="H16" s="53"/>
      <c r="I16" s="38" t="str">
        <f>VLOOKUP(A16,DATAKARYAWAN,10,0)</f>
        <v>Indonesia</v>
      </c>
      <c r="J16" s="38" t="str">
        <f>VLOOKUP(A16,DATAKARYAWAN,11,0)</f>
        <v>ISLAM</v>
      </c>
      <c r="K16" s="38" t="str">
        <f>VLOOKUP(A16,DATAKARYAWAN,12,0)</f>
        <v>3578190908120026</v>
      </c>
      <c r="L16" s="38" t="str">
        <f>VLOOKUP(A16,DATAKARYAWAN,13,0)</f>
        <v>3523012512870001</v>
      </c>
      <c r="M16" s="38" t="str">
        <f>VLOOKUP(A16,DATAKARYAWAN,14,0)</f>
        <v>BCA</v>
      </c>
      <c r="N16" s="38">
        <f>VLOOKUP(A16,DATAKARYAWAN,15,0)</f>
        <v>6170637257</v>
      </c>
      <c r="O16" s="38" t="str">
        <f>VLOOKUP(A16,DATAKARYAWAN,16,0)</f>
        <v>SD</v>
      </c>
      <c r="P16" s="48"/>
      <c r="Q16" s="38" t="str">
        <f>VLOOKUP(A16,DATAKARYAWAN,18,0)</f>
        <v>LAKI-LAKI</v>
      </c>
      <c r="R16" s="38" t="str">
        <f>VLOOKUP(A16,DATAKARYAWAN,19,0)</f>
        <v>25 Desember 1987</v>
      </c>
      <c r="S16" s="38" t="str">
        <f>VLOOKUP(A16,DATAKARYAWAN,20,0)</f>
        <v>TUBAN</v>
      </c>
      <c r="T16" s="38"/>
      <c r="U16" s="38" t="str">
        <f>VLOOKUP(A16,DATAKARYAWAN,22,0)</f>
        <v>KANDANGAN MULYA GG. III / 29 RT 7/RW 1</v>
      </c>
      <c r="V16" s="38" t="str">
        <f>VLOOKUP(A16,DATAKARYAWAN,23,0)</f>
        <v/>
      </c>
      <c r="W16" s="38" t="str">
        <f>VLOOKUP(A16,DATAKARYAWAN,24,0)</f>
        <v>JAWA TIMUR</v>
      </c>
      <c r="X16" s="38" t="str">
        <f>VLOOKUP(A16,DATAKARYAWAN,25,0)</f>
        <v>SURABAYA</v>
      </c>
      <c r="Y16" s="38" t="str">
        <f>VLOOKUP(A16,DATAKARYAWAN,26,0)</f>
        <v>BENOWO</v>
      </c>
      <c r="Z16" s="38" t="str">
        <f>VLOOKUP(A16,DATAKARYAWAN,27,0)</f>
        <v>KANDANGAN</v>
      </c>
      <c r="AA16" s="38">
        <f>VLOOKUP(A16,DATAKARYAWAN,28,0)</f>
        <v>60198</v>
      </c>
      <c r="AB16" s="38"/>
      <c r="AC16" s="38"/>
      <c r="AD16" s="38" t="str">
        <f>VLOOKUP(A16,DATAKARYAWAN,31,0)</f>
        <v>K/2</v>
      </c>
      <c r="AE16" s="48"/>
      <c r="AF16" s="38" t="str">
        <f>VLOOKUP(A16,DATAKARYAWAN,33,0)</f>
        <v>OKE</v>
      </c>
      <c r="AG16" s="38">
        <f>VLOOKUP(A16,DATAKARYAWAN,34,0)</f>
        <v>26042384813</v>
      </c>
      <c r="AH16" s="38" t="str">
        <f>VLOOKUP(A16,DATAKARYAWAN,35,0)</f>
        <v>0000749638179</v>
      </c>
    </row>
    <row r="17" ht="15.75" customHeight="1">
      <c r="P17" s="38"/>
    </row>
    <row r="18" ht="15.75" customHeight="1">
      <c r="A18" s="491" t="s">
        <v>83</v>
      </c>
      <c r="B18" s="38" t="str">
        <f>VLOOKUP(A18,DATAKARYAWAN,3,0)</f>
        <v/>
      </c>
      <c r="C18" s="38" t="str">
        <f>VLOOKUP(A18,DATAKARYAWAN,4,0)</f>
        <v/>
      </c>
      <c r="D18" s="38" t="str">
        <f>VLOOKUP(A18,DATAKARYAWAN,5,0)</f>
        <v>081330444538</v>
      </c>
      <c r="E18" s="38" t="str">
        <f>VLOOKUP(A18,DATAKARYAWAN,6,0)</f>
        <v/>
      </c>
      <c r="F18" s="38" t="str">
        <f>VLOOKUP(A18,DATAKARYAWAN,7,0)</f>
        <v>KOMISARIS</v>
      </c>
      <c r="G18" s="38" t="str">
        <f>VLOOKUP(A18,DATAKARYAWAN,8,0)</f>
        <v/>
      </c>
      <c r="H18" s="53"/>
      <c r="I18" s="38" t="str">
        <f>VLOOKUP(A18,DATAKARYAWAN,10,0)</f>
        <v>Indonesia</v>
      </c>
      <c r="J18" s="38" t="str">
        <f>VLOOKUP(A18,DATAKARYAWAN,11,0)</f>
        <v>BUDHA</v>
      </c>
      <c r="K18" s="38" t="str">
        <f>VLOOKUP(A18,DATAKARYAWAN,12,0)</f>
        <v>3578100401085968</v>
      </c>
      <c r="L18" s="38" t="str">
        <f>VLOOKUP(A18,DATAKARYAWAN,13,0)</f>
        <v>3578105707960004</v>
      </c>
      <c r="M18" s="38" t="str">
        <f>VLOOKUP(A18,DATAKARYAWAN,14,0)</f>
        <v/>
      </c>
      <c r="N18" s="38" t="str">
        <f>VLOOKUP(A18,DATAKARYAWAN,15,0)</f>
        <v/>
      </c>
      <c r="O18" s="38" t="str">
        <f>VLOOKUP(A18,DATAKARYAWAN,16,0)</f>
        <v>SD</v>
      </c>
      <c r="P18" s="48"/>
      <c r="Q18" s="38" t="str">
        <f>VLOOKUP(A18,DATAKARYAWAN,18,0)</f>
        <v>PEREMPUAN</v>
      </c>
      <c r="R18" s="38" t="str">
        <f>VLOOKUP(A18,DATAKARYAWAN,19,0)</f>
        <v>17 Juli 1996</v>
      </c>
      <c r="S18" s="38" t="str">
        <f>VLOOKUP(A18,DATAKARYAWAN,20,0)</f>
        <v>SURABAYA</v>
      </c>
      <c r="T18" s="38"/>
      <c r="U18" s="38" t="str">
        <f>VLOOKUP(A18,DATAKARYAWAN,22,0)</f>
        <v>LEBAK INDAH NO. 21 RT 01/RW 11</v>
      </c>
      <c r="V18" s="38" t="str">
        <f>VLOOKUP(A18,DATAKARYAWAN,23,0)</f>
        <v/>
      </c>
      <c r="W18" s="38" t="str">
        <f>VLOOKUP(A18,DATAKARYAWAN,24,0)</f>
        <v>JAWA TIMUR</v>
      </c>
      <c r="X18" s="38" t="str">
        <f>VLOOKUP(A18,DATAKARYAWAN,25,0)</f>
        <v>SURABAYA</v>
      </c>
      <c r="Y18" s="38" t="str">
        <f>VLOOKUP(A18,DATAKARYAWAN,26,0)</f>
        <v>TAMBAKSARI</v>
      </c>
      <c r="Z18" s="38" t="str">
        <f>VLOOKUP(A18,DATAKARYAWAN,27,0)</f>
        <v>GADING</v>
      </c>
      <c r="AA18" s="38">
        <f>VLOOKUP(A18,DATAKARYAWAN,28,0)</f>
        <v>60134</v>
      </c>
      <c r="AB18" s="38"/>
      <c r="AC18" s="38"/>
      <c r="AD18" s="38" t="str">
        <f>VLOOKUP(A18,DATAKARYAWAN,31,0)</f>
        <v>TK/0</v>
      </c>
      <c r="AE18" s="48"/>
      <c r="AF18" s="38" t="str">
        <f>VLOOKUP(A18,DATAKARYAWAN,33,0)</f>
        <v>619704729619000</v>
      </c>
      <c r="AG18" s="38" t="str">
        <f>VLOOKUP(A18,DATAKARYAWAN,34,0)</f>
        <v/>
      </c>
      <c r="AH18" s="38" t="str">
        <f>VLOOKUP(A18,DATAKARYAWAN,35,0)</f>
        <v/>
      </c>
      <c r="AI18" s="492"/>
      <c r="AJ18" s="492"/>
      <c r="AK18" s="492"/>
      <c r="AL18" s="492"/>
      <c r="AM18" s="492"/>
      <c r="AN18" s="492"/>
      <c r="AO18" s="492"/>
      <c r="AP18" s="492"/>
      <c r="AQ18" s="492"/>
      <c r="AR18" s="492"/>
      <c r="AS18" s="492"/>
      <c r="AT18" s="492"/>
      <c r="AU18" s="492"/>
      <c r="AV18" s="492"/>
      <c r="AW18" s="492"/>
      <c r="AY18" s="492"/>
      <c r="AZ18" s="492"/>
      <c r="BA18" s="492"/>
      <c r="BB18" s="492"/>
      <c r="BC18" s="492"/>
      <c r="BD18" s="492"/>
      <c r="BE18" s="492"/>
      <c r="BF18" s="492"/>
      <c r="BG18" s="492"/>
      <c r="BH18" s="492"/>
      <c r="BI18" s="492"/>
      <c r="BJ18" s="492"/>
      <c r="BK18" s="492"/>
      <c r="BL18" s="492"/>
      <c r="BM18" s="492"/>
      <c r="BN18" s="492"/>
      <c r="BO18" s="492"/>
      <c r="BP18" s="492"/>
      <c r="BQ18" s="492"/>
      <c r="BR18" s="492"/>
      <c r="BS18" s="492"/>
      <c r="BT18" s="492"/>
      <c r="BU18" s="492"/>
      <c r="BV18" s="492"/>
      <c r="BW18" s="492"/>
      <c r="BX18" s="492"/>
      <c r="BY18" s="492"/>
      <c r="BZ18" s="492"/>
      <c r="CA18" s="492"/>
      <c r="CB18" s="492"/>
      <c r="CC18" s="492"/>
      <c r="CD18" s="492"/>
      <c r="CE18" s="492"/>
      <c r="CF18" s="493"/>
      <c r="CG18" s="493"/>
      <c r="CH18" s="493"/>
      <c r="CI18" s="493"/>
      <c r="CJ18" s="493"/>
      <c r="CK18" s="493"/>
      <c r="CL18" s="493"/>
    </row>
    <row r="19" ht="15.75" customHeight="1">
      <c r="P19" s="38"/>
    </row>
    <row r="20" ht="15.75" customHeight="1">
      <c r="P20" s="38"/>
    </row>
    <row r="21" ht="15.75" customHeight="1">
      <c r="P21" s="38"/>
    </row>
    <row r="22" ht="15.75" customHeight="1">
      <c r="P22" s="38"/>
    </row>
    <row r="23" ht="15.75" customHeight="1">
      <c r="P23" s="38"/>
    </row>
    <row r="24" ht="15.75" customHeight="1">
      <c r="P24" s="38"/>
    </row>
    <row r="25" ht="15.75" customHeight="1">
      <c r="P25" s="38"/>
    </row>
    <row r="26" ht="15.75" customHeight="1">
      <c r="P26" s="38"/>
    </row>
    <row r="27" ht="15.75" customHeight="1">
      <c r="P27" s="38"/>
    </row>
    <row r="28" ht="15.75" customHeight="1">
      <c r="P28" s="38"/>
    </row>
    <row r="29" ht="15.75" customHeight="1">
      <c r="P29" s="38"/>
    </row>
    <row r="30" ht="15.75" customHeight="1">
      <c r="P30" s="38"/>
    </row>
    <row r="31" ht="15.75" customHeight="1">
      <c r="P31" s="38"/>
    </row>
    <row r="32" ht="15.75" customHeight="1">
      <c r="P32" s="38"/>
    </row>
    <row r="33" ht="15.75" customHeight="1">
      <c r="P33" s="38"/>
    </row>
    <row r="34" ht="15.75" customHeight="1">
      <c r="P34" s="38"/>
    </row>
    <row r="35" ht="15.75" customHeight="1">
      <c r="P35" s="38"/>
    </row>
    <row r="36" ht="15.75" customHeight="1">
      <c r="P36" s="38"/>
    </row>
    <row r="37" ht="15.75" customHeight="1">
      <c r="P37" s="38"/>
    </row>
    <row r="38" ht="15.75" customHeight="1">
      <c r="P38" s="38"/>
    </row>
    <row r="39" ht="15.75" customHeight="1">
      <c r="P39" s="38"/>
    </row>
    <row r="40" ht="15.75" customHeight="1">
      <c r="P40" s="38"/>
    </row>
    <row r="41" ht="15.75" customHeight="1">
      <c r="P41" s="38"/>
    </row>
    <row r="42" ht="15.75" customHeight="1">
      <c r="P42" s="38"/>
    </row>
    <row r="43" ht="15.75" customHeight="1">
      <c r="P43" s="38"/>
    </row>
    <row r="44" ht="15.75" customHeight="1">
      <c r="P44" s="38"/>
    </row>
    <row r="45" ht="15.75" customHeight="1">
      <c r="P45" s="38"/>
    </row>
    <row r="46" ht="15.75" customHeight="1">
      <c r="P46" s="38"/>
    </row>
    <row r="47" ht="15.75" customHeight="1">
      <c r="P47" s="38"/>
    </row>
    <row r="48" ht="15.75" customHeight="1">
      <c r="P48" s="38"/>
    </row>
    <row r="49" ht="15.75" customHeight="1">
      <c r="P49" s="38"/>
    </row>
    <row r="50" ht="15.75" customHeight="1">
      <c r="P50" s="38"/>
    </row>
    <row r="51" ht="15.75" customHeight="1">
      <c r="P51" s="38"/>
    </row>
    <row r="52" ht="15.75" customHeight="1">
      <c r="P52" s="38"/>
    </row>
    <row r="53" ht="15.75" customHeight="1">
      <c r="P53" s="38"/>
    </row>
    <row r="54" ht="15.75" customHeight="1">
      <c r="P54" s="38"/>
    </row>
    <row r="55" ht="15.75" customHeight="1">
      <c r="P55" s="38"/>
    </row>
    <row r="56" ht="15.75" customHeight="1">
      <c r="P56" s="38"/>
    </row>
    <row r="57" ht="15.75" customHeight="1">
      <c r="P57" s="38"/>
    </row>
    <row r="58" ht="15.75" customHeight="1">
      <c r="P58" s="38"/>
    </row>
    <row r="59" ht="15.75" customHeight="1">
      <c r="P59" s="38"/>
    </row>
    <row r="60" ht="15.75" customHeight="1">
      <c r="P60" s="38"/>
    </row>
    <row r="61" ht="15.75" customHeight="1">
      <c r="P61" s="38"/>
    </row>
    <row r="62" ht="15.75" customHeight="1">
      <c r="P62" s="38"/>
    </row>
    <row r="63" ht="15.75" customHeight="1">
      <c r="P63" s="38"/>
    </row>
    <row r="64" ht="15.75" customHeight="1">
      <c r="P64" s="38"/>
    </row>
    <row r="65" ht="15.75" customHeight="1">
      <c r="P65" s="38"/>
    </row>
    <row r="66" ht="15.75" customHeight="1">
      <c r="P66" s="38"/>
    </row>
    <row r="67" ht="15.75" customHeight="1">
      <c r="P67" s="38"/>
    </row>
    <row r="68" ht="15.75" customHeight="1">
      <c r="P68" s="38"/>
    </row>
    <row r="69" ht="15.75" customHeight="1">
      <c r="P69" s="38"/>
    </row>
    <row r="70" ht="15.75" customHeight="1">
      <c r="P70" s="38"/>
    </row>
    <row r="71" ht="15.75" customHeight="1">
      <c r="P71" s="38"/>
    </row>
    <row r="72" ht="15.75" customHeight="1">
      <c r="P72" s="38"/>
    </row>
    <row r="73" ht="15.75" customHeight="1">
      <c r="P73" s="38"/>
    </row>
    <row r="74" ht="15.75" customHeight="1">
      <c r="P74" s="38"/>
    </row>
    <row r="75" ht="15.75" customHeight="1">
      <c r="P75" s="38"/>
    </row>
    <row r="76" ht="15.75" customHeight="1">
      <c r="P76" s="38"/>
    </row>
    <row r="77" ht="15.75" customHeight="1">
      <c r="P77" s="38"/>
    </row>
    <row r="78" ht="15.75" customHeight="1">
      <c r="P78" s="38"/>
    </row>
    <row r="79" ht="15.75" customHeight="1">
      <c r="P79" s="38"/>
    </row>
    <row r="80" ht="15.75" customHeight="1">
      <c r="P80" s="38"/>
    </row>
    <row r="81" ht="15.75" customHeight="1">
      <c r="P81" s="38"/>
    </row>
    <row r="82" ht="15.75" customHeight="1">
      <c r="P82" s="38"/>
    </row>
    <row r="83" ht="15.75" customHeight="1">
      <c r="P83" s="38"/>
    </row>
    <row r="84" ht="15.75" customHeight="1">
      <c r="P84" s="38"/>
    </row>
    <row r="85" ht="15.75" customHeight="1">
      <c r="P85" s="38"/>
    </row>
    <row r="86" ht="15.75" customHeight="1">
      <c r="P86" s="38"/>
    </row>
    <row r="87" ht="15.75" customHeight="1">
      <c r="P87" s="38"/>
    </row>
    <row r="88" ht="15.75" customHeight="1">
      <c r="P88" s="38"/>
    </row>
    <row r="89" ht="15.75" customHeight="1">
      <c r="P89" s="38"/>
    </row>
    <row r="90" ht="15.75" customHeight="1">
      <c r="P90" s="38"/>
    </row>
    <row r="91" ht="15.75" customHeight="1">
      <c r="P91" s="38"/>
    </row>
    <row r="92" ht="15.75" customHeight="1">
      <c r="P92" s="38"/>
    </row>
    <row r="93" ht="15.75" customHeight="1">
      <c r="P93" s="38"/>
    </row>
    <row r="94" ht="15.75" customHeight="1">
      <c r="P94" s="38"/>
    </row>
    <row r="95" ht="15.75" customHeight="1">
      <c r="P95" s="38"/>
    </row>
    <row r="96" ht="15.75" customHeight="1">
      <c r="P96" s="38"/>
    </row>
    <row r="97" ht="15.75" customHeight="1">
      <c r="P97" s="38"/>
    </row>
    <row r="98" ht="15.75" customHeight="1">
      <c r="P98" s="38"/>
    </row>
    <row r="99" ht="15.75" customHeight="1">
      <c r="P99" s="38"/>
    </row>
    <row r="100" ht="15.75" customHeight="1">
      <c r="P100" s="38"/>
    </row>
    <row r="101" ht="15.75" customHeight="1">
      <c r="P101" s="38"/>
    </row>
    <row r="102" ht="15.75" customHeight="1">
      <c r="P102" s="38"/>
    </row>
    <row r="103" ht="15.75" customHeight="1">
      <c r="P103" s="38"/>
    </row>
    <row r="104" ht="15.75" customHeight="1">
      <c r="P104" s="38"/>
    </row>
    <row r="105" ht="15.75" customHeight="1">
      <c r="P105" s="38"/>
    </row>
    <row r="106" ht="15.75" customHeight="1">
      <c r="P106" s="38"/>
    </row>
    <row r="107" ht="15.75" customHeight="1">
      <c r="P107" s="38"/>
    </row>
    <row r="108" ht="15.75" customHeight="1">
      <c r="P108" s="38"/>
    </row>
    <row r="109" ht="15.75" customHeight="1">
      <c r="P109" s="38"/>
    </row>
    <row r="110" ht="15.75" customHeight="1">
      <c r="P110" s="38"/>
    </row>
    <row r="111" ht="15.75" customHeight="1">
      <c r="P111" s="38"/>
    </row>
    <row r="112" ht="15.75" customHeight="1">
      <c r="P112" s="38"/>
    </row>
    <row r="113" ht="15.75" customHeight="1">
      <c r="P113" s="38"/>
    </row>
    <row r="114" ht="15.75" customHeight="1">
      <c r="P114" s="38"/>
    </row>
    <row r="115" ht="15.75" customHeight="1">
      <c r="P115" s="38"/>
    </row>
    <row r="116" ht="15.75" customHeight="1">
      <c r="P116" s="38"/>
    </row>
    <row r="117" ht="15.75" customHeight="1">
      <c r="P117" s="38"/>
    </row>
    <row r="118" ht="15.75" customHeight="1">
      <c r="P118" s="38"/>
    </row>
    <row r="119" ht="15.75" customHeight="1">
      <c r="P119" s="38"/>
    </row>
    <row r="120" ht="15.75" customHeight="1">
      <c r="P120" s="38"/>
    </row>
    <row r="121" ht="15.75" customHeight="1">
      <c r="P121" s="38"/>
    </row>
    <row r="122" ht="15.75" customHeight="1">
      <c r="P122" s="38"/>
    </row>
    <row r="123" ht="15.75" customHeight="1">
      <c r="P123" s="38"/>
    </row>
    <row r="124" ht="15.75" customHeight="1">
      <c r="P124" s="38"/>
    </row>
    <row r="125" ht="15.75" customHeight="1">
      <c r="P125" s="38"/>
    </row>
    <row r="126" ht="15.75" customHeight="1">
      <c r="P126" s="38"/>
    </row>
    <row r="127" ht="15.75" customHeight="1">
      <c r="P127" s="38"/>
    </row>
    <row r="128" ht="15.75" customHeight="1">
      <c r="P128" s="38"/>
    </row>
    <row r="129" ht="15.75" customHeight="1">
      <c r="P129" s="38"/>
    </row>
    <row r="130" ht="15.75" customHeight="1">
      <c r="P130" s="38"/>
    </row>
    <row r="131" ht="15.75" customHeight="1">
      <c r="P131" s="38"/>
    </row>
    <row r="132" ht="15.75" customHeight="1">
      <c r="P132" s="38"/>
    </row>
    <row r="133" ht="15.75" customHeight="1">
      <c r="P133" s="38"/>
    </row>
    <row r="134" ht="15.75" customHeight="1">
      <c r="P134" s="38"/>
    </row>
    <row r="135" ht="15.75" customHeight="1">
      <c r="P135" s="38"/>
    </row>
    <row r="136" ht="15.75" customHeight="1">
      <c r="P136" s="38"/>
    </row>
    <row r="137" ht="15.75" customHeight="1">
      <c r="P137" s="38"/>
    </row>
    <row r="138" ht="15.75" customHeight="1">
      <c r="P138" s="38"/>
    </row>
    <row r="139" ht="15.75" customHeight="1">
      <c r="P139" s="38"/>
    </row>
    <row r="140" ht="15.75" customHeight="1">
      <c r="P140" s="38"/>
    </row>
    <row r="141" ht="15.75" customHeight="1">
      <c r="P141" s="38"/>
    </row>
    <row r="142" ht="15.75" customHeight="1">
      <c r="P142" s="38"/>
    </row>
    <row r="143" ht="15.75" customHeight="1">
      <c r="P143" s="38"/>
    </row>
    <row r="144" ht="15.75" customHeight="1">
      <c r="P144" s="38"/>
    </row>
    <row r="145" ht="15.75" customHeight="1">
      <c r="P145" s="38"/>
    </row>
    <row r="146" ht="15.75" customHeight="1">
      <c r="P146" s="38"/>
    </row>
    <row r="147" ht="15.75" customHeight="1">
      <c r="P147" s="38"/>
    </row>
    <row r="148" ht="15.75" customHeight="1">
      <c r="P148" s="38"/>
    </row>
    <row r="149" ht="15.75" customHeight="1">
      <c r="P149" s="38"/>
    </row>
    <row r="150" ht="15.75" customHeight="1">
      <c r="P150" s="38"/>
    </row>
    <row r="151" ht="15.75" customHeight="1">
      <c r="P151" s="38"/>
    </row>
    <row r="152" ht="15.75" customHeight="1">
      <c r="P152" s="38"/>
    </row>
    <row r="153" ht="15.75" customHeight="1">
      <c r="P153" s="38"/>
    </row>
    <row r="154" ht="15.75" customHeight="1">
      <c r="P154" s="38"/>
    </row>
    <row r="155" ht="15.75" customHeight="1">
      <c r="P155" s="38"/>
    </row>
    <row r="156" ht="15.75" customHeight="1">
      <c r="P156" s="38"/>
    </row>
    <row r="157" ht="15.75" customHeight="1">
      <c r="P157" s="38"/>
    </row>
    <row r="158" ht="15.75" customHeight="1">
      <c r="P158" s="38"/>
    </row>
    <row r="159" ht="15.75" customHeight="1">
      <c r="P159" s="38"/>
    </row>
    <row r="160" ht="15.75" customHeight="1">
      <c r="P160" s="38"/>
    </row>
    <row r="161" ht="15.75" customHeight="1">
      <c r="P161" s="38"/>
    </row>
    <row r="162" ht="15.75" customHeight="1">
      <c r="P162" s="38"/>
    </row>
    <row r="163" ht="15.75" customHeight="1">
      <c r="P163" s="38"/>
    </row>
    <row r="164" ht="15.75" customHeight="1">
      <c r="P164" s="38"/>
    </row>
    <row r="165" ht="15.75" customHeight="1">
      <c r="P165" s="38"/>
    </row>
    <row r="166" ht="15.75" customHeight="1">
      <c r="P166" s="38"/>
    </row>
    <row r="167" ht="15.75" customHeight="1">
      <c r="P167" s="38"/>
    </row>
    <row r="168" ht="15.75" customHeight="1">
      <c r="P168" s="38"/>
    </row>
    <row r="169" ht="15.75" customHeight="1">
      <c r="P169" s="38"/>
    </row>
    <row r="170" ht="15.75" customHeight="1">
      <c r="P170" s="38"/>
    </row>
    <row r="171" ht="15.75" customHeight="1">
      <c r="P171" s="38"/>
    </row>
    <row r="172" ht="15.75" customHeight="1">
      <c r="P172" s="38"/>
    </row>
    <row r="173" ht="15.75" customHeight="1">
      <c r="P173" s="38"/>
    </row>
    <row r="174" ht="15.75" customHeight="1">
      <c r="P174" s="38"/>
    </row>
    <row r="175" ht="15.75" customHeight="1">
      <c r="P175" s="38"/>
    </row>
    <row r="176" ht="15.75" customHeight="1">
      <c r="P176" s="38"/>
    </row>
    <row r="177" ht="15.75" customHeight="1">
      <c r="P177" s="38"/>
    </row>
    <row r="178" ht="15.75" customHeight="1">
      <c r="P178" s="38"/>
    </row>
    <row r="179" ht="15.75" customHeight="1">
      <c r="P179" s="38"/>
    </row>
    <row r="180" ht="15.75" customHeight="1">
      <c r="P180" s="38"/>
    </row>
    <row r="181" ht="15.75" customHeight="1">
      <c r="P181" s="38"/>
    </row>
    <row r="182" ht="15.75" customHeight="1">
      <c r="P182" s="38"/>
    </row>
    <row r="183" ht="15.75" customHeight="1">
      <c r="P183" s="38"/>
    </row>
    <row r="184" ht="15.75" customHeight="1">
      <c r="P184" s="38"/>
    </row>
    <row r="185" ht="15.75" customHeight="1">
      <c r="P185" s="38"/>
    </row>
    <row r="186" ht="15.75" customHeight="1">
      <c r="P186" s="38"/>
    </row>
    <row r="187" ht="15.75" customHeight="1">
      <c r="P187" s="38"/>
    </row>
    <row r="188" ht="15.75" customHeight="1">
      <c r="P188" s="38"/>
    </row>
    <row r="189" ht="15.75" customHeight="1">
      <c r="P189" s="38"/>
    </row>
    <row r="190" ht="15.75" customHeight="1">
      <c r="P190" s="38"/>
    </row>
    <row r="191" ht="15.75" customHeight="1">
      <c r="P191" s="38"/>
    </row>
    <row r="192" ht="15.75" customHeight="1">
      <c r="P192" s="38"/>
    </row>
    <row r="193" ht="15.75" customHeight="1">
      <c r="P193" s="38"/>
    </row>
    <row r="194" ht="15.75" customHeight="1">
      <c r="P194" s="38"/>
    </row>
    <row r="195" ht="15.75" customHeight="1">
      <c r="P195" s="38"/>
    </row>
    <row r="196" ht="15.75" customHeight="1">
      <c r="P196" s="38"/>
    </row>
    <row r="197" ht="15.75" customHeight="1">
      <c r="P197" s="38"/>
    </row>
    <row r="198" ht="15.75" customHeight="1">
      <c r="P198" s="38"/>
    </row>
    <row r="199" ht="15.75" customHeight="1">
      <c r="P199" s="38"/>
    </row>
    <row r="200" ht="15.75" customHeight="1">
      <c r="P200" s="38"/>
    </row>
    <row r="201" ht="15.75" customHeight="1">
      <c r="P201" s="38"/>
    </row>
    <row r="202" ht="15.75" customHeight="1">
      <c r="P202" s="38"/>
    </row>
    <row r="203" ht="15.75" customHeight="1">
      <c r="P203" s="38"/>
    </row>
    <row r="204" ht="15.75" customHeight="1">
      <c r="P204" s="38"/>
    </row>
    <row r="205" ht="15.75" customHeight="1">
      <c r="P205" s="38"/>
    </row>
    <row r="206" ht="15.75" customHeight="1">
      <c r="P206" s="38"/>
    </row>
    <row r="207" ht="15.75" customHeight="1">
      <c r="P207" s="38"/>
    </row>
    <row r="208" ht="15.75" customHeight="1">
      <c r="P208" s="38"/>
    </row>
    <row r="209" ht="15.75" customHeight="1">
      <c r="P209" s="38"/>
    </row>
    <row r="210" ht="15.75" customHeight="1">
      <c r="P210" s="38"/>
    </row>
    <row r="211" ht="15.75" customHeight="1">
      <c r="P211" s="38"/>
    </row>
    <row r="212" ht="15.75" customHeight="1">
      <c r="P212" s="38"/>
    </row>
    <row r="213" ht="15.75" customHeight="1">
      <c r="P213" s="38"/>
    </row>
    <row r="214" ht="15.75" customHeight="1">
      <c r="P214" s="38"/>
    </row>
    <row r="215" ht="15.75" customHeight="1">
      <c r="P215" s="38"/>
    </row>
    <row r="216" ht="15.75" customHeight="1">
      <c r="P216" s="38"/>
    </row>
    <row r="217" ht="15.75" customHeight="1">
      <c r="P217" s="38"/>
    </row>
    <row r="218" ht="15.75" customHeight="1">
      <c r="P218" s="38"/>
    </row>
    <row r="219" ht="15.75" customHeight="1">
      <c r="P219" s="38"/>
    </row>
    <row r="220" ht="15.75" customHeight="1">
      <c r="P220" s="38"/>
    </row>
    <row r="221" ht="15.75" customHeight="1">
      <c r="P221" s="38"/>
    </row>
    <row r="222" ht="15.75" customHeight="1">
      <c r="P222" s="38"/>
    </row>
    <row r="223" ht="15.75" customHeight="1">
      <c r="P223" s="38"/>
    </row>
    <row r="224" ht="15.75" customHeight="1">
      <c r="P224" s="38"/>
    </row>
    <row r="225" ht="15.75" customHeight="1">
      <c r="P225" s="38"/>
    </row>
    <row r="226" ht="15.75" customHeight="1">
      <c r="P226" s="38"/>
    </row>
    <row r="227" ht="15.75" customHeight="1">
      <c r="P227" s="38"/>
    </row>
    <row r="228" ht="15.75" customHeight="1">
      <c r="P228" s="38"/>
    </row>
    <row r="229" ht="15.75" customHeight="1">
      <c r="P229" s="38"/>
    </row>
    <row r="230" ht="15.75" customHeight="1">
      <c r="P230" s="38"/>
    </row>
    <row r="231" ht="15.75" customHeight="1">
      <c r="P231" s="38"/>
    </row>
    <row r="232" ht="15.75" customHeight="1">
      <c r="P232" s="38"/>
    </row>
    <row r="233" ht="15.75" customHeight="1">
      <c r="P233" s="38"/>
    </row>
    <row r="234" ht="15.75" customHeight="1">
      <c r="P234" s="38"/>
    </row>
    <row r="235" ht="15.75" customHeight="1">
      <c r="P235" s="38"/>
    </row>
    <row r="236" ht="15.75" customHeight="1">
      <c r="P236" s="38"/>
    </row>
    <row r="237" ht="15.75" customHeight="1">
      <c r="P237" s="38"/>
    </row>
    <row r="238" ht="15.75" customHeight="1">
      <c r="P238" s="38"/>
    </row>
    <row r="239" ht="15.75" customHeight="1">
      <c r="P239" s="38"/>
    </row>
    <row r="240" ht="15.75" customHeight="1">
      <c r="P240" s="38"/>
    </row>
    <row r="241" ht="15.75" customHeight="1">
      <c r="P241" s="38"/>
    </row>
    <row r="242" ht="15.75" customHeight="1">
      <c r="P242" s="38"/>
    </row>
    <row r="243" ht="15.75" customHeight="1">
      <c r="P243" s="38"/>
    </row>
    <row r="244" ht="15.75" customHeight="1">
      <c r="P244" s="38"/>
    </row>
    <row r="245" ht="15.75" customHeight="1">
      <c r="P245" s="38"/>
    </row>
    <row r="246" ht="15.75" customHeight="1">
      <c r="P246" s="38"/>
    </row>
    <row r="247" ht="15.75" customHeight="1">
      <c r="P247" s="38"/>
    </row>
    <row r="248" ht="15.75" customHeight="1">
      <c r="P248" s="38"/>
    </row>
    <row r="249" ht="15.75" customHeight="1">
      <c r="P249" s="38"/>
    </row>
    <row r="250" ht="15.75" customHeight="1">
      <c r="P250" s="38"/>
    </row>
    <row r="251" ht="15.75" customHeight="1">
      <c r="P251" s="38"/>
    </row>
    <row r="252" ht="15.75" customHeight="1">
      <c r="P252" s="38"/>
    </row>
    <row r="253" ht="15.75" customHeight="1">
      <c r="P253" s="38"/>
    </row>
    <row r="254" ht="15.75" customHeight="1">
      <c r="P254" s="38"/>
    </row>
    <row r="255" ht="15.75" customHeight="1">
      <c r="P255" s="38"/>
    </row>
    <row r="256" ht="15.75" customHeight="1">
      <c r="P256" s="38"/>
    </row>
    <row r="257" ht="15.75" customHeight="1">
      <c r="P257" s="38"/>
    </row>
    <row r="258" ht="15.75" customHeight="1">
      <c r="P258" s="38"/>
    </row>
    <row r="259" ht="15.75" customHeight="1">
      <c r="P259" s="38"/>
    </row>
    <row r="260" ht="15.75" customHeight="1">
      <c r="P260" s="38"/>
    </row>
    <row r="261" ht="15.75" customHeight="1">
      <c r="P261" s="38"/>
    </row>
    <row r="262" ht="15.75" customHeight="1">
      <c r="P262" s="38"/>
    </row>
    <row r="263" ht="15.75" customHeight="1">
      <c r="P263" s="38"/>
    </row>
    <row r="264" ht="15.75" customHeight="1">
      <c r="P264" s="38"/>
    </row>
    <row r="265" ht="15.75" customHeight="1">
      <c r="P265" s="38"/>
    </row>
    <row r="266" ht="15.75" customHeight="1">
      <c r="P266" s="38"/>
    </row>
    <row r="267" ht="15.75" customHeight="1">
      <c r="P267" s="38"/>
    </row>
    <row r="268" ht="15.75" customHeight="1">
      <c r="P268" s="38"/>
    </row>
    <row r="269" ht="15.75" customHeight="1">
      <c r="P269" s="38"/>
    </row>
    <row r="270" ht="15.75" customHeight="1">
      <c r="P270" s="38"/>
    </row>
    <row r="271" ht="15.75" customHeight="1">
      <c r="P271" s="38"/>
    </row>
    <row r="272" ht="15.75" customHeight="1">
      <c r="P272" s="38"/>
    </row>
    <row r="273" ht="15.75" customHeight="1">
      <c r="P273" s="38"/>
    </row>
    <row r="274" ht="15.75" customHeight="1">
      <c r="P274" s="38"/>
    </row>
    <row r="275" ht="15.75" customHeight="1">
      <c r="P275" s="38"/>
    </row>
    <row r="276" ht="15.75" customHeight="1">
      <c r="P276" s="38"/>
    </row>
    <row r="277" ht="15.75" customHeight="1">
      <c r="P277" s="38"/>
    </row>
    <row r="278" ht="15.75" customHeight="1">
      <c r="P278" s="38"/>
    </row>
    <row r="279" ht="15.75" customHeight="1">
      <c r="P279" s="38"/>
    </row>
    <row r="280" ht="15.75" customHeight="1">
      <c r="P280" s="38"/>
    </row>
    <row r="281" ht="15.75" customHeight="1">
      <c r="P281" s="38"/>
    </row>
    <row r="282" ht="15.75" customHeight="1">
      <c r="P282" s="38"/>
    </row>
    <row r="283" ht="15.75" customHeight="1">
      <c r="P283" s="38"/>
    </row>
    <row r="284" ht="15.75" customHeight="1">
      <c r="P284" s="38"/>
    </row>
    <row r="285" ht="15.75" customHeight="1">
      <c r="P285" s="38"/>
    </row>
    <row r="286" ht="15.75" customHeight="1">
      <c r="P286" s="38"/>
    </row>
    <row r="287" ht="15.75" customHeight="1">
      <c r="P287" s="38"/>
    </row>
    <row r="288" ht="15.75" customHeight="1">
      <c r="P288" s="38"/>
    </row>
    <row r="289" ht="15.75" customHeight="1">
      <c r="P289" s="38"/>
    </row>
    <row r="290" ht="15.75" customHeight="1">
      <c r="P290" s="38"/>
    </row>
    <row r="291" ht="15.75" customHeight="1">
      <c r="P291" s="38"/>
    </row>
    <row r="292" ht="15.75" customHeight="1">
      <c r="P292" s="38"/>
    </row>
    <row r="293" ht="15.75" customHeight="1">
      <c r="P293" s="38"/>
    </row>
    <row r="294" ht="15.75" customHeight="1">
      <c r="P294" s="38"/>
    </row>
    <row r="295" ht="15.75" customHeight="1">
      <c r="P295" s="38"/>
    </row>
    <row r="296" ht="15.75" customHeight="1">
      <c r="P296" s="38"/>
    </row>
    <row r="297" ht="15.75" customHeight="1">
      <c r="P297" s="38"/>
    </row>
    <row r="298" ht="15.75" customHeight="1">
      <c r="P298" s="38"/>
    </row>
    <row r="299" ht="15.75" customHeight="1">
      <c r="P299" s="38"/>
    </row>
    <row r="300" ht="15.75" customHeight="1">
      <c r="P300" s="38"/>
    </row>
    <row r="301" ht="15.75" customHeight="1">
      <c r="P301" s="38"/>
    </row>
    <row r="302" ht="15.75" customHeight="1">
      <c r="P302" s="38"/>
    </row>
    <row r="303" ht="15.75" customHeight="1">
      <c r="P303" s="38"/>
    </row>
    <row r="304" ht="15.75" customHeight="1">
      <c r="P304" s="38"/>
    </row>
    <row r="305" ht="15.75" customHeight="1">
      <c r="P305" s="38"/>
    </row>
    <row r="306" ht="15.75" customHeight="1">
      <c r="P306" s="38"/>
    </row>
    <row r="307" ht="15.75" customHeight="1">
      <c r="P307" s="38"/>
    </row>
    <row r="308" ht="15.75" customHeight="1">
      <c r="P308" s="38"/>
    </row>
    <row r="309" ht="15.75" customHeight="1">
      <c r="P309" s="38"/>
    </row>
    <row r="310" ht="15.75" customHeight="1">
      <c r="P310" s="38"/>
    </row>
    <row r="311" ht="15.75" customHeight="1">
      <c r="P311" s="38"/>
    </row>
    <row r="312" ht="15.75" customHeight="1">
      <c r="P312" s="38"/>
    </row>
    <row r="313" ht="15.75" customHeight="1">
      <c r="P313" s="38"/>
    </row>
    <row r="314" ht="15.75" customHeight="1">
      <c r="P314" s="38"/>
    </row>
    <row r="315" ht="15.75" customHeight="1">
      <c r="P315" s="38"/>
    </row>
    <row r="316" ht="15.75" customHeight="1">
      <c r="P316" s="38"/>
    </row>
    <row r="317" ht="15.75" customHeight="1">
      <c r="P317" s="38"/>
    </row>
    <row r="318" ht="15.75" customHeight="1">
      <c r="P318" s="38"/>
    </row>
    <row r="319" ht="15.75" customHeight="1">
      <c r="P319" s="38"/>
    </row>
    <row r="320" ht="15.75" customHeight="1">
      <c r="P320" s="38"/>
    </row>
    <row r="321" ht="15.75" customHeight="1">
      <c r="P321" s="38"/>
    </row>
    <row r="322" ht="15.75" customHeight="1">
      <c r="P322" s="38"/>
    </row>
    <row r="323" ht="15.75" customHeight="1">
      <c r="P323" s="38"/>
    </row>
    <row r="324" ht="15.75" customHeight="1">
      <c r="P324" s="38"/>
    </row>
    <row r="325" ht="15.75" customHeight="1">
      <c r="P325" s="38"/>
    </row>
    <row r="326" ht="15.75" customHeight="1">
      <c r="P326" s="38"/>
    </row>
    <row r="327" ht="15.75" customHeight="1">
      <c r="P327" s="38"/>
    </row>
    <row r="328" ht="15.75" customHeight="1">
      <c r="P328" s="38"/>
    </row>
    <row r="329" ht="15.75" customHeight="1">
      <c r="P329" s="38"/>
    </row>
    <row r="330" ht="15.75" customHeight="1">
      <c r="P330" s="38"/>
    </row>
    <row r="331" ht="15.75" customHeight="1">
      <c r="P331" s="38"/>
    </row>
    <row r="332" ht="15.75" customHeight="1">
      <c r="P332" s="38"/>
    </row>
    <row r="333" ht="15.75" customHeight="1">
      <c r="P333" s="38"/>
    </row>
    <row r="334" ht="15.75" customHeight="1">
      <c r="P334" s="38"/>
    </row>
    <row r="335" ht="15.75" customHeight="1">
      <c r="P335" s="38"/>
    </row>
    <row r="336" ht="15.75" customHeight="1">
      <c r="P336" s="38"/>
    </row>
    <row r="337" ht="15.75" customHeight="1">
      <c r="P337" s="38"/>
    </row>
    <row r="338" ht="15.75" customHeight="1">
      <c r="P338" s="38"/>
    </row>
    <row r="339" ht="15.75" customHeight="1">
      <c r="P339" s="38"/>
    </row>
    <row r="340" ht="15.75" customHeight="1">
      <c r="P340" s="38"/>
    </row>
    <row r="341" ht="15.75" customHeight="1">
      <c r="P341" s="38"/>
    </row>
    <row r="342" ht="15.75" customHeight="1">
      <c r="P342" s="38"/>
    </row>
    <row r="343" ht="15.75" customHeight="1">
      <c r="P343" s="38"/>
    </row>
    <row r="344" ht="15.75" customHeight="1">
      <c r="P344" s="38"/>
    </row>
    <row r="345" ht="15.75" customHeight="1">
      <c r="P345" s="38"/>
    </row>
    <row r="346" ht="15.75" customHeight="1">
      <c r="P346" s="38"/>
    </row>
    <row r="347" ht="15.75" customHeight="1">
      <c r="P347" s="38"/>
    </row>
    <row r="348" ht="15.75" customHeight="1">
      <c r="P348" s="38"/>
    </row>
    <row r="349" ht="15.75" customHeight="1">
      <c r="P349" s="38"/>
    </row>
    <row r="350" ht="15.75" customHeight="1">
      <c r="P350" s="38"/>
    </row>
    <row r="351" ht="15.75" customHeight="1">
      <c r="P351" s="38"/>
    </row>
    <row r="352" ht="15.75" customHeight="1">
      <c r="P352" s="38"/>
    </row>
    <row r="353" ht="15.75" customHeight="1">
      <c r="P353" s="38"/>
    </row>
    <row r="354" ht="15.75" customHeight="1">
      <c r="P354" s="38"/>
    </row>
    <row r="355" ht="15.75" customHeight="1">
      <c r="P355" s="38"/>
    </row>
    <row r="356" ht="15.75" customHeight="1">
      <c r="P356" s="38"/>
    </row>
    <row r="357" ht="15.75" customHeight="1">
      <c r="P357" s="38"/>
    </row>
    <row r="358" ht="15.75" customHeight="1">
      <c r="P358" s="38"/>
    </row>
    <row r="359" ht="15.75" customHeight="1">
      <c r="P359" s="38"/>
    </row>
    <row r="360" ht="15.75" customHeight="1">
      <c r="P360" s="38"/>
    </row>
    <row r="361" ht="15.75" customHeight="1">
      <c r="P361" s="38"/>
    </row>
    <row r="362" ht="15.75" customHeight="1">
      <c r="P362" s="38"/>
    </row>
    <row r="363" ht="15.75" customHeight="1">
      <c r="P363" s="38"/>
    </row>
    <row r="364" ht="15.75" customHeight="1">
      <c r="P364" s="38"/>
    </row>
    <row r="365" ht="15.75" customHeight="1">
      <c r="P365" s="38"/>
    </row>
    <row r="366" ht="15.75" customHeight="1">
      <c r="P366" s="38"/>
    </row>
    <row r="367" ht="15.75" customHeight="1">
      <c r="P367" s="38"/>
    </row>
    <row r="368" ht="15.75" customHeight="1">
      <c r="P368" s="38"/>
    </row>
    <row r="369" ht="15.75" customHeight="1">
      <c r="P369" s="38"/>
    </row>
    <row r="370" ht="15.75" customHeight="1">
      <c r="P370" s="38"/>
    </row>
    <row r="371" ht="15.75" customHeight="1">
      <c r="P371" s="38"/>
    </row>
    <row r="372" ht="15.75" customHeight="1">
      <c r="P372" s="38"/>
    </row>
    <row r="373" ht="15.75" customHeight="1">
      <c r="P373" s="38"/>
    </row>
    <row r="374" ht="15.75" customHeight="1">
      <c r="P374" s="38"/>
    </row>
    <row r="375" ht="15.75" customHeight="1">
      <c r="P375" s="38"/>
    </row>
    <row r="376" ht="15.75" customHeight="1">
      <c r="P376" s="38"/>
    </row>
    <row r="377" ht="15.75" customHeight="1">
      <c r="P377" s="38"/>
    </row>
    <row r="378" ht="15.75" customHeight="1">
      <c r="P378" s="38"/>
    </row>
    <row r="379" ht="15.75" customHeight="1">
      <c r="P379" s="38"/>
    </row>
    <row r="380" ht="15.75" customHeight="1">
      <c r="P380" s="38"/>
    </row>
    <row r="381" ht="15.75" customHeight="1">
      <c r="P381" s="38"/>
    </row>
    <row r="382" ht="15.75" customHeight="1">
      <c r="P382" s="38"/>
    </row>
    <row r="383" ht="15.75" customHeight="1">
      <c r="P383" s="38"/>
    </row>
    <row r="384" ht="15.75" customHeight="1">
      <c r="P384" s="38"/>
    </row>
    <row r="385" ht="15.75" customHeight="1">
      <c r="P385" s="38"/>
    </row>
    <row r="386" ht="15.75" customHeight="1">
      <c r="P386" s="38"/>
    </row>
    <row r="387" ht="15.75" customHeight="1">
      <c r="P387" s="38"/>
    </row>
    <row r="388" ht="15.75" customHeight="1">
      <c r="P388" s="38"/>
    </row>
    <row r="389" ht="15.75" customHeight="1">
      <c r="P389" s="38"/>
    </row>
    <row r="390" ht="15.75" customHeight="1">
      <c r="P390" s="38"/>
    </row>
    <row r="391" ht="15.75" customHeight="1">
      <c r="P391" s="38"/>
    </row>
    <row r="392" ht="15.75" customHeight="1">
      <c r="P392" s="38"/>
    </row>
    <row r="393" ht="15.75" customHeight="1">
      <c r="P393" s="38"/>
    </row>
    <row r="394" ht="15.75" customHeight="1">
      <c r="P394" s="38"/>
    </row>
    <row r="395" ht="15.75" customHeight="1">
      <c r="P395" s="38"/>
    </row>
    <row r="396" ht="15.75" customHeight="1">
      <c r="P396" s="38"/>
    </row>
    <row r="397" ht="15.75" customHeight="1">
      <c r="P397" s="38"/>
    </row>
    <row r="398" ht="15.75" customHeight="1">
      <c r="P398" s="38"/>
    </row>
    <row r="399" ht="15.75" customHeight="1">
      <c r="P399" s="38"/>
    </row>
    <row r="400" ht="15.75" customHeight="1">
      <c r="P400" s="38"/>
    </row>
    <row r="401" ht="15.75" customHeight="1">
      <c r="P401" s="38"/>
    </row>
    <row r="402" ht="15.75" customHeight="1">
      <c r="P402" s="38"/>
    </row>
    <row r="403" ht="15.75" customHeight="1">
      <c r="P403" s="38"/>
    </row>
    <row r="404" ht="15.75" customHeight="1">
      <c r="P404" s="38"/>
    </row>
    <row r="405" ht="15.75" customHeight="1">
      <c r="P405" s="38"/>
    </row>
    <row r="406" ht="15.75" customHeight="1">
      <c r="P406" s="38"/>
    </row>
    <row r="407" ht="15.75" customHeight="1">
      <c r="P407" s="38"/>
    </row>
    <row r="408" ht="15.75" customHeight="1">
      <c r="P408" s="38"/>
    </row>
    <row r="409" ht="15.75" customHeight="1">
      <c r="P409" s="38"/>
    </row>
    <row r="410" ht="15.75" customHeight="1">
      <c r="P410" s="38"/>
    </row>
    <row r="411" ht="15.75" customHeight="1">
      <c r="P411" s="38"/>
    </row>
    <row r="412" ht="15.75" customHeight="1">
      <c r="P412" s="38"/>
    </row>
    <row r="413" ht="15.75" customHeight="1">
      <c r="P413" s="38"/>
    </row>
    <row r="414" ht="15.75" customHeight="1">
      <c r="P414" s="38"/>
    </row>
    <row r="415" ht="15.75" customHeight="1">
      <c r="P415" s="38"/>
    </row>
    <row r="416" ht="15.75" customHeight="1">
      <c r="P416" s="38"/>
    </row>
    <row r="417" ht="15.75" customHeight="1">
      <c r="P417" s="38"/>
    </row>
    <row r="418" ht="15.75" customHeight="1">
      <c r="P418" s="38"/>
    </row>
    <row r="419" ht="15.75" customHeight="1">
      <c r="P419" s="38"/>
    </row>
    <row r="420" ht="15.75" customHeight="1">
      <c r="P420" s="38"/>
    </row>
    <row r="421" ht="15.75" customHeight="1">
      <c r="P421" s="38"/>
    </row>
    <row r="422" ht="15.75" customHeight="1">
      <c r="P422" s="38"/>
    </row>
    <row r="423" ht="15.75" customHeight="1">
      <c r="P423" s="38"/>
    </row>
    <row r="424" ht="15.75" customHeight="1">
      <c r="P424" s="38"/>
    </row>
    <row r="425" ht="15.75" customHeight="1">
      <c r="P425" s="38"/>
    </row>
    <row r="426" ht="15.75" customHeight="1">
      <c r="P426" s="38"/>
    </row>
    <row r="427" ht="15.75" customHeight="1">
      <c r="P427" s="38"/>
    </row>
    <row r="428" ht="15.75" customHeight="1">
      <c r="P428" s="38"/>
    </row>
    <row r="429" ht="15.75" customHeight="1">
      <c r="P429" s="38"/>
    </row>
    <row r="430" ht="15.75" customHeight="1">
      <c r="P430" s="38"/>
    </row>
    <row r="431" ht="15.75" customHeight="1">
      <c r="P431" s="38"/>
    </row>
    <row r="432" ht="15.75" customHeight="1">
      <c r="P432" s="38"/>
    </row>
    <row r="433" ht="15.75" customHeight="1">
      <c r="P433" s="38"/>
    </row>
    <row r="434" ht="15.75" customHeight="1">
      <c r="P434" s="38"/>
    </row>
    <row r="435" ht="15.75" customHeight="1">
      <c r="P435" s="38"/>
    </row>
    <row r="436" ht="15.75" customHeight="1">
      <c r="P436" s="38"/>
    </row>
    <row r="437" ht="15.75" customHeight="1">
      <c r="P437" s="38"/>
    </row>
    <row r="438" ht="15.75" customHeight="1">
      <c r="P438" s="38"/>
    </row>
    <row r="439" ht="15.75" customHeight="1">
      <c r="P439" s="38"/>
    </row>
    <row r="440" ht="15.75" customHeight="1">
      <c r="P440" s="38"/>
    </row>
    <row r="441" ht="15.75" customHeight="1">
      <c r="P441" s="38"/>
    </row>
    <row r="442" ht="15.75" customHeight="1">
      <c r="P442" s="38"/>
    </row>
    <row r="443" ht="15.75" customHeight="1">
      <c r="P443" s="38"/>
    </row>
    <row r="444" ht="15.75" customHeight="1">
      <c r="P444" s="38"/>
    </row>
    <row r="445" ht="15.75" customHeight="1">
      <c r="P445" s="38"/>
    </row>
    <row r="446" ht="15.75" customHeight="1">
      <c r="P446" s="38"/>
    </row>
    <row r="447" ht="15.75" customHeight="1">
      <c r="P447" s="38"/>
    </row>
    <row r="448" ht="15.75" customHeight="1">
      <c r="P448" s="38"/>
    </row>
    <row r="449" ht="15.75" customHeight="1">
      <c r="P449" s="38"/>
    </row>
    <row r="450" ht="15.75" customHeight="1">
      <c r="P450" s="38"/>
    </row>
    <row r="451" ht="15.75" customHeight="1">
      <c r="P451" s="38"/>
    </row>
    <row r="452" ht="15.75" customHeight="1">
      <c r="P452" s="38"/>
    </row>
    <row r="453" ht="15.75" customHeight="1">
      <c r="P453" s="38"/>
    </row>
    <row r="454" ht="15.75" customHeight="1">
      <c r="P454" s="38"/>
    </row>
    <row r="455" ht="15.75" customHeight="1">
      <c r="P455" s="38"/>
    </row>
    <row r="456" ht="15.75" customHeight="1">
      <c r="P456" s="38"/>
    </row>
    <row r="457" ht="15.75" customHeight="1">
      <c r="P457" s="38"/>
    </row>
    <row r="458" ht="15.75" customHeight="1">
      <c r="P458" s="38"/>
    </row>
    <row r="459" ht="15.75" customHeight="1">
      <c r="P459" s="38"/>
    </row>
    <row r="460" ht="15.75" customHeight="1">
      <c r="P460" s="38"/>
    </row>
    <row r="461" ht="15.75" customHeight="1">
      <c r="P461" s="38"/>
    </row>
    <row r="462" ht="15.75" customHeight="1">
      <c r="P462" s="38"/>
    </row>
    <row r="463" ht="15.75" customHeight="1">
      <c r="P463" s="38"/>
    </row>
    <row r="464" ht="15.75" customHeight="1">
      <c r="P464" s="38"/>
    </row>
    <row r="465" ht="15.75" customHeight="1">
      <c r="P465" s="38"/>
    </row>
    <row r="466" ht="15.75" customHeight="1">
      <c r="P466" s="38"/>
    </row>
    <row r="467" ht="15.75" customHeight="1">
      <c r="P467" s="38"/>
    </row>
    <row r="468" ht="15.75" customHeight="1">
      <c r="P468" s="38"/>
    </row>
    <row r="469" ht="15.75" customHeight="1">
      <c r="P469" s="38"/>
    </row>
    <row r="470" ht="15.75" customHeight="1">
      <c r="P470" s="38"/>
    </row>
    <row r="471" ht="15.75" customHeight="1">
      <c r="P471" s="38"/>
    </row>
    <row r="472" ht="15.75" customHeight="1">
      <c r="P472" s="38"/>
    </row>
    <row r="473" ht="15.75" customHeight="1">
      <c r="P473" s="38"/>
    </row>
    <row r="474" ht="15.75" customHeight="1">
      <c r="P474" s="38"/>
    </row>
    <row r="475" ht="15.75" customHeight="1">
      <c r="P475" s="38"/>
    </row>
    <row r="476" ht="15.75" customHeight="1">
      <c r="P476" s="38"/>
    </row>
    <row r="477" ht="15.75" customHeight="1">
      <c r="P477" s="38"/>
    </row>
    <row r="478" ht="15.75" customHeight="1">
      <c r="P478" s="38"/>
    </row>
    <row r="479" ht="15.75" customHeight="1">
      <c r="P479" s="38"/>
    </row>
    <row r="480" ht="15.75" customHeight="1">
      <c r="P480" s="38"/>
    </row>
    <row r="481" ht="15.75" customHeight="1">
      <c r="P481" s="38"/>
    </row>
    <row r="482" ht="15.75" customHeight="1">
      <c r="P482" s="38"/>
    </row>
    <row r="483" ht="15.75" customHeight="1">
      <c r="P483" s="38"/>
    </row>
    <row r="484" ht="15.75" customHeight="1">
      <c r="P484" s="38"/>
    </row>
    <row r="485" ht="15.75" customHeight="1">
      <c r="P485" s="38"/>
    </row>
    <row r="486" ht="15.75" customHeight="1">
      <c r="P486" s="38"/>
    </row>
    <row r="487" ht="15.75" customHeight="1">
      <c r="P487" s="38"/>
    </row>
    <row r="488" ht="15.75" customHeight="1">
      <c r="P488" s="38"/>
    </row>
    <row r="489" ht="15.75" customHeight="1">
      <c r="P489" s="38"/>
    </row>
    <row r="490" ht="15.75" customHeight="1">
      <c r="P490" s="38"/>
    </row>
    <row r="491" ht="15.75" customHeight="1">
      <c r="P491" s="38"/>
    </row>
    <row r="492" ht="15.75" customHeight="1">
      <c r="P492" s="38"/>
    </row>
    <row r="493" ht="15.75" customHeight="1">
      <c r="P493" s="38"/>
    </row>
    <row r="494" ht="15.75" customHeight="1">
      <c r="P494" s="38"/>
    </row>
    <row r="495" ht="15.75" customHeight="1">
      <c r="P495" s="38"/>
    </row>
    <row r="496" ht="15.75" customHeight="1">
      <c r="P496" s="38"/>
    </row>
    <row r="497" ht="15.75" customHeight="1">
      <c r="P497" s="38"/>
    </row>
    <row r="498" ht="15.75" customHeight="1">
      <c r="P498" s="38"/>
    </row>
    <row r="499" ht="15.75" customHeight="1">
      <c r="P499" s="38"/>
    </row>
    <row r="500" ht="15.75" customHeight="1">
      <c r="P500" s="38"/>
    </row>
    <row r="501" ht="15.75" customHeight="1">
      <c r="P501" s="38"/>
    </row>
    <row r="502" ht="15.75" customHeight="1">
      <c r="P502" s="38"/>
    </row>
    <row r="503" ht="15.75" customHeight="1">
      <c r="P503" s="38"/>
    </row>
    <row r="504" ht="15.75" customHeight="1">
      <c r="P504" s="38"/>
    </row>
    <row r="505" ht="15.75" customHeight="1">
      <c r="P505" s="38"/>
    </row>
    <row r="506" ht="15.75" customHeight="1">
      <c r="P506" s="38"/>
    </row>
    <row r="507" ht="15.75" customHeight="1">
      <c r="P507" s="38"/>
    </row>
    <row r="508" ht="15.75" customHeight="1">
      <c r="P508" s="38"/>
    </row>
    <row r="509" ht="15.75" customHeight="1">
      <c r="P509" s="38"/>
    </row>
    <row r="510" ht="15.75" customHeight="1">
      <c r="P510" s="38"/>
    </row>
    <row r="511" ht="15.75" customHeight="1">
      <c r="P511" s="38"/>
    </row>
    <row r="512" ht="15.75" customHeight="1">
      <c r="P512" s="38"/>
    </row>
    <row r="513" ht="15.75" customHeight="1">
      <c r="P513" s="38"/>
    </row>
    <row r="514" ht="15.75" customHeight="1">
      <c r="P514" s="38"/>
    </row>
    <row r="515" ht="15.75" customHeight="1">
      <c r="P515" s="38"/>
    </row>
    <row r="516" ht="15.75" customHeight="1">
      <c r="P516" s="38"/>
    </row>
    <row r="517" ht="15.75" customHeight="1">
      <c r="P517" s="38"/>
    </row>
    <row r="518" ht="15.75" customHeight="1">
      <c r="P518" s="38"/>
    </row>
    <row r="519" ht="15.75" customHeight="1">
      <c r="P519" s="38"/>
    </row>
    <row r="520" ht="15.75" customHeight="1">
      <c r="P520" s="38"/>
    </row>
    <row r="521" ht="15.75" customHeight="1">
      <c r="P521" s="38"/>
    </row>
    <row r="522" ht="15.75" customHeight="1">
      <c r="P522" s="38"/>
    </row>
    <row r="523" ht="15.75" customHeight="1">
      <c r="P523" s="38"/>
    </row>
    <row r="524" ht="15.75" customHeight="1">
      <c r="P524" s="38"/>
    </row>
    <row r="525" ht="15.75" customHeight="1">
      <c r="P525" s="38"/>
    </row>
    <row r="526" ht="15.75" customHeight="1">
      <c r="P526" s="38"/>
    </row>
    <row r="527" ht="15.75" customHeight="1">
      <c r="P527" s="38"/>
    </row>
    <row r="528" ht="15.75" customHeight="1">
      <c r="P528" s="38"/>
    </row>
    <row r="529" ht="15.75" customHeight="1">
      <c r="P529" s="38"/>
    </row>
    <row r="530" ht="15.75" customHeight="1">
      <c r="P530" s="38"/>
    </row>
    <row r="531" ht="15.75" customHeight="1">
      <c r="P531" s="38"/>
    </row>
    <row r="532" ht="15.75" customHeight="1">
      <c r="P532" s="38"/>
    </row>
    <row r="533" ht="15.75" customHeight="1">
      <c r="P533" s="38"/>
    </row>
    <row r="534" ht="15.75" customHeight="1">
      <c r="P534" s="38"/>
    </row>
    <row r="535" ht="15.75" customHeight="1">
      <c r="P535" s="38"/>
    </row>
    <row r="536" ht="15.75" customHeight="1">
      <c r="P536" s="38"/>
    </row>
    <row r="537" ht="15.75" customHeight="1">
      <c r="P537" s="38"/>
    </row>
    <row r="538" ht="15.75" customHeight="1">
      <c r="P538" s="38"/>
    </row>
    <row r="539" ht="15.75" customHeight="1">
      <c r="P539" s="38"/>
    </row>
    <row r="540" ht="15.75" customHeight="1">
      <c r="P540" s="38"/>
    </row>
    <row r="541" ht="15.75" customHeight="1">
      <c r="P541" s="38"/>
    </row>
    <row r="542" ht="15.75" customHeight="1">
      <c r="P542" s="38"/>
    </row>
    <row r="543" ht="15.75" customHeight="1">
      <c r="P543" s="38"/>
    </row>
    <row r="544" ht="15.75" customHeight="1">
      <c r="P544" s="38"/>
    </row>
    <row r="545" ht="15.75" customHeight="1">
      <c r="P545" s="38"/>
    </row>
    <row r="546" ht="15.75" customHeight="1">
      <c r="P546" s="38"/>
    </row>
    <row r="547" ht="15.75" customHeight="1">
      <c r="P547" s="38"/>
    </row>
    <row r="548" ht="15.75" customHeight="1">
      <c r="P548" s="38"/>
    </row>
    <row r="549" ht="15.75" customHeight="1">
      <c r="P549" s="38"/>
    </row>
    <row r="550" ht="15.75" customHeight="1">
      <c r="P550" s="38"/>
    </row>
    <row r="551" ht="15.75" customHeight="1">
      <c r="P551" s="38"/>
    </row>
    <row r="552" ht="15.75" customHeight="1">
      <c r="P552" s="38"/>
    </row>
    <row r="553" ht="15.75" customHeight="1">
      <c r="P553" s="38"/>
    </row>
    <row r="554" ht="15.75" customHeight="1">
      <c r="P554" s="38"/>
    </row>
    <row r="555" ht="15.75" customHeight="1">
      <c r="P555" s="38"/>
    </row>
    <row r="556" ht="15.75" customHeight="1">
      <c r="P556" s="38"/>
    </row>
    <row r="557" ht="15.75" customHeight="1">
      <c r="P557" s="38"/>
    </row>
    <row r="558" ht="15.75" customHeight="1">
      <c r="P558" s="38"/>
    </row>
    <row r="559" ht="15.75" customHeight="1">
      <c r="P559" s="38"/>
    </row>
    <row r="560" ht="15.75" customHeight="1">
      <c r="P560" s="38"/>
    </row>
    <row r="561" ht="15.75" customHeight="1">
      <c r="P561" s="38"/>
    </row>
    <row r="562" ht="15.75" customHeight="1">
      <c r="P562" s="38"/>
    </row>
    <row r="563" ht="15.75" customHeight="1">
      <c r="P563" s="38"/>
    </row>
    <row r="564" ht="15.75" customHeight="1">
      <c r="P564" s="38"/>
    </row>
    <row r="565" ht="15.75" customHeight="1">
      <c r="P565" s="38"/>
    </row>
    <row r="566" ht="15.75" customHeight="1">
      <c r="P566" s="38"/>
    </row>
    <row r="567" ht="15.75" customHeight="1">
      <c r="P567" s="38"/>
    </row>
    <row r="568" ht="15.75" customHeight="1">
      <c r="P568" s="38"/>
    </row>
    <row r="569" ht="15.75" customHeight="1">
      <c r="P569" s="38"/>
    </row>
    <row r="570" ht="15.75" customHeight="1">
      <c r="P570" s="38"/>
    </row>
    <row r="571" ht="15.75" customHeight="1">
      <c r="P571" s="38"/>
    </row>
    <row r="572" ht="15.75" customHeight="1">
      <c r="P572" s="38"/>
    </row>
    <row r="573" ht="15.75" customHeight="1">
      <c r="P573" s="38"/>
    </row>
    <row r="574" ht="15.75" customHeight="1">
      <c r="P574" s="38"/>
    </row>
    <row r="575" ht="15.75" customHeight="1">
      <c r="P575" s="38"/>
    </row>
    <row r="576" ht="15.75" customHeight="1">
      <c r="P576" s="38"/>
    </row>
    <row r="577" ht="15.75" customHeight="1">
      <c r="P577" s="38"/>
    </row>
    <row r="578" ht="15.75" customHeight="1">
      <c r="P578" s="38"/>
    </row>
    <row r="579" ht="15.75" customHeight="1">
      <c r="P579" s="38"/>
    </row>
    <row r="580" ht="15.75" customHeight="1">
      <c r="P580" s="38"/>
    </row>
    <row r="581" ht="15.75" customHeight="1">
      <c r="P581" s="38"/>
    </row>
    <row r="582" ht="15.75" customHeight="1">
      <c r="P582" s="38"/>
    </row>
    <row r="583" ht="15.75" customHeight="1">
      <c r="P583" s="38"/>
    </row>
    <row r="584" ht="15.75" customHeight="1">
      <c r="P584" s="38"/>
    </row>
    <row r="585" ht="15.75" customHeight="1">
      <c r="P585" s="38"/>
    </row>
    <row r="586" ht="15.75" customHeight="1">
      <c r="P586" s="38"/>
    </row>
    <row r="587" ht="15.75" customHeight="1">
      <c r="P587" s="38"/>
    </row>
    <row r="588" ht="15.75" customHeight="1">
      <c r="P588" s="38"/>
    </row>
    <row r="589" ht="15.75" customHeight="1">
      <c r="P589" s="38"/>
    </row>
    <row r="590" ht="15.75" customHeight="1">
      <c r="P590" s="38"/>
    </row>
    <row r="591" ht="15.75" customHeight="1">
      <c r="P591" s="38"/>
    </row>
    <row r="592" ht="15.75" customHeight="1">
      <c r="P592" s="38"/>
    </row>
    <row r="593" ht="15.75" customHeight="1">
      <c r="P593" s="38"/>
    </row>
    <row r="594" ht="15.75" customHeight="1">
      <c r="P594" s="38"/>
    </row>
    <row r="595" ht="15.75" customHeight="1">
      <c r="P595" s="38"/>
    </row>
    <row r="596" ht="15.75" customHeight="1">
      <c r="P596" s="38"/>
    </row>
    <row r="597" ht="15.75" customHeight="1">
      <c r="P597" s="38"/>
    </row>
    <row r="598" ht="15.75" customHeight="1">
      <c r="P598" s="38"/>
    </row>
    <row r="599" ht="15.75" customHeight="1">
      <c r="P599" s="38"/>
    </row>
    <row r="600" ht="15.75" customHeight="1">
      <c r="P600" s="38"/>
    </row>
    <row r="601" ht="15.75" customHeight="1">
      <c r="P601" s="38"/>
    </row>
    <row r="602" ht="15.75" customHeight="1">
      <c r="P602" s="38"/>
    </row>
    <row r="603" ht="15.75" customHeight="1">
      <c r="P603" s="38"/>
    </row>
    <row r="604" ht="15.75" customHeight="1">
      <c r="P604" s="38"/>
    </row>
    <row r="605" ht="15.75" customHeight="1">
      <c r="P605" s="38"/>
    </row>
    <row r="606" ht="15.75" customHeight="1">
      <c r="P606" s="38"/>
    </row>
    <row r="607" ht="15.75" customHeight="1">
      <c r="P607" s="38"/>
    </row>
    <row r="608" ht="15.75" customHeight="1">
      <c r="P608" s="38"/>
    </row>
    <row r="609" ht="15.75" customHeight="1">
      <c r="P609" s="38"/>
    </row>
    <row r="610" ht="15.75" customHeight="1">
      <c r="P610" s="38"/>
    </row>
    <row r="611" ht="15.75" customHeight="1">
      <c r="P611" s="38"/>
    </row>
    <row r="612" ht="15.75" customHeight="1">
      <c r="P612" s="38"/>
    </row>
    <row r="613" ht="15.75" customHeight="1">
      <c r="P613" s="38"/>
    </row>
    <row r="614" ht="15.75" customHeight="1">
      <c r="P614" s="38"/>
    </row>
    <row r="615" ht="15.75" customHeight="1">
      <c r="P615" s="38"/>
    </row>
    <row r="616" ht="15.75" customHeight="1">
      <c r="P616" s="38"/>
    </row>
    <row r="617" ht="15.75" customHeight="1">
      <c r="P617" s="38"/>
    </row>
    <row r="618" ht="15.75" customHeight="1">
      <c r="P618" s="38"/>
    </row>
    <row r="619" ht="15.75" customHeight="1">
      <c r="P619" s="38"/>
    </row>
    <row r="620" ht="15.75" customHeight="1">
      <c r="P620" s="38"/>
    </row>
    <row r="621" ht="15.75" customHeight="1">
      <c r="P621" s="38"/>
    </row>
    <row r="622" ht="15.75" customHeight="1">
      <c r="P622" s="38"/>
    </row>
    <row r="623" ht="15.75" customHeight="1">
      <c r="P623" s="38"/>
    </row>
    <row r="624" ht="15.75" customHeight="1">
      <c r="P624" s="38"/>
    </row>
    <row r="625" ht="15.75" customHeight="1">
      <c r="P625" s="38"/>
    </row>
    <row r="626" ht="15.75" customHeight="1">
      <c r="P626" s="38"/>
    </row>
    <row r="627" ht="15.75" customHeight="1">
      <c r="P627" s="38"/>
    </row>
    <row r="628" ht="15.75" customHeight="1">
      <c r="P628" s="38"/>
    </row>
    <row r="629" ht="15.75" customHeight="1">
      <c r="P629" s="38"/>
    </row>
    <row r="630" ht="15.75" customHeight="1">
      <c r="P630" s="38"/>
    </row>
    <row r="631" ht="15.75" customHeight="1">
      <c r="P631" s="38"/>
    </row>
    <row r="632" ht="15.75" customHeight="1">
      <c r="P632" s="38"/>
    </row>
    <row r="633" ht="15.75" customHeight="1">
      <c r="P633" s="38"/>
    </row>
    <row r="634" ht="15.75" customHeight="1">
      <c r="P634" s="38"/>
    </row>
    <row r="635" ht="15.75" customHeight="1">
      <c r="P635" s="38"/>
    </row>
    <row r="636" ht="15.75" customHeight="1">
      <c r="P636" s="38"/>
    </row>
    <row r="637" ht="15.75" customHeight="1">
      <c r="P637" s="38"/>
    </row>
    <row r="638" ht="15.75" customHeight="1">
      <c r="P638" s="38"/>
    </row>
    <row r="639" ht="15.75" customHeight="1">
      <c r="P639" s="38"/>
    </row>
    <row r="640" ht="15.75" customHeight="1">
      <c r="P640" s="38"/>
    </row>
    <row r="641" ht="15.75" customHeight="1">
      <c r="P641" s="38"/>
    </row>
    <row r="642" ht="15.75" customHeight="1">
      <c r="P642" s="38"/>
    </row>
    <row r="643" ht="15.75" customHeight="1">
      <c r="P643" s="38"/>
    </row>
    <row r="644" ht="15.75" customHeight="1">
      <c r="P644" s="38"/>
    </row>
    <row r="645" ht="15.75" customHeight="1">
      <c r="P645" s="38"/>
    </row>
    <row r="646" ht="15.75" customHeight="1">
      <c r="P646" s="38"/>
    </row>
    <row r="647" ht="15.75" customHeight="1">
      <c r="P647" s="38"/>
    </row>
    <row r="648" ht="15.75" customHeight="1">
      <c r="P648" s="38"/>
    </row>
    <row r="649" ht="15.75" customHeight="1">
      <c r="P649" s="38"/>
    </row>
    <row r="650" ht="15.75" customHeight="1">
      <c r="P650" s="38"/>
    </row>
    <row r="651" ht="15.75" customHeight="1">
      <c r="P651" s="38"/>
    </row>
    <row r="652" ht="15.75" customHeight="1">
      <c r="P652" s="38"/>
    </row>
    <row r="653" ht="15.75" customHeight="1">
      <c r="P653" s="38"/>
    </row>
    <row r="654" ht="15.75" customHeight="1">
      <c r="P654" s="38"/>
    </row>
    <row r="655" ht="15.75" customHeight="1">
      <c r="P655" s="38"/>
    </row>
    <row r="656" ht="15.75" customHeight="1">
      <c r="P656" s="38"/>
    </row>
    <row r="657" ht="15.75" customHeight="1">
      <c r="P657" s="38"/>
    </row>
    <row r="658" ht="15.75" customHeight="1">
      <c r="P658" s="38"/>
    </row>
    <row r="659" ht="15.75" customHeight="1">
      <c r="P659" s="38"/>
    </row>
    <row r="660" ht="15.75" customHeight="1">
      <c r="P660" s="38"/>
    </row>
    <row r="661" ht="15.75" customHeight="1">
      <c r="P661" s="38"/>
    </row>
    <row r="662" ht="15.75" customHeight="1">
      <c r="P662" s="38"/>
    </row>
    <row r="663" ht="15.75" customHeight="1">
      <c r="P663" s="38"/>
    </row>
    <row r="664" ht="15.75" customHeight="1">
      <c r="P664" s="38"/>
    </row>
    <row r="665" ht="15.75" customHeight="1">
      <c r="P665" s="38"/>
    </row>
    <row r="666" ht="15.75" customHeight="1">
      <c r="P666" s="38"/>
    </row>
    <row r="667" ht="15.75" customHeight="1">
      <c r="P667" s="38"/>
    </row>
    <row r="668" ht="15.75" customHeight="1">
      <c r="P668" s="38"/>
    </row>
    <row r="669" ht="15.75" customHeight="1">
      <c r="P669" s="38"/>
    </row>
    <row r="670" ht="15.75" customHeight="1">
      <c r="P670" s="38"/>
    </row>
    <row r="671" ht="15.75" customHeight="1">
      <c r="P671" s="38"/>
    </row>
    <row r="672" ht="15.75" customHeight="1">
      <c r="P672" s="38"/>
    </row>
    <row r="673" ht="15.75" customHeight="1">
      <c r="P673" s="38"/>
    </row>
    <row r="674" ht="15.75" customHeight="1">
      <c r="P674" s="38"/>
    </row>
    <row r="675" ht="15.75" customHeight="1">
      <c r="P675" s="38"/>
    </row>
    <row r="676" ht="15.75" customHeight="1">
      <c r="P676" s="38"/>
    </row>
    <row r="677" ht="15.75" customHeight="1">
      <c r="P677" s="38"/>
    </row>
    <row r="678" ht="15.75" customHeight="1">
      <c r="P678" s="38"/>
    </row>
    <row r="679" ht="15.75" customHeight="1">
      <c r="P679" s="38"/>
    </row>
    <row r="680" ht="15.75" customHeight="1">
      <c r="P680" s="38"/>
    </row>
    <row r="681" ht="15.75" customHeight="1">
      <c r="P681" s="38"/>
    </row>
    <row r="682" ht="15.75" customHeight="1">
      <c r="P682" s="38"/>
    </row>
    <row r="683" ht="15.75" customHeight="1">
      <c r="P683" s="38"/>
    </row>
    <row r="684" ht="15.75" customHeight="1">
      <c r="P684" s="38"/>
    </row>
    <row r="685" ht="15.75" customHeight="1">
      <c r="P685" s="38"/>
    </row>
    <row r="686" ht="15.75" customHeight="1">
      <c r="P686" s="38"/>
    </row>
    <row r="687" ht="15.75" customHeight="1">
      <c r="P687" s="38"/>
    </row>
    <row r="688" ht="15.75" customHeight="1">
      <c r="P688" s="38"/>
    </row>
    <row r="689" ht="15.75" customHeight="1">
      <c r="P689" s="38"/>
    </row>
    <row r="690" ht="15.75" customHeight="1">
      <c r="P690" s="38"/>
    </row>
    <row r="691" ht="15.75" customHeight="1">
      <c r="P691" s="38"/>
    </row>
    <row r="692" ht="15.75" customHeight="1">
      <c r="P692" s="38"/>
    </row>
    <row r="693" ht="15.75" customHeight="1">
      <c r="P693" s="38"/>
    </row>
    <row r="694" ht="15.75" customHeight="1">
      <c r="P694" s="38"/>
    </row>
    <row r="695" ht="15.75" customHeight="1">
      <c r="P695" s="38"/>
    </row>
    <row r="696" ht="15.75" customHeight="1">
      <c r="P696" s="38"/>
    </row>
    <row r="697" ht="15.75" customHeight="1">
      <c r="P697" s="38"/>
    </row>
    <row r="698" ht="15.75" customHeight="1">
      <c r="P698" s="38"/>
    </row>
    <row r="699" ht="15.75" customHeight="1">
      <c r="P699" s="38"/>
    </row>
    <row r="700" ht="15.75" customHeight="1">
      <c r="P700" s="38"/>
    </row>
    <row r="701" ht="15.75" customHeight="1">
      <c r="P701" s="38"/>
    </row>
    <row r="702" ht="15.75" customHeight="1">
      <c r="P702" s="38"/>
    </row>
    <row r="703" ht="15.75" customHeight="1">
      <c r="P703" s="38"/>
    </row>
    <row r="704" ht="15.75" customHeight="1">
      <c r="P704" s="38"/>
    </row>
    <row r="705" ht="15.75" customHeight="1">
      <c r="P705" s="38"/>
    </row>
    <row r="706" ht="15.75" customHeight="1">
      <c r="P706" s="38"/>
    </row>
    <row r="707" ht="15.75" customHeight="1">
      <c r="P707" s="38"/>
    </row>
    <row r="708" ht="15.75" customHeight="1">
      <c r="P708" s="38"/>
    </row>
    <row r="709" ht="15.75" customHeight="1">
      <c r="P709" s="38"/>
    </row>
    <row r="710" ht="15.75" customHeight="1">
      <c r="P710" s="38"/>
    </row>
    <row r="711" ht="15.75" customHeight="1">
      <c r="P711" s="38"/>
    </row>
    <row r="712" ht="15.75" customHeight="1">
      <c r="P712" s="38"/>
    </row>
    <row r="713" ht="15.75" customHeight="1">
      <c r="P713" s="38"/>
    </row>
    <row r="714" ht="15.75" customHeight="1">
      <c r="P714" s="38"/>
    </row>
    <row r="715" ht="15.75" customHeight="1">
      <c r="P715" s="38"/>
    </row>
    <row r="716" ht="15.75" customHeight="1">
      <c r="P716" s="38"/>
    </row>
    <row r="717" ht="15.75" customHeight="1">
      <c r="P717" s="38"/>
    </row>
    <row r="718" ht="15.75" customHeight="1">
      <c r="P718" s="38"/>
    </row>
    <row r="719" ht="15.75" customHeight="1">
      <c r="P719" s="38"/>
    </row>
    <row r="720" ht="15.75" customHeight="1">
      <c r="P720" s="38"/>
    </row>
    <row r="721" ht="15.75" customHeight="1">
      <c r="P721" s="38"/>
    </row>
    <row r="722" ht="15.75" customHeight="1">
      <c r="P722" s="38"/>
    </row>
    <row r="723" ht="15.75" customHeight="1">
      <c r="P723" s="38"/>
    </row>
    <row r="724" ht="15.75" customHeight="1">
      <c r="P724" s="38"/>
    </row>
    <row r="725" ht="15.75" customHeight="1">
      <c r="P725" s="38"/>
    </row>
    <row r="726" ht="15.75" customHeight="1">
      <c r="P726" s="38"/>
    </row>
    <row r="727" ht="15.75" customHeight="1">
      <c r="P727" s="38"/>
    </row>
    <row r="728" ht="15.75" customHeight="1">
      <c r="P728" s="38"/>
    </row>
    <row r="729" ht="15.75" customHeight="1">
      <c r="P729" s="38"/>
    </row>
    <row r="730" ht="15.75" customHeight="1">
      <c r="P730" s="38"/>
    </row>
    <row r="731" ht="15.75" customHeight="1">
      <c r="P731" s="38"/>
    </row>
    <row r="732" ht="15.75" customHeight="1">
      <c r="P732" s="38"/>
    </row>
    <row r="733" ht="15.75" customHeight="1">
      <c r="P733" s="38"/>
    </row>
    <row r="734" ht="15.75" customHeight="1">
      <c r="P734" s="38"/>
    </row>
    <row r="735" ht="15.75" customHeight="1">
      <c r="P735" s="38"/>
    </row>
    <row r="736" ht="15.75" customHeight="1">
      <c r="P736" s="38"/>
    </row>
    <row r="737" ht="15.75" customHeight="1">
      <c r="P737" s="38"/>
    </row>
    <row r="738" ht="15.75" customHeight="1">
      <c r="P738" s="38"/>
    </row>
    <row r="739" ht="15.75" customHeight="1">
      <c r="P739" s="38"/>
    </row>
    <row r="740" ht="15.75" customHeight="1">
      <c r="P740" s="38"/>
    </row>
    <row r="741" ht="15.75" customHeight="1">
      <c r="P741" s="38"/>
    </row>
    <row r="742" ht="15.75" customHeight="1">
      <c r="P742" s="38"/>
    </row>
    <row r="743" ht="15.75" customHeight="1">
      <c r="P743" s="38"/>
    </row>
    <row r="744" ht="15.75" customHeight="1">
      <c r="P744" s="38"/>
    </row>
    <row r="745" ht="15.75" customHeight="1">
      <c r="P745" s="38"/>
    </row>
    <row r="746" ht="15.75" customHeight="1">
      <c r="P746" s="38"/>
    </row>
    <row r="747" ht="15.75" customHeight="1">
      <c r="P747" s="38"/>
    </row>
    <row r="748" ht="15.75" customHeight="1">
      <c r="P748" s="38"/>
    </row>
    <row r="749" ht="15.75" customHeight="1">
      <c r="P749" s="38"/>
    </row>
    <row r="750" ht="15.75" customHeight="1">
      <c r="P750" s="38"/>
    </row>
    <row r="751" ht="15.75" customHeight="1">
      <c r="P751" s="38"/>
    </row>
    <row r="752" ht="15.75" customHeight="1">
      <c r="P752" s="38"/>
    </row>
    <row r="753" ht="15.75" customHeight="1">
      <c r="P753" s="38"/>
    </row>
    <row r="754" ht="15.75" customHeight="1">
      <c r="P754" s="38"/>
    </row>
    <row r="755" ht="15.75" customHeight="1">
      <c r="P755" s="38"/>
    </row>
    <row r="756" ht="15.75" customHeight="1">
      <c r="P756" s="38"/>
    </row>
    <row r="757" ht="15.75" customHeight="1">
      <c r="P757" s="38"/>
    </row>
    <row r="758" ht="15.75" customHeight="1">
      <c r="P758" s="38"/>
    </row>
    <row r="759" ht="15.75" customHeight="1">
      <c r="P759" s="38"/>
    </row>
    <row r="760" ht="15.75" customHeight="1">
      <c r="P760" s="38"/>
    </row>
    <row r="761" ht="15.75" customHeight="1">
      <c r="P761" s="38"/>
    </row>
    <row r="762" ht="15.75" customHeight="1">
      <c r="P762" s="38"/>
    </row>
    <row r="763" ht="15.75" customHeight="1">
      <c r="P763" s="38"/>
    </row>
    <row r="764" ht="15.75" customHeight="1">
      <c r="P764" s="38"/>
    </row>
    <row r="765" ht="15.75" customHeight="1">
      <c r="P765" s="38"/>
    </row>
    <row r="766" ht="15.75" customHeight="1">
      <c r="P766" s="38"/>
    </row>
    <row r="767" ht="15.75" customHeight="1">
      <c r="P767" s="38"/>
    </row>
    <row r="768" ht="15.75" customHeight="1">
      <c r="P768" s="38"/>
    </row>
    <row r="769" ht="15.75" customHeight="1">
      <c r="P769" s="38"/>
    </row>
    <row r="770" ht="15.75" customHeight="1">
      <c r="P770" s="38"/>
    </row>
    <row r="771" ht="15.75" customHeight="1">
      <c r="P771" s="38"/>
    </row>
    <row r="772" ht="15.75" customHeight="1">
      <c r="P772" s="38"/>
    </row>
    <row r="773" ht="15.75" customHeight="1">
      <c r="P773" s="38"/>
    </row>
    <row r="774" ht="15.75" customHeight="1">
      <c r="P774" s="38"/>
    </row>
    <row r="775" ht="15.75" customHeight="1">
      <c r="P775" s="38"/>
    </row>
    <row r="776" ht="15.75" customHeight="1">
      <c r="P776" s="38"/>
    </row>
    <row r="777" ht="15.75" customHeight="1">
      <c r="P777" s="38"/>
    </row>
    <row r="778" ht="15.75" customHeight="1">
      <c r="P778" s="38"/>
    </row>
    <row r="779" ht="15.75" customHeight="1">
      <c r="P779" s="38"/>
    </row>
    <row r="780" ht="15.75" customHeight="1">
      <c r="P780" s="38"/>
    </row>
    <row r="781" ht="15.75" customHeight="1">
      <c r="P781" s="38"/>
    </row>
    <row r="782" ht="15.75" customHeight="1">
      <c r="P782" s="38"/>
    </row>
    <row r="783" ht="15.75" customHeight="1">
      <c r="P783" s="38"/>
    </row>
    <row r="784" ht="15.75" customHeight="1">
      <c r="P784" s="38"/>
    </row>
    <row r="785" ht="15.75" customHeight="1">
      <c r="P785" s="38"/>
    </row>
    <row r="786" ht="15.75" customHeight="1">
      <c r="P786" s="38"/>
    </row>
    <row r="787" ht="15.75" customHeight="1">
      <c r="P787" s="38"/>
    </row>
    <row r="788" ht="15.75" customHeight="1">
      <c r="P788" s="38"/>
    </row>
    <row r="789" ht="15.75" customHeight="1">
      <c r="P789" s="38"/>
    </row>
    <row r="790" ht="15.75" customHeight="1">
      <c r="P790" s="38"/>
    </row>
    <row r="791" ht="15.75" customHeight="1">
      <c r="P791" s="38"/>
    </row>
    <row r="792" ht="15.75" customHeight="1">
      <c r="P792" s="38"/>
    </row>
    <row r="793" ht="15.75" customHeight="1">
      <c r="P793" s="38"/>
    </row>
    <row r="794" ht="15.75" customHeight="1">
      <c r="P794" s="38"/>
    </row>
    <row r="795" ht="15.75" customHeight="1">
      <c r="P795" s="38"/>
    </row>
    <row r="796" ht="15.75" customHeight="1">
      <c r="P796" s="38"/>
    </row>
    <row r="797" ht="15.75" customHeight="1">
      <c r="P797" s="38"/>
    </row>
    <row r="798" ht="15.75" customHeight="1">
      <c r="P798" s="38"/>
    </row>
    <row r="799" ht="15.75" customHeight="1">
      <c r="P799" s="38"/>
    </row>
    <row r="800" ht="15.75" customHeight="1">
      <c r="P800" s="38"/>
    </row>
    <row r="801" ht="15.75" customHeight="1">
      <c r="P801" s="38"/>
    </row>
    <row r="802" ht="15.75" customHeight="1">
      <c r="P802" s="38"/>
    </row>
    <row r="803" ht="15.75" customHeight="1">
      <c r="P803" s="38"/>
    </row>
    <row r="804" ht="15.75" customHeight="1">
      <c r="P804" s="38"/>
    </row>
    <row r="805" ht="15.75" customHeight="1">
      <c r="P805" s="38"/>
    </row>
    <row r="806" ht="15.75" customHeight="1">
      <c r="P806" s="38"/>
    </row>
    <row r="807" ht="15.75" customHeight="1">
      <c r="P807" s="38"/>
    </row>
    <row r="808" ht="15.75" customHeight="1">
      <c r="P808" s="38"/>
    </row>
    <row r="809" ht="15.75" customHeight="1">
      <c r="P809" s="38"/>
    </row>
    <row r="810" ht="15.75" customHeight="1">
      <c r="P810" s="38"/>
    </row>
    <row r="811" ht="15.75" customHeight="1">
      <c r="P811" s="38"/>
    </row>
    <row r="812" ht="15.75" customHeight="1">
      <c r="P812" s="38"/>
    </row>
    <row r="813" ht="15.75" customHeight="1">
      <c r="P813" s="38"/>
    </row>
    <row r="814" ht="15.75" customHeight="1">
      <c r="P814" s="38"/>
    </row>
    <row r="815" ht="15.75" customHeight="1">
      <c r="P815" s="38"/>
    </row>
    <row r="816" ht="15.75" customHeight="1">
      <c r="P816" s="38"/>
    </row>
    <row r="817" ht="15.75" customHeight="1">
      <c r="P817" s="38"/>
    </row>
    <row r="818" ht="15.75" customHeight="1">
      <c r="P818" s="38"/>
    </row>
    <row r="819" ht="15.75" customHeight="1">
      <c r="P819" s="38"/>
    </row>
    <row r="820" ht="15.75" customHeight="1">
      <c r="P820" s="38"/>
    </row>
    <row r="821" ht="15.75" customHeight="1">
      <c r="P821" s="38"/>
    </row>
    <row r="822" ht="15.75" customHeight="1">
      <c r="P822" s="38"/>
    </row>
    <row r="823" ht="15.75" customHeight="1">
      <c r="P823" s="38"/>
    </row>
    <row r="824" ht="15.75" customHeight="1">
      <c r="P824" s="38"/>
    </row>
    <row r="825" ht="15.75" customHeight="1">
      <c r="P825" s="38"/>
    </row>
    <row r="826" ht="15.75" customHeight="1">
      <c r="P826" s="38"/>
    </row>
    <row r="827" ht="15.75" customHeight="1">
      <c r="P827" s="38"/>
    </row>
    <row r="828" ht="15.75" customHeight="1">
      <c r="P828" s="38"/>
    </row>
    <row r="829" ht="15.75" customHeight="1">
      <c r="P829" s="38"/>
    </row>
    <row r="830" ht="15.75" customHeight="1">
      <c r="P830" s="38"/>
    </row>
    <row r="831" ht="15.75" customHeight="1">
      <c r="P831" s="38"/>
    </row>
    <row r="832" ht="15.75" customHeight="1">
      <c r="P832" s="38"/>
    </row>
    <row r="833" ht="15.75" customHeight="1">
      <c r="P833" s="38"/>
    </row>
    <row r="834" ht="15.75" customHeight="1">
      <c r="P834" s="38"/>
    </row>
    <row r="835" ht="15.75" customHeight="1">
      <c r="P835" s="38"/>
    </row>
    <row r="836" ht="15.75" customHeight="1">
      <c r="P836" s="38"/>
    </row>
    <row r="837" ht="15.75" customHeight="1">
      <c r="P837" s="38"/>
    </row>
    <row r="838" ht="15.75" customHeight="1">
      <c r="P838" s="38"/>
    </row>
    <row r="839" ht="15.75" customHeight="1">
      <c r="P839" s="38"/>
    </row>
    <row r="840" ht="15.75" customHeight="1">
      <c r="P840" s="38"/>
    </row>
    <row r="841" ht="15.75" customHeight="1">
      <c r="P841" s="38"/>
    </row>
    <row r="842" ht="15.75" customHeight="1">
      <c r="P842" s="38"/>
    </row>
    <row r="843" ht="15.75" customHeight="1">
      <c r="P843" s="38"/>
    </row>
    <row r="844" ht="15.75" customHeight="1">
      <c r="P844" s="38"/>
    </row>
    <row r="845" ht="15.75" customHeight="1">
      <c r="P845" s="38"/>
    </row>
    <row r="846" ht="15.75" customHeight="1">
      <c r="P846" s="38"/>
    </row>
    <row r="847" ht="15.75" customHeight="1">
      <c r="P847" s="38"/>
    </row>
    <row r="848" ht="15.75" customHeight="1">
      <c r="P848" s="38"/>
    </row>
    <row r="849" ht="15.75" customHeight="1">
      <c r="P849" s="38"/>
    </row>
    <row r="850" ht="15.75" customHeight="1">
      <c r="P850" s="38"/>
    </row>
    <row r="851" ht="15.75" customHeight="1">
      <c r="P851" s="38"/>
    </row>
    <row r="852" ht="15.75" customHeight="1">
      <c r="P852" s="38"/>
    </row>
    <row r="853" ht="15.75" customHeight="1">
      <c r="P853" s="38"/>
    </row>
    <row r="854" ht="15.75" customHeight="1">
      <c r="P854" s="38"/>
    </row>
    <row r="855" ht="15.75" customHeight="1">
      <c r="P855" s="38"/>
    </row>
    <row r="856" ht="15.75" customHeight="1">
      <c r="P856" s="38"/>
    </row>
    <row r="857" ht="15.75" customHeight="1">
      <c r="P857" s="38"/>
    </row>
    <row r="858" ht="15.75" customHeight="1">
      <c r="P858" s="38"/>
    </row>
    <row r="859" ht="15.75" customHeight="1">
      <c r="P859" s="38"/>
    </row>
    <row r="860" ht="15.75" customHeight="1">
      <c r="P860" s="38"/>
    </row>
    <row r="861" ht="15.75" customHeight="1">
      <c r="P861" s="38"/>
    </row>
    <row r="862" ht="15.75" customHeight="1">
      <c r="P862" s="38"/>
    </row>
    <row r="863" ht="15.75" customHeight="1">
      <c r="P863" s="38"/>
    </row>
    <row r="864" ht="15.75" customHeight="1">
      <c r="P864" s="38"/>
    </row>
    <row r="865" ht="15.75" customHeight="1">
      <c r="P865" s="38"/>
    </row>
    <row r="866" ht="15.75" customHeight="1">
      <c r="P866" s="38"/>
    </row>
    <row r="867" ht="15.75" customHeight="1">
      <c r="P867" s="38"/>
    </row>
    <row r="868" ht="15.75" customHeight="1">
      <c r="P868" s="38"/>
    </row>
    <row r="869" ht="15.75" customHeight="1">
      <c r="P869" s="38"/>
    </row>
    <row r="870" ht="15.75" customHeight="1">
      <c r="P870" s="38"/>
    </row>
    <row r="871" ht="15.75" customHeight="1">
      <c r="P871" s="38"/>
    </row>
    <row r="872" ht="15.75" customHeight="1">
      <c r="P872" s="38"/>
    </row>
    <row r="873" ht="15.75" customHeight="1">
      <c r="P873" s="38"/>
    </row>
    <row r="874" ht="15.75" customHeight="1">
      <c r="P874" s="38"/>
    </row>
    <row r="875" ht="15.75" customHeight="1">
      <c r="P875" s="38"/>
    </row>
    <row r="876" ht="15.75" customHeight="1">
      <c r="P876" s="38"/>
    </row>
    <row r="877" ht="15.75" customHeight="1">
      <c r="P877" s="38"/>
    </row>
    <row r="878" ht="15.75" customHeight="1">
      <c r="P878" s="38"/>
    </row>
    <row r="879" ht="15.75" customHeight="1">
      <c r="P879" s="38"/>
    </row>
    <row r="880" ht="15.75" customHeight="1">
      <c r="P880" s="38"/>
    </row>
    <row r="881" ht="15.75" customHeight="1">
      <c r="P881" s="38"/>
    </row>
    <row r="882" ht="15.75" customHeight="1">
      <c r="P882" s="38"/>
    </row>
    <row r="883" ht="15.75" customHeight="1">
      <c r="P883" s="38"/>
    </row>
    <row r="884" ht="15.75" customHeight="1">
      <c r="P884" s="38"/>
    </row>
    <row r="885" ht="15.75" customHeight="1">
      <c r="P885" s="38"/>
    </row>
    <row r="886" ht="15.75" customHeight="1">
      <c r="P886" s="38"/>
    </row>
    <row r="887" ht="15.75" customHeight="1">
      <c r="P887" s="38"/>
    </row>
    <row r="888" ht="15.75" customHeight="1">
      <c r="P888" s="38"/>
    </row>
    <row r="889" ht="15.75" customHeight="1">
      <c r="P889" s="38"/>
    </row>
    <row r="890" ht="15.75" customHeight="1">
      <c r="P890" s="38"/>
    </row>
    <row r="891" ht="15.75" customHeight="1">
      <c r="P891" s="38"/>
    </row>
    <row r="892" ht="15.75" customHeight="1">
      <c r="P892" s="38"/>
    </row>
    <row r="893" ht="15.75" customHeight="1">
      <c r="P893" s="38"/>
    </row>
    <row r="894" ht="15.75" customHeight="1">
      <c r="P894" s="38"/>
    </row>
    <row r="895" ht="15.75" customHeight="1">
      <c r="P895" s="38"/>
    </row>
    <row r="896" ht="15.75" customHeight="1">
      <c r="P896" s="38"/>
    </row>
    <row r="897" ht="15.75" customHeight="1">
      <c r="P897" s="38"/>
    </row>
    <row r="898" ht="15.75" customHeight="1">
      <c r="P898" s="38"/>
    </row>
    <row r="899" ht="15.75" customHeight="1">
      <c r="P899" s="38"/>
    </row>
    <row r="900" ht="15.75" customHeight="1">
      <c r="P900" s="38"/>
    </row>
    <row r="901" ht="15.75" customHeight="1">
      <c r="P901" s="38"/>
    </row>
    <row r="902" ht="15.75" customHeight="1">
      <c r="P902" s="38"/>
    </row>
    <row r="903" ht="15.75" customHeight="1">
      <c r="P903" s="38"/>
    </row>
    <row r="904" ht="15.75" customHeight="1">
      <c r="P904" s="38"/>
    </row>
    <row r="905" ht="15.75" customHeight="1">
      <c r="P905" s="38"/>
    </row>
    <row r="906" ht="15.75" customHeight="1">
      <c r="P906" s="38"/>
    </row>
    <row r="907" ht="15.75" customHeight="1">
      <c r="P907" s="38"/>
    </row>
    <row r="908" ht="15.75" customHeight="1">
      <c r="P908" s="38"/>
    </row>
    <row r="909" ht="15.75" customHeight="1">
      <c r="P909" s="38"/>
    </row>
    <row r="910" ht="15.75" customHeight="1">
      <c r="P910" s="38"/>
    </row>
    <row r="911" ht="15.75" customHeight="1">
      <c r="P911" s="38"/>
    </row>
    <row r="912" ht="15.75" customHeight="1">
      <c r="P912" s="38"/>
    </row>
    <row r="913" ht="15.75" customHeight="1">
      <c r="P913" s="38"/>
    </row>
    <row r="914" ht="15.75" customHeight="1">
      <c r="P914" s="38"/>
    </row>
    <row r="915" ht="15.75" customHeight="1">
      <c r="P915" s="38"/>
    </row>
    <row r="916" ht="15.75" customHeight="1">
      <c r="P916" s="38"/>
    </row>
    <row r="917" ht="15.75" customHeight="1">
      <c r="P917" s="38"/>
    </row>
    <row r="918" ht="15.75" customHeight="1">
      <c r="P918" s="38"/>
    </row>
    <row r="919" ht="15.75" customHeight="1">
      <c r="P919" s="38"/>
    </row>
    <row r="920" ht="15.75" customHeight="1">
      <c r="P920" s="38"/>
    </row>
    <row r="921" ht="15.75" customHeight="1">
      <c r="P921" s="38"/>
    </row>
    <row r="922" ht="15.75" customHeight="1">
      <c r="P922" s="38"/>
    </row>
    <row r="923" ht="15.75" customHeight="1">
      <c r="P923" s="38"/>
    </row>
    <row r="924" ht="15.75" customHeight="1">
      <c r="P924" s="38"/>
    </row>
    <row r="925" ht="15.75" customHeight="1">
      <c r="P925" s="38"/>
    </row>
    <row r="926" ht="15.75" customHeight="1">
      <c r="P926" s="38"/>
    </row>
    <row r="927" ht="15.75" customHeight="1">
      <c r="P927" s="38"/>
    </row>
    <row r="928" ht="15.75" customHeight="1">
      <c r="P928" s="38"/>
    </row>
    <row r="929" ht="15.75" customHeight="1">
      <c r="P929" s="38"/>
    </row>
    <row r="930" ht="15.75" customHeight="1">
      <c r="P930" s="38"/>
    </row>
    <row r="931" ht="15.75" customHeight="1">
      <c r="P931" s="38"/>
    </row>
    <row r="932" ht="15.75" customHeight="1">
      <c r="P932" s="38"/>
    </row>
    <row r="933" ht="15.75" customHeight="1">
      <c r="P933" s="38"/>
    </row>
    <row r="934" ht="15.75" customHeight="1">
      <c r="P934" s="38"/>
    </row>
    <row r="935" ht="15.75" customHeight="1">
      <c r="P935" s="38"/>
    </row>
    <row r="936" ht="15.75" customHeight="1">
      <c r="P936" s="38"/>
    </row>
    <row r="937" ht="15.75" customHeight="1">
      <c r="P937" s="38"/>
    </row>
    <row r="938" ht="15.75" customHeight="1">
      <c r="P938" s="38"/>
    </row>
    <row r="939" ht="15.75" customHeight="1">
      <c r="P939" s="38"/>
    </row>
    <row r="940" ht="15.75" customHeight="1">
      <c r="P940" s="38"/>
    </row>
    <row r="941" ht="15.75" customHeight="1">
      <c r="P941" s="38"/>
    </row>
    <row r="942" ht="15.75" customHeight="1">
      <c r="P942" s="38"/>
    </row>
    <row r="943" ht="15.75" customHeight="1">
      <c r="P943" s="38"/>
    </row>
    <row r="944" ht="15.75" customHeight="1">
      <c r="P944" s="38"/>
    </row>
    <row r="945" ht="15.75" customHeight="1">
      <c r="P945" s="38"/>
    </row>
    <row r="946" ht="15.75" customHeight="1">
      <c r="P946" s="38"/>
    </row>
    <row r="947" ht="15.75" customHeight="1">
      <c r="P947" s="38"/>
    </row>
    <row r="948" ht="15.75" customHeight="1">
      <c r="P948" s="38"/>
    </row>
    <row r="949" ht="15.75" customHeight="1">
      <c r="P949" s="38"/>
    </row>
    <row r="950" ht="15.75" customHeight="1">
      <c r="P950" s="38"/>
    </row>
    <row r="951" ht="15.75" customHeight="1">
      <c r="P951" s="38"/>
    </row>
    <row r="952" ht="15.75" customHeight="1">
      <c r="P952" s="38"/>
    </row>
    <row r="953" ht="15.75" customHeight="1">
      <c r="P953" s="38"/>
    </row>
    <row r="954" ht="15.75" customHeight="1">
      <c r="P954" s="38"/>
    </row>
    <row r="955" ht="15.75" customHeight="1">
      <c r="P955" s="38"/>
    </row>
    <row r="956" ht="15.75" customHeight="1">
      <c r="P956" s="38"/>
    </row>
    <row r="957" ht="15.75" customHeight="1">
      <c r="P957" s="38"/>
    </row>
    <row r="958" ht="15.75" customHeight="1">
      <c r="P958" s="38"/>
    </row>
    <row r="959" ht="15.75" customHeight="1">
      <c r="P959" s="38"/>
    </row>
    <row r="960" ht="15.75" customHeight="1">
      <c r="P960" s="38"/>
    </row>
    <row r="961" ht="15.75" customHeight="1">
      <c r="P961" s="38"/>
    </row>
    <row r="962" ht="15.75" customHeight="1">
      <c r="P962" s="38"/>
    </row>
    <row r="963" ht="15.75" customHeight="1">
      <c r="P963" s="38"/>
    </row>
    <row r="964" ht="15.75" customHeight="1">
      <c r="P964" s="38"/>
    </row>
    <row r="965" ht="15.75" customHeight="1">
      <c r="P965" s="38"/>
    </row>
    <row r="966" ht="15.75" customHeight="1">
      <c r="P966" s="38"/>
    </row>
    <row r="967" ht="15.75" customHeight="1">
      <c r="P967" s="38"/>
    </row>
    <row r="968" ht="15.75" customHeight="1">
      <c r="P968" s="38"/>
    </row>
    <row r="969" ht="15.75" customHeight="1">
      <c r="P969" s="38"/>
    </row>
    <row r="970" ht="15.75" customHeight="1">
      <c r="P970" s="38"/>
    </row>
    <row r="971" ht="15.75" customHeight="1">
      <c r="P971" s="38"/>
    </row>
    <row r="972" ht="15.75" customHeight="1">
      <c r="P972" s="38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3.43"/>
    <col customWidth="1" min="2" max="2" width="17.57"/>
    <col customWidth="1" min="3" max="3" width="16.14"/>
    <col customWidth="1" min="4" max="4" width="22.71"/>
    <col customWidth="1" min="5" max="5" width="34.43"/>
    <col customWidth="1" min="6" max="6" width="24.71"/>
    <col customWidth="1" min="7" max="7" width="22.86"/>
    <col customWidth="1" min="8" max="8" width="16.86"/>
    <col customWidth="1" min="9" max="9" width="8.71"/>
    <col customWidth="1" min="10" max="10" width="20.71"/>
    <col customWidth="1" min="11" max="11" width="19.57"/>
    <col customWidth="1" min="12" max="12" width="18.14"/>
    <col customWidth="1" min="13" max="13" width="11.14"/>
    <col customWidth="1" min="14" max="14" width="20.43"/>
    <col customWidth="1" min="15" max="15" width="8.71"/>
    <col customWidth="1" min="16" max="16" width="13.14"/>
    <col customWidth="1" min="17" max="17" width="15.43"/>
    <col customWidth="1" min="18" max="18" width="19.43"/>
    <col customWidth="1" min="19" max="19" width="8.71"/>
    <col customWidth="1" min="20" max="20" width="44.14"/>
    <col customWidth="1" min="21" max="21" width="70.29"/>
    <col customWidth="1" min="22" max="22" width="22.29"/>
    <col customWidth="1" min="23" max="23" width="10.86"/>
    <col customWidth="1" min="24" max="24" width="17.29"/>
    <col customWidth="1" min="25" max="25" width="19.43"/>
    <col customWidth="1" min="26" max="26" width="8.71"/>
    <col customWidth="1" min="27" max="27" width="25.29"/>
    <col customWidth="1" min="28" max="30" width="8.71"/>
    <col customWidth="1" min="31" max="31" width="24.14"/>
    <col customWidth="1" min="32" max="32" width="19.14"/>
    <col customWidth="1" min="33" max="33" width="25.86"/>
    <col customWidth="1" min="34" max="34" width="15.86"/>
    <col customWidth="1" min="35" max="35" width="8.71"/>
    <col customWidth="1" min="36" max="36" width="17.86"/>
    <col customWidth="1" min="37" max="37" width="26.0"/>
    <col customWidth="1" min="38" max="38" width="19.57"/>
    <col customWidth="1" min="39" max="39" width="16.0"/>
    <col customWidth="1" min="40" max="40" width="26.0"/>
    <col customWidth="1" min="41" max="41" width="16.71"/>
    <col customWidth="1" min="42" max="42" width="19.29"/>
    <col customWidth="1" min="43" max="89" width="8.71"/>
  </cols>
  <sheetData>
    <row r="1">
      <c r="A1" s="444" t="s">
        <v>1</v>
      </c>
      <c r="B1" s="444" t="s">
        <v>3</v>
      </c>
      <c r="C1" s="444" t="s">
        <v>4</v>
      </c>
      <c r="D1" s="444" t="s">
        <v>5</v>
      </c>
      <c r="E1" s="444" t="s">
        <v>6</v>
      </c>
      <c r="F1" s="444" t="s">
        <v>2650</v>
      </c>
      <c r="G1" s="445" t="s">
        <v>8</v>
      </c>
      <c r="H1" s="444" t="s">
        <v>2651</v>
      </c>
      <c r="I1" s="444" t="s">
        <v>10</v>
      </c>
      <c r="J1" s="444" t="s">
        <v>11</v>
      </c>
      <c r="K1" s="444" t="s">
        <v>12</v>
      </c>
      <c r="L1" s="444" t="s">
        <v>13</v>
      </c>
      <c r="M1" s="444" t="s">
        <v>14</v>
      </c>
      <c r="N1" s="444" t="s">
        <v>15</v>
      </c>
      <c r="O1" s="444" t="s">
        <v>16</v>
      </c>
      <c r="P1" s="444" t="s">
        <v>2652</v>
      </c>
      <c r="Q1" s="444" t="s">
        <v>18</v>
      </c>
      <c r="R1" s="444" t="s">
        <v>19</v>
      </c>
      <c r="S1" s="444" t="s">
        <v>20</v>
      </c>
      <c r="T1" s="446" t="s">
        <v>21</v>
      </c>
      <c r="U1" s="444" t="s">
        <v>22</v>
      </c>
      <c r="V1" s="444" t="s">
        <v>23</v>
      </c>
      <c r="W1" s="444" t="s">
        <v>24</v>
      </c>
      <c r="X1" s="444" t="s">
        <v>25</v>
      </c>
      <c r="Y1" s="444" t="s">
        <v>26</v>
      </c>
      <c r="Z1" s="444" t="s">
        <v>27</v>
      </c>
      <c r="AA1" s="444" t="s">
        <v>28</v>
      </c>
      <c r="AB1" s="444" t="s">
        <v>29</v>
      </c>
      <c r="AC1" s="444" t="s">
        <v>30</v>
      </c>
      <c r="AD1" s="444" t="s">
        <v>31</v>
      </c>
      <c r="AE1" s="444" t="s">
        <v>32</v>
      </c>
      <c r="AF1" s="444" t="s">
        <v>33</v>
      </c>
      <c r="AG1" s="444" t="s">
        <v>2653</v>
      </c>
      <c r="AH1" s="444" t="s">
        <v>35</v>
      </c>
      <c r="AI1" s="444" t="s">
        <v>36</v>
      </c>
      <c r="AJ1" s="444" t="s">
        <v>2654</v>
      </c>
      <c r="AK1" s="444" t="s">
        <v>38</v>
      </c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</row>
    <row r="2" ht="15.75" customHeight="1">
      <c r="A2" s="45" t="s">
        <v>497</v>
      </c>
      <c r="B2" s="38" t="str">
        <f>VLOOKUP(A2,DATAKARYAWAN,3,0)</f>
        <v>Karyawan Tetap</v>
      </c>
      <c r="C2" s="38" t="str">
        <f>VLOOKUP(A2,DATAKARYAWAN,4,0)</f>
        <v>23-040001</v>
      </c>
      <c r="D2" s="38" t="str">
        <f>VLOOKUP(A2,DATAKARYAWAN,5,0)</f>
        <v>081338000068</v>
      </c>
      <c r="E2" s="453" t="str">
        <f>VLOOKUP(A2,DATAKARYAWAN,6,0)</f>
        <v>megakupu88@gmail.com</v>
      </c>
      <c r="F2" s="38" t="str">
        <f>VLOOKUP(A2,DATAKARYAWAN,7,0)</f>
        <v>DIREKTUR SIGAP</v>
      </c>
      <c r="G2" s="38" t="str">
        <f>VLOOKUP(A2,DATAKARYAWAN,8,0)</f>
        <v>MANAGERIAL</v>
      </c>
      <c r="H2" s="53"/>
      <c r="I2" s="38" t="str">
        <f>VLOOKUP(A2,DATAKARYAWAN,10,0)</f>
        <v>Indonesia</v>
      </c>
      <c r="J2" s="38" t="str">
        <f>VLOOKUP(A2,DATAKARYAWAN,11,0)</f>
        <v>KATHOLIK</v>
      </c>
      <c r="K2" s="449" t="str">
        <f>VLOOKUP(A2,DATAKARYAWAN,12,0)</f>
        <v>3578182705220005</v>
      </c>
      <c r="L2" s="449" t="str">
        <f>VLOOKUP(A2,DATAKARYAWAN,13,0)</f>
        <v>3578184302880001</v>
      </c>
      <c r="M2" s="38" t="str">
        <f>VLOOKUP(A2,DATAKARYAWAN,14,0)</f>
        <v>OCBC NISP</v>
      </c>
      <c r="N2" s="38">
        <f>VLOOKUP(A2,DATAKARYAWAN,15,0)</f>
        <v>58810108108</v>
      </c>
      <c r="O2" s="38" t="str">
        <f>VLOOKUP(A2,DATAKARYAWAN,16,0)</f>
        <v>SLTA</v>
      </c>
      <c r="P2" s="48"/>
      <c r="Q2" s="38" t="str">
        <f>VLOOKUP(A2,DATAKARYAWAN,18,0)</f>
        <v>PEREMPUAN</v>
      </c>
      <c r="R2" s="38" t="str">
        <f>VLOOKUP(A2,DATAKARYAWAN,19,0)</f>
        <v>3 Februari 1988</v>
      </c>
      <c r="S2" s="38" t="str">
        <f>VLOOKUP(A2,DATAKARYAWAN,20,0)</f>
        <v>SURABAYA</v>
      </c>
      <c r="T2" s="38"/>
      <c r="U2" s="38" t="str">
        <f>VLOOKUP(A2,DATAKARYAWAN,22,0)</f>
        <v>PERUM CITRA SENTOSA K-7 RT 04/ RW 03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SURABAYA</v>
      </c>
      <c r="Y2" s="38" t="str">
        <f>VLOOKUP(A2,DATAKARYAWAN,26,0)</f>
        <v>LAKARSANTRI</v>
      </c>
      <c r="Z2" s="38" t="str">
        <f>VLOOKUP(A2,DATAKARYAWAN,27,0)</f>
        <v>LAKARSANTRI</v>
      </c>
      <c r="AA2" s="38">
        <f>VLOOKUP(A2,DATAKARYAWAN,28,0)</f>
        <v>60211</v>
      </c>
      <c r="AB2" s="38"/>
      <c r="AC2" s="38"/>
      <c r="AD2" s="38" t="str">
        <f>VLOOKUP(A2,DATAKARYAWAN,31,0)</f>
        <v>TK/2</v>
      </c>
      <c r="AE2" s="48"/>
      <c r="AF2" s="38" t="str">
        <f>VLOOKUP(A2,DATAKARYAWAN,33,0)</f>
        <v>545211336604000</v>
      </c>
      <c r="AG2" s="38">
        <f>VLOOKUP(A2,DATAKARYAWAN,34,0)</f>
        <v>22077149437</v>
      </c>
      <c r="AH2" s="38" t="str">
        <f>VLOOKUP(A2,DATAKARYAWAN,35,0)</f>
        <v>0001812020512</v>
      </c>
      <c r="AI2" s="38" t="str">
        <f>VLOOKUP(A2,DATAKARYAWAN,36,0)</f>
        <v>Kelas 1</v>
      </c>
      <c r="AJ2" s="38"/>
      <c r="AK2" s="451">
        <f>VLOOKUP(A2,DATAKARYAWAN,38,0)</f>
        <v>43648</v>
      </c>
      <c r="AL2" s="38" t="str">
        <f>VLOOKUP(A2,DATAKARYAWAN,39,0)</f>
        <v/>
      </c>
    </row>
    <row r="3" ht="15.75" customHeight="1">
      <c r="A3" s="45" t="s">
        <v>574</v>
      </c>
      <c r="B3" s="38" t="str">
        <f>VLOOKUP(A3,DATAKARYAWAN,3,0)</f>
        <v>Karyawan Tetap</v>
      </c>
      <c r="C3" s="38" t="str">
        <f>VLOOKUP(A3,DATAKARYAWAN,4,0)</f>
        <v>22-020002</v>
      </c>
      <c r="D3" s="38" t="str">
        <f>VLOOKUP(A3,DATAKARYAWAN,5,0)</f>
        <v>0882009453661</v>
      </c>
      <c r="E3" s="453" t="str">
        <f>VLOOKUP(A3,DATAKARYAWAN,6,0)</f>
        <v>erzafebriana@gmail.com</v>
      </c>
      <c r="F3" s="38" t="str">
        <f>VLOOKUP(A3,DATAKARYAWAN,7,0)</f>
        <v>STAFF CS &amp; DOC</v>
      </c>
      <c r="G3" s="38" t="str">
        <f>VLOOKUP(A3,DATAKARYAWAN,8,0)</f>
        <v>CUSTOMER SERVICE</v>
      </c>
      <c r="H3" s="53"/>
      <c r="I3" s="38" t="str">
        <f>VLOOKUP(A3,DATAKARYAWAN,10,0)</f>
        <v>Indonesia</v>
      </c>
      <c r="J3" s="38" t="str">
        <f>VLOOKUP(A3,DATAKARYAWAN,11,0)</f>
        <v>ISLAM</v>
      </c>
      <c r="K3" s="449" t="str">
        <f>VLOOKUP(A3,DATAKARYAWAN,12,0)</f>
        <v>3525092302160003</v>
      </c>
      <c r="L3" s="449" t="str">
        <f>VLOOKUP(A3,DATAKARYAWAN,13,0)</f>
        <v>3525096802970001</v>
      </c>
      <c r="M3" s="38" t="str">
        <f>VLOOKUP(A3,DATAKARYAWAN,14,0)</f>
        <v>OCBC NISP</v>
      </c>
      <c r="N3" s="38">
        <f>VLOOKUP(A3,DATAKARYAWAN,15,0)</f>
        <v>58810105237</v>
      </c>
      <c r="O3" s="38" t="str">
        <f>VLOOKUP(A3,DATAKARYAWAN,16,0)</f>
        <v>SLTP</v>
      </c>
      <c r="P3" s="48"/>
      <c r="Q3" s="38" t="str">
        <f>VLOOKUP(A3,DATAKARYAWAN,18,0)</f>
        <v>PEREMPUAN</v>
      </c>
      <c r="R3" s="49" t="str">
        <f>VLOOKUP(A3,DATAKARYAWAN,19,0)</f>
        <v>28 Februari 1997</v>
      </c>
      <c r="S3" s="38" t="str">
        <f>VLOOKUP(A3,DATAKARYAWAN,20,0)</f>
        <v>GRESIK</v>
      </c>
      <c r="T3" s="38"/>
      <c r="U3" s="38" t="str">
        <f>VLOOKUP(A3,DATAKARYAWAN,22,0)</f>
        <v>RACIKULON RT 2/ RW 1</v>
      </c>
      <c r="V3" s="38" t="str">
        <f>VLOOKUP(A3,DATAKARYAWAN,23,0)</f>
        <v/>
      </c>
      <c r="W3" s="38" t="str">
        <f>VLOOKUP(A3,DATAKARYAWAN,24,0)</f>
        <v>JAWA TIMUR</v>
      </c>
      <c r="X3" s="38" t="str">
        <f>VLOOKUP(A3,DATAKARYAWAN,25,0)</f>
        <v>GRESIK</v>
      </c>
      <c r="Y3" s="38" t="str">
        <f>VLOOKUP(A3,DATAKARYAWAN,26,0)</f>
        <v>SIDAYU</v>
      </c>
      <c r="Z3" s="38" t="str">
        <f>VLOOKUP(A3,DATAKARYAWAN,27,0)</f>
        <v>RACIKULON</v>
      </c>
      <c r="AA3" s="38">
        <f>VLOOKUP(A3,DATAKARYAWAN,28,0)</f>
        <v>61153</v>
      </c>
      <c r="AB3" s="38"/>
      <c r="AC3" s="38"/>
      <c r="AD3" s="38" t="str">
        <f>VLOOKUP(A3,DATAKARYAWAN,31,0)</f>
        <v>TK/0</v>
      </c>
      <c r="AE3" s="48"/>
      <c r="AF3" s="38" t="str">
        <f>VLOOKUP(A3,DATAKARYAWAN,33,0)</f>
        <v>tidak ada NPWP</v>
      </c>
      <c r="AG3" s="38">
        <f>VLOOKUP(A3,DATAKARYAWAN,34,0)</f>
        <v>21010994420</v>
      </c>
      <c r="AH3" s="494" t="str">
        <f>VLOOKUP(A3,DATAKARYAWAN,35,0)</f>
        <v>0002481418056</v>
      </c>
      <c r="AI3" s="38" t="str">
        <f>VLOOKUP(A3,DATAKARYAWAN,36,0)</f>
        <v>Kelas 1</v>
      </c>
      <c r="AJ3" s="38"/>
      <c r="AK3" s="451">
        <f>VLOOKUP(A3,DATAKARYAWAN,38,0)</f>
        <v>43863</v>
      </c>
      <c r="AL3" s="38" t="str">
        <f>VLOOKUP(A3,DATAKARYAWAN,39,0)</f>
        <v/>
      </c>
    </row>
    <row r="4" ht="16.5" customHeight="1">
      <c r="A4" s="103" t="s">
        <v>861</v>
      </c>
      <c r="B4" s="38" t="str">
        <f>VLOOKUP(A4,DATAKARYAWAN,3,0)</f>
        <v>Karyawan Tetap</v>
      </c>
      <c r="C4" s="38" t="str">
        <f>VLOOKUP(A4,DATAKARYAWAN,4,0)</f>
        <v>23-010004</v>
      </c>
      <c r="D4" s="38" t="str">
        <f>VLOOKUP(A4,DATAKARYAWAN,5,0)</f>
        <v>082289190821</v>
      </c>
      <c r="E4" s="453" t="str">
        <f>VLOOKUP(A4,DATAKARYAWAN,6,0)</f>
        <v>prayogiseptian1@gmail.com</v>
      </c>
      <c r="F4" s="38" t="str">
        <f>VLOOKUP(A4,DATAKARYAWAN,7,0)</f>
        <v>OPERASIONAL CAB. JKT</v>
      </c>
      <c r="G4" s="38" t="str">
        <f>VLOOKUP(A4,DATAKARYAWAN,8,0)</f>
        <v>OPERASIONAL</v>
      </c>
      <c r="H4" s="53"/>
      <c r="I4" s="38" t="str">
        <f>VLOOKUP(A4,DATAKARYAWAN,10,0)</f>
        <v>Indonesia</v>
      </c>
      <c r="J4" s="38" t="str">
        <f>VLOOKUP(A4,DATAKARYAWAN,11,0)</f>
        <v>ISLAM</v>
      </c>
      <c r="K4" s="38" t="str">
        <f>VLOOKUP(A4,DATAKARYAWAN,12,0)</f>
        <v>1901012112075153</v>
      </c>
      <c r="L4" s="38" t="str">
        <f>VLOOKUP(A4,DATAKARYAWAN,13,0)</f>
        <v>1901013009000006</v>
      </c>
      <c r="M4" s="38" t="str">
        <f>VLOOKUP(A4,DATAKARYAWAN,14,0)</f>
        <v>BCA</v>
      </c>
      <c r="N4" s="38" t="str">
        <f>VLOOKUP(A4,DATAKARYAWAN,15,0)</f>
        <v>753 0291 779</v>
      </c>
      <c r="O4" s="38" t="str">
        <f>VLOOKUP(A4,DATAKARYAWAN,16,0)</f>
        <v>D3</v>
      </c>
      <c r="P4" s="48"/>
      <c r="Q4" s="38" t="str">
        <f>VLOOKUP(A4,DATAKARYAWAN,18,0)</f>
        <v>LAKI-LAKI</v>
      </c>
      <c r="R4" s="49" t="str">
        <f>VLOOKUP(A4,DATAKARYAWAN,19,0)</f>
        <v>30 September 2000</v>
      </c>
      <c r="S4" s="38" t="str">
        <f>VLOOKUP(A4,DATAKARYAWAN,20,0)</f>
        <v>SUNGAILIAT</v>
      </c>
      <c r="T4" s="38"/>
      <c r="U4" s="38" t="str">
        <f>VLOOKUP(A4,DATAKARYAWAN,22,0)</f>
        <v>JL. RAYA NO. 5</v>
      </c>
      <c r="V4" s="38" t="str">
        <f>VLOOKUP(A4,DATAKARYAWAN,23,0)</f>
        <v>JL BANGUNSARI TENGAH NO. 7</v>
      </c>
      <c r="W4" s="38" t="str">
        <f>VLOOKUP(A4,DATAKARYAWAN,24,0)</f>
        <v>KEP. BANGKA BELITUNG</v>
      </c>
      <c r="X4" s="38" t="str">
        <f>VLOOKUP(A4,DATAKARYAWAN,25,0)</f>
        <v>BANGKA</v>
      </c>
      <c r="Y4" s="38" t="str">
        <f>VLOOKUP(A4,DATAKARYAWAN,26,0)</f>
        <v>SUNGAILIAT</v>
      </c>
      <c r="Z4" s="38" t="str">
        <f>VLOOKUP(A4,DATAKARYAWAN,27,0)</f>
        <v>BUKIT BETUNG</v>
      </c>
      <c r="AA4" s="38">
        <f>VLOOKUP(A4,DATAKARYAWAN,28,0)</f>
        <v>33211</v>
      </c>
      <c r="AB4" s="38"/>
      <c r="AC4" s="38"/>
      <c r="AD4" s="38" t="str">
        <f>VLOOKUP(A4,DATAKARYAWAN,31,0)</f>
        <v>TK/0</v>
      </c>
      <c r="AE4" s="48"/>
      <c r="AF4" s="38" t="str">
        <f>VLOOKUP(A4,DATAKARYAWAN,33,0)</f>
        <v>401176060315000</v>
      </c>
      <c r="AG4" s="38">
        <f>VLOOKUP(A4,DATAKARYAWAN,34,0)</f>
        <v>23051272674</v>
      </c>
      <c r="AH4" s="38" t="str">
        <f>VLOOKUP(A4,DATAKARYAWAN,35,0)</f>
        <v>0001809607645</v>
      </c>
      <c r="AI4" s="38" t="str">
        <f>VLOOKUP(A4,DATAKARYAWAN,36,0)</f>
        <v>Kelas 1</v>
      </c>
      <c r="AJ4" s="38"/>
      <c r="AK4" s="451">
        <f>VLOOKUP(A4,DATAKARYAWAN,38,0)</f>
        <v>44928</v>
      </c>
      <c r="AL4" s="38" t="str">
        <f>VLOOKUP(A4,DATAKARYAWAN,39,0)</f>
        <v/>
      </c>
    </row>
    <row r="5" ht="15.75" customHeight="1">
      <c r="A5" s="495" t="s">
        <v>893</v>
      </c>
      <c r="B5" s="38" t="str">
        <f>VLOOKUP(A5,DATAKARYAWAN,3,0)</f>
        <v>Karyawan Tetap</v>
      </c>
      <c r="C5" s="38" t="str">
        <f>VLOOKUP(A5,DATAKARYAWAN,4,0)</f>
        <v>23-030006</v>
      </c>
      <c r="D5" s="38" t="str">
        <f>VLOOKUP(A5,DATAKARYAWAN,5,0)</f>
        <v>089514714244</v>
      </c>
      <c r="E5" s="38" t="str">
        <f>VLOOKUP(A5,DATAKARYAWAN,6,0)</f>
        <v>dinnyalfabian@gmail.com</v>
      </c>
      <c r="F5" s="38" t="str">
        <f>VLOOKUP(A5,DATAKARYAWAN,7,0)</f>
        <v>SPV ACC-TAX</v>
      </c>
      <c r="G5" s="38" t="str">
        <f>VLOOKUP(A5,DATAKARYAWAN,8,0)</f>
        <v>KEUANGAN</v>
      </c>
      <c r="H5" s="53"/>
      <c r="I5" s="38" t="str">
        <f>VLOOKUP(A5,DATAKARYAWAN,10,0)</f>
        <v>Indonesia</v>
      </c>
      <c r="J5" s="38" t="str">
        <f>VLOOKUP(A5,DATAKARYAWAN,11,0)</f>
        <v>ISLAM</v>
      </c>
      <c r="K5" s="38" t="str">
        <f>VLOOKUP(A5,DATAKARYAWAN,12,0)</f>
        <v>3578100109200010</v>
      </c>
      <c r="L5" s="38" t="str">
        <f>VLOOKUP(A5,DATAKARYAWAN,13,0)</f>
        <v>3578105808920003</v>
      </c>
      <c r="M5" s="38" t="str">
        <f>VLOOKUP(A5,DATAKARYAWAN,14,0)</f>
        <v>OCBC NISP</v>
      </c>
      <c r="N5" s="38" t="str">
        <f>VLOOKUP(A5,DATAKARYAWAN,15,0)</f>
        <v/>
      </c>
      <c r="O5" s="38" t="str">
        <f>VLOOKUP(A5,DATAKARYAWAN,16,0)</f>
        <v>SLTA</v>
      </c>
      <c r="P5" s="48"/>
      <c r="Q5" s="38" t="str">
        <f>VLOOKUP(A5,DATAKARYAWAN,18,0)</f>
        <v>PEREMPUAN</v>
      </c>
      <c r="R5" s="49" t="str">
        <f>VLOOKUP(A5,DATAKARYAWAN,19,0)</f>
        <v>18 Agustus 1992</v>
      </c>
      <c r="S5" s="38" t="str">
        <f>VLOOKUP(A5,DATAKARYAWAN,20,0)</f>
        <v>SURABAYA</v>
      </c>
      <c r="T5" s="38"/>
      <c r="U5" s="38" t="str">
        <f>VLOOKUP(A5,DATAKARYAWAN,22,0)</f>
        <v>SETRO 2/21 RT 2/ RW 5</v>
      </c>
      <c r="V5" s="38" t="str">
        <f>VLOOKUP(A5,DATAKARYAWAN,23,0)</f>
        <v/>
      </c>
      <c r="W5" s="38" t="str">
        <f>VLOOKUP(A5,DATAKARYAWAN,24,0)</f>
        <v>JAWA TIMUR</v>
      </c>
      <c r="X5" s="38" t="str">
        <f>VLOOKUP(A5,DATAKARYAWAN,25,0)</f>
        <v>SURABAYA</v>
      </c>
      <c r="Y5" s="38" t="str">
        <f>VLOOKUP(A5,DATAKARYAWAN,26,0)</f>
        <v>TAMBAKSARI</v>
      </c>
      <c r="Z5" s="38" t="str">
        <f>VLOOKUP(A5,DATAKARYAWAN,27,0)</f>
        <v>GADING</v>
      </c>
      <c r="AA5" s="38">
        <f>VLOOKUP(A5,DATAKARYAWAN,28,0)</f>
        <v>60134</v>
      </c>
      <c r="AB5" s="38"/>
      <c r="AC5" s="38"/>
      <c r="AD5" s="38" t="str">
        <f>VLOOKUP(A5,DATAKARYAWAN,31,0)</f>
        <v>TK/0</v>
      </c>
      <c r="AE5" s="48"/>
      <c r="AF5" s="38" t="str">
        <f>VLOOKUP(A5,DATAKARYAWAN,33,0)</f>
        <v>457511426619000</v>
      </c>
      <c r="AG5" s="38">
        <f>VLOOKUP(A5,DATAKARYAWAN,34,0)</f>
        <v>23107678734</v>
      </c>
      <c r="AH5" s="38" t="str">
        <f>VLOOKUP(A5,DATAKARYAWAN,35,0)</f>
        <v>0001395440008</v>
      </c>
      <c r="AI5" s="38" t="str">
        <f>VLOOKUP(A5,DATAKARYAWAN,36,0)</f>
        <v>Kelas 1</v>
      </c>
      <c r="AJ5" s="38"/>
      <c r="AK5" s="451">
        <f>VLOOKUP(A5,DATAKARYAWAN,38,0)</f>
        <v>45013</v>
      </c>
      <c r="AL5" s="38" t="str">
        <f>VLOOKUP(A5,DATAKARYAWAN,39,0)</f>
        <v>TETAP</v>
      </c>
    </row>
    <row r="6" ht="15.75" customHeight="1">
      <c r="A6" s="496" t="s">
        <v>905</v>
      </c>
      <c r="B6" s="38" t="str">
        <f>VLOOKUP(A6,DATAKARYAWAN,3,0)</f>
        <v>Karyawan Tetap</v>
      </c>
      <c r="C6" s="38" t="str">
        <f>VLOOKUP(A6,DATAKARYAWAN,4,0)</f>
        <v>23-040007</v>
      </c>
      <c r="D6" s="38" t="str">
        <f>VLOOKUP(A6,DATAKARYAWAN,5,0)</f>
        <v>085851303483</v>
      </c>
      <c r="E6" s="453" t="str">
        <f>VLOOKUP(A6,DATAKARYAWAN,6,0)</f>
        <v>ditaindahra@gmail.com</v>
      </c>
      <c r="F6" s="38" t="str">
        <f>VLOOKUP(A6,DATAKARYAWAN,7,0)</f>
        <v>STAFF CS</v>
      </c>
      <c r="G6" s="38" t="str">
        <f>VLOOKUP(A6,DATAKARYAWAN,8,0)</f>
        <v>CUSTOMER SERVICE</v>
      </c>
      <c r="H6" s="53"/>
      <c r="I6" s="38" t="str">
        <f>VLOOKUP(A6,DATAKARYAWAN,10,0)</f>
        <v>Indonesia</v>
      </c>
      <c r="J6" s="38" t="str">
        <f>VLOOKUP(A6,DATAKARYAWAN,11,0)</f>
        <v>ISLAM</v>
      </c>
      <c r="K6" s="38" t="str">
        <f>VLOOKUP(A6,DATAKARYAWAN,12,0)</f>
        <v>3521103008210002</v>
      </c>
      <c r="L6" s="38" t="str">
        <f>VLOOKUP(A6,DATAKARYAWAN,13,0)</f>
        <v>3521105303010003</v>
      </c>
      <c r="M6" s="38" t="str">
        <f>VLOOKUP(A6,DATAKARYAWAN,14,0)</f>
        <v>BCA</v>
      </c>
      <c r="N6" s="38" t="str">
        <f>VLOOKUP(A6,DATAKARYAWAN,15,0)</f>
        <v>520 055 5904</v>
      </c>
      <c r="O6" s="38" t="str">
        <f>VLOOKUP(A6,DATAKARYAWAN,16,0)</f>
        <v>SLTA</v>
      </c>
      <c r="P6" s="48"/>
      <c r="Q6" s="38" t="str">
        <f>VLOOKUP(A6,DATAKARYAWAN,18,0)</f>
        <v>PEREMPUAN</v>
      </c>
      <c r="R6" s="38" t="str">
        <f>VLOOKUP(A6,DATAKARYAWAN,19,0)</f>
        <v>08 Maret 2001</v>
      </c>
      <c r="S6" s="38" t="str">
        <f>VLOOKUP(A6,DATAKARYAWAN,20,0)</f>
        <v>NGAWI</v>
      </c>
      <c r="T6" s="38"/>
      <c r="U6" s="38" t="str">
        <f>VLOOKUP(A6,DATAKARYAWAN,22,0)</f>
        <v>KERTEN RT 06/RW 04</v>
      </c>
      <c r="V6" s="38" t="str">
        <f>VLOOKUP(A6,DATAKARYAWAN,23,0)</f>
        <v>DELES GG II NO 8 KLAMPIS</v>
      </c>
      <c r="W6" s="38" t="str">
        <f>VLOOKUP(A6,DATAKARYAWAN,24,0)</f>
        <v>JAWA TIMUR</v>
      </c>
      <c r="X6" s="38" t="str">
        <f>VLOOKUP(A6,DATAKARYAWAN,25,0)</f>
        <v>NGAWI</v>
      </c>
      <c r="Y6" s="38" t="str">
        <f>VLOOKUP(A6,DATAKARYAWAN,26,0)</f>
        <v>PARON</v>
      </c>
      <c r="Z6" s="38" t="str">
        <f>VLOOKUP(A6,DATAKARYAWAN,27,0)</f>
        <v>TEGUHAN</v>
      </c>
      <c r="AA6" s="38">
        <f>VLOOKUP(A6,DATAKARYAWAN,28,0)</f>
        <v>63253</v>
      </c>
      <c r="AB6" s="38"/>
      <c r="AC6" s="38"/>
      <c r="AD6" s="38" t="str">
        <f>VLOOKUP(A6,DATAKARYAWAN,31,0)</f>
        <v>TK/0</v>
      </c>
      <c r="AE6" s="48"/>
      <c r="AF6" s="38" t="str">
        <f>VLOOKUP(A6,DATAKARYAWAN,33,0)</f>
        <v>tidak ada NPWP</v>
      </c>
      <c r="AG6" s="38">
        <f>VLOOKUP(A6,DATAKARYAWAN,34,0)</f>
        <v>23122644638</v>
      </c>
      <c r="AH6" s="38" t="str">
        <f>VLOOKUP(A6,DATAKARYAWAN,35,0)</f>
        <v>0002463780712</v>
      </c>
      <c r="AI6" s="38" t="str">
        <f>VLOOKUP(A6,DATAKARYAWAN,36,0)</f>
        <v>Kelas 1</v>
      </c>
      <c r="AJ6" s="38"/>
      <c r="AK6" s="451">
        <f>VLOOKUP(A6,DATAKARYAWAN,38,0)</f>
        <v>45044</v>
      </c>
      <c r="AL6" s="38" t="str">
        <f>VLOOKUP(A6,DATAKARYAWAN,39,0)</f>
        <v>28 Agustus 2023</v>
      </c>
      <c r="AM6" s="45" t="s">
        <v>921</v>
      </c>
      <c r="AN6" s="341">
        <v>45624.0</v>
      </c>
      <c r="AO6" s="155" t="s">
        <v>904</v>
      </c>
    </row>
    <row r="7" ht="15.75" customHeight="1">
      <c r="A7" s="243" t="s">
        <v>979</v>
      </c>
      <c r="B7" s="38" t="str">
        <f>VLOOKUP(A7,DATAKARYAWAN,3,0)</f>
        <v>Karyawan Kontrak</v>
      </c>
      <c r="C7" s="38" t="str">
        <f>VLOOKUP(A7,DATAKARYAWAN,4,0)</f>
        <v>23-070008</v>
      </c>
      <c r="D7" s="38" t="str">
        <f>VLOOKUP(A7,DATAKARYAWAN,5,0)</f>
        <v>089506014056</v>
      </c>
      <c r="E7" s="453" t="str">
        <f>VLOOKUP(A7,DATAKARYAWAN,6,0)</f>
        <v>abdulfaiz840@gmail.com</v>
      </c>
      <c r="F7" s="38" t="str">
        <f>VLOOKUP(A7,DATAKARYAWAN,7,0)</f>
        <v>STAFF KRANI</v>
      </c>
      <c r="G7" s="38" t="str">
        <f>VLOOKUP(A7,DATAKARYAWAN,8,0)</f>
        <v>OPERASIONAL</v>
      </c>
      <c r="H7" s="53"/>
      <c r="I7" s="38" t="str">
        <f>VLOOKUP(A7,DATAKARYAWAN,10,0)</f>
        <v>Indonesia</v>
      </c>
      <c r="J7" s="38" t="str">
        <f>VLOOKUP(A7,DATAKARYAWAN,11,0)</f>
        <v>ISLAM</v>
      </c>
      <c r="K7" s="38" t="str">
        <f>VLOOKUP(A7,DATAKARYAWAN,12,0)</f>
        <v>3578100502140002</v>
      </c>
      <c r="L7" s="38" t="str">
        <f>VLOOKUP(A7,DATAKARYAWAN,13,0)</f>
        <v>3578102208890004</v>
      </c>
      <c r="M7" s="38" t="str">
        <f>VLOOKUP(A7,DATAKARYAWAN,14,0)</f>
        <v/>
      </c>
      <c r="N7" s="38" t="str">
        <f>VLOOKUP(A7,DATAKARYAWAN,15,0)</f>
        <v/>
      </c>
      <c r="O7" s="38" t="str">
        <f>VLOOKUP(A7,DATAKARYAWAN,16,0)</f>
        <v>SLTA</v>
      </c>
      <c r="P7" s="48"/>
      <c r="Q7" s="38" t="str">
        <f>VLOOKUP(A7,DATAKARYAWAN,18,0)</f>
        <v>LAKI-LAKI</v>
      </c>
      <c r="R7" s="38" t="str">
        <f>VLOOKUP(A7,DATAKARYAWAN,19,0)</f>
        <v>22 Agustus 1989</v>
      </c>
      <c r="S7" s="38" t="str">
        <f>VLOOKUP(A7,DATAKARYAWAN,20,0)</f>
        <v>SURABAYA</v>
      </c>
      <c r="T7" s="38"/>
      <c r="U7" s="38" t="str">
        <f>VLOOKUP(A7,DATAKARYAWAN,22,0)</f>
        <v>KEDUNG TARAKAN WETAN NO 110</v>
      </c>
      <c r="V7" s="38" t="str">
        <f>VLOOKUP(A7,DATAKARYAWAN,23,0)</f>
        <v/>
      </c>
      <c r="W7" s="38" t="str">
        <f>VLOOKUP(A7,DATAKARYAWAN,24,0)</f>
        <v>JAWA TIMUR</v>
      </c>
      <c r="X7" s="38" t="str">
        <f>VLOOKUP(A7,DATAKARYAWAN,25,0)</f>
        <v>SURABAYA</v>
      </c>
      <c r="Y7" s="38" t="str">
        <f>VLOOKUP(A7,DATAKARYAWAN,26,0)</f>
        <v>TAMBAK SARI</v>
      </c>
      <c r="Z7" s="38" t="str">
        <f>VLOOKUP(A7,DATAKARYAWAN,27,0)</f>
        <v>PACAR KEMBANG</v>
      </c>
      <c r="AA7" s="38">
        <f>VLOOKUP(A7,DATAKARYAWAN,28,0)</f>
        <v>60132</v>
      </c>
      <c r="AB7" s="38"/>
      <c r="AC7" s="38"/>
      <c r="AD7" s="38" t="str">
        <f>VLOOKUP(A7,DATAKARYAWAN,31,0)</f>
        <v>K/3</v>
      </c>
      <c r="AE7" s="48"/>
      <c r="AF7" s="38" t="str">
        <f>VLOOKUP(A7,DATAKARYAWAN,33,0)</f>
        <v>tidak ada NPWP</v>
      </c>
      <c r="AG7" s="38">
        <f>VLOOKUP(A7,DATAKARYAWAN,34,0)</f>
        <v>23168609313</v>
      </c>
      <c r="AH7" s="38" t="str">
        <f>VLOOKUP(A7,DATAKARYAWAN,35,0)</f>
        <v>0001134019157</v>
      </c>
      <c r="AI7" s="38" t="str">
        <f>VLOOKUP(A7,DATAKARYAWAN,36,0)</f>
        <v>Kelas 1</v>
      </c>
      <c r="AJ7" s="38"/>
      <c r="AK7" s="451">
        <f>VLOOKUP(A7,DATAKARYAWAN,38,0)</f>
        <v>45110</v>
      </c>
      <c r="AL7" s="38" t="str">
        <f>VLOOKUP(A7,DATAKARYAWAN,39,0)</f>
        <v>28 JANUARI 2024</v>
      </c>
      <c r="AM7" s="45" t="s">
        <v>991</v>
      </c>
      <c r="AN7" s="252" t="s">
        <v>892</v>
      </c>
      <c r="AO7" s="253">
        <v>45775.0</v>
      </c>
      <c r="AP7" s="98" t="s">
        <v>992</v>
      </c>
    </row>
    <row r="8" ht="15.75" customHeight="1">
      <c r="A8" s="52" t="s">
        <v>1398</v>
      </c>
      <c r="B8" s="38" t="str">
        <f>VLOOKUP(A8,DATAKARYAWAN,3,0)</f>
        <v>Karyawan Tetap</v>
      </c>
      <c r="C8" s="38" t="str">
        <f>VLOOKUP(A8,DATAKARYAWAN,4,0)</f>
        <v>24-060009</v>
      </c>
      <c r="D8" s="38" t="str">
        <f>VLOOKUP(A8,DATAKARYAWAN,5,0)</f>
        <v>082331428379</v>
      </c>
      <c r="E8" s="38" t="str">
        <f>VLOOKUP(A8,DATAKARYAWAN,6,0)</f>
        <v>yaqin831@gmail.com</v>
      </c>
      <c r="F8" s="38" t="str">
        <f>VLOOKUP(A8,DATAKARYAWAN,7,0)</f>
        <v>STAFF KRANI</v>
      </c>
      <c r="G8" s="38" t="str">
        <f>VLOOKUP(A8,DATAKARYAWAN,8,0)</f>
        <v>OPERASIONAL</v>
      </c>
      <c r="H8" s="53"/>
      <c r="I8" s="38" t="str">
        <f>VLOOKUP(A8,DATAKARYAWAN,10,0)</f>
        <v>Indonesia</v>
      </c>
      <c r="J8" s="38" t="str">
        <f>VLOOKUP(A8,DATAKARYAWAN,11,0)</f>
        <v>ISLAM</v>
      </c>
      <c r="K8" s="38" t="str">
        <f>VLOOKUP(A8,DATAKARYAWAN,12,0)</f>
        <v>3578120101085239</v>
      </c>
      <c r="L8" s="38" t="str">
        <f>VLOOKUP(A8,DATAKARYAWAN,13,0)</f>
        <v>3578120502000003</v>
      </c>
      <c r="M8" s="38" t="str">
        <f>VLOOKUP(A8,DATAKARYAWAN,14,0)</f>
        <v/>
      </c>
      <c r="N8" s="38" t="str">
        <f>VLOOKUP(A8,DATAKARYAWAN,15,0)</f>
        <v/>
      </c>
      <c r="O8" s="38" t="str">
        <f>VLOOKUP(A8,DATAKARYAWAN,16,0)</f>
        <v>S1</v>
      </c>
      <c r="P8" s="48"/>
      <c r="Q8" s="38" t="str">
        <f>VLOOKUP(A8,DATAKARYAWAN,18,0)</f>
        <v>LAKI-LAKI</v>
      </c>
      <c r="R8" s="38" t="str">
        <f>VLOOKUP(A8,DATAKARYAWAN,19,0)</f>
        <v>05 Februari 2000</v>
      </c>
      <c r="S8" s="38" t="str">
        <f>VLOOKUP(A8,DATAKARYAWAN,20,0)</f>
        <v>SURABAYA</v>
      </c>
      <c r="T8" s="38"/>
      <c r="U8" s="38" t="str">
        <f>VLOOKUP(A8,DATAKARYAWAN,22,0)</f>
        <v>BULAK BANTENG LOR BHINEKA 1/10 RT 04/ RW 08</v>
      </c>
      <c r="V8" s="38" t="str">
        <f>VLOOKUP(A8,DATAKARYAWAN,23,0)</f>
        <v/>
      </c>
      <c r="W8" s="38" t="str">
        <f>VLOOKUP(A8,DATAKARYAWAN,24,0)</f>
        <v>JAWA TIMUR</v>
      </c>
      <c r="X8" s="38" t="str">
        <f>VLOOKUP(A8,DATAKARYAWAN,25,0)</f>
        <v>SURABAYA</v>
      </c>
      <c r="Y8" s="38" t="str">
        <f>VLOOKUP(A8,DATAKARYAWAN,26,0)</f>
        <v>KENJERAN</v>
      </c>
      <c r="Z8" s="38" t="str">
        <f>VLOOKUP(A8,DATAKARYAWAN,27,0)</f>
        <v>BULAK BANTENG</v>
      </c>
      <c r="AA8" s="38">
        <f>VLOOKUP(A8,DATAKARYAWAN,28,0)</f>
        <v>60127</v>
      </c>
      <c r="AB8" s="38"/>
      <c r="AC8" s="38"/>
      <c r="AD8" s="38" t="str">
        <f>VLOOKUP(A8,DATAKARYAWAN,31,0)</f>
        <v>TK/0</v>
      </c>
      <c r="AE8" s="48"/>
      <c r="AF8" s="38" t="str">
        <f>VLOOKUP(A8,DATAKARYAWAN,33,0)</f>
        <v>tidak ada NPWP</v>
      </c>
      <c r="AG8" s="38">
        <f>VLOOKUP(A8,DATAKARYAWAN,34,0)</f>
        <v>22077149437</v>
      </c>
      <c r="AH8" s="38" t="str">
        <f>VLOOKUP(A8,DATAKARYAWAN,35,0)</f>
        <v>0001162380565</v>
      </c>
      <c r="AI8" s="38" t="str">
        <f>VLOOKUP(A8,DATAKARYAWAN,36,0)</f>
        <v/>
      </c>
      <c r="AJ8" s="38"/>
      <c r="AK8" s="451">
        <f>VLOOKUP(A8,DATAKARYAWAN,38,0)</f>
        <v>45461</v>
      </c>
      <c r="AL8" s="38" t="str">
        <f>VLOOKUP(A8,DATAKARYAWAN,39,0)</f>
        <v>28 September 2024</v>
      </c>
      <c r="AM8" s="314" t="s">
        <v>1232</v>
      </c>
      <c r="AN8" s="255">
        <v>45928.0</v>
      </c>
    </row>
    <row r="9" ht="15.75" customHeight="1">
      <c r="A9" s="135" t="s">
        <v>1708</v>
      </c>
      <c r="B9" s="38" t="str">
        <f>VLOOKUP(A9,DATAKARYAWAN,3,0)</f>
        <v>Karyawan Kontrak</v>
      </c>
      <c r="C9" s="38" t="str">
        <f>VLOOKUP(A9,DATAKARYAWAN,4,0)</f>
        <v>25-020010</v>
      </c>
      <c r="D9" s="38" t="str">
        <f>VLOOKUP(A9,DATAKARYAWAN,5,0)</f>
        <v>089529687500</v>
      </c>
      <c r="E9" s="38" t="str">
        <f>VLOOKUP(A9,DATAKARYAWAN,6,0)</f>
        <v>kisnandar461@gmail.com</v>
      </c>
      <c r="F9" s="38" t="str">
        <f>VLOOKUP(A9,DATAKARYAWAN,7,0)</f>
        <v>DINAS LUAR</v>
      </c>
      <c r="G9" s="38" t="str">
        <f>VLOOKUP(A9,DATAKARYAWAN,8,0)</f>
        <v>OPERASIONAL</v>
      </c>
      <c r="H9" s="53"/>
      <c r="I9" s="38" t="str">
        <f>VLOOKUP(A9,DATAKARYAWAN,10,0)</f>
        <v>Indonesia</v>
      </c>
      <c r="J9" s="38" t="str">
        <f>VLOOKUP(A9,DATAKARYAWAN,11,0)</f>
        <v>ISLAM</v>
      </c>
      <c r="K9" s="38" t="str">
        <f>VLOOKUP(A9,DATAKARYAWAN,12,0)</f>
        <v>3578062309160014</v>
      </c>
      <c r="L9" s="38" t="str">
        <f>VLOOKUP(A9,DATAKARYAWAN,13,0)</f>
        <v>3522091504010001</v>
      </c>
      <c r="M9" s="38" t="str">
        <f>VLOOKUP(A9,DATAKARYAWAN,14,0)</f>
        <v>BCA</v>
      </c>
      <c r="N9" s="38">
        <f>VLOOKUP(A9,DATAKARYAWAN,15,0)</f>
        <v>1870570879</v>
      </c>
      <c r="O9" s="38" t="str">
        <f>VLOOKUP(A9,DATAKARYAWAN,16,0)</f>
        <v>SMA</v>
      </c>
      <c r="P9" s="48"/>
      <c r="Q9" s="38" t="str">
        <f>VLOOKUP(A9,DATAKARYAWAN,18,0)</f>
        <v>LAKI-LAKI</v>
      </c>
      <c r="R9" s="38" t="str">
        <f>VLOOKUP(A9,DATAKARYAWAN,19,0)</f>
        <v>15 April 2001</v>
      </c>
      <c r="S9" s="38" t="str">
        <f>VLOOKUP(A9,DATAKARYAWAN,20,0)</f>
        <v>SURABAYA</v>
      </c>
      <c r="T9" s="38"/>
      <c r="U9" s="38" t="str">
        <f>VLOOKUP(A9,DATAKARYAWAN,22,0)</f>
        <v>KEDUNG ANYAR 2/22-A RT 03/RW 12</v>
      </c>
      <c r="V9" s="38" t="str">
        <f>VLOOKUP(A9,DATAKARYAWAN,23,0)</f>
        <v/>
      </c>
      <c r="W9" s="38" t="str">
        <f>VLOOKUP(A9,DATAKARYAWAN,24,0)</f>
        <v>JAWA TIMUR</v>
      </c>
      <c r="X9" s="38" t="str">
        <f>VLOOKUP(A9,DATAKARYAWAN,25,0)</f>
        <v>SURABAYA</v>
      </c>
      <c r="Y9" s="38" t="str">
        <f>VLOOKUP(A9,DATAKARYAWAN,26,0)</f>
        <v>SAWAHAN</v>
      </c>
      <c r="Z9" s="38" t="str">
        <f>VLOOKUP(A9,DATAKARYAWAN,27,0)</f>
        <v>SAWAHAN</v>
      </c>
      <c r="AA9" s="38">
        <f>VLOOKUP(A9,DATAKARYAWAN,28,0)</f>
        <v>60251</v>
      </c>
      <c r="AB9" s="38"/>
      <c r="AC9" s="38"/>
      <c r="AD9" s="38" t="str">
        <f>VLOOKUP(A9,DATAKARYAWAN,31,0)</f>
        <v>TK/0</v>
      </c>
      <c r="AE9" s="48"/>
      <c r="AF9" s="38" t="str">
        <f>VLOOKUP(A9,DATAKARYAWAN,33,0)</f>
        <v>tidak ada NPWP</v>
      </c>
      <c r="AG9" s="38">
        <f>VLOOKUP(A9,DATAKARYAWAN,34,0)</f>
        <v>25056509836</v>
      </c>
      <c r="AH9" s="38" t="str">
        <f>VLOOKUP(A9,DATAKARYAWAN,35,0)</f>
        <v>0002441403742</v>
      </c>
      <c r="AI9" s="38" t="str">
        <f>VLOOKUP(A9,DATAKARYAWAN,36,0)</f>
        <v/>
      </c>
      <c r="AJ9" s="38"/>
      <c r="AK9" s="485">
        <f>VLOOKUP(A9,DATAKARYAWAN,38,0)</f>
        <v>45701</v>
      </c>
      <c r="AL9" s="497">
        <f>VLOOKUP(A9,DATAKARYAWAN,39,0)</f>
        <v>45775</v>
      </c>
      <c r="AM9" s="98" t="s">
        <v>1209</v>
      </c>
    </row>
    <row r="10" ht="15.75" customHeight="1">
      <c r="A10" s="135" t="s">
        <v>1716</v>
      </c>
      <c r="B10" s="38" t="str">
        <f>VLOOKUP(A10,DATAKARYAWAN,3,0)</f>
        <v>Karyawan Tetap</v>
      </c>
      <c r="C10" s="38" t="str">
        <f>VLOOKUP(A10,DATAKARYAWAN,4,0)</f>
        <v>25-020011</v>
      </c>
      <c r="D10" s="38" t="str">
        <f>VLOOKUP(A10,DATAKARYAWAN,5,0)</f>
        <v>081335689543</v>
      </c>
      <c r="E10" s="38" t="str">
        <f>VLOOKUP(A10,DATAKARYAWAN,6,0)</f>
        <v>frizalkomtas@gmail.com</v>
      </c>
      <c r="F10" s="38" t="str">
        <f>VLOOKUP(A10,DATAKARYAWAN,7,0)</f>
        <v>STAFF KRANI</v>
      </c>
      <c r="G10" s="38" t="str">
        <f>VLOOKUP(A10,DATAKARYAWAN,8,0)</f>
        <v>OPERASIONAL</v>
      </c>
      <c r="H10" s="53"/>
      <c r="I10" s="38" t="str">
        <f>VLOOKUP(A10,DATAKARYAWAN,10,0)</f>
        <v>Indonesia</v>
      </c>
      <c r="J10" s="38" t="str">
        <f>VLOOKUP(A10,DATAKARYAWAN,11,0)</f>
        <v>ISLAM</v>
      </c>
      <c r="K10" s="38" t="str">
        <f>VLOOKUP(A10,DATAKARYAWAN,12,0)</f>
        <v>3578122004180004</v>
      </c>
      <c r="L10" s="38" t="str">
        <f>VLOOKUP(A10,DATAKARYAWAN,13,0)</f>
        <v>3578122104960004</v>
      </c>
      <c r="M10" s="38" t="str">
        <f>VLOOKUP(A10,DATAKARYAWAN,14,0)</f>
        <v>BCA</v>
      </c>
      <c r="N10" s="38">
        <f>VLOOKUP(A10,DATAKARYAWAN,15,0)</f>
        <v>4680227913</v>
      </c>
      <c r="O10" s="38" t="str">
        <f>VLOOKUP(A10,DATAKARYAWAN,16,0)</f>
        <v>SMA</v>
      </c>
      <c r="P10" s="48"/>
      <c r="Q10" s="38" t="str">
        <f>VLOOKUP(A10,DATAKARYAWAN,18,0)</f>
        <v>LAKI-LAKI</v>
      </c>
      <c r="R10" s="485">
        <f>VLOOKUP(A10,DATAKARYAWAN,19,0)</f>
        <v>35176</v>
      </c>
      <c r="S10" s="38" t="str">
        <f>VLOOKUP(A10,DATAKARYAWAN,20,0)</f>
        <v>SURABAYA</v>
      </c>
      <c r="T10" s="38"/>
      <c r="U10" s="38" t="str">
        <f>VLOOKUP(A10,DATAKARYAWAN,22,0)</f>
        <v>KALIMAS BARAT 3 RT 03/RW 03</v>
      </c>
      <c r="V10" s="38" t="str">
        <f>VLOOKUP(A10,DATAKARYAWAN,23,0)</f>
        <v/>
      </c>
      <c r="W10" s="38" t="str">
        <f>VLOOKUP(A10,DATAKARYAWAN,24,0)</f>
        <v>JAWA TIMUR</v>
      </c>
      <c r="X10" s="38" t="str">
        <f>VLOOKUP(A10,DATAKARYAWAN,25,0)</f>
        <v>SURABAYA</v>
      </c>
      <c r="Y10" s="38" t="str">
        <f>VLOOKUP(A10,DATAKARYAWAN,26,0)</f>
        <v>PABEAN CANTIAN</v>
      </c>
      <c r="Z10" s="38" t="str">
        <f>VLOOKUP(A10,DATAKARYAWAN,27,0)</f>
        <v>KREMBANGAN UTARA</v>
      </c>
      <c r="AA10" s="38" t="str">
        <f>VLOOKUP(A10,DATAKARYAWAN,28,0)</f>
        <v>60163</v>
      </c>
      <c r="AB10" s="38"/>
      <c r="AC10" s="38"/>
      <c r="AD10" s="38" t="str">
        <f>VLOOKUP(A10,DATAKARYAWAN,31,0)</f>
        <v>K/2</v>
      </c>
      <c r="AE10" s="48"/>
      <c r="AF10" s="38" t="str">
        <f>VLOOKUP(A10,DATAKARYAWAN,33,0)</f>
        <v>tidak ada NPWP</v>
      </c>
      <c r="AG10" s="38">
        <f>VLOOKUP(A10,DATAKARYAWAN,34,0)</f>
        <v>25072198887</v>
      </c>
      <c r="AH10" s="38" t="str">
        <f>VLOOKUP(A10,DATAKARYAWAN,35,0)</f>
        <v>0002461670019</v>
      </c>
      <c r="AI10" s="38" t="str">
        <f>VLOOKUP(A10,DATAKARYAWAN,36,0)</f>
        <v/>
      </c>
      <c r="AJ10" s="38"/>
      <c r="AK10" s="485">
        <f>VLOOKUP(A10,DATAKARYAWAN,38,0)</f>
        <v>45707</v>
      </c>
      <c r="AL10" s="38" t="str">
        <f>VLOOKUP(A10,DATAKARYAWAN,39,0)</f>
        <v>28 Mei 2025</v>
      </c>
      <c r="AM10" s="341">
        <v>45989.0</v>
      </c>
    </row>
    <row r="11" ht="15.75" customHeight="1">
      <c r="A11" s="135" t="s">
        <v>1726</v>
      </c>
      <c r="B11" s="38" t="str">
        <f>VLOOKUP(A11,DATAKARYAWAN,3,0)</f>
        <v>Karyawan Kontrak</v>
      </c>
      <c r="C11" s="38" t="str">
        <f>VLOOKUP(A11,DATAKARYAWAN,4,0)</f>
        <v>25-020012</v>
      </c>
      <c r="D11" s="38" t="str">
        <f>VLOOKUP(A11,DATAKARYAWAN,5,0)</f>
        <v>082132224386</v>
      </c>
      <c r="E11" s="38" t="str">
        <f>VLOOKUP(A11,DATAKARYAWAN,6,0)</f>
        <v>fajarzain71@gmail.com</v>
      </c>
      <c r="F11" s="38" t="str">
        <f>VLOOKUP(A11,DATAKARYAWAN,7,0)</f>
        <v>STAFF PLANNER</v>
      </c>
      <c r="G11" s="38" t="str">
        <f>VLOOKUP(A11,DATAKARYAWAN,8,0)</f>
        <v>PLANNER</v>
      </c>
      <c r="H11" s="53"/>
      <c r="I11" s="38" t="str">
        <f>VLOOKUP(A11,DATAKARYAWAN,10,0)</f>
        <v>Indonesia</v>
      </c>
      <c r="J11" s="38" t="str">
        <f>VLOOKUP(A11,DATAKARYAWAN,11,0)</f>
        <v>ISLAM</v>
      </c>
      <c r="K11" s="38" t="str">
        <f>VLOOKUP(A11,DATAKARYAWAN,12,0)</f>
        <v>3578170201082535</v>
      </c>
      <c r="L11" s="38" t="str">
        <f>VLOOKUP(A11,DATAKARYAWAN,13,0)</f>
        <v>3578170606970001</v>
      </c>
      <c r="M11" s="38" t="str">
        <f>VLOOKUP(A11,DATAKARYAWAN,14,0)</f>
        <v>BCA</v>
      </c>
      <c r="N11" s="38">
        <f>VLOOKUP(A11,DATAKARYAWAN,15,0)</f>
        <v>1880646466</v>
      </c>
      <c r="O11" s="38" t="str">
        <f>VLOOKUP(A11,DATAKARYAWAN,16,0)</f>
        <v>SMA</v>
      </c>
      <c r="P11" s="48"/>
      <c r="Q11" s="38" t="str">
        <f>VLOOKUP(A11,DATAKARYAWAN,18,0)</f>
        <v>LAKI-LAKI</v>
      </c>
      <c r="R11" s="38" t="str">
        <f>VLOOKUP(A11,DATAKARYAWAN,19,0)</f>
        <v>06 Juni 1997</v>
      </c>
      <c r="S11" s="38" t="str">
        <f>VLOOKUP(A11,DATAKARYAWAN,20,0)</f>
        <v>SURABAYA</v>
      </c>
      <c r="T11" s="38"/>
      <c r="U11" s="38" t="str">
        <f>VLOOKUP(A11,DATAKARYAWAN,22,0)</f>
        <v>POGOT BARU 3/17 RT 06/ RW 06</v>
      </c>
      <c r="V11" s="38" t="str">
        <f>VLOOKUP(A11,DATAKARYAWAN,23,0)</f>
        <v/>
      </c>
      <c r="W11" s="38" t="str">
        <f>VLOOKUP(A11,DATAKARYAWAN,24,0)</f>
        <v>JAWA TIMUR</v>
      </c>
      <c r="X11" s="38" t="str">
        <f>VLOOKUP(A11,DATAKARYAWAN,25,0)</f>
        <v>SURABAYA</v>
      </c>
      <c r="Y11" s="38" t="str">
        <f>VLOOKUP(A11,DATAKARYAWAN,26,0)</f>
        <v>KENJERAN</v>
      </c>
      <c r="Z11" s="38" t="str">
        <f>VLOOKUP(A11,DATAKARYAWAN,27,0)</f>
        <v>TANAH KALI KEDINDING</v>
      </c>
      <c r="AA11" s="38">
        <f>VLOOKUP(A11,DATAKARYAWAN,28,0)</f>
        <v>60129</v>
      </c>
      <c r="AB11" s="38"/>
      <c r="AC11" s="38"/>
      <c r="AD11" s="38" t="str">
        <f>VLOOKUP(A11,DATAKARYAWAN,31,0)</f>
        <v>TK/0</v>
      </c>
      <c r="AE11" s="48"/>
      <c r="AF11" s="38">
        <f>VLOOKUP(A11,DATAKARYAWAN,33,0)</f>
        <v>900746017619000</v>
      </c>
      <c r="AG11" s="38">
        <f>VLOOKUP(A11,DATAKARYAWAN,34,0)</f>
        <v>25072198895</v>
      </c>
      <c r="AH11" s="38" t="str">
        <f>VLOOKUP(A11,DATAKARYAWAN,35,0)</f>
        <v>0002164715594</v>
      </c>
      <c r="AI11" s="38" t="str">
        <f>VLOOKUP(A11,DATAKARYAWAN,36,0)</f>
        <v/>
      </c>
      <c r="AJ11" s="38"/>
      <c r="AK11" s="485">
        <f>VLOOKUP(A11,DATAKARYAWAN,38,0)</f>
        <v>45719</v>
      </c>
      <c r="AL11" s="485" t="str">
        <f>VLOOKUP(A11,DATAKARYAWAN,39,0)</f>
        <v>28 Mei 2025</v>
      </c>
      <c r="AM11" s="98" t="s">
        <v>1616</v>
      </c>
    </row>
    <row r="12" ht="15.75" customHeight="1">
      <c r="A12" s="135" t="s">
        <v>1736</v>
      </c>
      <c r="B12" s="38" t="str">
        <f>VLOOKUP(A12,DATAKARYAWAN,3,0)</f>
        <v>Karyawan Kontrak</v>
      </c>
      <c r="C12" s="38" t="str">
        <f>VLOOKUP(A12,DATAKARYAWAN,4,0)</f>
        <v>25-020013</v>
      </c>
      <c r="D12" s="38" t="str">
        <f>VLOOKUP(A12,DATAKARYAWAN,5,0)</f>
        <v>085707776162</v>
      </c>
      <c r="E12" s="38" t="str">
        <f>VLOOKUP(A12,DATAKARYAWAN,6,0)</f>
        <v>windasiregar93@gmail.com</v>
      </c>
      <c r="F12" s="38" t="str">
        <f>VLOOKUP(A12,DATAKARYAWAN,7,0)</f>
        <v>STAFF CS &amp; DOC</v>
      </c>
      <c r="G12" s="38" t="str">
        <f>VLOOKUP(A12,DATAKARYAWAN,8,0)</f>
        <v>CUSTOMER SERVICE</v>
      </c>
      <c r="H12" s="53"/>
      <c r="I12" s="38" t="str">
        <f>VLOOKUP(A12,DATAKARYAWAN,10,0)</f>
        <v>Indonesia</v>
      </c>
      <c r="J12" s="38" t="str">
        <f>VLOOKUP(A12,DATAKARYAWAN,11,0)</f>
        <v>ISLAM</v>
      </c>
      <c r="K12" s="38" t="str">
        <f>VLOOKUP(A12,DATAKARYAWAN,12,0)</f>
        <v>3578140404220004</v>
      </c>
      <c r="L12" s="38" t="str">
        <f>VLOOKUP(A12,DATAKARYAWAN,13,0)</f>
        <v>3578056601930001</v>
      </c>
      <c r="M12" s="38" t="str">
        <f>VLOOKUP(A12,DATAKARYAWAN,14,0)</f>
        <v>MANDIRI</v>
      </c>
      <c r="N12" s="38">
        <f>VLOOKUP(A12,DATAKARYAWAN,15,0)</f>
        <v>1420017017954</v>
      </c>
      <c r="O12" s="38" t="str">
        <f>VLOOKUP(A12,DATAKARYAWAN,16,0)</f>
        <v>SMA</v>
      </c>
      <c r="P12" s="48"/>
      <c r="Q12" s="38" t="str">
        <f>VLOOKUP(A12,DATAKARYAWAN,18,0)</f>
        <v>PEREMPUAN</v>
      </c>
      <c r="R12" s="38" t="str">
        <f>VLOOKUP(A12,DATAKARYAWAN,19,0)</f>
        <v>27 Januari 1993</v>
      </c>
      <c r="S12" s="38" t="str">
        <f>VLOOKUP(A12,DATAKARYAWAN,20,0)</f>
        <v>BALIKPAPAN</v>
      </c>
      <c r="T12" s="38"/>
      <c r="U12" s="38" t="str">
        <f>VLOOKUP(A12,DATAKARYAWAN,22,0)</f>
        <v>MANUKAN LOR Gg. 3A No. 43</v>
      </c>
      <c r="V12" s="38" t="str">
        <f>VLOOKUP(A12,DATAKARYAWAN,23,0)</f>
        <v/>
      </c>
      <c r="W12" s="38" t="str">
        <f>VLOOKUP(A12,DATAKARYAWAN,24,0)</f>
        <v>JAWA TIMUR</v>
      </c>
      <c r="X12" s="38" t="str">
        <f>VLOOKUP(A12,DATAKARYAWAN,25,0)</f>
        <v>SURABAYA</v>
      </c>
      <c r="Y12" s="38" t="str">
        <f>VLOOKUP(A12,DATAKARYAWAN,26,0)</f>
        <v>TANDES</v>
      </c>
      <c r="Z12" s="38" t="str">
        <f>VLOOKUP(A12,DATAKARYAWAN,27,0)</f>
        <v>MANUKAN KULON</v>
      </c>
      <c r="AA12" s="38">
        <f>VLOOKUP(A12,DATAKARYAWAN,28,0)</f>
        <v>61174</v>
      </c>
      <c r="AB12" s="38"/>
      <c r="AC12" s="38"/>
      <c r="AD12" s="38" t="str">
        <f>VLOOKUP(A12,DATAKARYAWAN,31,0)</f>
        <v>TK/0</v>
      </c>
      <c r="AE12" s="48"/>
      <c r="AF12" s="38" t="str">
        <f>VLOOKUP(A12,DATAKARYAWAN,33,0)</f>
        <v>tidak ada NPWP</v>
      </c>
      <c r="AG12" s="38">
        <f>VLOOKUP(A12,DATAKARYAWAN,34,0)</f>
        <v>25072198903</v>
      </c>
      <c r="AH12" s="38" t="str">
        <f>VLOOKUP(A12,DATAKARYAWAN,35,0)</f>
        <v>0001731671932</v>
      </c>
      <c r="AI12" s="38" t="str">
        <f>VLOOKUP(A12,DATAKARYAWAN,36,0)</f>
        <v/>
      </c>
      <c r="AJ12" s="38"/>
      <c r="AK12" s="485">
        <f>VLOOKUP(A12,DATAKARYAWAN,38,0)</f>
        <v>45720</v>
      </c>
      <c r="AL12" s="38" t="str">
        <f>VLOOKUP(A12,DATAKARYAWAN,39,0)</f>
        <v>28 Mei 2025</v>
      </c>
      <c r="AM12" s="98" t="s">
        <v>1616</v>
      </c>
    </row>
    <row r="13" ht="15.75" customHeight="1">
      <c r="A13" s="98" t="s">
        <v>1941</v>
      </c>
      <c r="B13" s="38" t="str">
        <f>VLOOKUP(A13,DATAKARYAWAN,3,0)</f>
        <v>Karyawan Kontrak</v>
      </c>
      <c r="C13" s="38" t="str">
        <f>VLOOKUP(A13,DATAKARYAWAN,4,0)</f>
        <v>25-060014</v>
      </c>
      <c r="D13" s="38" t="str">
        <f>VLOOKUP(A13,DATAKARYAWAN,5,0)</f>
        <v>081615625892</v>
      </c>
      <c r="E13" s="38" t="str">
        <f>VLOOKUP(A13,DATAKARYAWAN,6,0)</f>
        <v>wawanbandeng30@gmail.com</v>
      </c>
      <c r="F13" s="38" t="str">
        <f>VLOOKUP(A13,DATAKARYAWAN,7,0)</f>
        <v>TKBM</v>
      </c>
      <c r="G13" s="38" t="str">
        <f>VLOOKUP(A13,DATAKARYAWAN,8,0)</f>
        <v>OPERASIONAL</v>
      </c>
      <c r="H13" s="53"/>
      <c r="I13" s="38" t="str">
        <f>VLOOKUP(A13,DATAKARYAWAN,10,0)</f>
        <v>Indonesia</v>
      </c>
      <c r="J13" s="38" t="str">
        <f>VLOOKUP(A13,DATAKARYAWAN,11,0)</f>
        <v>ISLAM</v>
      </c>
      <c r="K13" s="38" t="str">
        <f>VLOOKUP(A13,DATAKARYAWAN,12,0)</f>
        <v>3578152903210007</v>
      </c>
      <c r="L13" s="38" t="str">
        <f>VLOOKUP(A13,DATAKARYAWAN,13,0)</f>
        <v>3523180710900001</v>
      </c>
      <c r="M13" s="38" t="str">
        <f>VLOOKUP(A13,DATAKARYAWAN,14,0)</f>
        <v>BCA</v>
      </c>
      <c r="N13" s="38">
        <f>VLOOKUP(A13,DATAKARYAWAN,15,0)</f>
        <v>3640173245</v>
      </c>
      <c r="O13" s="38" t="str">
        <f>VLOOKUP(A13,DATAKARYAWAN,16,0)</f>
        <v>SD</v>
      </c>
      <c r="P13" s="48"/>
      <c r="Q13" s="38" t="str">
        <f>VLOOKUP(A13,DATAKARYAWAN,18,0)</f>
        <v>LAKI- LAKI</v>
      </c>
      <c r="R13" s="490">
        <f>VLOOKUP(A13,DATAKARYAWAN,19,0)</f>
        <v>33123</v>
      </c>
      <c r="S13" s="38" t="str">
        <f>VLOOKUP(A13,DATAKARYAWAN,20,0)</f>
        <v>TUBAN</v>
      </c>
      <c r="T13" s="38"/>
      <c r="U13" s="38" t="str">
        <f>VLOOKUP(A13,DATAKARYAWAN,22,0)</f>
        <v>KALIANAK TIMUR BLK NO.5 RT 01/RW 07</v>
      </c>
      <c r="V13" s="38" t="str">
        <f>VLOOKUP(A13,DATAKARYAWAN,23,0)</f>
        <v/>
      </c>
      <c r="W13" s="38" t="str">
        <f>VLOOKUP(A13,DATAKARYAWAN,24,0)</f>
        <v>JAWA TIMUR</v>
      </c>
      <c r="X13" s="38" t="str">
        <f>VLOOKUP(A13,DATAKARYAWAN,25,0)</f>
        <v>SURABAYA</v>
      </c>
      <c r="Y13" s="38" t="str">
        <f>VLOOKUP(A13,DATAKARYAWAN,26,0)</f>
        <v>KREMBANGAN</v>
      </c>
      <c r="Z13" s="38" t="str">
        <f>VLOOKUP(A13,DATAKARYAWAN,27,0)</f>
        <v>MOROKREMBANGAN</v>
      </c>
      <c r="AA13" s="38">
        <f>VLOOKUP(A13,DATAKARYAWAN,28,0)</f>
        <v>60178</v>
      </c>
      <c r="AB13" s="38"/>
      <c r="AC13" s="38"/>
      <c r="AD13" s="38" t="str">
        <f>VLOOKUP(A13,DATAKARYAWAN,31,0)</f>
        <v>K/2</v>
      </c>
      <c r="AE13" s="48"/>
      <c r="AF13" s="38" t="str">
        <f>VLOOKUP(A13,DATAKARYAWAN,33,0)</f>
        <v>tidak ada NPWP</v>
      </c>
      <c r="AG13" s="38" t="str">
        <f>VLOOKUP(A13,DATAKARYAWAN,34,0)</f>
        <v>25127477310</v>
      </c>
      <c r="AH13" s="38" t="str">
        <f>VLOOKUP(A13,DATAKARYAWAN,35,0)</f>
        <v>0000752697134</v>
      </c>
      <c r="AI13" s="38" t="str">
        <f>VLOOKUP(A13,DATAKARYAWAN,36,0)</f>
        <v/>
      </c>
      <c r="AJ13" s="38"/>
      <c r="AK13" s="485">
        <f>VLOOKUP(A13,DATAKARYAWAN,38,0)</f>
        <v>45817</v>
      </c>
      <c r="AL13" s="38" t="str">
        <f>VLOOKUP(A13,DATAKARYAWAN,39,0)</f>
        <v>28 Agustus 2025</v>
      </c>
      <c r="AM13" s="277"/>
      <c r="AN13" s="277"/>
      <c r="AO13" s="277"/>
      <c r="AP13" s="277"/>
      <c r="AQ13" s="277"/>
      <c r="AR13" s="277"/>
      <c r="AS13" s="277"/>
      <c r="AU13" s="277"/>
      <c r="AV13" s="277"/>
      <c r="AW13" s="277"/>
      <c r="AX13" s="277"/>
      <c r="AY13" s="277"/>
      <c r="AZ13" s="277"/>
      <c r="BA13" s="277"/>
      <c r="BB13" s="277"/>
      <c r="BC13" s="277"/>
      <c r="BD13" s="277"/>
      <c r="BE13" s="277"/>
      <c r="BF13" s="277"/>
      <c r="BG13" s="277"/>
      <c r="BH13" s="277"/>
      <c r="BI13" s="277"/>
      <c r="BJ13" s="277"/>
      <c r="BK13" s="277"/>
      <c r="BL13" s="277"/>
      <c r="BM13" s="277"/>
      <c r="BN13" s="277"/>
      <c r="BO13" s="277"/>
      <c r="BP13" s="277"/>
      <c r="BQ13" s="277"/>
      <c r="BR13" s="277"/>
      <c r="BS13" s="277"/>
      <c r="BT13" s="277"/>
      <c r="BU13" s="277"/>
      <c r="BV13" s="277"/>
      <c r="BW13" s="277"/>
      <c r="BX13" s="277"/>
      <c r="BY13" s="277"/>
      <c r="BZ13" s="277"/>
      <c r="CA13" s="277"/>
    </row>
    <row r="14" ht="15.75" customHeight="1">
      <c r="A14" s="98" t="s">
        <v>1973</v>
      </c>
      <c r="B14" s="38" t="str">
        <f>VLOOKUP(A14,DATAKARYAWAN,3,0)</f>
        <v>Karyawan Kontrak</v>
      </c>
      <c r="C14" s="38" t="str">
        <f>VLOOKUP(A14,DATAKARYAWAN,4,0)</f>
        <v>25-070015</v>
      </c>
      <c r="D14" s="38" t="str">
        <f>VLOOKUP(A14,DATAKARYAWAN,5,0)</f>
        <v>081999119388</v>
      </c>
      <c r="E14" s="453" t="str">
        <f>VLOOKUP(A14,DATAKARYAWAN,6,0)</f>
        <v>hidayattaufiq517@gmail.com</v>
      </c>
      <c r="F14" s="38" t="str">
        <f>VLOOKUP(A14,DATAKARYAWAN,7,0)</f>
        <v>STAFF KRANI</v>
      </c>
      <c r="G14" s="38" t="str">
        <f>VLOOKUP(A14,DATAKARYAWAN,8,0)</f>
        <v>OPERASIONAL </v>
      </c>
      <c r="H14" s="53"/>
      <c r="I14" s="38" t="str">
        <f>VLOOKUP(A14,DATAKARYAWAN,10,0)</f>
        <v>Indonesia</v>
      </c>
      <c r="J14" s="38" t="str">
        <f>VLOOKUP(A14,DATAKARYAWAN,11,0)</f>
        <v>ISLAM</v>
      </c>
      <c r="K14" s="38" t="str">
        <f>VLOOKUP(A14,DATAKARYAWAN,12,0)</f>
        <v>3578151312180007</v>
      </c>
      <c r="L14" s="38" t="str">
        <f>VLOOKUP(A14,DATAKARYAWAN,13,0)</f>
        <v>3275091705930017</v>
      </c>
      <c r="M14" s="38" t="str">
        <f>VLOOKUP(A14,DATAKARYAWAN,14,0)</f>
        <v>MANDIRI</v>
      </c>
      <c r="N14" s="38">
        <f>VLOOKUP(A14,DATAKARYAWAN,15,0)</f>
        <v>1400050110296</v>
      </c>
      <c r="O14" s="38" t="str">
        <f>VLOOKUP(A14,DATAKARYAWAN,16,0)</f>
        <v>SMA</v>
      </c>
      <c r="P14" s="48"/>
      <c r="Q14" s="38" t="str">
        <f>VLOOKUP(A14,DATAKARYAWAN,18,0)</f>
        <v>LAKI - LAKI</v>
      </c>
      <c r="R14" s="38" t="str">
        <f>VLOOKUP(A14,DATAKARYAWAN,19,0)</f>
        <v>17 Mei 1993</v>
      </c>
      <c r="S14" s="38" t="str">
        <f>VLOOKUP(A14,DATAKARYAWAN,20,0)</f>
        <v>SURABAYA</v>
      </c>
      <c r="T14" s="38"/>
      <c r="U14" s="38" t="str">
        <f>VLOOKUP(A14,DATAKARYAWAN,22,0)</f>
        <v>GRESIK GADUKAN NO 125-B RT 06 / RW 04</v>
      </c>
      <c r="V14" s="38" t="str">
        <f>VLOOKUP(A14,DATAKARYAWAN,23,0)</f>
        <v/>
      </c>
      <c r="W14" s="38" t="str">
        <f>VLOOKUP(A14,DATAKARYAWAN,24,0)</f>
        <v>JAWA TIMUR</v>
      </c>
      <c r="X14" s="38" t="str">
        <f>VLOOKUP(A14,DATAKARYAWAN,25,0)</f>
        <v>SURABAYA</v>
      </c>
      <c r="Y14" s="38" t="str">
        <f>VLOOKUP(A14,DATAKARYAWAN,26,0)</f>
        <v>KREMBANGAN</v>
      </c>
      <c r="Z14" s="38" t="str">
        <f>VLOOKUP(A14,DATAKARYAWAN,27,0)</f>
        <v>MOROKREMBANGAN</v>
      </c>
      <c r="AA14" s="38">
        <f>VLOOKUP(A14,DATAKARYAWAN,28,0)</f>
        <v>60178</v>
      </c>
      <c r="AB14" s="38"/>
      <c r="AC14" s="38"/>
      <c r="AD14" s="38" t="str">
        <f>VLOOKUP(A14,DATAKARYAWAN,31,0)</f>
        <v>K/2</v>
      </c>
      <c r="AE14" s="48"/>
      <c r="AF14" s="38" t="str">
        <f>VLOOKUP(A14,DATAKARYAWAN,33,0)</f>
        <v>tidak ada NPWP</v>
      </c>
      <c r="AG14" s="38">
        <f>VLOOKUP(A14,DATAKARYAWAN,34,0)</f>
        <v>25147456609</v>
      </c>
      <c r="AH14" s="38" t="str">
        <f>VLOOKUP(A14,DATAKARYAWAN,35,0)</f>
        <v>0002739530373</v>
      </c>
      <c r="AI14" s="38" t="str">
        <f>VLOOKUP(A14,DATAKARYAWAN,36,0)</f>
        <v/>
      </c>
      <c r="AJ14" s="38"/>
      <c r="AK14" s="485">
        <f>VLOOKUP(A14,DATAKARYAWAN,38,0)</f>
        <v>45841</v>
      </c>
      <c r="AL14" s="38" t="str">
        <f>VLOOKUP(A14,DATAKARYAWAN,39,0)</f>
        <v>28 September 2025</v>
      </c>
    </row>
    <row r="15" ht="15.75" customHeight="1">
      <c r="A15" s="90" t="s">
        <v>2081</v>
      </c>
      <c r="B15" s="38" t="str">
        <f>VLOOKUP(A15,DATAKARYAWAN,3,0)</f>
        <v>Karyawan Kontrak</v>
      </c>
      <c r="C15" s="38" t="str">
        <f>VLOOKUP(A15,DATAKARYAWAN,4,0)</f>
        <v>25-090016</v>
      </c>
      <c r="D15" s="38" t="str">
        <f>VLOOKUP(A15,DATAKARYAWAN,5,0)</f>
        <v>082336431654</v>
      </c>
      <c r="E15" s="38" t="str">
        <f>VLOOKUP(A15,DATAKARYAWAN,6,0)</f>
        <v>estimaeroh26@gmail.com</v>
      </c>
      <c r="F15" s="38" t="str">
        <f>VLOOKUP(A15,DATAKARYAWAN,7,0)</f>
        <v>STAFF CS &amp; DOC</v>
      </c>
      <c r="G15" s="38" t="str">
        <f>VLOOKUP(A15,DATAKARYAWAN,8,0)</f>
        <v>CUSTOMER SERVICE</v>
      </c>
      <c r="H15" s="53"/>
      <c r="I15" s="38" t="str">
        <f>VLOOKUP(A15,DATAKARYAWAN,10,0)</f>
        <v>Indonesia</v>
      </c>
      <c r="J15" s="38" t="str">
        <f>VLOOKUP(A15,DATAKARYAWAN,11,0)</f>
        <v>ISLAM</v>
      </c>
      <c r="K15" s="38" t="str">
        <f>VLOOKUP(A15,DATAKARYAWAN,12,0)</f>
        <v>3312252904250003</v>
      </c>
      <c r="L15" s="38" t="str">
        <f>VLOOKUP(A15,DATAKARYAWAN,13,0)</f>
        <v>3312256603970001</v>
      </c>
      <c r="M15" s="38" t="str">
        <f>VLOOKUP(A15,DATAKARYAWAN,14,0)</f>
        <v>BRI</v>
      </c>
      <c r="N15" s="38" t="str">
        <f>VLOOKUP(A15,DATAKARYAWAN,15,0)</f>
        <v>088001053781536</v>
      </c>
      <c r="O15" s="38" t="str">
        <f>VLOOKUP(A15,DATAKARYAWAN,16,0)</f>
        <v>SMA</v>
      </c>
      <c r="P15" s="48"/>
      <c r="Q15" s="38" t="str">
        <f>VLOOKUP(A15,DATAKARYAWAN,18,0)</f>
        <v>PEREMPUAN</v>
      </c>
      <c r="R15" s="38" t="str">
        <f>VLOOKUP(A15,DATAKARYAWAN,19,0)</f>
        <v>26 Maret 1997</v>
      </c>
      <c r="S15" s="38" t="str">
        <f>VLOOKUP(A15,DATAKARYAWAN,20,0)</f>
        <v>WONOGIRI</v>
      </c>
      <c r="T15" s="38"/>
      <c r="U15" s="38" t="str">
        <f>VLOOKUP(A15,DATAKARYAWAN,22,0)</f>
        <v>RANDUKUNING RT 03/RW 06</v>
      </c>
      <c r="V15" s="38" t="str">
        <f>VLOOKUP(A15,DATAKARYAWAN,23,0)</f>
        <v/>
      </c>
      <c r="W15" s="38" t="str">
        <f>VLOOKUP(A15,DATAKARYAWAN,24,0)</f>
        <v>JAWA TIMUR</v>
      </c>
      <c r="X15" s="38" t="str">
        <f>VLOOKUP(A15,DATAKARYAWAN,25,0)</f>
        <v>WONIGIRI</v>
      </c>
      <c r="Y15" s="38" t="str">
        <f>VLOOKUP(A15,DATAKARYAWAN,26,0)</f>
        <v>PUHPELEM</v>
      </c>
      <c r="Z15" s="38" t="str">
        <f>VLOOKUP(A15,DATAKARYAWAN,27,0)</f>
        <v>OUHPELEM</v>
      </c>
      <c r="AA15" s="38">
        <f>VLOOKUP(A15,DATAKARYAWAN,28,0)</f>
        <v>57698</v>
      </c>
      <c r="AB15" s="38"/>
      <c r="AC15" s="38"/>
      <c r="AD15" s="38" t="str">
        <f>VLOOKUP(A15,DATAKARYAWAN,31,0)</f>
        <v>TK/0</v>
      </c>
      <c r="AE15" s="48"/>
      <c r="AF15" s="38" t="str">
        <f>VLOOKUP(A15,DATAKARYAWAN,33,0)</f>
        <v>tidak ada NPWP</v>
      </c>
      <c r="AG15" s="38">
        <f>VLOOKUP(A15,DATAKARYAWAN,34,0)</f>
        <v>25193058879</v>
      </c>
      <c r="AH15" s="38" t="str">
        <f>VLOOKUP(A15,DATAKARYAWAN,35,0)</f>
        <v>0001705506805</v>
      </c>
      <c r="AI15" s="38" t="str">
        <f>VLOOKUP(A15,DATAKARYAWAN,36,0)</f>
        <v/>
      </c>
      <c r="AJ15" s="38"/>
      <c r="AK15" s="490">
        <f>VLOOKUP(A15,DATAKARYAWAN,38,0)</f>
        <v>45901</v>
      </c>
      <c r="AL15" s="485">
        <f>VLOOKUP(A15,DATAKARYAWAN,39,0)</f>
        <v>45989</v>
      </c>
      <c r="AM15" s="57"/>
      <c r="AN15" s="57"/>
      <c r="AO15" s="57"/>
      <c r="AP15" s="57"/>
      <c r="AQ15" s="57"/>
      <c r="AR15" s="57"/>
      <c r="AS15" s="57"/>
      <c r="AT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</row>
    <row r="16">
      <c r="A16" s="265" t="s">
        <v>2191</v>
      </c>
      <c r="B16" s="38" t="str">
        <f>VLOOKUP(A16,DATAKARYAWAN,3,0)</f>
        <v>Karyawan Kontrak</v>
      </c>
      <c r="C16" s="38" t="str">
        <f>VLOOKUP(A16,DATAKARYAWAN,4,0)</f>
        <v>25-110017</v>
      </c>
      <c r="D16" s="38" t="str">
        <f>VLOOKUP(A16,DATAKARYAWAN,5,0)</f>
        <v>081227329519</v>
      </c>
      <c r="E16" s="38" t="str">
        <f>VLOOKUP(A16,DATAKARYAWAN,6,0)</f>
        <v>masekokodok51@gmail.com</v>
      </c>
      <c r="F16" s="38" t="str">
        <f>VLOOKUP(A16,DATAKARYAWAN,7,0)</f>
        <v>TKBM</v>
      </c>
      <c r="G16" s="38" t="str">
        <f>VLOOKUP(A16,DATAKARYAWAN,8,0)</f>
        <v>OPERASIONAL</v>
      </c>
      <c r="H16" s="53"/>
      <c r="I16" s="38" t="str">
        <f>VLOOKUP(A16,DATAKARYAWAN,10,0)</f>
        <v>Indonesia</v>
      </c>
      <c r="J16" s="38" t="str">
        <f>VLOOKUP(A16,DATAKARYAWAN,11,0)</f>
        <v>ISLAM</v>
      </c>
      <c r="K16" s="38" t="str">
        <f>VLOOKUP(A16,DATAKARYAWAN,12,0)</f>
        <v>3525133008220005</v>
      </c>
      <c r="L16" s="38" t="str">
        <f>VLOOKUP(A16,DATAKARYAWAN,13,0)</f>
        <v>3524110312870001</v>
      </c>
      <c r="M16" s="38" t="str">
        <f>VLOOKUP(A16,DATAKARYAWAN,14,0)</f>
        <v>OCBC</v>
      </c>
      <c r="N16" s="38" t="str">
        <f>VLOOKUP(A16,DATAKARYAWAN,15,0)</f>
        <v>058810128445</v>
      </c>
      <c r="O16" s="38" t="str">
        <f>VLOOKUP(A16,DATAKARYAWAN,16,0)</f>
        <v>SD</v>
      </c>
      <c r="P16" s="48"/>
      <c r="Q16" s="38" t="str">
        <f>VLOOKUP(A16,DATAKARYAWAN,18,0)</f>
        <v>LAKI - LAKI</v>
      </c>
      <c r="R16" s="38" t="str">
        <f>VLOOKUP(A16,DATAKARYAWAN,19,0)</f>
        <v>03 Desember 1987</v>
      </c>
      <c r="S16" s="38" t="str">
        <f>VLOOKUP(A16,DATAKARYAWAN,20,0)</f>
        <v>LAMONGAN</v>
      </c>
      <c r="T16" s="38"/>
      <c r="U16" s="38" t="str">
        <f>VLOOKUP(A16,DATAKARYAWAN,22,0)</f>
        <v>SIDOJANGKUNG RT14 RW05</v>
      </c>
      <c r="V16" s="38" t="str">
        <f>VLOOKUP(A16,DATAKARYAWAN,23,0)</f>
        <v/>
      </c>
      <c r="W16" s="38" t="str">
        <f>VLOOKUP(A16,DATAKARYAWAN,24,0)</f>
        <v>JAWA TIMUR</v>
      </c>
      <c r="X16" s="38" t="str">
        <f>VLOOKUP(A16,DATAKARYAWAN,25,0)</f>
        <v>GRESIK</v>
      </c>
      <c r="Y16" s="38" t="str">
        <f>VLOOKUP(A16,DATAKARYAWAN,26,0)</f>
        <v>MENGANTI</v>
      </c>
      <c r="Z16" s="38" t="str">
        <f>VLOOKUP(A16,DATAKARYAWAN,27,0)</f>
        <v>SIDOJANGKUNG</v>
      </c>
      <c r="AA16" s="38">
        <f>VLOOKUP(A16,DATAKARYAWAN,28,0)</f>
        <v>61174</v>
      </c>
      <c r="AB16" s="38"/>
      <c r="AC16" s="38"/>
      <c r="AD16" s="38" t="str">
        <f>VLOOKUP(A16,DATAKARYAWAN,31,0)</f>
        <v>K/1</v>
      </c>
      <c r="AE16" s="48"/>
      <c r="AF16" s="38" t="str">
        <f>VLOOKUP(A16,DATAKARYAWAN,33,0)</f>
        <v>OKE</v>
      </c>
      <c r="AG16" s="38" t="str">
        <f>VLOOKUP(A16,DATAKARYAWAN,34,0)</f>
        <v>BELUM</v>
      </c>
      <c r="AH16" s="38" t="str">
        <f>VLOOKUP(A16,DATAKARYAWAN,35,0)</f>
        <v>BELUM</v>
      </c>
      <c r="AI16" s="38" t="str">
        <f>VLOOKUP(A16,DATAKARYAWAN,36,0)</f>
        <v/>
      </c>
      <c r="AJ16" s="38"/>
      <c r="AK16" s="485">
        <f>VLOOKUP(A16,DATAKARYAWAN,38,0)</f>
        <v>45966</v>
      </c>
      <c r="AL16" s="485" t="str">
        <f>VLOOKUP(A16,DATAKARYAWAN,39,0)</f>
        <v>28 Januari 2026</v>
      </c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7"/>
      <c r="BJ16" s="277"/>
      <c r="BK16" s="277"/>
      <c r="BL16" s="277"/>
      <c r="BM16" s="277"/>
      <c r="BN16" s="277"/>
      <c r="BO16" s="277"/>
      <c r="BP16" s="277"/>
      <c r="BQ16" s="277"/>
      <c r="BR16" s="277"/>
      <c r="BS16" s="277"/>
      <c r="BT16" s="277"/>
      <c r="BU16" s="277"/>
      <c r="BV16" s="277"/>
      <c r="BW16" s="277"/>
      <c r="BX16" s="277"/>
      <c r="BY16" s="277"/>
      <c r="BZ16" s="277"/>
      <c r="CA16" s="277"/>
      <c r="CB16" s="277"/>
      <c r="CC16" s="277"/>
      <c r="CD16" s="277"/>
      <c r="CE16" s="277"/>
      <c r="CF16" s="277"/>
      <c r="CG16" s="277"/>
      <c r="CH16" s="277"/>
      <c r="CI16" s="277"/>
      <c r="CJ16" s="277"/>
      <c r="CK16" s="277"/>
    </row>
    <row r="17">
      <c r="A17" s="252" t="s">
        <v>2370</v>
      </c>
      <c r="B17" s="244"/>
      <c r="C17" s="252"/>
      <c r="D17" s="244"/>
      <c r="E17" s="244"/>
      <c r="F17" s="244"/>
      <c r="G17" s="244"/>
      <c r="H17" s="244"/>
      <c r="I17" s="244"/>
      <c r="J17" s="244"/>
      <c r="K17" s="244"/>
      <c r="L17" s="244"/>
      <c r="M17" s="38" t="str">
        <f>VLOOKUP(A17,DATAKARYAWAN,14,0)</f>
        <v>OCBC</v>
      </c>
      <c r="N17" s="38" t="str">
        <f>VLOOKUP(A17,DATAKARYAWAN,15,0)</f>
        <v>058810129534</v>
      </c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</row>
    <row r="18">
      <c r="A18" s="155" t="s">
        <v>2380</v>
      </c>
      <c r="C18" s="98" t="s">
        <v>2661</v>
      </c>
      <c r="M18" s="38" t="str">
        <f>VLOOKUP(A18,DATAKARYAWAN,14,0)</f>
        <v>OCBC</v>
      </c>
      <c r="N18" s="38" t="str">
        <f>VLOOKUP(A18,DATAKARYAWAN,15,0)</f>
        <v>058810129419</v>
      </c>
    </row>
    <row r="19">
      <c r="A19" s="155" t="s">
        <v>2402</v>
      </c>
      <c r="M19" s="38" t="str">
        <f>VLOOKUP(A19,DATAKARYAWAN,14,0)</f>
        <v>OCBC</v>
      </c>
      <c r="N19" s="38" t="str">
        <f>VLOOKUP(A19,DATAKARYAWAN,15,0)</f>
        <v>058810129799</v>
      </c>
    </row>
    <row r="20">
      <c r="A20" s="155" t="s">
        <v>2411</v>
      </c>
      <c r="M20" s="38" t="str">
        <f>VLOOKUP(A20,DATAKARYAWAN,14,0)</f>
        <v>OCBC</v>
      </c>
      <c r="N20" s="38" t="str">
        <f>VLOOKUP(A20,DATAKARYAWAN,15,0)</f>
        <v>058810129815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0"/>
    <col customWidth="1" min="2" max="2" width="18.71"/>
    <col customWidth="1" min="3" max="3" width="10.57"/>
    <col customWidth="1" min="4" max="4" width="20.86"/>
    <col customWidth="1" min="5" max="5" width="36.29"/>
    <col customWidth="1" min="6" max="6" width="21.57"/>
    <col customWidth="1" min="7" max="7" width="22.86"/>
    <col customWidth="1" min="8" max="8" width="19.14"/>
    <col customWidth="1" min="9" max="9" width="9.14"/>
    <col customWidth="1" min="10" max="10" width="22.14"/>
    <col customWidth="1" min="11" max="11" width="21.43"/>
    <col customWidth="1" min="12" max="12" width="20.86"/>
    <col customWidth="1" min="13" max="13" width="11.0"/>
    <col customWidth="1" min="14" max="15" width="9.14"/>
    <col customWidth="1" min="16" max="16" width="13.14"/>
    <col customWidth="1" min="17" max="17" width="17.14"/>
    <col customWidth="1" min="18" max="18" width="17.71"/>
    <col customWidth="1" min="19" max="19" width="39.0"/>
    <col customWidth="1" min="20" max="20" width="47.0"/>
    <col customWidth="1" min="21" max="22" width="60.71"/>
    <col customWidth="1" min="23" max="23" width="12.29"/>
    <col customWidth="1" min="24" max="24" width="18.57"/>
    <col customWidth="1" min="25" max="25" width="18.43"/>
    <col customWidth="1" min="26" max="29" width="9.14"/>
    <col customWidth="1" min="30" max="30" width="32.86"/>
    <col customWidth="1" min="31" max="31" width="17.43"/>
    <col customWidth="1" min="32" max="32" width="25.43"/>
    <col customWidth="1" min="33" max="33" width="17.86"/>
    <col customWidth="1" min="34" max="34" width="17.0"/>
    <col customWidth="1" min="35" max="35" width="9.14"/>
    <col customWidth="1" min="36" max="36" width="20.14"/>
    <col customWidth="1" min="37" max="37" width="24.71"/>
    <col customWidth="1" min="38" max="38" width="18.0"/>
    <col customWidth="1" min="39" max="39" width="20.14"/>
    <col customWidth="1" min="40" max="40" width="21.71"/>
    <col customWidth="1" min="41" max="41" width="21.14"/>
    <col customWidth="1" min="42" max="42" width="13.86"/>
    <col customWidth="1" min="43" max="43" width="15.86"/>
    <col customWidth="1" min="44" max="89" width="9.14"/>
  </cols>
  <sheetData>
    <row r="1">
      <c r="A1" s="498" t="s">
        <v>1</v>
      </c>
      <c r="B1" s="498" t="s">
        <v>3</v>
      </c>
      <c r="C1" s="498" t="s">
        <v>4</v>
      </c>
      <c r="D1" s="498" t="s">
        <v>5</v>
      </c>
      <c r="E1" s="498" t="s">
        <v>6</v>
      </c>
      <c r="F1" s="498" t="s">
        <v>2650</v>
      </c>
      <c r="G1" s="499" t="s">
        <v>8</v>
      </c>
      <c r="H1" s="498" t="s">
        <v>2651</v>
      </c>
      <c r="I1" s="498" t="s">
        <v>10</v>
      </c>
      <c r="J1" s="498" t="s">
        <v>11</v>
      </c>
      <c r="K1" s="498" t="s">
        <v>12</v>
      </c>
      <c r="L1" s="498" t="s">
        <v>13</v>
      </c>
      <c r="M1" s="498" t="s">
        <v>14</v>
      </c>
      <c r="N1" s="498" t="s">
        <v>15</v>
      </c>
      <c r="O1" s="498" t="s">
        <v>16</v>
      </c>
      <c r="P1" s="498" t="s">
        <v>2652</v>
      </c>
      <c r="Q1" s="444" t="s">
        <v>18</v>
      </c>
      <c r="R1" s="498" t="s">
        <v>19</v>
      </c>
      <c r="S1" s="444" t="s">
        <v>20</v>
      </c>
      <c r="T1" s="500" t="s">
        <v>21</v>
      </c>
      <c r="U1" s="498" t="s">
        <v>22</v>
      </c>
      <c r="V1" s="498" t="s">
        <v>23</v>
      </c>
      <c r="W1" s="498" t="s">
        <v>24</v>
      </c>
      <c r="X1" s="498" t="s">
        <v>25</v>
      </c>
      <c r="Y1" s="498" t="s">
        <v>26</v>
      </c>
      <c r="Z1" s="498" t="s">
        <v>27</v>
      </c>
      <c r="AA1" s="498" t="s">
        <v>28</v>
      </c>
      <c r="AB1" s="498" t="s">
        <v>29</v>
      </c>
      <c r="AC1" s="498" t="s">
        <v>30</v>
      </c>
      <c r="AD1" s="498" t="s">
        <v>31</v>
      </c>
      <c r="AE1" s="498" t="s">
        <v>32</v>
      </c>
      <c r="AF1" s="498" t="s">
        <v>33</v>
      </c>
      <c r="AG1" s="498" t="s">
        <v>2653</v>
      </c>
      <c r="AH1" s="498" t="s">
        <v>35</v>
      </c>
      <c r="AI1" s="498" t="s">
        <v>36</v>
      </c>
      <c r="AJ1" s="444" t="s">
        <v>2654</v>
      </c>
      <c r="AK1" s="498" t="s">
        <v>38</v>
      </c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1"/>
      <c r="CF1" s="501"/>
      <c r="CG1" s="501"/>
      <c r="CH1" s="501"/>
      <c r="CI1" s="501"/>
      <c r="CJ1" s="501"/>
      <c r="CK1" s="501"/>
    </row>
    <row r="2" ht="15.75" customHeight="1">
      <c r="A2" s="36" t="s">
        <v>1345</v>
      </c>
      <c r="B2" s="38" t="str">
        <f>VLOOKUP(A2,DATAKARYAWAN,3,0)</f>
        <v>Karyawan Tetap</v>
      </c>
      <c r="C2" s="38" t="str">
        <f>VLOOKUP(A2,DATAKARYAWAN,4,0)</f>
        <v>24-020010</v>
      </c>
      <c r="D2" s="38" t="str">
        <f>VLOOKUP(A2,DATAKARYAWAN,5,0)</f>
        <v>081331117147</v>
      </c>
      <c r="E2" s="38" t="str">
        <f>VLOOKUP(A2,DATAKARYAWAN,6,0)</f>
        <v>wiranostra@gmail.com</v>
      </c>
      <c r="F2" s="38" t="str">
        <f>VLOOKUP(A2,DATAKARYAWAN,7,0)</f>
        <v>GENERAL MANAGER</v>
      </c>
      <c r="G2" s="38" t="str">
        <f>VLOOKUP(A2,DATAKARYAWAN,8,0)</f>
        <v>MANAGERIAL</v>
      </c>
      <c r="H2" s="53"/>
      <c r="I2" s="38" t="str">
        <f>VLOOKUP(A2,DATAKARYAWAN,10,0)</f>
        <v>Indonesia</v>
      </c>
      <c r="J2" s="38" t="str">
        <f>VLOOKUP(A2,DATAKARYAWAN,11,0)</f>
        <v>HINDHU</v>
      </c>
      <c r="K2" s="38" t="str">
        <f>VLOOKUP(A2,DATAKARYAWAN,12,0)</f>
        <v>3515070912130010</v>
      </c>
      <c r="L2" s="38" t="str">
        <f>VLOOKUP(A2,DATAKARYAWAN,13,0)</f>
        <v>3515070306830001</v>
      </c>
      <c r="M2" s="38" t="str">
        <f>VLOOKUP(A2,DATAKARYAWAN,14,0)</f>
        <v/>
      </c>
      <c r="N2" s="38" t="str">
        <f>VLOOKUP(A2,DATAKARYAWAN,15,0)</f>
        <v/>
      </c>
      <c r="O2" s="38" t="str">
        <f>VLOOKUP(A2,DATAKARYAWAN,16,0)</f>
        <v>S1</v>
      </c>
      <c r="P2" s="48"/>
      <c r="Q2" s="38" t="str">
        <f>VLOOKUP(A2,DATAKARYAWAN,18,0)</f>
        <v>LAKI-LAKI</v>
      </c>
      <c r="R2" s="38" t="str">
        <f>VLOOKUP(A2,DATAKARYAWAN,19,0)</f>
        <v>03 Juni 1983</v>
      </c>
      <c r="S2" s="38" t="str">
        <f>VLOOKUP(A2,DATAKARYAWAN,20,0)</f>
        <v>SIDOARJO</v>
      </c>
      <c r="T2" s="38"/>
      <c r="U2" s="38" t="str">
        <f>VLOOKUP(A2,DATAKARYAWAN,22,0)</f>
        <v>SIDOKARE ASRI A2/9 RT 15/RW 03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SIDOARJO</v>
      </c>
      <c r="Y2" s="38" t="str">
        <f>VLOOKUP(A2,DATAKARYAWAN,26,0)</f>
        <v>CANDI</v>
      </c>
      <c r="Z2" s="38" t="str">
        <f>VLOOKUP(A2,DATAKARYAWAN,27,0)</f>
        <v>SUMOKALI</v>
      </c>
      <c r="AA2" s="38">
        <f>VLOOKUP(A2,DATAKARYAWAN,28,0)</f>
        <v>61271</v>
      </c>
      <c r="AB2" s="38"/>
      <c r="AC2" s="38"/>
      <c r="AD2" s="50" t="str">
        <f>VLOOKUP(A2,DATAKARYAWAN,31,0)</f>
        <v>K/3</v>
      </c>
      <c r="AE2" s="48"/>
      <c r="AF2" s="38" t="str">
        <f>VLOOKUP(A2,DATAKARYAWAN,33,0)</f>
        <v>268147600617000</v>
      </c>
      <c r="AG2" s="38">
        <f>VLOOKUP(A2,DATAKARYAWAN,34,0)</f>
        <v>10012156864</v>
      </c>
      <c r="AH2" s="38" t="str">
        <f>VLOOKUP(A2,DATAKARYAWAN,35,0)</f>
        <v>0001538146179</v>
      </c>
      <c r="AI2" s="38" t="str">
        <f>VLOOKUP(A2,DATAKARYAWAN,36,0)</f>
        <v>Kelas 1</v>
      </c>
      <c r="AJ2" s="38"/>
      <c r="AK2" s="451" t="str">
        <f>VLOOKUP(A2,DATAKARYAWAN,38,0)</f>
        <v>27 April 2024</v>
      </c>
      <c r="AL2" s="155" t="s">
        <v>2662</v>
      </c>
    </row>
    <row r="3" ht="15.75" customHeight="1">
      <c r="A3" s="36" t="s">
        <v>1138</v>
      </c>
      <c r="B3" s="38" t="str">
        <f>VLOOKUP(A3,DATAKARYAWAN,3,0)</f>
        <v>Karyawan Tetap</v>
      </c>
      <c r="C3" s="38" t="str">
        <f>VLOOKUP(A3,DATAKARYAWAN,4,0)</f>
        <v>23-110002</v>
      </c>
      <c r="D3" s="38" t="str">
        <f>VLOOKUP(A3,DATAKARYAWAN,5,0)</f>
        <v>082131971880</v>
      </c>
      <c r="E3" s="38" t="str">
        <f>VLOOKUP(A3,DATAKARYAWAN,6,0)</f>
        <v>hafidjanuarr@gmail.com</v>
      </c>
      <c r="F3" s="38" t="str">
        <f>VLOOKUP(A3,DATAKARYAWAN,7,0)</f>
        <v>SPV PLANNER</v>
      </c>
      <c r="G3" s="38" t="str">
        <f>VLOOKUP(A3,DATAKARYAWAN,8,0)</f>
        <v>PLANNER</v>
      </c>
      <c r="H3" s="53"/>
      <c r="I3" s="38" t="str">
        <f>VLOOKUP(A3,DATAKARYAWAN,10,0)</f>
        <v>Indonesia</v>
      </c>
      <c r="J3" s="38" t="str">
        <f>VLOOKUP(A3,DATAKARYAWAN,11,0)</f>
        <v>ISLAM</v>
      </c>
      <c r="K3" s="38" t="str">
        <f>VLOOKUP(A3,DATAKARYAWAN,12,0)</f>
        <v>3578120402130001</v>
      </c>
      <c r="L3" s="38" t="str">
        <f>VLOOKUP(A3,DATAKARYAWAN,13,0)</f>
        <v>3506212205030003</v>
      </c>
      <c r="M3" s="38" t="str">
        <f>VLOOKUP(A3,DATAKARYAWAN,14,0)</f>
        <v/>
      </c>
      <c r="N3" s="38" t="str">
        <f>VLOOKUP(A3,DATAKARYAWAN,15,0)</f>
        <v/>
      </c>
      <c r="O3" s="38" t="str">
        <f>VLOOKUP(A3,DATAKARYAWAN,16,0)</f>
        <v>SLTA</v>
      </c>
      <c r="P3" s="48"/>
      <c r="Q3" s="38" t="str">
        <f>VLOOKUP(A3,DATAKARYAWAN,18,0)</f>
        <v>LAKI-LAKI</v>
      </c>
      <c r="R3" s="38" t="str">
        <f>VLOOKUP(A3,DATAKARYAWAN,19,0)</f>
        <v>22 Januari 2003</v>
      </c>
      <c r="S3" s="38" t="str">
        <f>VLOOKUP(A3,DATAKARYAWAN,20,0)</f>
        <v>KEDIRI</v>
      </c>
      <c r="T3" s="38"/>
      <c r="U3" s="38" t="str">
        <f>VLOOKUP(A3,DATAKARYAWAN,22,0)</f>
        <v>KALIMAS BARU PERAK UTARA RT 01/RW 01</v>
      </c>
      <c r="V3" s="38" t="str">
        <f>VLOOKUP(A3,DATAKARYAWAN,23,0)</f>
        <v/>
      </c>
      <c r="W3" s="38" t="str">
        <f>VLOOKUP(A3,DATAKARYAWAN,24,0)</f>
        <v>JAWA TIMUR</v>
      </c>
      <c r="X3" s="38" t="str">
        <f>VLOOKUP(A3,DATAKARYAWAN,25,0)</f>
        <v>SURABAYA</v>
      </c>
      <c r="Y3" s="38" t="str">
        <f>VLOOKUP(A3,DATAKARYAWAN,26,0)</f>
        <v>PABEAN CANTIAN</v>
      </c>
      <c r="Z3" s="38" t="str">
        <f>VLOOKUP(A3,DATAKARYAWAN,27,0)</f>
        <v>PERAK UTARA</v>
      </c>
      <c r="AA3" s="38">
        <f>VLOOKUP(A3,DATAKARYAWAN,28,0)</f>
        <v>60165</v>
      </c>
      <c r="AB3" s="38"/>
      <c r="AC3" s="38"/>
      <c r="AD3" s="38" t="str">
        <f>VLOOKUP(A3,DATAKARYAWAN,31,0)</f>
        <v>TK/0</v>
      </c>
      <c r="AE3" s="48"/>
      <c r="AF3" s="38" t="str">
        <f>VLOOKUP(A3,DATAKARYAWAN,33,0)</f>
        <v>tidak ada NPWP</v>
      </c>
      <c r="AG3" s="38">
        <f>VLOOKUP(A3,DATAKARYAWAN,34,0)</f>
        <v>24058033465</v>
      </c>
      <c r="AH3" s="38" t="str">
        <f>VLOOKUP(A3,DATAKARYAWAN,35,0)</f>
        <v>0002698865649</v>
      </c>
      <c r="AI3" s="38" t="str">
        <f>VLOOKUP(A3,DATAKARYAWAN,36,0)</f>
        <v>Kelas 1</v>
      </c>
      <c r="AJ3" s="38"/>
      <c r="AK3" s="451">
        <f>VLOOKUP(A3,DATAKARYAWAN,38,0)</f>
        <v>45224</v>
      </c>
      <c r="AL3" s="45" t="s">
        <v>990</v>
      </c>
      <c r="AM3" s="45" t="s">
        <v>991</v>
      </c>
      <c r="AN3" s="155" t="s">
        <v>2662</v>
      </c>
    </row>
    <row r="4" ht="15.75" customHeight="1">
      <c r="A4" s="36" t="s">
        <v>1164</v>
      </c>
      <c r="B4" s="38" t="str">
        <f>VLOOKUP(A4,DATAKARYAWAN,3,0)</f>
        <v>Karyawan Tetap</v>
      </c>
      <c r="C4" s="38" t="str">
        <f>VLOOKUP(A4,DATAKARYAWAN,4,0)</f>
        <v>23-110003</v>
      </c>
      <c r="D4" s="38" t="str">
        <f>VLOOKUP(A4,DATAKARYAWAN,5,0)</f>
        <v>081246308193</v>
      </c>
      <c r="E4" s="453" t="str">
        <f>VLOOKUP(A4,DATAKARYAWAN,6,0)</f>
        <v>xputrind@gmail.com</v>
      </c>
      <c r="F4" s="38" t="str">
        <f>VLOOKUP(A4,DATAKARYAWAN,7,0)</f>
        <v>STAFF CS</v>
      </c>
      <c r="G4" s="38" t="str">
        <f>VLOOKUP(A4,DATAKARYAWAN,8,0)</f>
        <v>CUSTOMER SERVICE</v>
      </c>
      <c r="H4" s="53"/>
      <c r="I4" s="38" t="str">
        <f>VLOOKUP(A4,DATAKARYAWAN,10,0)</f>
        <v>Indonesia</v>
      </c>
      <c r="J4" s="38" t="str">
        <f>VLOOKUP(A4,DATAKARYAWAN,11,0)</f>
        <v>ISLAM</v>
      </c>
      <c r="K4" s="38" t="str">
        <f>VLOOKUP(A4,DATAKARYAWAN,12,0)</f>
        <v>3578160612220005</v>
      </c>
      <c r="L4" s="38" t="str">
        <f>VLOOKUP(A4,DATAKARYAWAN,13,0)</f>
        <v>3578176709990011</v>
      </c>
      <c r="M4" s="38" t="str">
        <f>VLOOKUP(A4,DATAKARYAWAN,14,0)</f>
        <v/>
      </c>
      <c r="N4" s="38" t="str">
        <f>VLOOKUP(A4,DATAKARYAWAN,15,0)</f>
        <v/>
      </c>
      <c r="O4" s="38" t="str">
        <f>VLOOKUP(A4,DATAKARYAWAN,16,0)</f>
        <v>S1</v>
      </c>
      <c r="P4" s="48"/>
      <c r="Q4" s="38" t="str">
        <f>VLOOKUP(A4,DATAKARYAWAN,18,0)</f>
        <v>PEREMPUAN</v>
      </c>
      <c r="R4" s="479" t="str">
        <f>VLOOKUP(A4,DATAKARYAWAN,19,0)</f>
        <v>27 September 1999</v>
      </c>
      <c r="S4" s="38" t="str">
        <f>VLOOKUP(A4,DATAKARYAWAN,20,0)</f>
        <v>SURABAYA</v>
      </c>
      <c r="T4" s="38"/>
      <c r="U4" s="38" t="str">
        <f>VLOOKUP(A4,DATAKARYAWAN,22,0)</f>
        <v>RANDU TEJO NO.12 RT.15/RW 13</v>
      </c>
      <c r="V4" s="38" t="str">
        <f>VLOOKUP(A4,DATAKARYAWAN,23,0)</f>
        <v/>
      </c>
      <c r="W4" s="38" t="str">
        <f>VLOOKUP(A4,DATAKARYAWAN,24,0)</f>
        <v>JAWA TIMUR</v>
      </c>
      <c r="X4" s="38" t="str">
        <f>VLOOKUP(A4,DATAKARYAWAN,25,0)</f>
        <v>SURABAYA</v>
      </c>
      <c r="Y4" s="38" t="str">
        <f>VLOOKUP(A4,DATAKARYAWAN,26,0)</f>
        <v>KENJERAN</v>
      </c>
      <c r="Z4" s="38" t="str">
        <f>VLOOKUP(A4,DATAKARYAWAN,27,0)</f>
        <v>SIDOTOPO WETAN</v>
      </c>
      <c r="AA4" s="38">
        <f>VLOOKUP(A4,DATAKARYAWAN,28,0)</f>
        <v>60128</v>
      </c>
      <c r="AB4" s="38"/>
      <c r="AC4" s="38"/>
      <c r="AD4" s="38" t="str">
        <f>VLOOKUP(A4,DATAKARYAWAN,31,0)</f>
        <v>TK/0</v>
      </c>
      <c r="AE4" s="48"/>
      <c r="AF4" s="38" t="str">
        <f>VLOOKUP(A4,DATAKARYAWAN,33,0)</f>
        <v>430594325619000</v>
      </c>
      <c r="AG4" s="38">
        <f>VLOOKUP(A4,DATAKARYAWAN,34,0)</f>
        <v>24069769081</v>
      </c>
      <c r="AH4" s="38" t="str">
        <f>VLOOKUP(A4,DATAKARYAWAN,35,0)</f>
        <v>0002621233348</v>
      </c>
      <c r="AI4" s="38" t="str">
        <f>VLOOKUP(A4,DATAKARYAWAN,36,0)</f>
        <v>Kelas 1</v>
      </c>
      <c r="AJ4" s="38"/>
      <c r="AK4" s="457" t="str">
        <f>VLOOKUP(A4,DATAKARYAWAN,38,0)</f>
        <v>27 November 2023</v>
      </c>
      <c r="AL4" s="45" t="s">
        <v>1048</v>
      </c>
      <c r="AM4" s="45" t="s">
        <v>921</v>
      </c>
      <c r="AN4" s="155" t="s">
        <v>2662</v>
      </c>
    </row>
    <row r="5" ht="15.75" customHeight="1">
      <c r="A5" s="259" t="s">
        <v>1195</v>
      </c>
      <c r="B5" s="38" t="str">
        <f>VLOOKUP(A5,DATAKARYAWAN,3,0)</f>
        <v>Karyawan Kontrak</v>
      </c>
      <c r="C5" s="38" t="str">
        <f>VLOOKUP(A5,DATAKARYAWAN,4,0)</f>
        <v>23-120005</v>
      </c>
      <c r="D5" s="38" t="str">
        <f>VLOOKUP(A5,DATAKARYAWAN,5,0)</f>
        <v>082139912275</v>
      </c>
      <c r="E5" s="453" t="str">
        <f>VLOOKUP(A5,DATAKARYAWAN,6,0)</f>
        <v>sultanisdolar@gmail.com</v>
      </c>
      <c r="F5" s="38" t="str">
        <f>VLOOKUP(A5,DATAKARYAWAN,7,0)</f>
        <v>STAFF CS &amp; DOC  GUDANG OSOWILANGUN</v>
      </c>
      <c r="G5" s="38" t="str">
        <f>VLOOKUP(A5,DATAKARYAWAN,8,0)</f>
        <v>CUSTOMER SERVICE</v>
      </c>
      <c r="H5" s="53"/>
      <c r="I5" s="38" t="str">
        <f>VLOOKUP(A5,DATAKARYAWAN,10,0)</f>
        <v>Indonesia</v>
      </c>
      <c r="J5" s="38" t="str">
        <f>VLOOKUP(A5,DATAKARYAWAN,11,0)</f>
        <v>ISLAM</v>
      </c>
      <c r="K5" s="38" t="str">
        <f>VLOOKUP(A5,DATAKARYAWAN,12,0)</f>
        <v>3578150902210004</v>
      </c>
      <c r="L5" s="38" t="str">
        <f>VLOOKUP(A5,DATAKARYAWAN,13,0)</f>
        <v>3578152007960004</v>
      </c>
      <c r="M5" s="38" t="str">
        <f>VLOOKUP(A5,DATAKARYAWAN,14,0)</f>
        <v/>
      </c>
      <c r="N5" s="38" t="str">
        <f>VLOOKUP(A5,DATAKARYAWAN,15,0)</f>
        <v/>
      </c>
      <c r="O5" s="38" t="str">
        <f>VLOOKUP(A5,DATAKARYAWAN,16,0)</f>
        <v>S1</v>
      </c>
      <c r="P5" s="48"/>
      <c r="Q5" s="38" t="str">
        <f>VLOOKUP(A5,DATAKARYAWAN,18,0)</f>
        <v>LAKI-LAKI</v>
      </c>
      <c r="R5" s="38" t="str">
        <f>VLOOKUP(A5,DATAKARYAWAN,19,0)</f>
        <v>20 Juli 1996</v>
      </c>
      <c r="S5" s="38" t="str">
        <f>VLOOKUP(A5,DATAKARYAWAN,20,0)</f>
        <v>MALUKU TENGGARA</v>
      </c>
      <c r="T5" s="38"/>
      <c r="U5" s="38" t="str">
        <f>VLOOKUP(A5,DATAKARYAWAN,22,0)</f>
        <v>KREMBANGAN BHAKTI 13/9 RT 13/ RW 2</v>
      </c>
      <c r="V5" s="38" t="str">
        <f>VLOOKUP(A5,DATAKARYAWAN,23,0)</f>
        <v/>
      </c>
      <c r="W5" s="38" t="str">
        <f>VLOOKUP(A5,DATAKARYAWAN,24,0)</f>
        <v>JAWA TIMUR</v>
      </c>
      <c r="X5" s="38" t="str">
        <f>VLOOKUP(A5,DATAKARYAWAN,25,0)</f>
        <v>SURABAYA</v>
      </c>
      <c r="Y5" s="38" t="str">
        <f>VLOOKUP(A5,DATAKARYAWAN,26,0)</f>
        <v>KREMBANGAN</v>
      </c>
      <c r="Z5" s="38" t="str">
        <f>VLOOKUP(A5,DATAKARYAWAN,27,0)</f>
        <v>KEMAYORAN</v>
      </c>
      <c r="AA5" s="38">
        <f>VLOOKUP(A5,DATAKARYAWAN,28,0)</f>
        <v>60176</v>
      </c>
      <c r="AB5" s="38"/>
      <c r="AC5" s="38"/>
      <c r="AD5" s="38" t="str">
        <f>VLOOKUP(A5,DATAKARYAWAN,31,0)</f>
        <v>TK/0</v>
      </c>
      <c r="AE5" s="48"/>
      <c r="AF5" s="38" t="str">
        <f>VLOOKUP(A5,DATAKARYAWAN,33,0)</f>
        <v>531906345605000</v>
      </c>
      <c r="AG5" s="38">
        <f>VLOOKUP(A5,DATAKARYAWAN,34,0)</f>
        <v>24113992887</v>
      </c>
      <c r="AH5" s="38" t="str">
        <f>VLOOKUP(A5,DATAKARYAWAN,35,0)</f>
        <v>0003519683627</v>
      </c>
      <c r="AI5" s="38" t="str">
        <f>VLOOKUP(A5,DATAKARYAWAN,36,0)</f>
        <v>Kelas 1</v>
      </c>
      <c r="AJ5" s="38"/>
      <c r="AK5" s="451">
        <f>VLOOKUP(A5,DATAKARYAWAN,38,0)</f>
        <v>45278</v>
      </c>
      <c r="AL5" s="45" t="s">
        <v>1207</v>
      </c>
      <c r="AM5" s="286" t="s">
        <v>1049</v>
      </c>
      <c r="AN5" s="286" t="s">
        <v>1101</v>
      </c>
      <c r="AO5" s="313" t="s">
        <v>2663</v>
      </c>
      <c r="AP5" s="253">
        <v>45775.0</v>
      </c>
      <c r="AQ5" s="98" t="s">
        <v>1208</v>
      </c>
    </row>
    <row r="6" ht="15.75" customHeight="1">
      <c r="A6" s="36" t="s">
        <v>1221</v>
      </c>
      <c r="B6" s="38" t="str">
        <f>VLOOKUP(A6,DATAKARYAWAN,3,0)</f>
        <v>Karyawan Tetap</v>
      </c>
      <c r="C6" s="38" t="str">
        <f>VLOOKUP(A6,DATAKARYAWAN,4,0)</f>
        <v>24-010007</v>
      </c>
      <c r="D6" s="38" t="str">
        <f>VLOOKUP(A6,DATAKARYAWAN,5,0)</f>
        <v>081392357367</v>
      </c>
      <c r="E6" s="38" t="str">
        <f>VLOOKUP(A6,DATAKARYAWAN,6,0)</f>
        <v>cakpaimin01@gmail.com</v>
      </c>
      <c r="F6" s="38" t="str">
        <f>VLOOKUP(A6,DATAKARYAWAN,7,0)</f>
        <v>TKBM</v>
      </c>
      <c r="G6" s="38" t="str">
        <f>VLOOKUP(A6,DATAKARYAWAN,8,0)</f>
        <v>OPERASIONAL </v>
      </c>
      <c r="H6" s="53"/>
      <c r="I6" s="38" t="str">
        <f>VLOOKUP(A6,DATAKARYAWAN,10,0)</f>
        <v>Indonesia</v>
      </c>
      <c r="J6" s="38" t="str">
        <f>VLOOKUP(A6,DATAKARYAWAN,11,0)</f>
        <v>ISLAM</v>
      </c>
      <c r="K6" s="38" t="str">
        <f>VLOOKUP(A6,DATAKARYAWAN,12,0)</f>
        <v>3519132906070421</v>
      </c>
      <c r="L6" s="38" t="str">
        <f>VLOOKUP(A6,DATAKARYAWAN,13,0)</f>
        <v>3519131802810003</v>
      </c>
      <c r="M6" s="38" t="str">
        <f>VLOOKUP(A6,DATAKARYAWAN,14,0)</f>
        <v/>
      </c>
      <c r="N6" s="38" t="str">
        <f>VLOOKUP(A6,DATAKARYAWAN,15,0)</f>
        <v/>
      </c>
      <c r="O6" s="38" t="str">
        <f>VLOOKUP(A6,DATAKARYAWAN,16,0)</f>
        <v>SD</v>
      </c>
      <c r="P6" s="48"/>
      <c r="Q6" s="38" t="str">
        <f>VLOOKUP(A6,DATAKARYAWAN,18,0)</f>
        <v>LAKI-LAKI</v>
      </c>
      <c r="R6" s="38" t="str">
        <f>VLOOKUP(A6,DATAKARYAWAN,19,0)</f>
        <v>18 Februari 1981</v>
      </c>
      <c r="S6" s="38" t="str">
        <f>VLOOKUP(A6,DATAKARYAWAN,20,0)</f>
        <v>MADIUN</v>
      </c>
      <c r="T6" s="38"/>
      <c r="U6" s="38" t="str">
        <f>VLOOKUP(A6,DATAKARYAWAN,22,0)</f>
        <v>DSN TENGKLIK RT 03/ RW 01 </v>
      </c>
      <c r="V6" s="38" t="str">
        <f>VLOOKUP(A6,DATAKARYAWAN,23,0)</f>
        <v/>
      </c>
      <c r="W6" s="38" t="str">
        <f>VLOOKUP(A6,DATAKARYAWAN,24,0)</f>
        <v>JAWA TIMUR</v>
      </c>
      <c r="X6" s="38" t="str">
        <f>VLOOKUP(A6,DATAKARYAWAN,25,0)</f>
        <v>MADIUN</v>
      </c>
      <c r="Y6" s="38" t="str">
        <f>VLOOKUP(A6,DATAKARYAWAN,26,0)</f>
        <v>PILANGKENCENG</v>
      </c>
      <c r="Z6" s="38" t="str">
        <f>VLOOKUP(A6,DATAKARYAWAN,27,0)</f>
        <v>KEDUNGREJO</v>
      </c>
      <c r="AA6" s="38">
        <f>VLOOKUP(A6,DATAKARYAWAN,28,0)</f>
        <v>63154</v>
      </c>
      <c r="AB6" s="38"/>
      <c r="AC6" s="38"/>
      <c r="AD6" s="38" t="str">
        <f>VLOOKUP(A6,DATAKARYAWAN,31,0)</f>
        <v>K/1</v>
      </c>
      <c r="AE6" s="48"/>
      <c r="AF6" s="38" t="str">
        <f>VLOOKUP(A6,DATAKARYAWAN,33,0)</f>
        <v>tidak ada NPWP</v>
      </c>
      <c r="AG6" s="38">
        <f>VLOOKUP(A6,DATAKARYAWAN,34,0)</f>
        <v>24084472240</v>
      </c>
      <c r="AH6" s="38" t="str">
        <f>VLOOKUP(A6,DATAKARYAWAN,35,0)</f>
        <v>0000736538128</v>
      </c>
      <c r="AI6" s="38" t="str">
        <f>VLOOKUP(A6,DATAKARYAWAN,36,0)</f>
        <v>Kelas 1</v>
      </c>
      <c r="AJ6" s="38"/>
      <c r="AK6" s="451">
        <f>VLOOKUP(A6,DATAKARYAWAN,38,0)</f>
        <v>45302</v>
      </c>
      <c r="AL6" s="45" t="s">
        <v>1207</v>
      </c>
      <c r="AM6" s="286" t="s">
        <v>1220</v>
      </c>
      <c r="AN6" s="314" t="s">
        <v>1232</v>
      </c>
      <c r="AO6" s="155" t="s">
        <v>904</v>
      </c>
    </row>
    <row r="7" ht="15.75" customHeight="1">
      <c r="A7" s="68" t="s">
        <v>1531</v>
      </c>
      <c r="B7" s="38" t="str">
        <f>VLOOKUP(A7,DATAKARYAWAN,3,0)</f>
        <v>Karyawan Tetap</v>
      </c>
      <c r="C7" s="38" t="str">
        <f>VLOOKUP(A7,DATAKARYAWAN,4,0)</f>
        <v>24-100010</v>
      </c>
      <c r="D7" s="38" t="str">
        <f>VLOOKUP(A7,DATAKARYAWAN,5,0)</f>
        <v>087855723891</v>
      </c>
      <c r="E7" s="38" t="str">
        <f>VLOOKUP(A7,DATAKARYAWAN,6,0)</f>
        <v>ningtyasnunu@gmail.com</v>
      </c>
      <c r="F7" s="38" t="str">
        <f>VLOOKUP(A7,DATAKARYAWAN,7,0)</f>
        <v>SPV  CS &amp; DOC</v>
      </c>
      <c r="G7" s="38" t="str">
        <f>VLOOKUP(A7,DATAKARYAWAN,8,0)</f>
        <v>CUSTOMER SERVICE</v>
      </c>
      <c r="H7" s="53"/>
      <c r="I7" s="38" t="str">
        <f>VLOOKUP(A7,DATAKARYAWAN,10,0)</f>
        <v>Indonesia</v>
      </c>
      <c r="J7" s="38" t="str">
        <f>VLOOKUP(A7,DATAKARYAWAN,11,0)</f>
        <v>ISLAM</v>
      </c>
      <c r="K7" s="38" t="str">
        <f>VLOOKUP(A7,DATAKARYAWAN,12,0)</f>
        <v>3578202103200002</v>
      </c>
      <c r="L7" s="38" t="str">
        <f>VLOOKUP(A7,DATAKARYAWAN,13,0)</f>
        <v>3578207009890002</v>
      </c>
      <c r="M7" s="38" t="str">
        <f>VLOOKUP(A7,DATAKARYAWAN,14,0)</f>
        <v/>
      </c>
      <c r="N7" s="38" t="str">
        <f>VLOOKUP(A7,DATAKARYAWAN,15,0)</f>
        <v/>
      </c>
      <c r="O7" s="38" t="str">
        <f>VLOOKUP(A7,DATAKARYAWAN,16,0)</f>
        <v>S1</v>
      </c>
      <c r="P7" s="48"/>
      <c r="Q7" s="38" t="str">
        <f>VLOOKUP(A7,DATAKARYAWAN,18,0)</f>
        <v>PEREMPUAN</v>
      </c>
      <c r="R7" s="38" t="str">
        <f>VLOOKUP(A7,DATAKARYAWAN,19,0)</f>
        <v>30 September 1989</v>
      </c>
      <c r="S7" s="38" t="str">
        <f>VLOOKUP(A7,DATAKARYAWAN,20,0)</f>
        <v>SURABAYA</v>
      </c>
      <c r="T7" s="38"/>
      <c r="U7" s="38" t="str">
        <f>VLOOKUP(A7,DATAKARYAWAN,22,0)</f>
        <v>JL WIYUNG INDAH 5/46 BLK K-9 RT 02/RW 06</v>
      </c>
      <c r="V7" s="38" t="str">
        <f>VLOOKUP(A7,DATAKARYAWAN,23,0)</f>
        <v/>
      </c>
      <c r="W7" s="38" t="str">
        <f>VLOOKUP(A7,DATAKARYAWAN,24,0)</f>
        <v>JAWA TIMUR</v>
      </c>
      <c r="X7" s="38" t="str">
        <f>VLOOKUP(A7,DATAKARYAWAN,25,0)</f>
        <v>SURABAYA</v>
      </c>
      <c r="Y7" s="38" t="str">
        <f>VLOOKUP(A7,DATAKARYAWAN,26,0)</f>
        <v>WIYUNG</v>
      </c>
      <c r="Z7" s="38" t="str">
        <f>VLOOKUP(A7,DATAKARYAWAN,27,0)</f>
        <v>JAJAR TUNGGAL</v>
      </c>
      <c r="AA7" s="38">
        <f>VLOOKUP(A7,DATAKARYAWAN,28,0)</f>
        <v>60229</v>
      </c>
      <c r="AB7" s="38"/>
      <c r="AC7" s="38"/>
      <c r="AD7" s="38" t="str">
        <f>VLOOKUP(A7,DATAKARYAWAN,31,0)</f>
        <v>TK/0</v>
      </c>
      <c r="AE7" s="48"/>
      <c r="AF7" s="38">
        <f>VLOOKUP(A7,DATAKARYAWAN,33,0)</f>
        <v>682816319618000</v>
      </c>
      <c r="AG7" s="38">
        <f>VLOOKUP(A7,DATAKARYAWAN,34,0)</f>
        <v>25011568711</v>
      </c>
      <c r="AH7" s="38" t="str">
        <f>VLOOKUP(A7,DATAKARYAWAN,35,0)</f>
        <v>0001897141059</v>
      </c>
      <c r="AI7" s="38" t="str">
        <f>VLOOKUP(A7,DATAKARYAWAN,36,0)</f>
        <v/>
      </c>
      <c r="AJ7" s="38"/>
      <c r="AK7" s="451">
        <f>VLOOKUP(A7,DATAKARYAWAN,38,0)</f>
        <v>45579</v>
      </c>
      <c r="AL7" s="237" t="s">
        <v>1510</v>
      </c>
      <c r="AM7" s="155" t="s">
        <v>904</v>
      </c>
    </row>
    <row r="8" ht="15.75" customHeight="1">
      <c r="A8" s="67" t="s">
        <v>1961</v>
      </c>
      <c r="B8" s="155" t="s">
        <v>923</v>
      </c>
      <c r="C8" s="38" t="str">
        <f>VLOOKUP(A8,DATAKARYAWAN,4,0)</f>
        <v>25-070011</v>
      </c>
      <c r="D8" s="238" t="s">
        <v>1963</v>
      </c>
      <c r="E8" s="108" t="s">
        <v>1964</v>
      </c>
      <c r="F8" s="52" t="s">
        <v>1188</v>
      </c>
      <c r="G8" s="52" t="s">
        <v>591</v>
      </c>
      <c r="I8" s="155" t="s">
        <v>44</v>
      </c>
      <c r="J8" s="155" t="s">
        <v>98</v>
      </c>
      <c r="K8" s="238" t="s">
        <v>1965</v>
      </c>
      <c r="L8" s="311" t="s">
        <v>1966</v>
      </c>
      <c r="M8" s="155" t="s">
        <v>1742</v>
      </c>
      <c r="N8" s="47">
        <v>9.000040790975E12</v>
      </c>
      <c r="O8" s="155" t="s">
        <v>521</v>
      </c>
      <c r="Q8" s="155" t="s">
        <v>1958</v>
      </c>
      <c r="R8" s="238" t="s">
        <v>1967</v>
      </c>
      <c r="S8" s="52" t="s">
        <v>161</v>
      </c>
      <c r="U8" s="52" t="s">
        <v>1968</v>
      </c>
      <c r="W8" s="68" t="s">
        <v>53</v>
      </c>
      <c r="X8" s="52" t="s">
        <v>51</v>
      </c>
      <c r="Y8" s="52" t="s">
        <v>1969</v>
      </c>
      <c r="Z8" s="52" t="s">
        <v>1970</v>
      </c>
      <c r="AA8" s="312">
        <v>60286.0</v>
      </c>
      <c r="AD8" s="52" t="s">
        <v>56</v>
      </c>
      <c r="AF8" s="52">
        <v>9.47597407603E14</v>
      </c>
      <c r="AG8" s="52" t="s">
        <v>1010</v>
      </c>
      <c r="AH8" s="52" t="s">
        <v>1010</v>
      </c>
      <c r="AK8" s="238" t="s">
        <v>2664</v>
      </c>
      <c r="AL8" s="502" t="s">
        <v>1972</v>
      </c>
    </row>
    <row r="9" ht="15.75" customHeight="1">
      <c r="A9" s="259" t="s">
        <v>1873</v>
      </c>
      <c r="B9" s="38" t="str">
        <f>VLOOKUP(A9,DATAKARYAWAN,3,0)</f>
        <v>Karyawan Tetap</v>
      </c>
      <c r="C9" s="38" t="str">
        <f>VLOOKUP(A9,DATAKARYAWAN,4,0)</f>
        <v>25-050022</v>
      </c>
      <c r="D9" s="38" t="str">
        <f>VLOOKUP(A9,DATAKARYAWAN,5,0)</f>
        <v>081934694972</v>
      </c>
      <c r="E9" s="38" t="str">
        <f>VLOOKUP(A9,DATAKARYAWAN,6,0)</f>
        <v>rinaldyprastyo@gmail.com</v>
      </c>
      <c r="F9" s="38" t="str">
        <f>VLOOKUP(A9,DATAKARYAWAN,7,0)</f>
        <v>STAFF ACCOUNTING &amp; TAX</v>
      </c>
      <c r="G9" s="38" t="str">
        <f>VLOOKUP(A9,DATAKARYAWAN,8,0)</f>
        <v>KEUANGAN</v>
      </c>
      <c r="H9" s="53"/>
      <c r="I9" s="38" t="str">
        <f>VLOOKUP(A9,DATAKARYAWAN,10,0)</f>
        <v>Indonesia</v>
      </c>
      <c r="J9" s="38" t="str">
        <f>VLOOKUP(A9,DATAKARYAWAN,11,0)</f>
        <v>ISLAM</v>
      </c>
      <c r="K9" s="38" t="str">
        <f>VLOOKUP(A9,DATAKARYAWAN,12,0)</f>
        <v>3578020201085796</v>
      </c>
      <c r="L9" s="38" t="str">
        <f>VLOOKUP(A9,DATAKARYAWAN,13,0)</f>
        <v>3578020410960003</v>
      </c>
      <c r="M9" s="38" t="str">
        <f>VLOOKUP(A9,DATAKARYAWAN,14,0)</f>
        <v>BCA</v>
      </c>
      <c r="N9" s="38">
        <f>VLOOKUP(A9,DATAKARYAWAN,15,0)</f>
        <v>5120517068</v>
      </c>
      <c r="O9" s="38" t="str">
        <f>VLOOKUP(A9,DATAKARYAWAN,16,0)</f>
        <v>SMA</v>
      </c>
      <c r="P9" s="48"/>
      <c r="Q9" s="38" t="str">
        <f>VLOOKUP(A9,DATAKARYAWAN,18,0)</f>
        <v>LAKI-LAKI</v>
      </c>
      <c r="R9" s="38" t="str">
        <f>VLOOKUP(A9,DATAKARYAWAN,19,0)</f>
        <v>04 Oktober 1996</v>
      </c>
      <c r="S9" s="38" t="str">
        <f>VLOOKUP(A9,DATAKARYAWAN,20,0)</f>
        <v>SURABAYA</v>
      </c>
      <c r="T9" s="38"/>
      <c r="U9" s="38" t="str">
        <f>VLOOKUP(A9,DATAKARYAWAN,22,0)</f>
        <v>MARGOREJO TANGSI III/46 RT 04/RW 07</v>
      </c>
      <c r="V9" s="38" t="str">
        <f>VLOOKUP(A9,DATAKARYAWAN,23,0)</f>
        <v/>
      </c>
      <c r="W9" s="38" t="str">
        <f>VLOOKUP(A9,DATAKARYAWAN,24,0)</f>
        <v>JAWA TIMUR</v>
      </c>
      <c r="X9" s="38" t="str">
        <f>VLOOKUP(A9,DATAKARYAWAN,25,0)</f>
        <v>SURABAYA</v>
      </c>
      <c r="Y9" s="38" t="str">
        <f>VLOOKUP(A9,DATAKARYAWAN,26,0)</f>
        <v>WONOCOLO</v>
      </c>
      <c r="Z9" s="38" t="str">
        <f>VLOOKUP(A9,DATAKARYAWAN,27,0)</f>
        <v>MARGOREJO</v>
      </c>
      <c r="AA9" s="38">
        <f>VLOOKUP(A9,DATAKARYAWAN,28,0)</f>
        <v>60238</v>
      </c>
      <c r="AB9" s="38"/>
      <c r="AC9" s="38"/>
      <c r="AD9" s="38" t="str">
        <f>VLOOKUP(A9,DATAKARYAWAN,31,0)</f>
        <v>TK/0</v>
      </c>
      <c r="AE9" s="48"/>
      <c r="AF9" s="38" t="str">
        <f>VLOOKUP(A9,DATAKARYAWAN,33,0)</f>
        <v>tidak ada NPWP</v>
      </c>
      <c r="AG9" s="38">
        <f>VLOOKUP(A9,DATAKARYAWAN,34,0)</f>
        <v>25112915191</v>
      </c>
      <c r="AH9" s="38" t="str">
        <f>VLOOKUP(A9,DATAKARYAWAN,35,0)</f>
        <v>0001537516495</v>
      </c>
      <c r="AI9" s="38" t="str">
        <f>VLOOKUP(A9,DATAKARYAWAN,36,0)</f>
        <v/>
      </c>
      <c r="AJ9" s="38"/>
      <c r="AK9" s="485">
        <f>VLOOKUP(A9,DATAKARYAWAN,38,0)</f>
        <v>45790</v>
      </c>
      <c r="AL9" s="106" t="s">
        <v>1208</v>
      </c>
      <c r="AM9" s="155" t="s">
        <v>1529</v>
      </c>
      <c r="AN9" s="477"/>
    </row>
    <row r="10">
      <c r="Q10" s="38"/>
    </row>
    <row r="11">
      <c r="D11" s="98" t="s">
        <v>2665</v>
      </c>
      <c r="Q11" s="38"/>
    </row>
    <row r="12">
      <c r="Q12" s="38"/>
    </row>
    <row r="13">
      <c r="Q13" s="38"/>
    </row>
    <row r="14">
      <c r="Q14" s="38"/>
    </row>
    <row r="15">
      <c r="Q15" s="38"/>
    </row>
    <row r="16">
      <c r="Q16" s="38"/>
    </row>
    <row r="17" ht="15.75" customHeight="1">
      <c r="Q17" s="38"/>
    </row>
    <row r="18" ht="15.75" customHeight="1">
      <c r="Q18" s="38"/>
    </row>
    <row r="19" ht="15.75" customHeight="1">
      <c r="Q19" s="38"/>
    </row>
    <row r="20" ht="15.75" customHeight="1">
      <c r="Q20" s="38"/>
    </row>
    <row r="21" ht="15.75" customHeight="1">
      <c r="Q21" s="38"/>
    </row>
    <row r="22" ht="15.75" customHeight="1">
      <c r="Q22" s="38"/>
    </row>
    <row r="23" ht="15.75" customHeight="1">
      <c r="Q23" s="38"/>
    </row>
    <row r="24" ht="15.75" customHeight="1">
      <c r="Q24" s="38"/>
    </row>
    <row r="25" ht="15.75" customHeight="1">
      <c r="Q25" s="38"/>
    </row>
    <row r="26" ht="15.75" customHeight="1">
      <c r="Q26" s="38"/>
    </row>
    <row r="27" ht="15.75" customHeight="1">
      <c r="Q27" s="38"/>
    </row>
    <row r="28" ht="15.75" customHeight="1">
      <c r="Q28" s="38"/>
    </row>
    <row r="29" ht="15.75" customHeight="1">
      <c r="Q29" s="38"/>
    </row>
    <row r="30" ht="15.75" customHeight="1">
      <c r="Q30" s="38"/>
    </row>
    <row r="31" ht="15.75" customHeight="1">
      <c r="Q31" s="38"/>
    </row>
    <row r="32" ht="15.75" customHeight="1">
      <c r="Q32" s="38"/>
    </row>
    <row r="33" ht="15.75" customHeight="1">
      <c r="Q33" s="38"/>
    </row>
    <row r="34" ht="15.75" customHeight="1">
      <c r="Q34" s="38"/>
    </row>
    <row r="35" ht="15.75" customHeight="1">
      <c r="Q35" s="38"/>
    </row>
    <row r="36" ht="15.75" customHeight="1">
      <c r="Q36" s="38"/>
    </row>
    <row r="37" ht="15.75" customHeight="1">
      <c r="Q37" s="38"/>
    </row>
    <row r="38" ht="15.75" customHeight="1">
      <c r="Q38" s="38"/>
    </row>
    <row r="39" ht="15.75" customHeight="1">
      <c r="Q39" s="38"/>
    </row>
    <row r="40" ht="15.75" customHeight="1">
      <c r="Q40" s="38"/>
    </row>
    <row r="41" ht="15.75" customHeight="1">
      <c r="Q41" s="38"/>
    </row>
    <row r="42" ht="15.75" customHeight="1">
      <c r="Q42" s="38"/>
    </row>
    <row r="43" ht="15.75" customHeight="1">
      <c r="Q43" s="38"/>
    </row>
    <row r="44" ht="15.75" customHeight="1">
      <c r="Q44" s="38"/>
    </row>
    <row r="45" ht="15.75" customHeight="1">
      <c r="Q45" s="38"/>
    </row>
    <row r="46" ht="15.75" customHeight="1">
      <c r="Q46" s="38"/>
    </row>
    <row r="47" ht="15.75" customHeight="1">
      <c r="Q47" s="38"/>
    </row>
    <row r="48" ht="15.75" customHeight="1">
      <c r="Q48" s="38"/>
    </row>
    <row r="49" ht="15.75" customHeight="1">
      <c r="Q49" s="38"/>
    </row>
    <row r="50" ht="15.75" customHeight="1">
      <c r="Q50" s="38"/>
    </row>
    <row r="51" ht="15.75" customHeight="1">
      <c r="Q51" s="38"/>
    </row>
    <row r="52" ht="15.75" customHeight="1">
      <c r="Q52" s="38"/>
    </row>
    <row r="53" ht="15.75" customHeight="1">
      <c r="Q53" s="38"/>
    </row>
    <row r="54" ht="15.75" customHeight="1">
      <c r="Q54" s="38"/>
    </row>
    <row r="55" ht="15.75" customHeight="1">
      <c r="Q55" s="38"/>
    </row>
    <row r="56" ht="15.75" customHeight="1">
      <c r="Q56" s="38"/>
    </row>
    <row r="57" ht="15.75" customHeight="1">
      <c r="Q57" s="38"/>
    </row>
    <row r="58" ht="15.75" customHeight="1">
      <c r="Q58" s="38"/>
    </row>
    <row r="59" ht="15.75" customHeight="1">
      <c r="Q59" s="38"/>
    </row>
    <row r="60" ht="15.75" customHeight="1">
      <c r="Q60" s="38"/>
    </row>
    <row r="61" ht="15.75" customHeight="1">
      <c r="Q61" s="38"/>
    </row>
    <row r="62" ht="15.75" customHeight="1">
      <c r="Q62" s="38"/>
    </row>
    <row r="63" ht="15.75" customHeight="1">
      <c r="Q63" s="38"/>
    </row>
    <row r="64" ht="15.75" customHeight="1">
      <c r="Q64" s="38"/>
    </row>
    <row r="65" ht="15.75" customHeight="1">
      <c r="Q65" s="38"/>
    </row>
    <row r="66" ht="15.75" customHeight="1">
      <c r="Q66" s="38"/>
    </row>
    <row r="67" ht="15.75" customHeight="1">
      <c r="Q67" s="38"/>
    </row>
    <row r="68" ht="15.75" customHeight="1">
      <c r="Q68" s="38"/>
    </row>
    <row r="69" ht="15.75" customHeight="1">
      <c r="Q69" s="38"/>
    </row>
    <row r="70" ht="15.75" customHeight="1">
      <c r="Q70" s="38"/>
    </row>
    <row r="71" ht="15.75" customHeight="1">
      <c r="Q71" s="38"/>
    </row>
    <row r="72" ht="15.75" customHeight="1">
      <c r="Q72" s="38"/>
    </row>
    <row r="73" ht="15.75" customHeight="1">
      <c r="Q73" s="38"/>
    </row>
    <row r="74" ht="15.75" customHeight="1">
      <c r="Q74" s="38"/>
    </row>
    <row r="75" ht="15.75" customHeight="1">
      <c r="Q75" s="38"/>
    </row>
    <row r="76" ht="15.75" customHeight="1">
      <c r="Q76" s="38"/>
    </row>
    <row r="77" ht="15.75" customHeight="1">
      <c r="Q77" s="38"/>
    </row>
    <row r="78" ht="15.75" customHeight="1">
      <c r="Q78" s="38"/>
    </row>
    <row r="79" ht="15.75" customHeight="1">
      <c r="Q79" s="38"/>
    </row>
    <row r="80" ht="15.75" customHeight="1">
      <c r="Q80" s="38"/>
    </row>
    <row r="81" ht="15.75" customHeight="1">
      <c r="Q81" s="38"/>
    </row>
    <row r="82" ht="15.75" customHeight="1">
      <c r="Q82" s="38"/>
    </row>
    <row r="83" ht="15.75" customHeight="1">
      <c r="Q83" s="38"/>
    </row>
    <row r="84" ht="15.75" customHeight="1">
      <c r="Q84" s="38"/>
    </row>
    <row r="85" ht="15.75" customHeight="1">
      <c r="Q85" s="38"/>
    </row>
    <row r="86" ht="15.75" customHeight="1">
      <c r="Q86" s="38"/>
    </row>
    <row r="87" ht="15.75" customHeight="1">
      <c r="Q87" s="38"/>
    </row>
    <row r="88" ht="15.75" customHeight="1">
      <c r="Q88" s="38"/>
    </row>
    <row r="89" ht="15.75" customHeight="1">
      <c r="Q89" s="38"/>
    </row>
    <row r="90" ht="15.75" customHeight="1">
      <c r="Q90" s="38"/>
    </row>
    <row r="91" ht="15.75" customHeight="1">
      <c r="Q91" s="38"/>
    </row>
    <row r="92" ht="15.75" customHeight="1">
      <c r="Q92" s="38"/>
    </row>
    <row r="93" ht="15.75" customHeight="1">
      <c r="Q93" s="38"/>
    </row>
    <row r="94" ht="15.75" customHeight="1">
      <c r="Q94" s="38"/>
    </row>
    <row r="95" ht="15.75" customHeight="1">
      <c r="Q95" s="38"/>
    </row>
    <row r="96" ht="15.75" customHeight="1">
      <c r="Q96" s="38"/>
    </row>
    <row r="97" ht="15.75" customHeight="1">
      <c r="Q97" s="38"/>
    </row>
    <row r="98" ht="15.75" customHeight="1">
      <c r="Q98" s="38"/>
    </row>
    <row r="99" ht="15.75" customHeight="1">
      <c r="Q99" s="38"/>
    </row>
    <row r="100" ht="15.75" customHeight="1">
      <c r="Q100" s="38"/>
    </row>
    <row r="101" ht="15.75" customHeight="1">
      <c r="Q101" s="38"/>
    </row>
    <row r="102" ht="15.75" customHeight="1">
      <c r="Q102" s="38"/>
    </row>
    <row r="103" ht="15.75" customHeight="1">
      <c r="Q103" s="38"/>
    </row>
    <row r="104" ht="15.75" customHeight="1">
      <c r="Q104" s="38"/>
    </row>
    <row r="105" ht="15.75" customHeight="1">
      <c r="Q105" s="38"/>
    </row>
    <row r="106" ht="15.75" customHeight="1">
      <c r="Q106" s="38"/>
    </row>
    <row r="107" ht="15.75" customHeight="1">
      <c r="Q107" s="38"/>
    </row>
    <row r="108" ht="15.75" customHeight="1">
      <c r="Q108" s="38"/>
    </row>
    <row r="109" ht="15.75" customHeight="1">
      <c r="Q109" s="38"/>
    </row>
    <row r="110" ht="15.75" customHeight="1">
      <c r="Q110" s="38"/>
    </row>
    <row r="111" ht="15.75" customHeight="1">
      <c r="Q111" s="38"/>
    </row>
    <row r="112" ht="15.75" customHeight="1">
      <c r="Q112" s="38"/>
    </row>
    <row r="113" ht="15.75" customHeight="1">
      <c r="Q113" s="38"/>
    </row>
    <row r="114" ht="15.75" customHeight="1">
      <c r="Q114" s="38"/>
    </row>
    <row r="115" ht="15.75" customHeight="1">
      <c r="Q115" s="38"/>
    </row>
    <row r="116" ht="15.75" customHeight="1">
      <c r="Q116" s="38"/>
    </row>
    <row r="117" ht="15.75" customHeight="1">
      <c r="Q117" s="38"/>
    </row>
    <row r="118" ht="15.75" customHeight="1">
      <c r="Q118" s="38"/>
    </row>
    <row r="119" ht="15.75" customHeight="1">
      <c r="Q119" s="38"/>
    </row>
    <row r="120" ht="15.75" customHeight="1">
      <c r="Q120" s="38"/>
    </row>
    <row r="121" ht="15.75" customHeight="1">
      <c r="Q121" s="38"/>
    </row>
    <row r="122" ht="15.75" customHeight="1">
      <c r="Q122" s="38"/>
    </row>
    <row r="123" ht="15.75" customHeight="1">
      <c r="Q123" s="38"/>
    </row>
    <row r="124" ht="15.75" customHeight="1">
      <c r="Q124" s="38"/>
    </row>
    <row r="125" ht="15.75" customHeight="1">
      <c r="Q125" s="38"/>
    </row>
    <row r="126" ht="15.75" customHeight="1">
      <c r="Q126" s="38"/>
    </row>
    <row r="127" ht="15.75" customHeight="1">
      <c r="Q127" s="38"/>
    </row>
    <row r="128" ht="15.75" customHeight="1">
      <c r="Q128" s="38"/>
    </row>
    <row r="129" ht="15.75" customHeight="1">
      <c r="Q129" s="38"/>
    </row>
    <row r="130" ht="15.75" customHeight="1">
      <c r="Q130" s="38"/>
    </row>
    <row r="131" ht="15.75" customHeight="1">
      <c r="Q131" s="38"/>
    </row>
    <row r="132" ht="15.75" customHeight="1">
      <c r="Q132" s="38"/>
    </row>
    <row r="133" ht="15.75" customHeight="1">
      <c r="Q133" s="38"/>
    </row>
    <row r="134" ht="15.75" customHeight="1">
      <c r="Q134" s="38"/>
    </row>
    <row r="135" ht="15.75" customHeight="1">
      <c r="Q135" s="38"/>
    </row>
    <row r="136" ht="15.75" customHeight="1">
      <c r="Q136" s="38"/>
    </row>
    <row r="137" ht="15.75" customHeight="1">
      <c r="Q137" s="38"/>
    </row>
    <row r="138" ht="15.75" customHeight="1">
      <c r="Q138" s="38"/>
    </row>
    <row r="139" ht="15.75" customHeight="1">
      <c r="Q139" s="38"/>
    </row>
    <row r="140" ht="15.75" customHeight="1">
      <c r="Q140" s="38"/>
    </row>
    <row r="141" ht="15.75" customHeight="1">
      <c r="Q141" s="38"/>
    </row>
    <row r="142" ht="15.75" customHeight="1">
      <c r="Q142" s="38"/>
    </row>
    <row r="143" ht="15.75" customHeight="1">
      <c r="Q143" s="38"/>
    </row>
    <row r="144" ht="15.75" customHeight="1">
      <c r="Q144" s="38"/>
    </row>
    <row r="145" ht="15.75" customHeight="1">
      <c r="Q145" s="38"/>
    </row>
    <row r="146" ht="15.75" customHeight="1">
      <c r="Q146" s="38"/>
    </row>
    <row r="147" ht="15.75" customHeight="1">
      <c r="Q147" s="38"/>
    </row>
    <row r="148" ht="15.75" customHeight="1">
      <c r="Q148" s="38"/>
    </row>
    <row r="149" ht="15.75" customHeight="1">
      <c r="Q149" s="38"/>
    </row>
    <row r="150" ht="15.75" customHeight="1">
      <c r="Q150" s="38"/>
    </row>
    <row r="151" ht="15.75" customHeight="1">
      <c r="Q151" s="38"/>
    </row>
    <row r="152" ht="15.75" customHeight="1">
      <c r="Q152" s="38"/>
    </row>
    <row r="153" ht="15.75" customHeight="1">
      <c r="Q153" s="38"/>
    </row>
    <row r="154" ht="15.75" customHeight="1">
      <c r="Q154" s="38"/>
    </row>
    <row r="155" ht="15.75" customHeight="1">
      <c r="Q155" s="38"/>
    </row>
    <row r="156" ht="15.75" customHeight="1">
      <c r="Q156" s="38"/>
    </row>
    <row r="157" ht="15.75" customHeight="1">
      <c r="Q157" s="38"/>
    </row>
    <row r="158" ht="15.75" customHeight="1">
      <c r="Q158" s="38"/>
    </row>
    <row r="159" ht="15.75" customHeight="1">
      <c r="Q159" s="38"/>
    </row>
    <row r="160" ht="15.75" customHeight="1">
      <c r="Q160" s="38"/>
    </row>
    <row r="161" ht="15.75" customHeight="1">
      <c r="Q161" s="38"/>
    </row>
    <row r="162" ht="15.75" customHeight="1">
      <c r="Q162" s="38"/>
    </row>
    <row r="163" ht="15.75" customHeight="1">
      <c r="Q163" s="38"/>
    </row>
    <row r="164" ht="15.75" customHeight="1">
      <c r="Q164" s="38"/>
    </row>
    <row r="165" ht="15.75" customHeight="1">
      <c r="Q165" s="38"/>
    </row>
    <row r="166" ht="15.75" customHeight="1">
      <c r="Q166" s="38"/>
    </row>
    <row r="167" ht="15.75" customHeight="1">
      <c r="Q167" s="38"/>
    </row>
    <row r="168" ht="15.75" customHeight="1">
      <c r="Q168" s="38"/>
    </row>
    <row r="169" ht="15.75" customHeight="1">
      <c r="Q169" s="38"/>
    </row>
    <row r="170" ht="15.75" customHeight="1">
      <c r="Q170" s="38"/>
    </row>
    <row r="171" ht="15.75" customHeight="1">
      <c r="Q171" s="38"/>
    </row>
    <row r="172" ht="15.75" customHeight="1">
      <c r="Q172" s="38"/>
    </row>
    <row r="173" ht="15.75" customHeight="1">
      <c r="Q173" s="38"/>
    </row>
    <row r="174" ht="15.75" customHeight="1">
      <c r="Q174" s="38"/>
    </row>
    <row r="175" ht="15.75" customHeight="1">
      <c r="Q175" s="38"/>
    </row>
    <row r="176" ht="15.75" customHeight="1">
      <c r="Q176" s="38"/>
    </row>
    <row r="177" ht="15.75" customHeight="1">
      <c r="Q177" s="38"/>
    </row>
    <row r="178" ht="15.75" customHeight="1">
      <c r="Q178" s="38"/>
    </row>
    <row r="179" ht="15.75" customHeight="1">
      <c r="Q179" s="38"/>
    </row>
    <row r="180" ht="15.75" customHeight="1">
      <c r="Q180" s="38"/>
    </row>
    <row r="181" ht="15.75" customHeight="1">
      <c r="Q181" s="38"/>
    </row>
    <row r="182" ht="15.75" customHeight="1">
      <c r="Q182" s="38"/>
    </row>
    <row r="183" ht="15.75" customHeight="1">
      <c r="Q183" s="38"/>
    </row>
    <row r="184" ht="15.75" customHeight="1">
      <c r="Q184" s="38"/>
    </row>
    <row r="185" ht="15.75" customHeight="1">
      <c r="Q185" s="38"/>
    </row>
    <row r="186" ht="15.75" customHeight="1">
      <c r="Q186" s="38"/>
    </row>
    <row r="187" ht="15.75" customHeight="1">
      <c r="Q187" s="38"/>
    </row>
    <row r="188" ht="15.75" customHeight="1">
      <c r="Q188" s="38"/>
    </row>
    <row r="189" ht="15.75" customHeight="1">
      <c r="Q189" s="38"/>
    </row>
    <row r="190" ht="15.75" customHeight="1">
      <c r="Q190" s="38"/>
    </row>
    <row r="191" ht="15.75" customHeight="1">
      <c r="Q191" s="38"/>
    </row>
    <row r="192" ht="15.75" customHeight="1">
      <c r="Q192" s="38"/>
    </row>
    <row r="193" ht="15.75" customHeight="1">
      <c r="Q193" s="38"/>
    </row>
    <row r="194" ht="15.75" customHeight="1">
      <c r="Q194" s="38"/>
    </row>
    <row r="195" ht="15.75" customHeight="1">
      <c r="Q195" s="38"/>
    </row>
    <row r="196" ht="15.75" customHeight="1">
      <c r="Q196" s="38"/>
    </row>
    <row r="197" ht="15.75" customHeight="1">
      <c r="Q197" s="38"/>
    </row>
    <row r="198" ht="15.75" customHeight="1">
      <c r="Q198" s="38"/>
    </row>
    <row r="199" ht="15.75" customHeight="1">
      <c r="Q199" s="38"/>
    </row>
    <row r="200" ht="15.75" customHeight="1">
      <c r="Q200" s="38"/>
    </row>
    <row r="201" ht="15.75" customHeight="1">
      <c r="Q201" s="38"/>
    </row>
    <row r="202" ht="15.75" customHeight="1">
      <c r="Q202" s="38"/>
    </row>
    <row r="203" ht="15.75" customHeight="1">
      <c r="Q203" s="38"/>
    </row>
    <row r="204" ht="15.75" customHeight="1">
      <c r="Q204" s="38"/>
    </row>
    <row r="205" ht="15.75" customHeight="1">
      <c r="Q205" s="38"/>
    </row>
    <row r="206" ht="15.75" customHeight="1">
      <c r="Q206" s="38"/>
    </row>
    <row r="207" ht="15.75" customHeight="1">
      <c r="Q207" s="38"/>
    </row>
    <row r="208" ht="15.75" customHeight="1">
      <c r="Q208" s="38"/>
    </row>
    <row r="209" ht="15.75" customHeight="1">
      <c r="Q209" s="38"/>
    </row>
    <row r="210" ht="15.75" customHeight="1">
      <c r="Q210" s="38"/>
    </row>
    <row r="211" ht="15.75" customHeight="1">
      <c r="Q211" s="38"/>
    </row>
    <row r="212" ht="15.75" customHeight="1">
      <c r="Q212" s="38"/>
    </row>
    <row r="213" ht="15.75" customHeight="1">
      <c r="Q213" s="38"/>
    </row>
    <row r="214" ht="15.75" customHeight="1">
      <c r="Q214" s="38"/>
    </row>
    <row r="215" ht="15.75" customHeight="1">
      <c r="Q215" s="38"/>
    </row>
    <row r="216" ht="15.75" customHeight="1">
      <c r="Q216" s="38"/>
    </row>
    <row r="217" ht="15.75" customHeight="1">
      <c r="Q217" s="38"/>
    </row>
    <row r="218" ht="15.75" customHeight="1">
      <c r="Q218" s="38"/>
    </row>
    <row r="219" ht="15.75" customHeight="1">
      <c r="Q219" s="38"/>
    </row>
    <row r="220" ht="15.75" customHeight="1">
      <c r="Q220" s="38"/>
    </row>
    <row r="221" ht="15.75" customHeight="1">
      <c r="Q221" s="38"/>
    </row>
    <row r="222" ht="15.75" customHeight="1">
      <c r="Q222" s="38"/>
    </row>
    <row r="223" ht="15.75" customHeight="1">
      <c r="Q223" s="38"/>
    </row>
    <row r="224" ht="15.75" customHeight="1">
      <c r="Q224" s="38"/>
    </row>
    <row r="225" ht="15.75" customHeight="1">
      <c r="Q225" s="38"/>
    </row>
    <row r="226" ht="15.75" customHeight="1">
      <c r="Q226" s="38"/>
    </row>
    <row r="227" ht="15.75" customHeight="1">
      <c r="Q227" s="38"/>
    </row>
    <row r="228" ht="15.75" customHeight="1">
      <c r="Q228" s="38"/>
    </row>
    <row r="229" ht="15.75" customHeight="1">
      <c r="Q229" s="38"/>
    </row>
    <row r="230" ht="15.75" customHeight="1">
      <c r="Q230" s="38"/>
    </row>
    <row r="231" ht="15.75" customHeight="1">
      <c r="Q231" s="38"/>
    </row>
    <row r="232" ht="15.75" customHeight="1">
      <c r="Q232" s="38"/>
    </row>
    <row r="233" ht="15.75" customHeight="1">
      <c r="Q233" s="38"/>
    </row>
    <row r="234" ht="15.75" customHeight="1">
      <c r="Q234" s="38"/>
    </row>
    <row r="235" ht="15.75" customHeight="1">
      <c r="Q235" s="38"/>
    </row>
    <row r="236" ht="15.75" customHeight="1">
      <c r="Q236" s="38"/>
    </row>
    <row r="237" ht="15.75" customHeight="1">
      <c r="Q237" s="38"/>
    </row>
    <row r="238" ht="15.75" customHeight="1">
      <c r="Q238" s="38"/>
    </row>
    <row r="239" ht="15.75" customHeight="1">
      <c r="Q239" s="38"/>
    </row>
    <row r="240" ht="15.75" customHeight="1">
      <c r="Q240" s="38"/>
    </row>
    <row r="241" ht="15.75" customHeight="1">
      <c r="Q241" s="38"/>
    </row>
    <row r="242" ht="15.75" customHeight="1">
      <c r="Q242" s="38"/>
    </row>
    <row r="243" ht="15.75" customHeight="1">
      <c r="Q243" s="38"/>
    </row>
    <row r="244" ht="15.75" customHeight="1">
      <c r="Q244" s="38"/>
    </row>
    <row r="245" ht="15.75" customHeight="1">
      <c r="Q245" s="38"/>
    </row>
    <row r="246" ht="15.75" customHeight="1">
      <c r="Q246" s="38"/>
    </row>
    <row r="247" ht="15.75" customHeight="1">
      <c r="Q247" s="38"/>
    </row>
    <row r="248" ht="15.75" customHeight="1">
      <c r="Q248" s="38"/>
    </row>
    <row r="249" ht="15.75" customHeight="1">
      <c r="Q249" s="38"/>
    </row>
    <row r="250" ht="15.75" customHeight="1">
      <c r="Q250" s="38"/>
    </row>
    <row r="251" ht="15.75" customHeight="1">
      <c r="Q251" s="38"/>
    </row>
    <row r="252" ht="15.75" customHeight="1">
      <c r="Q252" s="38"/>
    </row>
    <row r="253" ht="15.75" customHeight="1">
      <c r="Q253" s="38"/>
    </row>
    <row r="254" ht="15.75" customHeight="1">
      <c r="Q254" s="38"/>
    </row>
    <row r="255" ht="15.75" customHeight="1">
      <c r="Q255" s="38"/>
    </row>
    <row r="256" ht="15.75" customHeight="1">
      <c r="Q256" s="38"/>
    </row>
    <row r="257" ht="15.75" customHeight="1">
      <c r="Q257" s="38"/>
    </row>
    <row r="258" ht="15.75" customHeight="1">
      <c r="Q258" s="38"/>
    </row>
    <row r="259" ht="15.75" customHeight="1">
      <c r="Q259" s="38"/>
    </row>
    <row r="260" ht="15.75" customHeight="1">
      <c r="Q260" s="38"/>
    </row>
    <row r="261" ht="15.75" customHeight="1">
      <c r="Q261" s="38"/>
    </row>
    <row r="262" ht="15.75" customHeight="1">
      <c r="Q262" s="38"/>
    </row>
    <row r="263" ht="15.75" customHeight="1">
      <c r="Q263" s="38"/>
    </row>
    <row r="264" ht="15.75" customHeight="1">
      <c r="Q264" s="38"/>
    </row>
    <row r="265" ht="15.75" customHeight="1">
      <c r="Q265" s="38"/>
    </row>
    <row r="266" ht="15.75" customHeight="1">
      <c r="Q266" s="38"/>
    </row>
    <row r="267" ht="15.75" customHeight="1">
      <c r="Q267" s="38"/>
    </row>
    <row r="268" ht="15.75" customHeight="1">
      <c r="Q268" s="38"/>
    </row>
    <row r="269" ht="15.75" customHeight="1">
      <c r="Q269" s="38"/>
    </row>
    <row r="270" ht="15.75" customHeight="1">
      <c r="Q270" s="38"/>
    </row>
    <row r="271" ht="15.75" customHeight="1">
      <c r="Q271" s="38"/>
    </row>
    <row r="272" ht="15.75" customHeight="1">
      <c r="Q272" s="38"/>
    </row>
    <row r="273" ht="15.75" customHeight="1">
      <c r="Q273" s="38"/>
    </row>
    <row r="274" ht="15.75" customHeight="1">
      <c r="Q274" s="38"/>
    </row>
    <row r="275" ht="15.75" customHeight="1">
      <c r="Q275" s="38"/>
    </row>
    <row r="276" ht="15.75" customHeight="1">
      <c r="Q276" s="38"/>
    </row>
    <row r="277" ht="15.75" customHeight="1">
      <c r="Q277" s="38"/>
    </row>
    <row r="278" ht="15.75" customHeight="1">
      <c r="Q278" s="38"/>
    </row>
    <row r="279" ht="15.75" customHeight="1">
      <c r="Q279" s="38"/>
    </row>
    <row r="280" ht="15.75" customHeight="1">
      <c r="Q280" s="38"/>
    </row>
    <row r="281" ht="15.75" customHeight="1">
      <c r="Q281" s="38"/>
    </row>
    <row r="282" ht="15.75" customHeight="1">
      <c r="Q282" s="38"/>
    </row>
    <row r="283" ht="15.75" customHeight="1">
      <c r="Q283" s="38"/>
    </row>
    <row r="284" ht="15.75" customHeight="1">
      <c r="Q284" s="38"/>
    </row>
    <row r="285" ht="15.75" customHeight="1">
      <c r="Q285" s="38"/>
    </row>
    <row r="286" ht="15.75" customHeight="1">
      <c r="Q286" s="38"/>
    </row>
    <row r="287" ht="15.75" customHeight="1">
      <c r="Q287" s="38"/>
    </row>
    <row r="288" ht="15.75" customHeight="1">
      <c r="Q288" s="38"/>
    </row>
    <row r="289" ht="15.75" customHeight="1">
      <c r="Q289" s="38"/>
    </row>
    <row r="290" ht="15.75" customHeight="1">
      <c r="Q290" s="38"/>
    </row>
    <row r="291" ht="15.75" customHeight="1">
      <c r="Q291" s="38"/>
    </row>
    <row r="292" ht="15.75" customHeight="1">
      <c r="Q292" s="38"/>
    </row>
    <row r="293" ht="15.75" customHeight="1">
      <c r="Q293" s="38"/>
    </row>
    <row r="294" ht="15.75" customHeight="1">
      <c r="Q294" s="38"/>
    </row>
    <row r="295" ht="15.75" customHeight="1">
      <c r="Q295" s="38"/>
    </row>
    <row r="296" ht="15.75" customHeight="1">
      <c r="Q296" s="38"/>
    </row>
    <row r="297" ht="15.75" customHeight="1">
      <c r="Q297" s="38"/>
    </row>
    <row r="298" ht="15.75" customHeight="1">
      <c r="Q298" s="38"/>
    </row>
    <row r="299" ht="15.75" customHeight="1">
      <c r="Q299" s="38"/>
    </row>
    <row r="300" ht="15.75" customHeight="1">
      <c r="Q300" s="38"/>
    </row>
    <row r="301" ht="15.75" customHeight="1">
      <c r="Q301" s="38"/>
    </row>
    <row r="302" ht="15.75" customHeight="1">
      <c r="Q302" s="38"/>
    </row>
    <row r="303" ht="15.75" customHeight="1">
      <c r="Q303" s="38"/>
    </row>
    <row r="304" ht="15.75" customHeight="1">
      <c r="Q304" s="38"/>
    </row>
    <row r="305" ht="15.75" customHeight="1">
      <c r="Q305" s="38"/>
    </row>
    <row r="306" ht="15.75" customHeight="1">
      <c r="Q306" s="38"/>
    </row>
    <row r="307" ht="15.75" customHeight="1">
      <c r="Q307" s="38"/>
    </row>
    <row r="308" ht="15.75" customHeight="1">
      <c r="Q308" s="38"/>
    </row>
    <row r="309" ht="15.75" customHeight="1">
      <c r="Q309" s="38"/>
    </row>
    <row r="310" ht="15.75" customHeight="1">
      <c r="Q310" s="38"/>
    </row>
    <row r="311" ht="15.75" customHeight="1">
      <c r="Q311" s="38"/>
    </row>
    <row r="312" ht="15.75" customHeight="1">
      <c r="Q312" s="38"/>
    </row>
    <row r="313" ht="15.75" customHeight="1">
      <c r="Q313" s="38"/>
    </row>
    <row r="314" ht="15.75" customHeight="1">
      <c r="Q314" s="38"/>
    </row>
    <row r="315" ht="15.75" customHeight="1">
      <c r="Q315" s="38"/>
    </row>
    <row r="316" ht="15.75" customHeight="1">
      <c r="Q316" s="38"/>
    </row>
    <row r="317" ht="15.75" customHeight="1">
      <c r="Q317" s="38"/>
    </row>
    <row r="318" ht="15.75" customHeight="1">
      <c r="Q318" s="38"/>
    </row>
    <row r="319" ht="15.75" customHeight="1">
      <c r="Q319" s="38"/>
    </row>
    <row r="320" ht="15.75" customHeight="1">
      <c r="Q320" s="38"/>
    </row>
    <row r="321" ht="15.75" customHeight="1">
      <c r="Q321" s="38"/>
    </row>
    <row r="322" ht="15.75" customHeight="1">
      <c r="Q322" s="38"/>
    </row>
    <row r="323" ht="15.75" customHeight="1">
      <c r="Q323" s="38"/>
    </row>
    <row r="324" ht="15.75" customHeight="1">
      <c r="Q324" s="38"/>
    </row>
    <row r="325" ht="15.75" customHeight="1">
      <c r="Q325" s="38"/>
    </row>
    <row r="326" ht="15.75" customHeight="1">
      <c r="Q326" s="38"/>
    </row>
    <row r="327" ht="15.75" customHeight="1">
      <c r="Q327" s="38"/>
    </row>
    <row r="328" ht="15.75" customHeight="1">
      <c r="Q328" s="38"/>
    </row>
    <row r="329" ht="15.75" customHeight="1">
      <c r="Q329" s="38"/>
    </row>
    <row r="330" ht="15.75" customHeight="1">
      <c r="Q330" s="38"/>
    </row>
    <row r="331" ht="15.75" customHeight="1">
      <c r="Q331" s="38"/>
    </row>
    <row r="332" ht="15.75" customHeight="1">
      <c r="Q332" s="38"/>
    </row>
    <row r="333" ht="15.75" customHeight="1">
      <c r="Q333" s="38"/>
    </row>
    <row r="334" ht="15.75" customHeight="1">
      <c r="Q334" s="38"/>
    </row>
    <row r="335" ht="15.75" customHeight="1">
      <c r="Q335" s="38"/>
    </row>
    <row r="336" ht="15.75" customHeight="1">
      <c r="Q336" s="38"/>
    </row>
    <row r="337" ht="15.75" customHeight="1">
      <c r="Q337" s="38"/>
    </row>
    <row r="338" ht="15.75" customHeight="1">
      <c r="Q338" s="38"/>
    </row>
    <row r="339" ht="15.75" customHeight="1">
      <c r="Q339" s="38"/>
    </row>
    <row r="340" ht="15.75" customHeight="1">
      <c r="Q340" s="38"/>
    </row>
    <row r="341" ht="15.75" customHeight="1">
      <c r="Q341" s="38"/>
    </row>
    <row r="342" ht="15.75" customHeight="1">
      <c r="Q342" s="38"/>
    </row>
    <row r="343" ht="15.75" customHeight="1">
      <c r="Q343" s="38"/>
    </row>
    <row r="344" ht="15.75" customHeight="1">
      <c r="Q344" s="38"/>
    </row>
    <row r="345" ht="15.75" customHeight="1">
      <c r="Q345" s="38"/>
    </row>
    <row r="346" ht="15.75" customHeight="1">
      <c r="Q346" s="38"/>
    </row>
    <row r="347" ht="15.75" customHeight="1">
      <c r="Q347" s="38"/>
    </row>
    <row r="348" ht="15.75" customHeight="1">
      <c r="Q348" s="38"/>
    </row>
    <row r="349" ht="15.75" customHeight="1">
      <c r="Q349" s="38"/>
    </row>
    <row r="350" ht="15.75" customHeight="1">
      <c r="Q350" s="38"/>
    </row>
    <row r="351" ht="15.75" customHeight="1">
      <c r="Q351" s="38"/>
    </row>
    <row r="352" ht="15.75" customHeight="1">
      <c r="Q352" s="38"/>
    </row>
    <row r="353" ht="15.75" customHeight="1">
      <c r="Q353" s="38"/>
    </row>
    <row r="354" ht="15.75" customHeight="1">
      <c r="Q354" s="38"/>
    </row>
    <row r="355" ht="15.75" customHeight="1">
      <c r="Q355" s="38"/>
    </row>
    <row r="356" ht="15.75" customHeight="1">
      <c r="Q356" s="38"/>
    </row>
    <row r="357" ht="15.75" customHeight="1">
      <c r="Q357" s="38"/>
    </row>
    <row r="358" ht="15.75" customHeight="1">
      <c r="Q358" s="38"/>
    </row>
    <row r="359" ht="15.75" customHeight="1">
      <c r="Q359" s="38"/>
    </row>
    <row r="360" ht="15.75" customHeight="1">
      <c r="Q360" s="38"/>
    </row>
    <row r="361" ht="15.75" customHeight="1">
      <c r="Q361" s="38"/>
    </row>
    <row r="362" ht="15.75" customHeight="1">
      <c r="Q362" s="38"/>
    </row>
    <row r="363" ht="15.75" customHeight="1">
      <c r="Q363" s="38"/>
    </row>
    <row r="364" ht="15.75" customHeight="1">
      <c r="Q364" s="38"/>
    </row>
    <row r="365" ht="15.75" customHeight="1">
      <c r="Q365" s="38"/>
    </row>
    <row r="366" ht="15.75" customHeight="1">
      <c r="Q366" s="38"/>
    </row>
    <row r="367" ht="15.75" customHeight="1">
      <c r="Q367" s="38"/>
    </row>
    <row r="368" ht="15.75" customHeight="1">
      <c r="Q368" s="38"/>
    </row>
    <row r="369" ht="15.75" customHeight="1">
      <c r="Q369" s="38"/>
    </row>
    <row r="370" ht="15.75" customHeight="1">
      <c r="Q370" s="38"/>
    </row>
    <row r="371" ht="15.75" customHeight="1">
      <c r="Q371" s="38"/>
    </row>
    <row r="372" ht="15.75" customHeight="1">
      <c r="Q372" s="38"/>
    </row>
    <row r="373" ht="15.75" customHeight="1">
      <c r="Q373" s="38"/>
    </row>
    <row r="374" ht="15.75" customHeight="1">
      <c r="Q374" s="38"/>
    </row>
    <row r="375" ht="15.75" customHeight="1">
      <c r="Q375" s="38"/>
    </row>
    <row r="376" ht="15.75" customHeight="1">
      <c r="Q376" s="38"/>
    </row>
    <row r="377" ht="15.75" customHeight="1">
      <c r="Q377" s="38"/>
    </row>
    <row r="378" ht="15.75" customHeight="1">
      <c r="Q378" s="38"/>
    </row>
    <row r="379" ht="15.75" customHeight="1">
      <c r="Q379" s="38"/>
    </row>
    <row r="380" ht="15.75" customHeight="1">
      <c r="Q380" s="38"/>
    </row>
    <row r="381" ht="15.75" customHeight="1">
      <c r="Q381" s="38"/>
    </row>
    <row r="382" ht="15.75" customHeight="1">
      <c r="Q382" s="38"/>
    </row>
    <row r="383" ht="15.75" customHeight="1">
      <c r="Q383" s="38"/>
    </row>
    <row r="384" ht="15.75" customHeight="1">
      <c r="Q384" s="38"/>
    </row>
    <row r="385" ht="15.75" customHeight="1">
      <c r="Q385" s="38"/>
    </row>
    <row r="386" ht="15.75" customHeight="1">
      <c r="Q386" s="38"/>
    </row>
    <row r="387" ht="15.75" customHeight="1">
      <c r="Q387" s="38"/>
    </row>
    <row r="388" ht="15.75" customHeight="1">
      <c r="Q388" s="38"/>
    </row>
    <row r="389" ht="15.75" customHeight="1">
      <c r="Q389" s="38"/>
    </row>
    <row r="390" ht="15.75" customHeight="1">
      <c r="Q390" s="38"/>
    </row>
    <row r="391" ht="15.75" customHeight="1">
      <c r="Q391" s="38"/>
    </row>
    <row r="392" ht="15.75" customHeight="1">
      <c r="Q392" s="38"/>
    </row>
    <row r="393" ht="15.75" customHeight="1">
      <c r="Q393" s="38"/>
    </row>
    <row r="394" ht="15.75" customHeight="1">
      <c r="Q394" s="38"/>
    </row>
    <row r="395" ht="15.75" customHeight="1">
      <c r="Q395" s="38"/>
    </row>
    <row r="396" ht="15.75" customHeight="1">
      <c r="Q396" s="38"/>
    </row>
    <row r="397" ht="15.75" customHeight="1">
      <c r="Q397" s="38"/>
    </row>
    <row r="398" ht="15.75" customHeight="1">
      <c r="Q398" s="38"/>
    </row>
    <row r="399" ht="15.75" customHeight="1">
      <c r="Q399" s="38"/>
    </row>
    <row r="400" ht="15.75" customHeight="1">
      <c r="Q400" s="38"/>
    </row>
    <row r="401" ht="15.75" customHeight="1">
      <c r="Q401" s="38"/>
    </row>
    <row r="402" ht="15.75" customHeight="1">
      <c r="Q402" s="38"/>
    </row>
    <row r="403" ht="15.75" customHeight="1">
      <c r="Q403" s="38"/>
    </row>
    <row r="404" ht="15.75" customHeight="1">
      <c r="Q404" s="38"/>
    </row>
    <row r="405" ht="15.75" customHeight="1">
      <c r="Q405" s="38"/>
    </row>
    <row r="406" ht="15.75" customHeight="1">
      <c r="Q406" s="38"/>
    </row>
    <row r="407" ht="15.75" customHeight="1">
      <c r="Q407" s="38"/>
    </row>
    <row r="408" ht="15.75" customHeight="1">
      <c r="Q408" s="38"/>
    </row>
    <row r="409" ht="15.75" customHeight="1">
      <c r="Q409" s="38"/>
    </row>
    <row r="410" ht="15.75" customHeight="1">
      <c r="Q410" s="38"/>
    </row>
    <row r="411" ht="15.75" customHeight="1">
      <c r="Q411" s="38"/>
    </row>
    <row r="412" ht="15.75" customHeight="1">
      <c r="Q412" s="38"/>
    </row>
    <row r="413" ht="15.75" customHeight="1">
      <c r="Q413" s="38"/>
    </row>
    <row r="414" ht="15.75" customHeight="1">
      <c r="Q414" s="38"/>
    </row>
    <row r="415" ht="15.75" customHeight="1">
      <c r="Q415" s="38"/>
    </row>
    <row r="416" ht="15.75" customHeight="1">
      <c r="Q416" s="38"/>
    </row>
    <row r="417" ht="15.75" customHeight="1">
      <c r="Q417" s="38"/>
    </row>
    <row r="418" ht="15.75" customHeight="1">
      <c r="Q418" s="38"/>
    </row>
    <row r="419" ht="15.75" customHeight="1">
      <c r="Q419" s="38"/>
    </row>
    <row r="420" ht="15.75" customHeight="1">
      <c r="Q420" s="38"/>
    </row>
    <row r="421" ht="15.75" customHeight="1">
      <c r="Q421" s="38"/>
    </row>
    <row r="422" ht="15.75" customHeight="1">
      <c r="Q422" s="38"/>
    </row>
    <row r="423" ht="15.75" customHeight="1">
      <c r="Q423" s="38"/>
    </row>
    <row r="424" ht="15.75" customHeight="1">
      <c r="Q424" s="38"/>
    </row>
    <row r="425" ht="15.75" customHeight="1">
      <c r="Q425" s="38"/>
    </row>
    <row r="426" ht="15.75" customHeight="1">
      <c r="Q426" s="38"/>
    </row>
    <row r="427" ht="15.75" customHeight="1">
      <c r="Q427" s="38"/>
    </row>
    <row r="428" ht="15.75" customHeight="1">
      <c r="Q428" s="38"/>
    </row>
    <row r="429" ht="15.75" customHeight="1">
      <c r="Q429" s="38"/>
    </row>
    <row r="430" ht="15.75" customHeight="1">
      <c r="Q430" s="38"/>
    </row>
    <row r="431" ht="15.75" customHeight="1">
      <c r="Q431" s="38"/>
    </row>
    <row r="432" ht="15.75" customHeight="1">
      <c r="Q432" s="38"/>
    </row>
    <row r="433" ht="15.75" customHeight="1">
      <c r="Q433" s="38"/>
    </row>
    <row r="434" ht="15.75" customHeight="1">
      <c r="Q434" s="38"/>
    </row>
    <row r="435" ht="15.75" customHeight="1">
      <c r="Q435" s="38"/>
    </row>
    <row r="436" ht="15.75" customHeight="1">
      <c r="Q436" s="38"/>
    </row>
    <row r="437" ht="15.75" customHeight="1">
      <c r="Q437" s="38"/>
    </row>
    <row r="438" ht="15.75" customHeight="1">
      <c r="Q438" s="38"/>
    </row>
    <row r="439" ht="15.75" customHeight="1">
      <c r="Q439" s="38"/>
    </row>
    <row r="440" ht="15.75" customHeight="1">
      <c r="Q440" s="38"/>
    </row>
    <row r="441" ht="15.75" customHeight="1">
      <c r="Q441" s="38"/>
    </row>
    <row r="442" ht="15.75" customHeight="1">
      <c r="Q442" s="38"/>
    </row>
    <row r="443" ht="15.75" customHeight="1">
      <c r="Q443" s="38"/>
    </row>
    <row r="444" ht="15.75" customHeight="1">
      <c r="Q444" s="38"/>
    </row>
    <row r="445" ht="15.75" customHeight="1">
      <c r="Q445" s="38"/>
    </row>
    <row r="446" ht="15.75" customHeight="1">
      <c r="Q446" s="38"/>
    </row>
    <row r="447" ht="15.75" customHeight="1">
      <c r="Q447" s="38"/>
    </row>
    <row r="448" ht="15.75" customHeight="1">
      <c r="Q448" s="38"/>
    </row>
    <row r="449" ht="15.75" customHeight="1">
      <c r="Q449" s="38"/>
    </row>
    <row r="450" ht="15.75" customHeight="1">
      <c r="Q450" s="38"/>
    </row>
    <row r="451" ht="15.75" customHeight="1">
      <c r="Q451" s="38"/>
    </row>
    <row r="452" ht="15.75" customHeight="1">
      <c r="Q452" s="38"/>
    </row>
    <row r="453" ht="15.75" customHeight="1">
      <c r="Q453" s="38"/>
    </row>
    <row r="454" ht="15.75" customHeight="1">
      <c r="Q454" s="38"/>
    </row>
    <row r="455" ht="15.75" customHeight="1">
      <c r="Q455" s="38"/>
    </row>
    <row r="456" ht="15.75" customHeight="1">
      <c r="Q456" s="38"/>
    </row>
    <row r="457" ht="15.75" customHeight="1">
      <c r="Q457" s="38"/>
    </row>
    <row r="458" ht="15.75" customHeight="1">
      <c r="Q458" s="38"/>
    </row>
    <row r="459" ht="15.75" customHeight="1">
      <c r="Q459" s="38"/>
    </row>
    <row r="460" ht="15.75" customHeight="1">
      <c r="Q460" s="38"/>
    </row>
    <row r="461" ht="15.75" customHeight="1">
      <c r="Q461" s="38"/>
    </row>
    <row r="462" ht="15.75" customHeight="1">
      <c r="Q462" s="38"/>
    </row>
    <row r="463" ht="15.75" customHeight="1">
      <c r="Q463" s="38"/>
    </row>
    <row r="464" ht="15.75" customHeight="1">
      <c r="Q464" s="38"/>
    </row>
    <row r="465" ht="15.75" customHeight="1">
      <c r="Q465" s="38"/>
    </row>
    <row r="466" ht="15.75" customHeight="1">
      <c r="Q466" s="38"/>
    </row>
    <row r="467" ht="15.75" customHeight="1">
      <c r="Q467" s="38"/>
    </row>
    <row r="468" ht="15.75" customHeight="1">
      <c r="Q468" s="38"/>
    </row>
    <row r="469" ht="15.75" customHeight="1">
      <c r="Q469" s="38"/>
    </row>
    <row r="470" ht="15.75" customHeight="1">
      <c r="Q470" s="38"/>
    </row>
    <row r="471" ht="15.75" customHeight="1">
      <c r="Q471" s="38"/>
    </row>
    <row r="472" ht="15.75" customHeight="1">
      <c r="Q472" s="38"/>
    </row>
    <row r="473" ht="15.75" customHeight="1">
      <c r="Q473" s="38"/>
    </row>
    <row r="474" ht="15.75" customHeight="1">
      <c r="Q474" s="38"/>
    </row>
    <row r="475" ht="15.75" customHeight="1">
      <c r="Q475" s="38"/>
    </row>
    <row r="476" ht="15.75" customHeight="1">
      <c r="Q476" s="38"/>
    </row>
    <row r="477" ht="15.75" customHeight="1">
      <c r="Q477" s="38"/>
    </row>
    <row r="478" ht="15.75" customHeight="1">
      <c r="Q478" s="38"/>
    </row>
    <row r="479" ht="15.75" customHeight="1">
      <c r="Q479" s="38"/>
    </row>
    <row r="480" ht="15.75" customHeight="1">
      <c r="Q480" s="38"/>
    </row>
    <row r="481" ht="15.75" customHeight="1">
      <c r="Q481" s="38"/>
    </row>
    <row r="482" ht="15.75" customHeight="1">
      <c r="Q482" s="38"/>
    </row>
    <row r="483" ht="15.75" customHeight="1">
      <c r="Q483" s="38"/>
    </row>
    <row r="484" ht="15.75" customHeight="1">
      <c r="Q484" s="38"/>
    </row>
    <row r="485" ht="15.75" customHeight="1">
      <c r="Q485" s="38"/>
    </row>
    <row r="486" ht="15.75" customHeight="1">
      <c r="Q486" s="38"/>
    </row>
    <row r="487" ht="15.75" customHeight="1">
      <c r="Q487" s="38"/>
    </row>
    <row r="488" ht="15.75" customHeight="1">
      <c r="Q488" s="38"/>
    </row>
    <row r="489" ht="15.75" customHeight="1">
      <c r="Q489" s="38"/>
    </row>
    <row r="490" ht="15.75" customHeight="1">
      <c r="Q490" s="38"/>
    </row>
    <row r="491" ht="15.75" customHeight="1">
      <c r="Q491" s="38"/>
    </row>
    <row r="492" ht="15.75" customHeight="1">
      <c r="Q492" s="38"/>
    </row>
    <row r="493" ht="15.75" customHeight="1">
      <c r="Q493" s="38"/>
    </row>
    <row r="494" ht="15.75" customHeight="1">
      <c r="Q494" s="38"/>
    </row>
    <row r="495" ht="15.75" customHeight="1">
      <c r="Q495" s="38"/>
    </row>
    <row r="496" ht="15.75" customHeight="1">
      <c r="Q496" s="38"/>
    </row>
    <row r="497" ht="15.75" customHeight="1">
      <c r="Q497" s="38"/>
    </row>
    <row r="498" ht="15.75" customHeight="1">
      <c r="Q498" s="38"/>
    </row>
    <row r="499" ht="15.75" customHeight="1">
      <c r="Q499" s="38"/>
    </row>
    <row r="500" ht="15.75" customHeight="1">
      <c r="Q500" s="38"/>
    </row>
    <row r="501" ht="15.75" customHeight="1">
      <c r="Q501" s="38"/>
    </row>
    <row r="502" ht="15.75" customHeight="1">
      <c r="Q502" s="38"/>
    </row>
    <row r="503" ht="15.75" customHeight="1">
      <c r="Q503" s="38"/>
    </row>
    <row r="504" ht="15.75" customHeight="1">
      <c r="Q504" s="38"/>
    </row>
    <row r="505" ht="15.75" customHeight="1">
      <c r="Q505" s="38"/>
    </row>
    <row r="506" ht="15.75" customHeight="1">
      <c r="Q506" s="38"/>
    </row>
    <row r="507" ht="15.75" customHeight="1">
      <c r="Q507" s="38"/>
    </row>
    <row r="508" ht="15.75" customHeight="1">
      <c r="Q508" s="38"/>
    </row>
    <row r="509" ht="15.75" customHeight="1">
      <c r="Q509" s="38"/>
    </row>
    <row r="510" ht="15.75" customHeight="1">
      <c r="Q510" s="38"/>
    </row>
    <row r="511" ht="15.75" customHeight="1">
      <c r="Q511" s="38"/>
    </row>
    <row r="512" ht="15.75" customHeight="1">
      <c r="Q512" s="38"/>
    </row>
    <row r="513" ht="15.75" customHeight="1">
      <c r="Q513" s="38"/>
    </row>
    <row r="514" ht="15.75" customHeight="1">
      <c r="Q514" s="38"/>
    </row>
    <row r="515" ht="15.75" customHeight="1">
      <c r="Q515" s="38"/>
    </row>
    <row r="516" ht="15.75" customHeight="1">
      <c r="Q516" s="38"/>
    </row>
    <row r="517" ht="15.75" customHeight="1">
      <c r="Q517" s="38"/>
    </row>
    <row r="518" ht="15.75" customHeight="1">
      <c r="Q518" s="38"/>
    </row>
    <row r="519" ht="15.75" customHeight="1">
      <c r="Q519" s="38"/>
    </row>
    <row r="520" ht="15.75" customHeight="1">
      <c r="Q520" s="38"/>
    </row>
    <row r="521" ht="15.75" customHeight="1">
      <c r="Q521" s="38"/>
    </row>
    <row r="522" ht="15.75" customHeight="1">
      <c r="Q522" s="38"/>
    </row>
    <row r="523" ht="15.75" customHeight="1">
      <c r="Q523" s="38"/>
    </row>
    <row r="524" ht="15.75" customHeight="1">
      <c r="Q524" s="38"/>
    </row>
    <row r="525" ht="15.75" customHeight="1">
      <c r="Q525" s="38"/>
    </row>
    <row r="526" ht="15.75" customHeight="1">
      <c r="Q526" s="38"/>
    </row>
    <row r="527" ht="15.75" customHeight="1">
      <c r="Q527" s="38"/>
    </row>
    <row r="528" ht="15.75" customHeight="1">
      <c r="Q528" s="38"/>
    </row>
    <row r="529" ht="15.75" customHeight="1">
      <c r="Q529" s="38"/>
    </row>
    <row r="530" ht="15.75" customHeight="1">
      <c r="Q530" s="38"/>
    </row>
    <row r="531" ht="15.75" customHeight="1">
      <c r="Q531" s="38"/>
    </row>
    <row r="532" ht="15.75" customHeight="1">
      <c r="Q532" s="38"/>
    </row>
    <row r="533" ht="15.75" customHeight="1">
      <c r="Q533" s="38"/>
    </row>
    <row r="534" ht="15.75" customHeight="1">
      <c r="Q534" s="38"/>
    </row>
    <row r="535" ht="15.75" customHeight="1">
      <c r="Q535" s="38"/>
    </row>
    <row r="536" ht="15.75" customHeight="1">
      <c r="Q536" s="38"/>
    </row>
    <row r="537" ht="15.75" customHeight="1">
      <c r="Q537" s="38"/>
    </row>
    <row r="538" ht="15.75" customHeight="1">
      <c r="Q538" s="38"/>
    </row>
    <row r="539" ht="15.75" customHeight="1">
      <c r="Q539" s="38"/>
    </row>
    <row r="540" ht="15.75" customHeight="1">
      <c r="Q540" s="38"/>
    </row>
    <row r="541" ht="15.75" customHeight="1">
      <c r="Q541" s="38"/>
    </row>
    <row r="542" ht="15.75" customHeight="1">
      <c r="Q542" s="38"/>
    </row>
    <row r="543" ht="15.75" customHeight="1">
      <c r="Q543" s="38"/>
    </row>
    <row r="544" ht="15.75" customHeight="1">
      <c r="Q544" s="38"/>
    </row>
    <row r="545" ht="15.75" customHeight="1">
      <c r="Q545" s="38"/>
    </row>
    <row r="546" ht="15.75" customHeight="1">
      <c r="Q546" s="38"/>
    </row>
    <row r="547" ht="15.75" customHeight="1">
      <c r="Q547" s="38"/>
    </row>
    <row r="548" ht="15.75" customHeight="1">
      <c r="Q548" s="38"/>
    </row>
    <row r="549" ht="15.75" customHeight="1">
      <c r="Q549" s="38"/>
    </row>
    <row r="550" ht="15.75" customHeight="1">
      <c r="Q550" s="38"/>
    </row>
    <row r="551" ht="15.75" customHeight="1">
      <c r="Q551" s="38"/>
    </row>
    <row r="552" ht="15.75" customHeight="1">
      <c r="Q552" s="38"/>
    </row>
    <row r="553" ht="15.75" customHeight="1">
      <c r="Q553" s="38"/>
    </row>
    <row r="554" ht="15.75" customHeight="1">
      <c r="Q554" s="38"/>
    </row>
    <row r="555" ht="15.75" customHeight="1">
      <c r="Q555" s="38"/>
    </row>
    <row r="556" ht="15.75" customHeight="1">
      <c r="Q556" s="38"/>
    </row>
    <row r="557" ht="15.75" customHeight="1">
      <c r="Q557" s="38"/>
    </row>
    <row r="558" ht="15.75" customHeight="1">
      <c r="Q558" s="38"/>
    </row>
    <row r="559" ht="15.75" customHeight="1">
      <c r="Q559" s="38"/>
    </row>
    <row r="560" ht="15.75" customHeight="1">
      <c r="Q560" s="38"/>
    </row>
    <row r="561" ht="15.75" customHeight="1">
      <c r="Q561" s="38"/>
    </row>
    <row r="562" ht="15.75" customHeight="1">
      <c r="Q562" s="38"/>
    </row>
    <row r="563" ht="15.75" customHeight="1">
      <c r="Q563" s="38"/>
    </row>
    <row r="564" ht="15.75" customHeight="1">
      <c r="Q564" s="38"/>
    </row>
    <row r="565" ht="15.75" customHeight="1">
      <c r="Q565" s="38"/>
    </row>
    <row r="566" ht="15.75" customHeight="1">
      <c r="Q566" s="38"/>
    </row>
    <row r="567" ht="15.75" customHeight="1">
      <c r="Q567" s="38"/>
    </row>
    <row r="568" ht="15.75" customHeight="1">
      <c r="Q568" s="38"/>
    </row>
    <row r="569" ht="15.75" customHeight="1">
      <c r="Q569" s="38"/>
    </row>
    <row r="570" ht="15.75" customHeight="1">
      <c r="Q570" s="38"/>
    </row>
    <row r="571" ht="15.75" customHeight="1">
      <c r="Q571" s="38"/>
    </row>
    <row r="572" ht="15.75" customHeight="1">
      <c r="Q572" s="38"/>
    </row>
    <row r="573" ht="15.75" customHeight="1">
      <c r="Q573" s="38"/>
    </row>
    <row r="574" ht="15.75" customHeight="1">
      <c r="Q574" s="38"/>
    </row>
    <row r="575" ht="15.75" customHeight="1">
      <c r="Q575" s="38"/>
    </row>
    <row r="576" ht="15.75" customHeight="1">
      <c r="Q576" s="38"/>
    </row>
    <row r="577" ht="15.75" customHeight="1">
      <c r="Q577" s="38"/>
    </row>
    <row r="578" ht="15.75" customHeight="1">
      <c r="Q578" s="38"/>
    </row>
    <row r="579" ht="15.75" customHeight="1">
      <c r="Q579" s="38"/>
    </row>
    <row r="580" ht="15.75" customHeight="1">
      <c r="Q580" s="38"/>
    </row>
    <row r="581" ht="15.75" customHeight="1">
      <c r="Q581" s="38"/>
    </row>
    <row r="582" ht="15.75" customHeight="1">
      <c r="Q582" s="38"/>
    </row>
    <row r="583" ht="15.75" customHeight="1">
      <c r="Q583" s="38"/>
    </row>
    <row r="584" ht="15.75" customHeight="1">
      <c r="Q584" s="38"/>
    </row>
    <row r="585" ht="15.75" customHeight="1">
      <c r="Q585" s="38"/>
    </row>
    <row r="586" ht="15.75" customHeight="1">
      <c r="Q586" s="38"/>
    </row>
    <row r="587" ht="15.75" customHeight="1">
      <c r="Q587" s="38"/>
    </row>
    <row r="588" ht="15.75" customHeight="1">
      <c r="Q588" s="38"/>
    </row>
    <row r="589" ht="15.75" customHeight="1">
      <c r="Q589" s="38"/>
    </row>
    <row r="590" ht="15.75" customHeight="1">
      <c r="Q590" s="38"/>
    </row>
    <row r="591" ht="15.75" customHeight="1">
      <c r="Q591" s="38"/>
    </row>
    <row r="592" ht="15.75" customHeight="1">
      <c r="Q592" s="38"/>
    </row>
    <row r="593" ht="15.75" customHeight="1">
      <c r="Q593" s="38"/>
    </row>
    <row r="594" ht="15.75" customHeight="1">
      <c r="Q594" s="38"/>
    </row>
    <row r="595" ht="15.75" customHeight="1">
      <c r="Q595" s="38"/>
    </row>
    <row r="596" ht="15.75" customHeight="1">
      <c r="Q596" s="38"/>
    </row>
    <row r="597" ht="15.75" customHeight="1">
      <c r="Q597" s="38"/>
    </row>
    <row r="598" ht="15.75" customHeight="1">
      <c r="Q598" s="38"/>
    </row>
    <row r="599" ht="15.75" customHeight="1">
      <c r="Q599" s="38"/>
    </row>
    <row r="600" ht="15.75" customHeight="1">
      <c r="Q600" s="38"/>
    </row>
    <row r="601" ht="15.75" customHeight="1">
      <c r="Q601" s="38"/>
    </row>
    <row r="602" ht="15.75" customHeight="1">
      <c r="Q602" s="38"/>
    </row>
    <row r="603" ht="15.75" customHeight="1">
      <c r="Q603" s="38"/>
    </row>
    <row r="604" ht="15.75" customHeight="1">
      <c r="Q604" s="38"/>
    </row>
    <row r="605" ht="15.75" customHeight="1">
      <c r="Q605" s="38"/>
    </row>
    <row r="606" ht="15.75" customHeight="1">
      <c r="Q606" s="38"/>
    </row>
    <row r="607" ht="15.75" customHeight="1">
      <c r="Q607" s="38"/>
    </row>
    <row r="608" ht="15.75" customHeight="1">
      <c r="Q608" s="38"/>
    </row>
    <row r="609" ht="15.75" customHeight="1">
      <c r="Q609" s="38"/>
    </row>
    <row r="610" ht="15.75" customHeight="1">
      <c r="Q610" s="38"/>
    </row>
    <row r="611" ht="15.75" customHeight="1">
      <c r="Q611" s="38"/>
    </row>
    <row r="612" ht="15.75" customHeight="1">
      <c r="Q612" s="38"/>
    </row>
    <row r="613" ht="15.75" customHeight="1">
      <c r="Q613" s="38"/>
    </row>
    <row r="614" ht="15.75" customHeight="1">
      <c r="Q614" s="38"/>
    </row>
    <row r="615" ht="15.75" customHeight="1">
      <c r="Q615" s="38"/>
    </row>
    <row r="616" ht="15.75" customHeight="1">
      <c r="Q616" s="38"/>
    </row>
    <row r="617" ht="15.75" customHeight="1">
      <c r="Q617" s="38"/>
    </row>
    <row r="618" ht="15.75" customHeight="1">
      <c r="Q618" s="38"/>
    </row>
    <row r="619" ht="15.75" customHeight="1">
      <c r="Q619" s="38"/>
    </row>
    <row r="620" ht="15.75" customHeight="1">
      <c r="Q620" s="38"/>
    </row>
    <row r="621" ht="15.75" customHeight="1">
      <c r="Q621" s="38"/>
    </row>
    <row r="622" ht="15.75" customHeight="1">
      <c r="Q622" s="38"/>
    </row>
    <row r="623" ht="15.75" customHeight="1">
      <c r="Q623" s="38"/>
    </row>
    <row r="624" ht="15.75" customHeight="1">
      <c r="Q624" s="38"/>
    </row>
    <row r="625" ht="15.75" customHeight="1">
      <c r="Q625" s="38"/>
    </row>
    <row r="626" ht="15.75" customHeight="1">
      <c r="Q626" s="38"/>
    </row>
    <row r="627" ht="15.75" customHeight="1">
      <c r="Q627" s="38"/>
    </row>
    <row r="628" ht="15.75" customHeight="1">
      <c r="Q628" s="38"/>
    </row>
    <row r="629" ht="15.75" customHeight="1">
      <c r="Q629" s="38"/>
    </row>
    <row r="630" ht="15.75" customHeight="1">
      <c r="Q630" s="38"/>
    </row>
    <row r="631" ht="15.75" customHeight="1">
      <c r="Q631" s="38"/>
    </row>
    <row r="632" ht="15.75" customHeight="1">
      <c r="Q632" s="38"/>
    </row>
    <row r="633" ht="15.75" customHeight="1">
      <c r="Q633" s="38"/>
    </row>
    <row r="634" ht="15.75" customHeight="1">
      <c r="Q634" s="38"/>
    </row>
    <row r="635" ht="15.75" customHeight="1">
      <c r="Q635" s="38"/>
    </row>
    <row r="636" ht="15.75" customHeight="1">
      <c r="Q636" s="38"/>
    </row>
    <row r="637" ht="15.75" customHeight="1">
      <c r="Q637" s="38"/>
    </row>
    <row r="638" ht="15.75" customHeight="1">
      <c r="Q638" s="38"/>
    </row>
    <row r="639" ht="15.75" customHeight="1">
      <c r="Q639" s="38"/>
    </row>
    <row r="640" ht="15.75" customHeight="1">
      <c r="Q640" s="38"/>
    </row>
    <row r="641" ht="15.75" customHeight="1">
      <c r="Q641" s="38"/>
    </row>
    <row r="642" ht="15.75" customHeight="1">
      <c r="Q642" s="38"/>
    </row>
    <row r="643" ht="15.75" customHeight="1">
      <c r="Q643" s="38"/>
    </row>
    <row r="644" ht="15.75" customHeight="1">
      <c r="Q644" s="38"/>
    </row>
    <row r="645" ht="15.75" customHeight="1">
      <c r="Q645" s="38"/>
    </row>
    <row r="646" ht="15.75" customHeight="1">
      <c r="Q646" s="38"/>
    </row>
    <row r="647" ht="15.75" customHeight="1">
      <c r="Q647" s="38"/>
    </row>
    <row r="648" ht="15.75" customHeight="1">
      <c r="Q648" s="38"/>
    </row>
    <row r="649" ht="15.75" customHeight="1">
      <c r="Q649" s="38"/>
    </row>
    <row r="650" ht="15.75" customHeight="1">
      <c r="Q650" s="38"/>
    </row>
    <row r="651" ht="15.75" customHeight="1">
      <c r="Q651" s="38"/>
    </row>
    <row r="652" ht="15.75" customHeight="1">
      <c r="Q652" s="38"/>
    </row>
    <row r="653" ht="15.75" customHeight="1">
      <c r="Q653" s="38"/>
    </row>
    <row r="654" ht="15.75" customHeight="1">
      <c r="Q654" s="38"/>
    </row>
    <row r="655" ht="15.75" customHeight="1">
      <c r="Q655" s="38"/>
    </row>
    <row r="656" ht="15.75" customHeight="1">
      <c r="Q656" s="38"/>
    </row>
    <row r="657" ht="15.75" customHeight="1">
      <c r="Q657" s="38"/>
    </row>
    <row r="658" ht="15.75" customHeight="1">
      <c r="Q658" s="38"/>
    </row>
    <row r="659" ht="15.75" customHeight="1">
      <c r="Q659" s="38"/>
    </row>
    <row r="660" ht="15.75" customHeight="1">
      <c r="Q660" s="38"/>
    </row>
    <row r="661" ht="15.75" customHeight="1">
      <c r="Q661" s="38"/>
    </row>
    <row r="662" ht="15.75" customHeight="1">
      <c r="Q662" s="38"/>
    </row>
    <row r="663" ht="15.75" customHeight="1">
      <c r="Q663" s="38"/>
    </row>
    <row r="664" ht="15.75" customHeight="1">
      <c r="Q664" s="38"/>
    </row>
    <row r="665" ht="15.75" customHeight="1">
      <c r="Q665" s="38"/>
    </row>
    <row r="666" ht="15.75" customHeight="1">
      <c r="Q666" s="38"/>
    </row>
    <row r="667" ht="15.75" customHeight="1">
      <c r="Q667" s="38"/>
    </row>
    <row r="668" ht="15.75" customHeight="1">
      <c r="Q668" s="38"/>
    </row>
    <row r="669" ht="15.75" customHeight="1">
      <c r="Q669" s="38"/>
    </row>
    <row r="670" ht="15.75" customHeight="1">
      <c r="Q670" s="38"/>
    </row>
    <row r="671" ht="15.75" customHeight="1">
      <c r="Q671" s="38"/>
    </row>
    <row r="672" ht="15.75" customHeight="1">
      <c r="Q672" s="38"/>
    </row>
    <row r="673" ht="15.75" customHeight="1">
      <c r="Q673" s="38"/>
    </row>
    <row r="674" ht="15.75" customHeight="1">
      <c r="Q674" s="38"/>
    </row>
    <row r="675" ht="15.75" customHeight="1">
      <c r="Q675" s="38"/>
    </row>
    <row r="676" ht="15.75" customHeight="1">
      <c r="Q676" s="38"/>
    </row>
    <row r="677" ht="15.75" customHeight="1">
      <c r="Q677" s="38"/>
    </row>
    <row r="678" ht="15.75" customHeight="1">
      <c r="Q678" s="38"/>
    </row>
    <row r="679" ht="15.75" customHeight="1">
      <c r="Q679" s="38"/>
    </row>
    <row r="680" ht="15.75" customHeight="1">
      <c r="Q680" s="38"/>
    </row>
    <row r="681" ht="15.75" customHeight="1">
      <c r="Q681" s="38"/>
    </row>
    <row r="682" ht="15.75" customHeight="1">
      <c r="Q682" s="38"/>
    </row>
    <row r="683" ht="15.75" customHeight="1">
      <c r="Q683" s="38"/>
    </row>
    <row r="684" ht="15.75" customHeight="1">
      <c r="Q684" s="38"/>
    </row>
    <row r="685" ht="15.75" customHeight="1">
      <c r="Q685" s="38"/>
    </row>
    <row r="686" ht="15.75" customHeight="1">
      <c r="Q686" s="38"/>
    </row>
    <row r="687" ht="15.75" customHeight="1">
      <c r="Q687" s="38"/>
    </row>
    <row r="688" ht="15.75" customHeight="1">
      <c r="Q688" s="38"/>
    </row>
    <row r="689" ht="15.75" customHeight="1">
      <c r="Q689" s="38"/>
    </row>
    <row r="690" ht="15.75" customHeight="1">
      <c r="Q690" s="38"/>
    </row>
    <row r="691" ht="15.75" customHeight="1">
      <c r="Q691" s="38"/>
    </row>
    <row r="692" ht="15.75" customHeight="1">
      <c r="Q692" s="38"/>
    </row>
    <row r="693" ht="15.75" customHeight="1">
      <c r="Q693" s="38"/>
    </row>
    <row r="694" ht="15.75" customHeight="1">
      <c r="Q694" s="38"/>
    </row>
    <row r="695" ht="15.75" customHeight="1">
      <c r="Q695" s="38"/>
    </row>
    <row r="696" ht="15.75" customHeight="1">
      <c r="Q696" s="38"/>
    </row>
    <row r="697" ht="15.75" customHeight="1">
      <c r="Q697" s="38"/>
    </row>
    <row r="698" ht="15.75" customHeight="1">
      <c r="Q698" s="38"/>
    </row>
    <row r="699" ht="15.75" customHeight="1">
      <c r="Q699" s="38"/>
    </row>
    <row r="700" ht="15.75" customHeight="1">
      <c r="Q700" s="38"/>
    </row>
    <row r="701" ht="15.75" customHeight="1">
      <c r="Q701" s="38"/>
    </row>
    <row r="702" ht="15.75" customHeight="1">
      <c r="Q702" s="38"/>
    </row>
    <row r="703" ht="15.75" customHeight="1">
      <c r="Q703" s="38"/>
    </row>
    <row r="704" ht="15.75" customHeight="1">
      <c r="Q704" s="38"/>
    </row>
    <row r="705" ht="15.75" customHeight="1">
      <c r="Q705" s="38"/>
    </row>
    <row r="706" ht="15.75" customHeight="1">
      <c r="Q706" s="38"/>
    </row>
    <row r="707" ht="15.75" customHeight="1">
      <c r="Q707" s="38"/>
    </row>
    <row r="708" ht="15.75" customHeight="1">
      <c r="Q708" s="38"/>
    </row>
    <row r="709" ht="15.75" customHeight="1">
      <c r="Q709" s="38"/>
    </row>
    <row r="710" ht="15.75" customHeight="1">
      <c r="Q710" s="38"/>
    </row>
    <row r="711" ht="15.75" customHeight="1">
      <c r="Q711" s="38"/>
    </row>
    <row r="712" ht="15.75" customHeight="1">
      <c r="Q712" s="38"/>
    </row>
    <row r="713" ht="15.75" customHeight="1">
      <c r="Q713" s="38"/>
    </row>
    <row r="714" ht="15.75" customHeight="1">
      <c r="Q714" s="38"/>
    </row>
    <row r="715" ht="15.75" customHeight="1">
      <c r="Q715" s="38"/>
    </row>
    <row r="716" ht="15.75" customHeight="1">
      <c r="Q716" s="38"/>
    </row>
    <row r="717" ht="15.75" customHeight="1">
      <c r="Q717" s="38"/>
    </row>
    <row r="718" ht="15.75" customHeight="1">
      <c r="Q718" s="38"/>
    </row>
    <row r="719" ht="15.75" customHeight="1">
      <c r="Q719" s="38"/>
    </row>
    <row r="720" ht="15.75" customHeight="1">
      <c r="Q720" s="38"/>
    </row>
    <row r="721" ht="15.75" customHeight="1">
      <c r="Q721" s="38"/>
    </row>
    <row r="722" ht="15.75" customHeight="1">
      <c r="Q722" s="38"/>
    </row>
    <row r="723" ht="15.75" customHeight="1">
      <c r="Q723" s="38"/>
    </row>
    <row r="724" ht="15.75" customHeight="1">
      <c r="Q724" s="38"/>
    </row>
    <row r="725" ht="15.75" customHeight="1">
      <c r="Q725" s="38"/>
    </row>
    <row r="726" ht="15.75" customHeight="1">
      <c r="Q726" s="38"/>
    </row>
    <row r="727" ht="15.75" customHeight="1">
      <c r="Q727" s="38"/>
    </row>
    <row r="728" ht="15.75" customHeight="1">
      <c r="Q728" s="38"/>
    </row>
    <row r="729" ht="15.75" customHeight="1">
      <c r="Q729" s="38"/>
    </row>
    <row r="730" ht="15.75" customHeight="1">
      <c r="Q730" s="38"/>
    </row>
    <row r="731" ht="15.75" customHeight="1">
      <c r="Q731" s="38"/>
    </row>
    <row r="732" ht="15.75" customHeight="1">
      <c r="Q732" s="38"/>
    </row>
    <row r="733" ht="15.75" customHeight="1">
      <c r="Q733" s="38"/>
    </row>
    <row r="734" ht="15.75" customHeight="1">
      <c r="Q734" s="38"/>
    </row>
    <row r="735" ht="15.75" customHeight="1">
      <c r="Q735" s="38"/>
    </row>
    <row r="736" ht="15.75" customHeight="1">
      <c r="Q736" s="38"/>
    </row>
    <row r="737" ht="15.75" customHeight="1">
      <c r="Q737" s="38"/>
    </row>
    <row r="738" ht="15.75" customHeight="1">
      <c r="Q738" s="38"/>
    </row>
    <row r="739" ht="15.75" customHeight="1">
      <c r="Q739" s="38"/>
    </row>
    <row r="740" ht="15.75" customHeight="1">
      <c r="Q740" s="38"/>
    </row>
    <row r="741" ht="15.75" customHeight="1">
      <c r="Q741" s="38"/>
    </row>
    <row r="742" ht="15.75" customHeight="1">
      <c r="Q742" s="38"/>
    </row>
    <row r="743" ht="15.75" customHeight="1">
      <c r="Q743" s="38"/>
    </row>
    <row r="744" ht="15.75" customHeight="1">
      <c r="Q744" s="38"/>
    </row>
    <row r="745" ht="15.75" customHeight="1">
      <c r="Q745" s="38"/>
    </row>
    <row r="746" ht="15.75" customHeight="1">
      <c r="Q746" s="38"/>
    </row>
    <row r="747" ht="15.75" customHeight="1">
      <c r="Q747" s="38"/>
    </row>
    <row r="748" ht="15.75" customHeight="1">
      <c r="Q748" s="38"/>
    </row>
    <row r="749" ht="15.75" customHeight="1">
      <c r="Q749" s="38"/>
    </row>
    <row r="750" ht="15.75" customHeight="1">
      <c r="Q750" s="38"/>
    </row>
    <row r="751" ht="15.75" customHeight="1">
      <c r="Q751" s="38"/>
    </row>
    <row r="752" ht="15.75" customHeight="1">
      <c r="Q752" s="38"/>
    </row>
    <row r="753" ht="15.75" customHeight="1">
      <c r="Q753" s="38"/>
    </row>
    <row r="754" ht="15.75" customHeight="1">
      <c r="Q754" s="38"/>
    </row>
    <row r="755" ht="15.75" customHeight="1">
      <c r="Q755" s="38"/>
    </row>
    <row r="756" ht="15.75" customHeight="1">
      <c r="Q756" s="38"/>
    </row>
    <row r="757" ht="15.75" customHeight="1">
      <c r="Q757" s="38"/>
    </row>
    <row r="758" ht="15.75" customHeight="1">
      <c r="Q758" s="38"/>
    </row>
    <row r="759" ht="15.75" customHeight="1">
      <c r="Q759" s="38"/>
    </row>
    <row r="760" ht="15.75" customHeight="1">
      <c r="Q760" s="38"/>
    </row>
    <row r="761" ht="15.75" customHeight="1">
      <c r="Q761" s="38"/>
    </row>
    <row r="762" ht="15.75" customHeight="1">
      <c r="Q762" s="38"/>
    </row>
    <row r="763" ht="15.75" customHeight="1">
      <c r="Q763" s="38"/>
    </row>
    <row r="764" ht="15.75" customHeight="1">
      <c r="Q764" s="38"/>
    </row>
    <row r="765" ht="15.75" customHeight="1">
      <c r="Q765" s="38"/>
    </row>
    <row r="766" ht="15.75" customHeight="1">
      <c r="Q766" s="38"/>
    </row>
    <row r="767" ht="15.75" customHeight="1">
      <c r="Q767" s="38"/>
    </row>
    <row r="768" ht="15.75" customHeight="1">
      <c r="Q768" s="38"/>
    </row>
    <row r="769" ht="15.75" customHeight="1">
      <c r="Q769" s="38"/>
    </row>
    <row r="770" ht="15.75" customHeight="1">
      <c r="Q770" s="38"/>
    </row>
    <row r="771" ht="15.75" customHeight="1">
      <c r="Q771" s="38"/>
    </row>
    <row r="772" ht="15.75" customHeight="1">
      <c r="Q772" s="38"/>
    </row>
    <row r="773" ht="15.75" customHeight="1">
      <c r="Q773" s="38"/>
    </row>
    <row r="774" ht="15.75" customHeight="1">
      <c r="Q774" s="38"/>
    </row>
    <row r="775" ht="15.75" customHeight="1">
      <c r="Q775" s="38"/>
    </row>
    <row r="776" ht="15.75" customHeight="1">
      <c r="Q776" s="38"/>
    </row>
    <row r="777" ht="15.75" customHeight="1">
      <c r="Q777" s="38"/>
    </row>
    <row r="778" ht="15.75" customHeight="1">
      <c r="Q778" s="38"/>
    </row>
    <row r="779" ht="15.75" customHeight="1">
      <c r="Q779" s="38"/>
    </row>
    <row r="780" ht="15.75" customHeight="1">
      <c r="Q780" s="38"/>
    </row>
    <row r="781" ht="15.75" customHeight="1">
      <c r="Q781" s="38"/>
    </row>
    <row r="782" ht="15.75" customHeight="1">
      <c r="Q782" s="38"/>
    </row>
    <row r="783" ht="15.75" customHeight="1">
      <c r="Q783" s="38"/>
    </row>
    <row r="784" ht="15.75" customHeight="1">
      <c r="Q784" s="38"/>
    </row>
    <row r="785" ht="15.75" customHeight="1">
      <c r="Q785" s="38"/>
    </row>
    <row r="786" ht="15.75" customHeight="1">
      <c r="Q786" s="38"/>
    </row>
    <row r="787" ht="15.75" customHeight="1">
      <c r="Q787" s="38"/>
    </row>
    <row r="788" ht="15.75" customHeight="1">
      <c r="Q788" s="38"/>
    </row>
    <row r="789" ht="15.75" customHeight="1">
      <c r="Q789" s="38"/>
    </row>
    <row r="790" ht="15.75" customHeight="1">
      <c r="Q790" s="38"/>
    </row>
    <row r="791" ht="15.75" customHeight="1">
      <c r="Q791" s="38"/>
    </row>
    <row r="792" ht="15.75" customHeight="1">
      <c r="Q792" s="38"/>
    </row>
    <row r="793" ht="15.75" customHeight="1">
      <c r="Q793" s="38"/>
    </row>
    <row r="794" ht="15.75" customHeight="1">
      <c r="Q794" s="38"/>
    </row>
    <row r="795" ht="15.75" customHeight="1">
      <c r="Q795" s="38"/>
    </row>
    <row r="796" ht="15.75" customHeight="1">
      <c r="Q796" s="38"/>
    </row>
    <row r="797" ht="15.75" customHeight="1">
      <c r="Q797" s="38"/>
    </row>
    <row r="798" ht="15.75" customHeight="1">
      <c r="Q798" s="38"/>
    </row>
    <row r="799" ht="15.75" customHeight="1">
      <c r="Q799" s="38"/>
    </row>
    <row r="800" ht="15.75" customHeight="1">
      <c r="Q800" s="38"/>
    </row>
    <row r="801" ht="15.75" customHeight="1">
      <c r="Q801" s="38"/>
    </row>
    <row r="802" ht="15.75" customHeight="1">
      <c r="Q802" s="38"/>
    </row>
    <row r="803" ht="15.75" customHeight="1">
      <c r="Q803" s="38"/>
    </row>
    <row r="804" ht="15.75" customHeight="1">
      <c r="Q804" s="38"/>
    </row>
    <row r="805" ht="15.75" customHeight="1">
      <c r="Q805" s="38"/>
    </row>
    <row r="806" ht="15.75" customHeight="1">
      <c r="Q806" s="38"/>
    </row>
    <row r="807" ht="15.75" customHeight="1">
      <c r="Q807" s="38"/>
    </row>
    <row r="808" ht="15.75" customHeight="1">
      <c r="Q808" s="38"/>
    </row>
    <row r="809" ht="15.75" customHeight="1">
      <c r="Q809" s="38"/>
    </row>
    <row r="810" ht="15.75" customHeight="1">
      <c r="Q810" s="38"/>
    </row>
    <row r="811" ht="15.75" customHeight="1">
      <c r="Q811" s="38"/>
    </row>
    <row r="812" ht="15.75" customHeight="1">
      <c r="Q812" s="38"/>
    </row>
    <row r="813" ht="15.75" customHeight="1">
      <c r="Q813" s="38"/>
    </row>
    <row r="814" ht="15.75" customHeight="1">
      <c r="Q814" s="38"/>
    </row>
    <row r="815" ht="15.75" customHeight="1">
      <c r="Q815" s="38"/>
    </row>
    <row r="816" ht="15.75" customHeight="1">
      <c r="Q816" s="38"/>
    </row>
    <row r="817" ht="15.75" customHeight="1">
      <c r="Q817" s="38"/>
    </row>
    <row r="818" ht="15.75" customHeight="1">
      <c r="Q818" s="38"/>
    </row>
    <row r="819" ht="15.75" customHeight="1">
      <c r="Q819" s="38"/>
    </row>
    <row r="820" ht="15.75" customHeight="1">
      <c r="Q820" s="38"/>
    </row>
    <row r="821" ht="15.75" customHeight="1">
      <c r="Q821" s="38"/>
    </row>
    <row r="822" ht="15.75" customHeight="1">
      <c r="Q822" s="38"/>
    </row>
    <row r="823" ht="15.75" customHeight="1">
      <c r="Q823" s="38"/>
    </row>
    <row r="824" ht="15.75" customHeight="1">
      <c r="Q824" s="38"/>
    </row>
    <row r="825" ht="15.75" customHeight="1">
      <c r="Q825" s="38"/>
    </row>
    <row r="826" ht="15.75" customHeight="1">
      <c r="Q826" s="38"/>
    </row>
    <row r="827" ht="15.75" customHeight="1">
      <c r="Q827" s="38"/>
    </row>
    <row r="828" ht="15.75" customHeight="1">
      <c r="Q828" s="38"/>
    </row>
    <row r="829" ht="15.75" customHeight="1">
      <c r="Q829" s="38"/>
    </row>
    <row r="830" ht="15.75" customHeight="1">
      <c r="Q830" s="38"/>
    </row>
    <row r="831" ht="15.75" customHeight="1">
      <c r="Q831" s="38"/>
    </row>
    <row r="832" ht="15.75" customHeight="1">
      <c r="Q832" s="38"/>
    </row>
    <row r="833" ht="15.75" customHeight="1">
      <c r="Q833" s="38"/>
    </row>
    <row r="834" ht="15.75" customHeight="1">
      <c r="Q834" s="38"/>
    </row>
    <row r="835" ht="15.75" customHeight="1">
      <c r="Q835" s="38"/>
    </row>
    <row r="836" ht="15.75" customHeight="1">
      <c r="Q836" s="38"/>
    </row>
    <row r="837" ht="15.75" customHeight="1">
      <c r="Q837" s="38"/>
    </row>
    <row r="838" ht="15.75" customHeight="1">
      <c r="Q838" s="38"/>
    </row>
    <row r="839" ht="15.75" customHeight="1">
      <c r="Q839" s="38"/>
    </row>
    <row r="840" ht="15.75" customHeight="1">
      <c r="Q840" s="38"/>
    </row>
    <row r="841" ht="15.75" customHeight="1">
      <c r="Q841" s="38"/>
    </row>
    <row r="842" ht="15.75" customHeight="1">
      <c r="Q842" s="38"/>
    </row>
    <row r="843" ht="15.75" customHeight="1">
      <c r="Q843" s="38"/>
    </row>
    <row r="844" ht="15.75" customHeight="1">
      <c r="Q844" s="38"/>
    </row>
    <row r="845" ht="15.75" customHeight="1">
      <c r="Q845" s="38"/>
    </row>
    <row r="846" ht="15.75" customHeight="1">
      <c r="Q846" s="38"/>
    </row>
    <row r="847" ht="15.75" customHeight="1">
      <c r="Q847" s="38"/>
    </row>
    <row r="848" ht="15.75" customHeight="1">
      <c r="Q848" s="38"/>
    </row>
    <row r="849" ht="15.75" customHeight="1">
      <c r="Q849" s="38"/>
    </row>
    <row r="850" ht="15.75" customHeight="1">
      <c r="Q850" s="38"/>
    </row>
    <row r="851" ht="15.75" customHeight="1">
      <c r="Q851" s="38"/>
    </row>
    <row r="852" ht="15.75" customHeight="1">
      <c r="Q852" s="38"/>
    </row>
    <row r="853" ht="15.75" customHeight="1">
      <c r="Q853" s="38"/>
    </row>
    <row r="854" ht="15.75" customHeight="1">
      <c r="Q854" s="38"/>
    </row>
    <row r="855" ht="15.75" customHeight="1">
      <c r="Q855" s="38"/>
    </row>
    <row r="856" ht="15.75" customHeight="1">
      <c r="Q856" s="38"/>
    </row>
    <row r="857" ht="15.75" customHeight="1">
      <c r="Q857" s="38"/>
    </row>
    <row r="858" ht="15.75" customHeight="1">
      <c r="Q858" s="38"/>
    </row>
    <row r="859" ht="15.75" customHeight="1">
      <c r="Q859" s="38"/>
    </row>
    <row r="860" ht="15.75" customHeight="1">
      <c r="Q860" s="38"/>
    </row>
    <row r="861" ht="15.75" customHeight="1">
      <c r="Q861" s="38"/>
    </row>
    <row r="862" ht="15.75" customHeight="1">
      <c r="Q862" s="38"/>
    </row>
    <row r="863" ht="15.75" customHeight="1">
      <c r="Q863" s="38"/>
    </row>
    <row r="864" ht="15.75" customHeight="1">
      <c r="Q864" s="38"/>
    </row>
    <row r="865" ht="15.75" customHeight="1">
      <c r="Q865" s="38"/>
    </row>
    <row r="866" ht="15.75" customHeight="1">
      <c r="Q866" s="38"/>
    </row>
    <row r="867" ht="15.75" customHeight="1">
      <c r="Q867" s="38"/>
    </row>
    <row r="868" ht="15.75" customHeight="1">
      <c r="Q868" s="38"/>
    </row>
    <row r="869" ht="15.75" customHeight="1">
      <c r="Q869" s="38"/>
    </row>
    <row r="870" ht="15.75" customHeight="1">
      <c r="Q870" s="38"/>
    </row>
    <row r="871" ht="15.75" customHeight="1">
      <c r="Q871" s="38"/>
    </row>
    <row r="872" ht="15.75" customHeight="1">
      <c r="Q872" s="38"/>
    </row>
    <row r="873" ht="15.75" customHeight="1">
      <c r="Q873" s="38"/>
    </row>
    <row r="874" ht="15.75" customHeight="1">
      <c r="Q874" s="38"/>
    </row>
    <row r="875" ht="15.75" customHeight="1">
      <c r="Q875" s="38"/>
    </row>
    <row r="876" ht="15.75" customHeight="1">
      <c r="Q876" s="38"/>
    </row>
    <row r="877" ht="15.75" customHeight="1">
      <c r="Q877" s="38"/>
    </row>
    <row r="878" ht="15.75" customHeight="1">
      <c r="Q878" s="38"/>
    </row>
    <row r="879" ht="15.75" customHeight="1">
      <c r="Q879" s="38"/>
    </row>
    <row r="880" ht="15.75" customHeight="1">
      <c r="Q880" s="38"/>
    </row>
    <row r="881" ht="15.75" customHeight="1">
      <c r="Q881" s="38"/>
    </row>
    <row r="882" ht="15.75" customHeight="1">
      <c r="Q882" s="38"/>
    </row>
    <row r="883" ht="15.75" customHeight="1">
      <c r="Q883" s="38"/>
    </row>
    <row r="884" ht="15.75" customHeight="1">
      <c r="Q884" s="38"/>
    </row>
    <row r="885" ht="15.75" customHeight="1">
      <c r="Q885" s="38"/>
    </row>
    <row r="886" ht="15.75" customHeight="1">
      <c r="Q886" s="38"/>
    </row>
    <row r="887" ht="15.75" customHeight="1">
      <c r="Q887" s="38"/>
    </row>
    <row r="888" ht="15.75" customHeight="1">
      <c r="Q888" s="38"/>
    </row>
    <row r="889" ht="15.75" customHeight="1">
      <c r="Q889" s="38"/>
    </row>
    <row r="890" ht="15.75" customHeight="1">
      <c r="Q890" s="38"/>
    </row>
    <row r="891" ht="15.75" customHeight="1">
      <c r="Q891" s="38"/>
    </row>
    <row r="892" ht="15.75" customHeight="1">
      <c r="Q892" s="38"/>
    </row>
    <row r="893" ht="15.75" customHeight="1">
      <c r="Q893" s="38"/>
    </row>
    <row r="894" ht="15.75" customHeight="1">
      <c r="Q894" s="38"/>
    </row>
    <row r="895" ht="15.75" customHeight="1">
      <c r="Q895" s="38"/>
    </row>
    <row r="896" ht="15.75" customHeight="1">
      <c r="Q896" s="38"/>
    </row>
    <row r="897" ht="15.75" customHeight="1">
      <c r="Q897" s="38"/>
    </row>
    <row r="898" ht="15.75" customHeight="1">
      <c r="Q898" s="38"/>
    </row>
    <row r="899" ht="15.75" customHeight="1">
      <c r="Q899" s="38"/>
    </row>
    <row r="900" ht="15.75" customHeight="1">
      <c r="Q900" s="38"/>
    </row>
    <row r="901" ht="15.75" customHeight="1">
      <c r="Q901" s="38"/>
    </row>
    <row r="902" ht="15.75" customHeight="1">
      <c r="Q902" s="38"/>
    </row>
    <row r="903" ht="15.75" customHeight="1">
      <c r="Q903" s="38"/>
    </row>
    <row r="904" ht="15.75" customHeight="1">
      <c r="Q904" s="38"/>
    </row>
    <row r="905" ht="15.75" customHeight="1">
      <c r="Q905" s="38"/>
    </row>
    <row r="906" ht="15.75" customHeight="1">
      <c r="Q906" s="38"/>
    </row>
    <row r="907" ht="15.75" customHeight="1">
      <c r="Q907" s="38"/>
    </row>
    <row r="908" ht="15.75" customHeight="1">
      <c r="Q908" s="38"/>
    </row>
    <row r="909" ht="15.75" customHeight="1">
      <c r="Q909" s="38"/>
    </row>
    <row r="910" ht="15.75" customHeight="1">
      <c r="Q910" s="38"/>
    </row>
    <row r="911" ht="15.75" customHeight="1">
      <c r="Q911" s="38"/>
    </row>
    <row r="912" ht="15.75" customHeight="1">
      <c r="Q912" s="38"/>
    </row>
    <row r="913" ht="15.75" customHeight="1">
      <c r="Q913" s="38"/>
    </row>
    <row r="914" ht="15.75" customHeight="1">
      <c r="Q914" s="38"/>
    </row>
    <row r="915" ht="15.75" customHeight="1">
      <c r="Q915" s="38"/>
    </row>
    <row r="916" ht="15.75" customHeight="1">
      <c r="Q916" s="38"/>
    </row>
    <row r="917" ht="15.75" customHeight="1">
      <c r="Q917" s="38"/>
    </row>
    <row r="918" ht="15.75" customHeight="1">
      <c r="Q918" s="38"/>
    </row>
    <row r="919" ht="15.75" customHeight="1">
      <c r="Q919" s="38"/>
    </row>
    <row r="920" ht="15.75" customHeight="1">
      <c r="Q920" s="38"/>
    </row>
    <row r="921" ht="15.75" customHeight="1">
      <c r="Q921" s="38"/>
    </row>
    <row r="922" ht="15.75" customHeight="1">
      <c r="Q922" s="38"/>
    </row>
    <row r="923" ht="15.75" customHeight="1">
      <c r="Q923" s="38"/>
    </row>
    <row r="924" ht="15.75" customHeight="1">
      <c r="Q924" s="38"/>
    </row>
    <row r="925" ht="15.75" customHeight="1">
      <c r="Q925" s="38"/>
    </row>
    <row r="926" ht="15.75" customHeight="1">
      <c r="Q926" s="38"/>
    </row>
    <row r="927" ht="15.75" customHeight="1">
      <c r="Q927" s="38"/>
    </row>
    <row r="928" ht="15.75" customHeight="1">
      <c r="Q928" s="38"/>
    </row>
    <row r="929" ht="15.75" customHeight="1">
      <c r="Q929" s="38"/>
    </row>
    <row r="930" ht="15.75" customHeight="1">
      <c r="Q930" s="38"/>
    </row>
    <row r="931" ht="15.75" customHeight="1">
      <c r="Q931" s="38"/>
    </row>
    <row r="932" ht="15.75" customHeight="1">
      <c r="Q932" s="38"/>
    </row>
    <row r="933" ht="15.75" customHeight="1">
      <c r="Q933" s="38"/>
    </row>
    <row r="934" ht="15.75" customHeight="1">
      <c r="Q934" s="38"/>
    </row>
    <row r="935" ht="15.75" customHeight="1">
      <c r="Q935" s="38"/>
    </row>
    <row r="936" ht="15.75" customHeight="1">
      <c r="Q936" s="38"/>
    </row>
    <row r="937" ht="15.75" customHeight="1">
      <c r="Q937" s="38"/>
    </row>
    <row r="938" ht="15.75" customHeight="1">
      <c r="Q938" s="38"/>
    </row>
    <row r="939" ht="15.75" customHeight="1">
      <c r="Q939" s="38"/>
    </row>
    <row r="940" ht="15.75" customHeight="1">
      <c r="Q940" s="38"/>
    </row>
    <row r="941" ht="15.75" customHeight="1">
      <c r="Q941" s="38"/>
    </row>
    <row r="942" ht="15.75" customHeight="1">
      <c r="Q942" s="38"/>
    </row>
    <row r="943" ht="15.75" customHeight="1">
      <c r="Q943" s="38"/>
    </row>
    <row r="944" ht="15.75" customHeight="1">
      <c r="Q944" s="38"/>
    </row>
    <row r="945" ht="15.75" customHeight="1">
      <c r="Q945" s="38"/>
    </row>
    <row r="946" ht="15.75" customHeight="1">
      <c r="Q946" s="38"/>
    </row>
    <row r="947" ht="15.75" customHeight="1">
      <c r="Q947" s="38"/>
    </row>
    <row r="948" ht="15.75" customHeight="1">
      <c r="Q948" s="38"/>
    </row>
    <row r="949" ht="15.75" customHeight="1">
      <c r="Q949" s="38"/>
    </row>
    <row r="950" ht="15.75" customHeight="1">
      <c r="Q950" s="38"/>
    </row>
    <row r="951" ht="15.75" customHeight="1">
      <c r="Q951" s="38"/>
    </row>
    <row r="952" ht="15.75" customHeight="1">
      <c r="Q952" s="38"/>
    </row>
    <row r="953" ht="15.75" customHeight="1">
      <c r="Q953" s="38"/>
    </row>
    <row r="954" ht="15.75" customHeight="1">
      <c r="Q954" s="38"/>
    </row>
    <row r="955" ht="15.75" customHeight="1">
      <c r="Q955" s="38"/>
    </row>
    <row r="956" ht="15.75" customHeight="1">
      <c r="Q956" s="38"/>
    </row>
    <row r="957" ht="15.75" customHeight="1">
      <c r="Q957" s="38"/>
    </row>
    <row r="958" ht="15.75" customHeight="1">
      <c r="Q958" s="38"/>
    </row>
    <row r="959" ht="15.75" customHeight="1">
      <c r="Q959" s="38"/>
    </row>
    <row r="960" ht="15.75" customHeight="1">
      <c r="Q960" s="38"/>
    </row>
    <row r="961" ht="15.75" customHeight="1">
      <c r="Q961" s="38"/>
    </row>
    <row r="962" ht="15.75" customHeight="1">
      <c r="Q962" s="38"/>
    </row>
    <row r="963" ht="15.75" customHeight="1">
      <c r="Q963" s="38"/>
    </row>
    <row r="964" ht="15.75" customHeight="1">
      <c r="Q964" s="38"/>
    </row>
    <row r="965" ht="15.75" customHeight="1">
      <c r="Q965" s="38"/>
    </row>
    <row r="966" ht="15.75" customHeight="1">
      <c r="Q966" s="38"/>
    </row>
    <row r="967" ht="15.75" customHeight="1">
      <c r="Q967" s="38"/>
    </row>
    <row r="968" ht="15.75" customHeight="1">
      <c r="Q968" s="38"/>
    </row>
    <row r="969" ht="15.75" customHeight="1">
      <c r="Q969" s="38"/>
    </row>
    <row r="970" ht="15.75" customHeight="1">
      <c r="Q970" s="38"/>
    </row>
    <row r="971" ht="15.75" customHeight="1">
      <c r="Q971" s="38"/>
    </row>
    <row r="972" ht="15.75" customHeight="1">
      <c r="Q972" s="38"/>
    </row>
    <row r="973" ht="15.75" customHeight="1">
      <c r="Q973" s="38"/>
    </row>
    <row r="974" ht="15.75" customHeight="1">
      <c r="Q974" s="38"/>
    </row>
    <row r="975" ht="15.75" customHeight="1">
      <c r="Q975" s="38"/>
    </row>
    <row r="976" ht="15.75" customHeight="1">
      <c r="Q976" s="38"/>
    </row>
    <row r="977" ht="15.75" customHeight="1">
      <c r="Q977" s="38"/>
    </row>
    <row r="978" ht="15.75" customHeight="1">
      <c r="Q978" s="38"/>
    </row>
    <row r="979" ht="15.75" customHeight="1">
      <c r="Q979" s="38"/>
    </row>
    <row r="980" ht="15.75" customHeight="1">
      <c r="Q980" s="38"/>
    </row>
    <row r="981" ht="15.75" customHeight="1">
      <c r="Q981" s="38"/>
    </row>
    <row r="982" ht="15.75" customHeight="1">
      <c r="Q982" s="38"/>
    </row>
    <row r="983" ht="15.75" customHeight="1">
      <c r="Q983" s="38"/>
    </row>
    <row r="984" ht="15.75" customHeight="1">
      <c r="Q984" s="38"/>
    </row>
    <row r="985" ht="15.75" customHeight="1">
      <c r="Q985" s="38"/>
    </row>
    <row r="986" ht="15.75" customHeight="1">
      <c r="Q986" s="38"/>
    </row>
    <row r="987" ht="15.75" customHeight="1">
      <c r="Q987" s="38"/>
    </row>
    <row r="988" ht="15.75" customHeight="1">
      <c r="Q988" s="38"/>
    </row>
    <row r="989" ht="15.75" customHeight="1">
      <c r="Q989" s="38"/>
    </row>
    <row r="990" ht="15.75" customHeight="1">
      <c r="Q990" s="38"/>
    </row>
    <row r="991" ht="15.75" customHeight="1">
      <c r="Q991" s="38"/>
    </row>
    <row r="992" ht="15.75" customHeight="1">
      <c r="Q992" s="38"/>
    </row>
    <row r="993" ht="15.75" customHeight="1">
      <c r="Q993" s="38"/>
    </row>
    <row r="994" ht="15.75" customHeight="1">
      <c r="Q994" s="38"/>
    </row>
    <row r="995" ht="15.75" customHeight="1">
      <c r="Q995" s="38"/>
    </row>
    <row r="996" ht="15.75" customHeight="1">
      <c r="Q996" s="38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30.57"/>
    <col customWidth="1" min="3" max="3" width="13.57"/>
    <col customWidth="1" min="4" max="4" width="16.0"/>
    <col customWidth="1" min="5" max="5" width="28.86"/>
    <col customWidth="1" min="6" max="6" width="17.0"/>
    <col customWidth="1" min="7" max="7" width="22.0"/>
    <col customWidth="1" min="8" max="8" width="16.86"/>
    <col customWidth="1" min="9" max="9" width="9.71"/>
    <col customWidth="1" min="10" max="10" width="20.71"/>
    <col customWidth="1" min="11" max="11" width="21.43"/>
    <col customWidth="1" min="12" max="12" width="28.0"/>
    <col customWidth="1" min="13" max="16" width="8.71"/>
    <col customWidth="1" min="17" max="17" width="18.0"/>
    <col customWidth="1" min="18" max="18" width="19.14"/>
    <col customWidth="1" min="19" max="19" width="8.71"/>
    <col customWidth="1" min="20" max="20" width="35.14"/>
    <col customWidth="1" min="21" max="21" width="36.29"/>
    <col customWidth="1" min="22" max="22" width="12.29"/>
    <col customWidth="1" min="23" max="23" width="10.43"/>
    <col customWidth="1" min="24" max="24" width="10.71"/>
    <col customWidth="1" min="25" max="25" width="15.29"/>
    <col customWidth="1" min="26" max="30" width="8.71"/>
    <col customWidth="1" min="31" max="31" width="18.43"/>
    <col customWidth="1" min="32" max="32" width="20.57"/>
    <col customWidth="1" min="33" max="33" width="27.29"/>
    <col customWidth="1" min="34" max="34" width="22.14"/>
    <col customWidth="1" min="35" max="35" width="8.71"/>
    <col customWidth="1" min="36" max="36" width="17.86"/>
    <col customWidth="1" min="37" max="37" width="16.29"/>
    <col customWidth="1" min="38" max="38" width="18.57"/>
    <col customWidth="1" min="39" max="39" width="8.71"/>
    <col customWidth="1" min="40" max="40" width="20.71"/>
    <col customWidth="1" min="41" max="89" width="8.71"/>
  </cols>
  <sheetData>
    <row r="1">
      <c r="A1" s="444" t="s">
        <v>1</v>
      </c>
      <c r="B1" s="444" t="s">
        <v>3</v>
      </c>
      <c r="C1" s="444" t="s">
        <v>4</v>
      </c>
      <c r="D1" s="444" t="s">
        <v>5</v>
      </c>
      <c r="E1" s="444" t="s">
        <v>6</v>
      </c>
      <c r="F1" s="444" t="s">
        <v>2650</v>
      </c>
      <c r="G1" s="445" t="s">
        <v>8</v>
      </c>
      <c r="H1" s="444" t="s">
        <v>2651</v>
      </c>
      <c r="I1" s="444" t="s">
        <v>10</v>
      </c>
      <c r="J1" s="444" t="s">
        <v>11</v>
      </c>
      <c r="K1" s="444" t="s">
        <v>12</v>
      </c>
      <c r="L1" s="444" t="s">
        <v>13</v>
      </c>
      <c r="M1" s="444" t="s">
        <v>14</v>
      </c>
      <c r="N1" s="444" t="s">
        <v>15</v>
      </c>
      <c r="O1" s="444" t="s">
        <v>16</v>
      </c>
      <c r="P1" s="444" t="s">
        <v>2652</v>
      </c>
      <c r="Q1" s="444" t="s">
        <v>18</v>
      </c>
      <c r="R1" s="444" t="s">
        <v>19</v>
      </c>
      <c r="S1" s="444" t="s">
        <v>20</v>
      </c>
      <c r="T1" s="446" t="s">
        <v>21</v>
      </c>
      <c r="U1" s="444" t="s">
        <v>22</v>
      </c>
      <c r="V1" s="444" t="s">
        <v>23</v>
      </c>
      <c r="W1" s="444" t="s">
        <v>24</v>
      </c>
      <c r="X1" s="444" t="s">
        <v>25</v>
      </c>
      <c r="Y1" s="444" t="s">
        <v>26</v>
      </c>
      <c r="Z1" s="444" t="s">
        <v>27</v>
      </c>
      <c r="AA1" s="444" t="s">
        <v>28</v>
      </c>
      <c r="AB1" s="444" t="s">
        <v>29</v>
      </c>
      <c r="AC1" s="444" t="s">
        <v>30</v>
      </c>
      <c r="AD1" s="444" t="s">
        <v>31</v>
      </c>
      <c r="AE1" s="444" t="s">
        <v>32</v>
      </c>
      <c r="AF1" s="444" t="s">
        <v>33</v>
      </c>
      <c r="AG1" s="444" t="s">
        <v>2653</v>
      </c>
      <c r="AH1" s="444" t="s">
        <v>35</v>
      </c>
      <c r="AI1" s="444" t="s">
        <v>36</v>
      </c>
      <c r="AJ1" s="444" t="s">
        <v>2654</v>
      </c>
      <c r="AK1" s="444" t="s">
        <v>38</v>
      </c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</row>
    <row r="2" ht="15.0" customHeight="1">
      <c r="A2" s="503" t="s">
        <v>728</v>
      </c>
      <c r="B2" s="38" t="str">
        <f>VLOOKUP(A2,DATAKARYAWAN,3,0)</f>
        <v>Karyawan Tetap</v>
      </c>
      <c r="C2" s="38" t="str">
        <f>VLOOKUP(A2,DATAKARYAWAN,4,0)</f>
        <v>22-060001</v>
      </c>
      <c r="D2" s="38" t="str">
        <f>VLOOKUP(A2,DATAKARYAWAN,5,0)</f>
        <v>08123015151</v>
      </c>
      <c r="E2" s="38" t="str">
        <f>VLOOKUP(A2,DATAKARYAWAN,6,0)</f>
        <v>pchrisnadi@gmail.com</v>
      </c>
      <c r="F2" s="38" t="str">
        <f>VLOOKUP(A2,DATAKARYAWAN,7,0)</f>
        <v>DIREKTUR PESONA</v>
      </c>
      <c r="G2" s="38" t="str">
        <f>VLOOKUP(A2,DATAKARYAWAN,8,0)</f>
        <v>MANAGERIAL</v>
      </c>
      <c r="H2" s="53"/>
      <c r="I2" s="38" t="str">
        <f>VLOOKUP(A2,DATAKARYAWAN,10,0)</f>
        <v>Indonesia</v>
      </c>
      <c r="J2" s="38" t="str">
        <f>VLOOKUP(A2,DATAKARYAWAN,11,0)</f>
        <v>KATHOLIK</v>
      </c>
      <c r="K2" s="449" t="str">
        <f>VLOOKUP(A2,DATAKARYAWAN,12,0)</f>
        <v>3578290104230002</v>
      </c>
      <c r="L2" s="449" t="str">
        <f>VLOOKUP(A2,DATAKARYAWAN,13,0)</f>
        <v>3578201509890001</v>
      </c>
      <c r="M2" s="38" t="str">
        <f>VLOOKUP(A2,DATAKARYAWAN,14,0)</f>
        <v>OCBC NISP</v>
      </c>
      <c r="N2" s="38">
        <f>VLOOKUP(A2,DATAKARYAWAN,15,0)</f>
        <v>58810105492</v>
      </c>
      <c r="O2" s="38" t="str">
        <f>VLOOKUP(A2,DATAKARYAWAN,16,0)</f>
        <v>SLTA</v>
      </c>
      <c r="P2" s="48"/>
      <c r="Q2" s="38" t="str">
        <f>VLOOKUP(A2,DATAKARYAWAN,18,0)</f>
        <v>LAKI-LAKI</v>
      </c>
      <c r="R2" s="49" t="str">
        <f>VLOOKUP(A2,DATAKARYAWAN,19,0)</f>
        <v>15 September 1989</v>
      </c>
      <c r="S2" s="38" t="str">
        <f>VLOOKUP(A2,DATAKARYAWAN,20,0)</f>
        <v>DILI</v>
      </c>
      <c r="T2" s="38"/>
      <c r="U2" s="38" t="str">
        <f>VLOOKUP(A2,DATAKARYAWAN,22,0)</f>
        <v>PANTAI MENTARI BLOK I-11 RT 2/RW 4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SURABAYA</v>
      </c>
      <c r="Y2" s="38" t="str">
        <f>VLOOKUP(A2,DATAKARYAWAN,26,0)</f>
        <v>BULAK</v>
      </c>
      <c r="Z2" s="38" t="str">
        <f>VLOOKUP(A2,DATAKARYAWAN,27,0)</f>
        <v>KENJERAN</v>
      </c>
      <c r="AA2" s="38">
        <f>VLOOKUP(A2,DATAKARYAWAN,28,0)</f>
        <v>60123</v>
      </c>
      <c r="AB2" s="38"/>
      <c r="AC2" s="38"/>
      <c r="AD2" s="38" t="str">
        <f>VLOOKUP(A2,DATAKARYAWAN,31,0)</f>
        <v>TK/0</v>
      </c>
      <c r="AE2" s="48"/>
      <c r="AF2" s="450" t="str">
        <f>VLOOKUP(A2,DATAKARYAWAN,33,0)</f>
        <v>904082930619000</v>
      </c>
      <c r="AG2" s="38">
        <f>VLOOKUP(A2,DATAKARYAWAN,34,0)</f>
        <v>22122951704</v>
      </c>
      <c r="AH2" s="38" t="str">
        <f>VLOOKUP(A2,DATAKARYAWAN,35,0)</f>
        <v>0002877806553</v>
      </c>
      <c r="AI2" s="38" t="str">
        <f>VLOOKUP(A2,DATAKARYAWAN,36,0)</f>
        <v>Kelas 1</v>
      </c>
      <c r="AJ2" s="38"/>
      <c r="AK2" s="451">
        <f>VLOOKUP(A2,DATAKARYAWAN,38,0)</f>
        <v>44740</v>
      </c>
      <c r="AL2" s="504"/>
      <c r="AM2" s="504"/>
      <c r="AN2" s="504"/>
      <c r="AO2" s="504"/>
      <c r="AP2" s="504"/>
      <c r="AQ2" s="504"/>
      <c r="AR2" s="504"/>
      <c r="AS2" s="504"/>
      <c r="AT2" s="504"/>
      <c r="AU2" s="504"/>
      <c r="AV2" s="504"/>
      <c r="AW2" s="504"/>
      <c r="AX2" s="504"/>
      <c r="AY2" s="504"/>
      <c r="AZ2" s="504"/>
      <c r="BA2" s="504"/>
      <c r="BB2" s="504"/>
      <c r="BC2" s="504"/>
      <c r="BD2" s="504"/>
      <c r="BE2" s="504"/>
      <c r="BF2" s="504"/>
      <c r="BG2" s="504"/>
      <c r="BH2" s="504"/>
      <c r="BI2" s="504"/>
      <c r="BJ2" s="504"/>
      <c r="BK2" s="504"/>
      <c r="BL2" s="504"/>
      <c r="BM2" s="504"/>
      <c r="BN2" s="504"/>
      <c r="BO2" s="504"/>
      <c r="BP2" s="504"/>
      <c r="BQ2" s="504"/>
      <c r="BR2" s="504"/>
      <c r="BS2" s="504"/>
      <c r="BT2" s="504"/>
      <c r="BU2" s="504"/>
      <c r="BV2" s="504"/>
      <c r="BW2" s="504"/>
      <c r="BX2" s="504"/>
      <c r="BY2" s="504"/>
      <c r="BZ2" s="504"/>
      <c r="CA2" s="504"/>
      <c r="CB2" s="504"/>
      <c r="CC2" s="504"/>
      <c r="CD2" s="504"/>
      <c r="CE2" s="504"/>
      <c r="CF2" s="504"/>
      <c r="CG2" s="504"/>
      <c r="CH2" s="504"/>
      <c r="CI2" s="504"/>
      <c r="CJ2" s="504"/>
      <c r="CK2" s="504"/>
    </row>
    <row r="3" ht="15.75" customHeight="1">
      <c r="A3" s="503" t="s">
        <v>1103</v>
      </c>
      <c r="B3" s="38" t="str">
        <f>VLOOKUP(A3,DATAKARYAWAN,3,0)</f>
        <v>Karyawan Tetap</v>
      </c>
      <c r="C3" s="38" t="str">
        <f>VLOOKUP(A3,DATAKARYAWAN,4,0)</f>
        <v>23-100002</v>
      </c>
      <c r="D3" s="38" t="str">
        <f>VLOOKUP(A3,DATAKARYAWAN,5,0)</f>
        <v>089697047070</v>
      </c>
      <c r="E3" s="453" t="str">
        <f>VLOOKUP(A3,DATAKARYAWAN,6,0)</f>
        <v>renaldysafrim@gmail.com</v>
      </c>
      <c r="F3" s="38" t="str">
        <f>VLOOKUP(A3,DATAKARYAWAN,7,0)</f>
        <v>PJ OPS PESONA</v>
      </c>
      <c r="G3" s="38" t="str">
        <f>VLOOKUP(A3,DATAKARYAWAN,8,0)</f>
        <v>PESONA</v>
      </c>
      <c r="H3" s="53"/>
      <c r="I3" s="38" t="str">
        <f>VLOOKUP(A3,DATAKARYAWAN,10,0)</f>
        <v>Indonesia</v>
      </c>
      <c r="J3" s="38" t="str">
        <f>VLOOKUP(A3,DATAKARYAWAN,11,0)</f>
        <v>ISLAM</v>
      </c>
      <c r="K3" s="38" t="str">
        <f>VLOOKUP(A3,DATAKARYAWAN,12,0)</f>
        <v>3578060101080931</v>
      </c>
      <c r="L3" s="38" t="str">
        <f>VLOOKUP(A3,DATAKARYAWAN,13,0)</f>
        <v>3578061505980014</v>
      </c>
      <c r="M3" s="38" t="str">
        <f>VLOOKUP(A3,DATAKARYAWAN,14,0)</f>
        <v/>
      </c>
      <c r="N3" s="38" t="str">
        <f>VLOOKUP(A3,DATAKARYAWAN,15,0)</f>
        <v/>
      </c>
      <c r="O3" s="38" t="str">
        <f>VLOOKUP(A3,DATAKARYAWAN,16,0)</f>
        <v>SLTA</v>
      </c>
      <c r="P3" s="48"/>
      <c r="Q3" s="38" t="str">
        <f>VLOOKUP(A3,DATAKARYAWAN,18,0)</f>
        <v>LAKI-LAKI</v>
      </c>
      <c r="R3" s="38" t="str">
        <f>VLOOKUP(A3,DATAKARYAWAN,19,0)</f>
        <v>15 Mei 1998</v>
      </c>
      <c r="S3" s="38" t="str">
        <f>VLOOKUP(A3,DATAKARYAWAN,20,0)</f>
        <v>SURABAYA</v>
      </c>
      <c r="T3" s="38"/>
      <c r="U3" s="38" t="str">
        <f>VLOOKUP(A3,DATAKARYAWAN,22,0)</f>
        <v>BANYU URIP LOR 10/68 RT 04/ RW 6</v>
      </c>
      <c r="V3" s="38" t="str">
        <f>VLOOKUP(A3,DATAKARYAWAN,23,0)</f>
        <v/>
      </c>
      <c r="W3" s="38" t="str">
        <f>VLOOKUP(A3,DATAKARYAWAN,24,0)</f>
        <v>JAWA TIMUR</v>
      </c>
      <c r="X3" s="38" t="str">
        <f>VLOOKUP(A3,DATAKARYAWAN,25,0)</f>
        <v>SURABAYA</v>
      </c>
      <c r="Y3" s="38" t="str">
        <f>VLOOKUP(A3,DATAKARYAWAN,26,0)</f>
        <v>SAWAHAN</v>
      </c>
      <c r="Z3" s="38" t="str">
        <f>VLOOKUP(A3,DATAKARYAWAN,27,0)</f>
        <v>KUPANG KRAJAN</v>
      </c>
      <c r="AA3" s="38">
        <f>VLOOKUP(A3,DATAKARYAWAN,28,0)</f>
        <v>60235</v>
      </c>
      <c r="AB3" s="38"/>
      <c r="AC3" s="38"/>
      <c r="AD3" s="38" t="str">
        <f>VLOOKUP(A3,DATAKARYAWAN,31,0)</f>
        <v>K/1</v>
      </c>
      <c r="AE3" s="48"/>
      <c r="AF3" s="38" t="str">
        <f>VLOOKUP(A3,DATAKARYAWAN,33,0)</f>
        <v>404529232614000</v>
      </c>
      <c r="AG3" s="38">
        <f>VLOOKUP(A3,DATAKARYAWAN,34,0)</f>
        <v>24011312394</v>
      </c>
      <c r="AH3" s="38" t="str">
        <f>VLOOKUP(A3,DATAKARYAWAN,35,0)</f>
        <v>0001700926119</v>
      </c>
      <c r="AI3" s="38" t="str">
        <f>VLOOKUP(A3,DATAKARYAWAN,36,0)</f>
        <v>Kelas 1</v>
      </c>
      <c r="AJ3" s="38"/>
      <c r="AK3" s="451">
        <f>VLOOKUP(A3,DATAKARYAWAN,38,0)</f>
        <v>45201</v>
      </c>
      <c r="AL3" s="504" t="s">
        <v>1114</v>
      </c>
      <c r="AM3" s="504" t="s">
        <v>1115</v>
      </c>
      <c r="AN3" s="504"/>
      <c r="AO3" s="504"/>
      <c r="AP3" s="504"/>
      <c r="AQ3" s="504"/>
      <c r="AR3" s="504"/>
      <c r="AS3" s="504"/>
      <c r="AT3" s="504"/>
      <c r="AU3" s="504"/>
      <c r="AV3" s="504"/>
      <c r="AW3" s="504"/>
      <c r="AX3" s="504"/>
      <c r="AY3" s="504"/>
      <c r="AZ3" s="504"/>
      <c r="BA3" s="504"/>
      <c r="BB3" s="504"/>
      <c r="BC3" s="504"/>
      <c r="BD3" s="504"/>
      <c r="BE3" s="504"/>
      <c r="BF3" s="504"/>
      <c r="BG3" s="504"/>
      <c r="BH3" s="504"/>
      <c r="BI3" s="504"/>
      <c r="BJ3" s="504"/>
      <c r="BK3" s="504"/>
      <c r="BL3" s="504"/>
      <c r="BM3" s="504"/>
      <c r="BN3" s="504"/>
      <c r="BO3" s="504"/>
      <c r="BP3" s="504"/>
      <c r="BQ3" s="504"/>
      <c r="BR3" s="504"/>
      <c r="BS3" s="504"/>
      <c r="BT3" s="504"/>
      <c r="BU3" s="504"/>
      <c r="BV3" s="504"/>
      <c r="BW3" s="504"/>
      <c r="BX3" s="504"/>
      <c r="BY3" s="504"/>
      <c r="BZ3" s="504"/>
      <c r="CA3" s="504"/>
      <c r="CB3" s="504"/>
      <c r="CC3" s="504"/>
      <c r="CD3" s="504"/>
      <c r="CE3" s="504"/>
      <c r="CF3" s="504"/>
      <c r="CG3" s="504"/>
      <c r="CH3" s="504"/>
      <c r="CI3" s="504"/>
      <c r="CJ3" s="504"/>
      <c r="CK3" s="504"/>
    </row>
    <row r="4" ht="15.75" customHeight="1">
      <c r="A4" s="505" t="s">
        <v>2666</v>
      </c>
      <c r="B4" s="38" t="str">
        <f>VLOOKUP(A4,DATAKARYAWAN,3,0)</f>
        <v>#N/A</v>
      </c>
      <c r="C4" s="38" t="str">
        <f>VLOOKUP(A4,DATAKARYAWAN,4,0)</f>
        <v>#N/A</v>
      </c>
      <c r="D4" s="38" t="str">
        <f>VLOOKUP(A4,DATAKARYAWAN,5,0)</f>
        <v>#N/A</v>
      </c>
      <c r="E4" s="38" t="str">
        <f>VLOOKUP(A4,DATAKARYAWAN,6,0)</f>
        <v>#N/A</v>
      </c>
      <c r="F4" s="38" t="str">
        <f>VLOOKUP(A4,DATAKARYAWAN,7,0)</f>
        <v>#N/A</v>
      </c>
      <c r="G4" s="38" t="str">
        <f>VLOOKUP(A4,DATAKARYAWAN,8,0)</f>
        <v>#N/A</v>
      </c>
      <c r="H4" s="53"/>
      <c r="I4" s="38" t="str">
        <f>VLOOKUP(A4,DATAKARYAWAN,10,0)</f>
        <v>#N/A</v>
      </c>
      <c r="J4" s="38" t="str">
        <f>VLOOKUP(A4,DATAKARYAWAN,11,0)</f>
        <v>#N/A</v>
      </c>
      <c r="K4" s="38" t="str">
        <f>VLOOKUP(A4,DATAKARYAWAN,12,0)</f>
        <v>#N/A</v>
      </c>
      <c r="L4" s="38" t="str">
        <f>VLOOKUP(A4,DATAKARYAWAN,13,0)</f>
        <v>#N/A</v>
      </c>
      <c r="M4" s="38" t="str">
        <f>VLOOKUP(A4,DATAKARYAWAN,14,0)</f>
        <v>#N/A</v>
      </c>
      <c r="N4" s="38" t="str">
        <f>VLOOKUP(A4,DATAKARYAWAN,15,0)</f>
        <v>#N/A</v>
      </c>
      <c r="O4" s="38" t="str">
        <f>VLOOKUP(A4,DATAKARYAWAN,16,0)</f>
        <v>#N/A</v>
      </c>
      <c r="P4" s="48"/>
      <c r="Q4" s="38" t="str">
        <f>VLOOKUP(A4,DATAKARYAWAN,18,0)</f>
        <v>#N/A</v>
      </c>
      <c r="R4" s="38" t="str">
        <f>VLOOKUP(A4,DATAKARYAWAN,19,0)</f>
        <v>#N/A</v>
      </c>
      <c r="S4" s="38" t="str">
        <f>VLOOKUP(A4,DATAKARYAWAN,20,0)</f>
        <v>#N/A</v>
      </c>
      <c r="T4" s="38"/>
      <c r="U4" s="38" t="str">
        <f>VLOOKUP(A4,DATAKARYAWAN,22,0)</f>
        <v>#N/A</v>
      </c>
      <c r="V4" s="38" t="str">
        <f>VLOOKUP(A4,DATAKARYAWAN,23,0)</f>
        <v>#N/A</v>
      </c>
      <c r="W4" s="38" t="str">
        <f>VLOOKUP(A4,DATAKARYAWAN,24,0)</f>
        <v>#N/A</v>
      </c>
      <c r="X4" s="38" t="str">
        <f>VLOOKUP(A4,DATAKARYAWAN,25,0)</f>
        <v>#N/A</v>
      </c>
      <c r="Y4" s="38" t="str">
        <f>VLOOKUP(A4,DATAKARYAWAN,26,0)</f>
        <v>#N/A</v>
      </c>
      <c r="Z4" s="38" t="str">
        <f>VLOOKUP(A4,DATAKARYAWAN,27,0)</f>
        <v>#N/A</v>
      </c>
      <c r="AA4" s="38" t="str">
        <f>VLOOKUP(A4,DATAKARYAWAN,28,0)</f>
        <v>#N/A</v>
      </c>
      <c r="AB4" s="38"/>
      <c r="AC4" s="38"/>
      <c r="AD4" s="38" t="str">
        <f>VLOOKUP(A4,DATAKARYAWAN,31,0)</f>
        <v>#N/A</v>
      </c>
      <c r="AE4" s="48"/>
      <c r="AF4" s="38" t="str">
        <f>VLOOKUP(A4,DATAKARYAWAN,33,0)</f>
        <v>#N/A</v>
      </c>
      <c r="AG4" s="38" t="str">
        <f>VLOOKUP(A4,DATAKARYAWAN,34,0)</f>
        <v>#N/A</v>
      </c>
      <c r="AH4" s="38" t="str">
        <f>VLOOKUP(A4,DATAKARYAWAN,35,0)</f>
        <v>#N/A</v>
      </c>
      <c r="AI4" s="38" t="str">
        <f>VLOOKUP(A4,DATAKARYAWAN,36,0)</f>
        <v>#N/A</v>
      </c>
      <c r="AJ4" s="38"/>
      <c r="AK4" s="38" t="str">
        <f>VLOOKUP(A4,DATAKARYAWAN,38,0)</f>
        <v>#N/A</v>
      </c>
      <c r="AL4" s="484" t="s">
        <v>904</v>
      </c>
      <c r="AM4" s="480"/>
      <c r="AN4" s="477"/>
    </row>
    <row r="5" ht="15.75" customHeight="1">
      <c r="A5" s="50" t="s">
        <v>1297</v>
      </c>
      <c r="B5" s="38" t="str">
        <f>VLOOKUP(A5,DATAKARYAWAN,3,0)</f>
        <v>Karyawan Kontrak</v>
      </c>
      <c r="C5" s="38" t="str">
        <f>VLOOKUP(A5,DATAKARYAWAN,4,0)</f>
        <v>23-030005</v>
      </c>
      <c r="D5" s="38" t="str">
        <f>VLOOKUP(A5,DATAKARYAWAN,5,0)</f>
        <v>081250070337</v>
      </c>
      <c r="E5" s="38" t="str">
        <f>VLOOKUP(A5,DATAKARYAWAN,6,0)</f>
        <v>gendon.aja47@gmail.com</v>
      </c>
      <c r="F5" s="38" t="str">
        <f>VLOOKUP(A5,DATAKARYAWAN,7,0)</f>
        <v>SOPIR PESONA</v>
      </c>
      <c r="G5" s="38" t="str">
        <f>VLOOKUP(A5,DATAKARYAWAN,8,0)</f>
        <v>PESONA</v>
      </c>
      <c r="H5" s="53"/>
      <c r="I5" s="38" t="str">
        <f>VLOOKUP(A5,DATAKARYAWAN,10,0)</f>
        <v>Indonesia</v>
      </c>
      <c r="J5" s="38" t="str">
        <f>VLOOKUP(A5,DATAKARYAWAN,11,0)</f>
        <v>ISLAM</v>
      </c>
      <c r="K5" s="38" t="str">
        <f>VLOOKUP(A5,DATAKARYAWAN,12,0)</f>
        <v>3525111603200006</v>
      </c>
      <c r="L5" s="38" t="str">
        <f>VLOOKUP(A5,DATAKARYAWAN,13,0)</f>
        <v>3518050106810010</v>
      </c>
      <c r="M5" s="38" t="str">
        <f>VLOOKUP(A5,DATAKARYAWAN,14,0)</f>
        <v/>
      </c>
      <c r="N5" s="38" t="str">
        <f>VLOOKUP(A5,DATAKARYAWAN,15,0)</f>
        <v/>
      </c>
      <c r="O5" s="38" t="str">
        <f>VLOOKUP(A5,DATAKARYAWAN,16,0)</f>
        <v>SLTP</v>
      </c>
      <c r="P5" s="48"/>
      <c r="Q5" s="38" t="str">
        <f>VLOOKUP(A5,DATAKARYAWAN,18,0)</f>
        <v>LAKI-LAKI</v>
      </c>
      <c r="R5" s="38" t="str">
        <f>VLOOKUP(A5,DATAKARYAWAN,19,0)</f>
        <v>01 Juni 1981</v>
      </c>
      <c r="S5" s="38" t="str">
        <f>VLOOKUP(A5,DATAKARYAWAN,20,0)</f>
        <v>NGANJUK</v>
      </c>
      <c r="T5" s="38"/>
      <c r="U5" s="38" t="str">
        <f>VLOOKUP(A5,DATAKARYAWAN,22,0)</f>
        <v>NGEMBUNG RT 02/ RW 01</v>
      </c>
      <c r="V5" s="38" t="str">
        <f>VLOOKUP(A5,DATAKARYAWAN,23,0)</f>
        <v/>
      </c>
      <c r="W5" s="38" t="str">
        <f>VLOOKUP(A5,DATAKARYAWAN,24,0)</f>
        <v>JAWA TIMUR</v>
      </c>
      <c r="X5" s="38" t="str">
        <f>VLOOKUP(A5,DATAKARYAWAN,25,0)</f>
        <v>NGANJUK</v>
      </c>
      <c r="Y5" s="38" t="str">
        <f>VLOOKUP(A5,DATAKARYAWAN,26,0)</f>
        <v>CERME</v>
      </c>
      <c r="Z5" s="38" t="str">
        <f>VLOOKUP(A5,DATAKARYAWAN,27,0)</f>
        <v>NGEMBUNG</v>
      </c>
      <c r="AA5" s="38">
        <f>VLOOKUP(A5,DATAKARYAWAN,28,0)</f>
        <v>61171</v>
      </c>
      <c r="AB5" s="38"/>
      <c r="AC5" s="38"/>
      <c r="AD5" s="38" t="str">
        <f>VLOOKUP(A5,DATAKARYAWAN,31,0)</f>
        <v>TK/2</v>
      </c>
      <c r="AE5" s="48"/>
      <c r="AF5" s="38" t="str">
        <f>VLOOKUP(A5,DATAKARYAWAN,33,0)</f>
        <v>tidak ada NPWP</v>
      </c>
      <c r="AG5" s="506">
        <f>VLOOKUP(A5,DATAKARYAWAN,34,0)</f>
        <v>25175565610</v>
      </c>
      <c r="AH5" s="52" t="s">
        <v>2667</v>
      </c>
      <c r="AI5" s="38" t="str">
        <f>VLOOKUP(A5,DATAKARYAWAN,36,0)</f>
        <v/>
      </c>
      <c r="AJ5" s="38"/>
      <c r="AK5" s="451">
        <f>VLOOKUP(A5,DATAKARYAWAN,38,0)</f>
        <v>45369</v>
      </c>
      <c r="AL5" s="297"/>
    </row>
    <row r="6" ht="15.75" customHeight="1">
      <c r="A6" s="50" t="s">
        <v>1309</v>
      </c>
      <c r="B6" s="38" t="str">
        <f>VLOOKUP(A6,DATAKARYAWAN,3,0)</f>
        <v>Karyawan Kontrak</v>
      </c>
      <c r="C6" s="38" t="str">
        <f>VLOOKUP(A6,DATAKARYAWAN,4,0)</f>
        <v>23-030006</v>
      </c>
      <c r="D6" s="38" t="str">
        <f>VLOOKUP(A6,DATAKARYAWAN,5,0)</f>
        <v>085608945132</v>
      </c>
      <c r="E6" s="38" t="str">
        <f>VLOOKUP(A6,DATAKARYAWAN,6,0)</f>
        <v>dwioktaarifianto44@gmail.com</v>
      </c>
      <c r="F6" s="38" t="str">
        <f>VLOOKUP(A6,DATAKARYAWAN,7,0)</f>
        <v>SOPIR PESONA</v>
      </c>
      <c r="G6" s="38" t="str">
        <f>VLOOKUP(A6,DATAKARYAWAN,8,0)</f>
        <v>PESONA</v>
      </c>
      <c r="H6" s="53"/>
      <c r="I6" s="38" t="str">
        <f>VLOOKUP(A6,DATAKARYAWAN,10,0)</f>
        <v>Indonesia</v>
      </c>
      <c r="J6" s="38" t="str">
        <f>VLOOKUP(A6,DATAKARYAWAN,11,0)</f>
        <v>ISLAM</v>
      </c>
      <c r="K6" s="38" t="str">
        <f>VLOOKUP(A6,DATAKARYAWAN,12,0)</f>
        <v>3516121701031549</v>
      </c>
      <c r="L6" s="38" t="str">
        <f>VLOOKUP(A6,DATAKARYAWAN,13,0)</f>
        <v>3516120810010002</v>
      </c>
      <c r="M6" s="38" t="str">
        <f>VLOOKUP(A6,DATAKARYAWAN,14,0)</f>
        <v/>
      </c>
      <c r="N6" s="38" t="str">
        <f>VLOOKUP(A6,DATAKARYAWAN,15,0)</f>
        <v/>
      </c>
      <c r="O6" s="38" t="str">
        <f>VLOOKUP(A6,DATAKARYAWAN,16,0)</f>
        <v>SD</v>
      </c>
      <c r="P6" s="48"/>
      <c r="Q6" s="38" t="str">
        <f>VLOOKUP(A6,DATAKARYAWAN,18,0)</f>
        <v>LAKI-LAKI</v>
      </c>
      <c r="R6" s="38" t="str">
        <f>VLOOKUP(A6,DATAKARYAWAN,19,0)</f>
        <v>08 Oktober 2001</v>
      </c>
      <c r="S6" s="38" t="str">
        <f>VLOOKUP(A6,DATAKARYAWAN,20,0)</f>
        <v>MOJOKERTO</v>
      </c>
      <c r="T6" s="38"/>
      <c r="U6" s="38" t="str">
        <f>VLOOKUP(A6,DATAKARYAWAN,22,0)</f>
        <v>JATISUMBER RT 01/RW 01</v>
      </c>
      <c r="V6" s="38" t="str">
        <f>VLOOKUP(A6,DATAKARYAWAN,23,0)</f>
        <v/>
      </c>
      <c r="W6" s="38" t="str">
        <f>VLOOKUP(A6,DATAKARYAWAN,24,0)</f>
        <v>JAWA TIMUR</v>
      </c>
      <c r="X6" s="38" t="str">
        <f>VLOOKUP(A6,DATAKARYAWAN,25,0)</f>
        <v>MOJOKERTO</v>
      </c>
      <c r="Y6" s="38" t="str">
        <f>VLOOKUP(A6,DATAKARYAWAN,26,0)</f>
        <v>TROWULAN</v>
      </c>
      <c r="Z6" s="38" t="str">
        <f>VLOOKUP(A6,DATAKARYAWAN,27,0)</f>
        <v>WATESUMPAK</v>
      </c>
      <c r="AA6" s="38" t="str">
        <f>VLOOKUP(A6,DATAKARYAWAN,28,0)</f>
        <v>61362</v>
      </c>
      <c r="AB6" s="38"/>
      <c r="AC6" s="38"/>
      <c r="AD6" s="38" t="str">
        <f>VLOOKUP(A6,DATAKARYAWAN,31,0)</f>
        <v>TK/0</v>
      </c>
      <c r="AE6" s="48"/>
      <c r="AF6" s="38" t="str">
        <f>VLOOKUP(A6,DATAKARYAWAN,33,0)</f>
        <v>tidak ada NPWP</v>
      </c>
      <c r="AG6" s="506">
        <f>VLOOKUP(A6,DATAKARYAWAN,34,0)</f>
        <v>25175565602</v>
      </c>
      <c r="AH6" s="38" t="str">
        <f>VLOOKUP(A6,DATAKARYAWAN,35,0)</f>
        <v>0000725392045</v>
      </c>
      <c r="AI6" s="38" t="str">
        <f>VLOOKUP(A6,DATAKARYAWAN,36,0)</f>
        <v/>
      </c>
      <c r="AJ6" s="38"/>
      <c r="AK6" s="451">
        <f>VLOOKUP(A6,DATAKARYAWAN,38,0)</f>
        <v>45376</v>
      </c>
      <c r="AL6" s="297"/>
    </row>
    <row r="7" ht="15.75" customHeight="1">
      <c r="A7" s="135" t="s">
        <v>1512</v>
      </c>
      <c r="B7" s="38" t="str">
        <f>VLOOKUP(A7,DATAKARYAWAN,3,0)</f>
        <v>Karyawan Kontrak</v>
      </c>
      <c r="C7" s="38" t="str">
        <f>VLOOKUP(A7,DATAKARYAWAN,4,0)</f>
        <v>24-060007</v>
      </c>
      <c r="D7" s="38" t="str">
        <f>VLOOKUP(A7,DATAKARYAWAN,5,0)</f>
        <v>085829431481</v>
      </c>
      <c r="E7" s="453" t="str">
        <f>VLOOKUP(A7,DATAKARYAWAN,6,0)</f>
        <v>mochaidilfitrahalzawali62gmail.com</v>
      </c>
      <c r="F7" s="38" t="str">
        <f>VLOOKUP(A7,DATAKARYAWAN,7,0)</f>
        <v>SOPIR PESONA</v>
      </c>
      <c r="G7" s="38" t="str">
        <f>VLOOKUP(A7,DATAKARYAWAN,8,0)</f>
        <v>PESONA</v>
      </c>
      <c r="H7" s="53"/>
      <c r="I7" s="38" t="str">
        <f>VLOOKUP(A7,DATAKARYAWAN,10,0)</f>
        <v>Indonesia</v>
      </c>
      <c r="J7" s="38" t="str">
        <f>VLOOKUP(A7,DATAKARYAWAN,11,0)</f>
        <v>ISLAM</v>
      </c>
      <c r="K7" s="38" t="str">
        <f>VLOOKUP(A7,DATAKARYAWAN,12,0)</f>
        <v>3578170101089129</v>
      </c>
      <c r="L7" s="38" t="str">
        <f>VLOOKUP(A7,DATAKARYAWAN,13,0)</f>
        <v>3578170411050001</v>
      </c>
      <c r="M7" s="38" t="str">
        <f>VLOOKUP(A7,DATAKARYAWAN,14,0)</f>
        <v/>
      </c>
      <c r="N7" s="38" t="str">
        <f>VLOOKUP(A7,DATAKARYAWAN,15,0)</f>
        <v/>
      </c>
      <c r="O7" s="38" t="str">
        <f>VLOOKUP(A7,DATAKARYAWAN,16,0)</f>
        <v>SLTA</v>
      </c>
      <c r="P7" s="48"/>
      <c r="Q7" s="38" t="str">
        <f>VLOOKUP(A7,DATAKARYAWAN,18,0)</f>
        <v>LAKI-LAKI</v>
      </c>
      <c r="R7" s="38" t="str">
        <f>VLOOKUP(A7,DATAKARYAWAN,19,0)</f>
        <v>04 Oktober 2005</v>
      </c>
      <c r="S7" s="38" t="str">
        <f>VLOOKUP(A7,DATAKARYAWAN,20,0)</f>
        <v>SURABAYA</v>
      </c>
      <c r="T7" s="38"/>
      <c r="U7" s="38" t="str">
        <f>VLOOKUP(A7,DATAKARYAWAN,22,0)</f>
        <v>TANAH KALI KEDINDING</v>
      </c>
      <c r="V7" s="38" t="str">
        <f>VLOOKUP(A7,DATAKARYAWAN,23,0)</f>
        <v/>
      </c>
      <c r="W7" s="38" t="str">
        <f>VLOOKUP(A7,DATAKARYAWAN,24,0)</f>
        <v>JAWA TIMUR</v>
      </c>
      <c r="X7" s="38" t="str">
        <f>VLOOKUP(A7,DATAKARYAWAN,25,0)</f>
        <v>SURABAYA</v>
      </c>
      <c r="Y7" s="38" t="str">
        <f>VLOOKUP(A7,DATAKARYAWAN,26,0)</f>
        <v>KENJERAN</v>
      </c>
      <c r="Z7" s="38" t="str">
        <f>VLOOKUP(A7,DATAKARYAWAN,27,0)</f>
        <v>TANAH KALI KEDINDING</v>
      </c>
      <c r="AA7" s="38">
        <f>VLOOKUP(A7,DATAKARYAWAN,28,0)</f>
        <v>60129</v>
      </c>
      <c r="AB7" s="38"/>
      <c r="AC7" s="38"/>
      <c r="AD7" s="38" t="str">
        <f>VLOOKUP(A7,DATAKARYAWAN,31,0)</f>
        <v>TK/0</v>
      </c>
      <c r="AE7" s="48"/>
      <c r="AF7" s="38">
        <f>VLOOKUP(A7,DATAKARYAWAN,33,0)</f>
        <v>682816319618000</v>
      </c>
      <c r="AG7" s="506">
        <f>VLOOKUP(A7,DATAKARYAWAN,34,0)</f>
        <v>25175565578</v>
      </c>
      <c r="AH7" s="38" t="str">
        <f>VLOOKUP(A7,DATAKARYAWAN,35,0)</f>
        <v>0002162948117</v>
      </c>
      <c r="AI7" s="38" t="str">
        <f>VLOOKUP(A7,DATAKARYAWAN,36,0)</f>
        <v/>
      </c>
      <c r="AJ7" s="38"/>
      <c r="AK7" s="451">
        <f>VLOOKUP(A7,DATAKARYAWAN,38,0)</f>
        <v>45579</v>
      </c>
      <c r="AL7" s="297"/>
    </row>
    <row r="8" ht="15.75" customHeight="1">
      <c r="A8" s="279" t="s">
        <v>1569</v>
      </c>
      <c r="B8" s="38" t="str">
        <f>VLOOKUP(A8,DATAKARYAWAN,3,0)</f>
        <v>Karyawan Kontrak</v>
      </c>
      <c r="C8" s="38" t="str">
        <f>VLOOKUP(A8,DATAKARYAWAN,4,0)</f>
        <v>24-110008</v>
      </c>
      <c r="D8" s="38" t="str">
        <f>VLOOKUP(A8,DATAKARYAWAN,5,0)</f>
        <v>0821426196770</v>
      </c>
      <c r="E8" s="38" t="str">
        <f>VLOOKUP(A8,DATAKARYAWAN,6,0)</f>
        <v>Xpendy467@gmail.com</v>
      </c>
      <c r="F8" s="38" t="str">
        <f>VLOOKUP(A8,DATAKARYAWAN,7,0)</f>
        <v>SOPIR PESONA</v>
      </c>
      <c r="G8" s="38" t="str">
        <f>VLOOKUP(A8,DATAKARYAWAN,8,0)</f>
        <v>PESONA</v>
      </c>
      <c r="H8" s="53"/>
      <c r="I8" s="38" t="str">
        <f>VLOOKUP(A8,DATAKARYAWAN,10,0)</f>
        <v>Indonesia</v>
      </c>
      <c r="J8" s="38" t="str">
        <f>VLOOKUP(A8,DATAKARYAWAN,11,0)</f>
        <v>ISLAM</v>
      </c>
      <c r="K8" s="38" t="str">
        <f>VLOOKUP(A8,DATAKARYAWAN,12,0)</f>
        <v>3502021010220002</v>
      </c>
      <c r="L8" s="38" t="str">
        <f>VLOOKUP(A8,DATAKARYAWAN,13,0)</f>
        <v>3522040202910003</v>
      </c>
      <c r="M8" s="38" t="str">
        <f>VLOOKUP(A8,DATAKARYAWAN,14,0)</f>
        <v/>
      </c>
      <c r="N8" s="38" t="str">
        <f>VLOOKUP(A8,DATAKARYAWAN,15,0)</f>
        <v/>
      </c>
      <c r="O8" s="38" t="str">
        <f>VLOOKUP(A8,DATAKARYAWAN,16,0)</f>
        <v>SLTA</v>
      </c>
      <c r="P8" s="48"/>
      <c r="Q8" s="38" t="str">
        <f>VLOOKUP(A8,DATAKARYAWAN,18,0)</f>
        <v>LAKI-LAKI</v>
      </c>
      <c r="R8" s="38" t="str">
        <f>VLOOKUP(A8,DATAKARYAWAN,19,0)</f>
        <v>02 Februari 1991</v>
      </c>
      <c r="S8" s="38" t="str">
        <f>VLOOKUP(A8,DATAKARYAWAN,20,0)</f>
        <v>BOJONEGORO</v>
      </c>
      <c r="T8" s="38"/>
      <c r="U8" s="38" t="str">
        <f>VLOOKUP(A8,DATAKARYAWAN,22,0)</f>
        <v>DUKUH KEDUNG RT 02/RW 08</v>
      </c>
      <c r="V8" s="38" t="str">
        <f>VLOOKUP(A8,DATAKARYAWAN,23,0)</f>
        <v/>
      </c>
      <c r="W8" s="38" t="str">
        <f>VLOOKUP(A8,DATAKARYAWAN,24,0)</f>
        <v>JAWA TIMUR</v>
      </c>
      <c r="X8" s="38" t="str">
        <f>VLOOKUP(A8,DATAKARYAWAN,25,0)</f>
        <v>PONOROGO</v>
      </c>
      <c r="Y8" s="38" t="str">
        <f>VLOOKUP(A8,DATAKARYAWAN,26,0)</f>
        <v>NGRAYUN</v>
      </c>
      <c r="Z8" s="38" t="str">
        <f>VLOOKUP(A8,DATAKARYAWAN,27,0)</f>
        <v>BAOSAN KIDUL</v>
      </c>
      <c r="AA8" s="38">
        <f>VLOOKUP(A8,DATAKARYAWAN,28,0)</f>
        <v>63464</v>
      </c>
      <c r="AB8" s="38"/>
      <c r="AC8" s="38"/>
      <c r="AD8" s="38" t="str">
        <f>VLOOKUP(A8,DATAKARYAWAN,31,0)</f>
        <v>TK/0</v>
      </c>
      <c r="AE8" s="48"/>
      <c r="AF8" s="38" t="str">
        <f>VLOOKUP(A8,DATAKARYAWAN,33,0)</f>
        <v>tidak ada NPWP</v>
      </c>
      <c r="AG8" s="52" t="s">
        <v>2061</v>
      </c>
      <c r="AH8" s="52" t="s">
        <v>2667</v>
      </c>
      <c r="AI8" s="38" t="str">
        <f>VLOOKUP(A8,DATAKARYAWAN,36,0)</f>
        <v/>
      </c>
      <c r="AJ8" s="38"/>
      <c r="AK8" s="38" t="str">
        <f>VLOOKUP(A8,DATAKARYAWAN,38,0)</f>
        <v>11 November 2024</v>
      </c>
      <c r="AL8" s="237"/>
    </row>
    <row r="9" ht="15.75" customHeight="1">
      <c r="A9" s="507" t="s">
        <v>1758</v>
      </c>
      <c r="B9" s="38" t="str">
        <f>VLOOKUP(A9,DATAKARYAWAN,3,0)</f>
        <v>Karyawan Kontrak</v>
      </c>
      <c r="C9" s="38" t="str">
        <f>VLOOKUP(A9,DATAKARYAWAN,4,0)</f>
        <v>25-030009</v>
      </c>
      <c r="D9" s="38" t="str">
        <f>VLOOKUP(A9,DATAKARYAWAN,5,0)</f>
        <v>082190512475</v>
      </c>
      <c r="E9" s="38" t="str">
        <f>VLOOKUP(A9,DATAKARYAWAN,6,0)</f>
        <v>pondanyani@gmail.com</v>
      </c>
      <c r="F9" s="38" t="str">
        <f>VLOOKUP(A9,DATAKARYAWAN,7,0)</f>
        <v>SOPIR PESONA</v>
      </c>
      <c r="G9" s="38" t="str">
        <f>VLOOKUP(A9,DATAKARYAWAN,8,0)</f>
        <v>PESONA</v>
      </c>
      <c r="H9" s="53"/>
      <c r="I9" s="38" t="str">
        <f>VLOOKUP(A9,DATAKARYAWAN,10,0)</f>
        <v>Indonesia</v>
      </c>
      <c r="J9" s="38" t="str">
        <f>VLOOKUP(A9,DATAKARYAWAN,11,0)</f>
        <v>ISLAM</v>
      </c>
      <c r="K9" s="38" t="str">
        <f>VLOOKUP(A9,DATAKARYAWAN,12,0)</f>
        <v>3518110702130003</v>
      </c>
      <c r="L9" s="38" t="str">
        <f>VLOOKUP(A9,DATAKARYAWAN,13,0)</f>
        <v>3518051702850008</v>
      </c>
      <c r="M9" s="38" t="str">
        <f>VLOOKUP(A9,DATAKARYAWAN,14,0)</f>
        <v/>
      </c>
      <c r="N9" s="38" t="str">
        <f>VLOOKUP(A9,DATAKARYAWAN,15,0)</f>
        <v/>
      </c>
      <c r="O9" s="38" t="str">
        <f>VLOOKUP(A9,DATAKARYAWAN,16,0)</f>
        <v>SMA</v>
      </c>
      <c r="P9" s="48"/>
      <c r="Q9" s="38" t="str">
        <f>VLOOKUP(A9,DATAKARYAWAN,18,0)</f>
        <v>LAKI-LAKI</v>
      </c>
      <c r="R9" s="38" t="str">
        <f>VLOOKUP(A9,DATAKARYAWAN,19,0)</f>
        <v>17 Februari 1985</v>
      </c>
      <c r="S9" s="38" t="str">
        <f>VLOOKUP(A9,DATAKARYAWAN,20,0)</f>
        <v>NGANJUK</v>
      </c>
      <c r="T9" s="38"/>
      <c r="U9" s="38" t="str">
        <f>VLOOKUP(A9,DATAKARYAWAN,22,0)</f>
        <v>GETAS RT 02/RW 05</v>
      </c>
      <c r="V9" s="38" t="str">
        <f>VLOOKUP(A9,DATAKARYAWAN,23,0)</f>
        <v/>
      </c>
      <c r="W9" s="38" t="str">
        <f>VLOOKUP(A9,DATAKARYAWAN,24,0)</f>
        <v>JAWA TIMUR</v>
      </c>
      <c r="X9" s="38" t="str">
        <f>VLOOKUP(A9,DATAKARYAWAN,25,0)</f>
        <v>NGANJUK</v>
      </c>
      <c r="Y9" s="38" t="str">
        <f>VLOOKUP(A9,DATAKARYAWAN,26,0)</f>
        <v>TANJUNGANOM</v>
      </c>
      <c r="Z9" s="38" t="str">
        <f>VLOOKUP(A9,DATAKARYAWAN,27,0)</f>
        <v>GETAS</v>
      </c>
      <c r="AA9" s="38">
        <f>VLOOKUP(A9,DATAKARYAWAN,28,0)</f>
        <v>64483</v>
      </c>
      <c r="AB9" s="38"/>
      <c r="AC9" s="38"/>
      <c r="AD9" s="38" t="str">
        <f>VLOOKUP(A9,DATAKARYAWAN,31,0)</f>
        <v>K/2</v>
      </c>
      <c r="AE9" s="48"/>
      <c r="AF9" s="38" t="str">
        <f>VLOOKUP(A9,DATAKARYAWAN,33,0)</f>
        <v>tidak ada NPWP</v>
      </c>
      <c r="AG9" s="508" t="s">
        <v>2061</v>
      </c>
      <c r="AH9" s="311" t="s">
        <v>1768</v>
      </c>
      <c r="AI9" s="38" t="str">
        <f>VLOOKUP(A9,DATAKARYAWAN,36,0)</f>
        <v/>
      </c>
      <c r="AJ9" s="38"/>
      <c r="AK9" s="485">
        <f>VLOOKUP(A9,DATAKARYAWAN,38,0)</f>
        <v>45719</v>
      </c>
      <c r="AL9" s="297"/>
    </row>
    <row r="10" ht="15.75" customHeight="1">
      <c r="A10" s="509" t="s">
        <v>1338</v>
      </c>
      <c r="B10" s="38" t="str">
        <f>VLOOKUP(A10,DATAKARYAWAN,3,0)</f>
        <v>Karyawan Kontrak</v>
      </c>
      <c r="C10" s="52" t="s">
        <v>2668</v>
      </c>
      <c r="D10" s="38" t="str">
        <f>VLOOKUP(A10,DATAKARYAWAN,5,0)</f>
        <v/>
      </c>
      <c r="E10" s="38" t="str">
        <f>VLOOKUP(A10,DATAKARYAWAN,6,0)</f>
        <v/>
      </c>
      <c r="F10" s="38" t="str">
        <f>VLOOKUP(A10,DATAKARYAWAN,7,0)</f>
        <v>SOPIR PESONA (PENGGANTI)</v>
      </c>
      <c r="G10" s="38" t="str">
        <f>VLOOKUP(A10,DATAKARYAWAN,8,0)</f>
        <v/>
      </c>
      <c r="H10" s="53"/>
      <c r="I10" s="38" t="str">
        <f>VLOOKUP(A10,DATAKARYAWAN,10,0)</f>
        <v>Indonesia</v>
      </c>
      <c r="J10" s="38" t="str">
        <f>VLOOKUP(A10,DATAKARYAWAN,11,0)</f>
        <v>ISLAM</v>
      </c>
      <c r="K10" s="38" t="str">
        <f>VLOOKUP(A10,DATAKARYAWAN,12,0)</f>
        <v>3578272003140009</v>
      </c>
      <c r="L10" s="38" t="str">
        <f>VLOOKUP(A10,DATAKARYAWAN,13,0)</f>
        <v>3525112012880001</v>
      </c>
      <c r="M10" s="38" t="str">
        <f>VLOOKUP(A10,DATAKARYAWAN,14,0)</f>
        <v/>
      </c>
      <c r="N10" s="38" t="str">
        <f>VLOOKUP(A10,DATAKARYAWAN,15,0)</f>
        <v/>
      </c>
      <c r="O10" s="38" t="str">
        <f>VLOOKUP(A10,DATAKARYAWAN,16,0)</f>
        <v>SD</v>
      </c>
      <c r="P10" s="48"/>
      <c r="Q10" s="38" t="str">
        <f>VLOOKUP(A10,DATAKARYAWAN,18,0)</f>
        <v>LAKI-LAKI</v>
      </c>
      <c r="R10" s="38" t="str">
        <f>VLOOKUP(A10,DATAKARYAWAN,19,0)</f>
        <v>20 Desember 1989</v>
      </c>
      <c r="S10" s="38" t="str">
        <f>VLOOKUP(A10,DATAKARYAWAN,20,0)</f>
        <v>SURABAYA</v>
      </c>
      <c r="T10" s="38"/>
      <c r="U10" s="38" t="str">
        <f>VLOOKUP(A10,DATAKARYAWAN,22,0)</f>
        <v>SUKOMANUNGGAL BARU SELATAN PJKA NO.65 RT 001/RW 005</v>
      </c>
      <c r="V10" s="38" t="str">
        <f>VLOOKUP(A10,DATAKARYAWAN,23,0)</f>
        <v/>
      </c>
      <c r="W10" s="38" t="str">
        <f>VLOOKUP(A10,DATAKARYAWAN,24,0)</f>
        <v>JAWA TIMUR</v>
      </c>
      <c r="X10" s="38" t="str">
        <f>VLOOKUP(A10,DATAKARYAWAN,25,0)</f>
        <v>SURABAYA</v>
      </c>
      <c r="Y10" s="38" t="str">
        <f>VLOOKUP(A10,DATAKARYAWAN,26,0)</f>
        <v>SUKOMANUNGGAL</v>
      </c>
      <c r="Z10" s="38" t="str">
        <f>VLOOKUP(A10,DATAKARYAWAN,27,0)</f>
        <v>SUKOMANUNGGAL</v>
      </c>
      <c r="AA10" s="38">
        <f>VLOOKUP(A10,DATAKARYAWAN,28,0)</f>
        <v>60188</v>
      </c>
      <c r="AB10" s="38"/>
      <c r="AC10" s="38"/>
      <c r="AD10" s="38" t="str">
        <f>VLOOKUP(A10,DATAKARYAWAN,31,0)</f>
        <v>TK/0</v>
      </c>
      <c r="AE10" s="48"/>
      <c r="AF10" s="36" t="str">
        <f>VLOOKUP(A10,DATAKARYAWAN,33,0)</f>
        <v/>
      </c>
      <c r="AG10" s="68" t="s">
        <v>2061</v>
      </c>
      <c r="AH10" s="68" t="s">
        <v>2669</v>
      </c>
      <c r="AI10" s="38" t="str">
        <f>VLOOKUP(A10,DATAKARYAWAN,36,0)</f>
        <v/>
      </c>
      <c r="AJ10" s="38"/>
      <c r="AK10" s="38" t="str">
        <f>VLOOKUP(A10,DATAKARYAWAN,38,0)</f>
        <v>17 April 2024</v>
      </c>
      <c r="AL10" s="369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7"/>
      <c r="BD10" s="277"/>
      <c r="BE10" s="277"/>
      <c r="BF10" s="277"/>
      <c r="BG10" s="277"/>
      <c r="BH10" s="277"/>
      <c r="BI10" s="277"/>
      <c r="BJ10" s="277"/>
      <c r="BK10" s="277"/>
      <c r="BL10" s="277"/>
      <c r="BM10" s="277"/>
      <c r="BN10" s="277"/>
      <c r="BO10" s="277"/>
      <c r="BP10" s="277"/>
      <c r="BQ10" s="277"/>
      <c r="BR10" s="277"/>
      <c r="BS10" s="277"/>
      <c r="BT10" s="277"/>
      <c r="BU10" s="277"/>
      <c r="BV10" s="277"/>
      <c r="BW10" s="277"/>
      <c r="BX10" s="277"/>
      <c r="BY10" s="277"/>
      <c r="BZ10" s="277"/>
      <c r="CA10" s="277"/>
      <c r="CB10" s="277"/>
      <c r="CC10" s="277"/>
    </row>
    <row r="11" ht="15.75" customHeight="1">
      <c r="A11" s="507" t="s">
        <v>1787</v>
      </c>
      <c r="B11" s="38" t="str">
        <f>VLOOKUP(A11,DATAKARYAWAN,3,0)</f>
        <v>Karyawan Kontrak</v>
      </c>
      <c r="C11" s="38" t="str">
        <f>VLOOKUP(A11,DATAKARYAWAN,4,0)</f>
        <v>25-040011</v>
      </c>
      <c r="D11" s="38" t="str">
        <f>VLOOKUP(A11,DATAKARYAWAN,5,0)</f>
        <v>081217565300</v>
      </c>
      <c r="E11" s="38" t="str">
        <f>VLOOKUP(A11,DATAKARYAWAN,6,0)</f>
        <v>klukmanul46@gmail.com</v>
      </c>
      <c r="F11" s="38" t="str">
        <f>VLOOKUP(A11,DATAKARYAWAN,7,0)</f>
        <v>SOPIR PESONA</v>
      </c>
      <c r="G11" s="38" t="str">
        <f>VLOOKUP(A11,DATAKARYAWAN,8,0)</f>
        <v>PESONA</v>
      </c>
      <c r="H11" s="53"/>
      <c r="I11" s="38" t="str">
        <f>VLOOKUP(A11,DATAKARYAWAN,10,0)</f>
        <v>Indonesia</v>
      </c>
      <c r="J11" s="38" t="str">
        <f>VLOOKUP(A11,DATAKARYAWAN,11,0)</f>
        <v>ISLAM</v>
      </c>
      <c r="K11" s="38" t="str">
        <f>VLOOKUP(A11,DATAKARYAWAN,12,0)</f>
        <v>3516101606140002</v>
      </c>
      <c r="L11" s="38" t="str">
        <f>VLOOKUP(A11,DATAKARYAWAN,13,0)</f>
        <v>3516101410890001</v>
      </c>
      <c r="M11" s="38" t="str">
        <f>VLOOKUP(A11,DATAKARYAWAN,14,0)</f>
        <v/>
      </c>
      <c r="N11" s="38" t="str">
        <f>VLOOKUP(A11,DATAKARYAWAN,15,0)</f>
        <v/>
      </c>
      <c r="O11" s="38" t="str">
        <f>VLOOKUP(A11,DATAKARYAWAN,16,0)</f>
        <v>SMA</v>
      </c>
      <c r="P11" s="48"/>
      <c r="Q11" s="38" t="str">
        <f>VLOOKUP(A11,DATAKARYAWAN,18,0)</f>
        <v>LAKI-LAKI</v>
      </c>
      <c r="R11" s="38" t="str">
        <f>VLOOKUP(A11,DATAKARYAWAN,19,0)</f>
        <v>14 Oktober 1989</v>
      </c>
      <c r="S11" s="38" t="str">
        <f>VLOOKUP(A11,DATAKARYAWAN,20,0)</f>
        <v>SURABAYA</v>
      </c>
      <c r="T11" s="38"/>
      <c r="U11" s="38" t="str">
        <f>VLOOKUP(A11,DATAKARYAWAN,22,0)</f>
        <v>DUSUN KENITEN RT 03/RW 02</v>
      </c>
      <c r="V11" s="38" t="str">
        <f>VLOOKUP(A11,DATAKARYAWAN,23,0)</f>
        <v/>
      </c>
      <c r="W11" s="38" t="str">
        <f>VLOOKUP(A11,DATAKARYAWAN,24,0)</f>
        <v>JAWA TIMUR</v>
      </c>
      <c r="X11" s="38" t="str">
        <f>VLOOKUP(A11,DATAKARYAWAN,25,0)</f>
        <v>MOJOKERTO</v>
      </c>
      <c r="Y11" s="38" t="str">
        <f>VLOOKUP(A11,DATAKARYAWAN,26,0)</f>
        <v>BANGSAL</v>
      </c>
      <c r="Z11" s="38" t="str">
        <f>VLOOKUP(A11,DATAKARYAWAN,27,0)</f>
        <v>PULONITI</v>
      </c>
      <c r="AA11" s="38">
        <f>VLOOKUP(A11,DATAKARYAWAN,28,0)</f>
        <v>61381</v>
      </c>
      <c r="AB11" s="38"/>
      <c r="AC11" s="38"/>
      <c r="AD11" s="38" t="str">
        <f>VLOOKUP(A11,DATAKARYAWAN,31,0)</f>
        <v>K/2</v>
      </c>
      <c r="AE11" s="48"/>
      <c r="AF11" s="38" t="str">
        <f>VLOOKUP(A11,DATAKARYAWAN,33,0)</f>
        <v>tidak ada NPWP</v>
      </c>
      <c r="AG11" s="506">
        <f>VLOOKUP(A11,DATAKARYAWAN,34,0)</f>
        <v>25175565594</v>
      </c>
      <c r="AH11" s="38" t="str">
        <f>VLOOKUP(A11,DATAKARYAWAN,35,0)</f>
        <v>0000725961262</v>
      </c>
      <c r="AI11" s="38" t="str">
        <f>VLOOKUP(A11,DATAKARYAWAN,36,0)</f>
        <v/>
      </c>
      <c r="AJ11" s="38"/>
      <c r="AK11" s="485" t="str">
        <f>VLOOKUP(A11,DATAKARYAWAN,38,0)</f>
        <v>08 April 2025</v>
      </c>
      <c r="AL11" s="346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  <c r="AX11" s="277"/>
      <c r="AY11" s="277"/>
      <c r="AZ11" s="277"/>
      <c r="BA11" s="277"/>
      <c r="BB11" s="277"/>
      <c r="BC11" s="277"/>
      <c r="BD11" s="277"/>
      <c r="BE11" s="277"/>
      <c r="BF11" s="277"/>
      <c r="BG11" s="277"/>
      <c r="BH11" s="277"/>
      <c r="BI11" s="277"/>
      <c r="BJ11" s="277"/>
      <c r="BK11" s="277"/>
      <c r="BL11" s="277"/>
      <c r="BM11" s="277"/>
      <c r="BN11" s="277"/>
      <c r="BO11" s="277"/>
      <c r="BP11" s="277"/>
      <c r="BQ11" s="277"/>
      <c r="BR11" s="277"/>
      <c r="BS11" s="277"/>
      <c r="BT11" s="277"/>
      <c r="BU11" s="277"/>
      <c r="BV11" s="277"/>
      <c r="BW11" s="277"/>
      <c r="BX11" s="277"/>
      <c r="BY11" s="277"/>
      <c r="BZ11" s="277"/>
      <c r="CA11" s="277"/>
      <c r="CB11" s="277"/>
      <c r="CC11" s="277"/>
    </row>
    <row r="12" ht="15.75" customHeight="1">
      <c r="A12" s="98" t="s">
        <v>1851</v>
      </c>
      <c r="B12" s="38" t="str">
        <f>VLOOKUP(A12,DATAKARYAWAN,3,0)</f>
        <v>Karyawan Kontrak</v>
      </c>
      <c r="C12" s="38" t="str">
        <f>VLOOKUP(A12,DATAKARYAWAN,4,0)</f>
        <v>25-040012</v>
      </c>
      <c r="D12" s="38" t="str">
        <f>VLOOKUP(A12,DATAKARYAWAN,5,0)</f>
        <v>081259491239</v>
      </c>
      <c r="E12" s="38" t="str">
        <f>VLOOKUP(A12,DATAKARYAWAN,6,0)</f>
        <v>aryosamsi1976@gmail.com</v>
      </c>
      <c r="F12" s="38" t="str">
        <f>VLOOKUP(A12,DATAKARYAWAN,7,0)</f>
        <v>SOPIR PESONA</v>
      </c>
      <c r="G12" s="38" t="str">
        <f>VLOOKUP(A12,DATAKARYAWAN,8,0)</f>
        <v>PESONA</v>
      </c>
      <c r="H12" s="53"/>
      <c r="I12" s="38" t="str">
        <f>VLOOKUP(A12,DATAKARYAWAN,10,0)</f>
        <v>Indonesia</v>
      </c>
      <c r="J12" s="38" t="str">
        <f>VLOOKUP(A12,DATAKARYAWAN,11,0)</f>
        <v>ISLAM</v>
      </c>
      <c r="K12" s="38" t="str">
        <f>VLOOKUP(A12,DATAKARYAWAN,12,0)</f>
        <v>3578010101084183</v>
      </c>
      <c r="L12" s="38" t="str">
        <f>VLOOKUP(A12,DATAKARYAWAN,13,0)</f>
        <v>3578010904760003</v>
      </c>
      <c r="M12" s="38" t="str">
        <f>VLOOKUP(A12,DATAKARYAWAN,14,0)</f>
        <v/>
      </c>
      <c r="N12" s="38" t="str">
        <f>VLOOKUP(A12,DATAKARYAWAN,15,0)</f>
        <v/>
      </c>
      <c r="O12" s="38" t="str">
        <f>VLOOKUP(A12,DATAKARYAWAN,16,0)</f>
        <v>SMA</v>
      </c>
      <c r="P12" s="48"/>
      <c r="Q12" s="38" t="str">
        <f>VLOOKUP(A12,DATAKARYAWAN,18,0)</f>
        <v>LAKI-LAKI</v>
      </c>
      <c r="R12" s="490">
        <f>VLOOKUP(A12,DATAKARYAWAN,19,0)</f>
        <v>27859</v>
      </c>
      <c r="S12" s="38" t="str">
        <f>VLOOKUP(A12,DATAKARYAWAN,20,0)</f>
        <v>SURABAYA</v>
      </c>
      <c r="T12" s="38"/>
      <c r="U12" s="38" t="str">
        <f>VLOOKUP(A12,DATAKARYAWAN,22,0)</f>
        <v>KEMLATEN XII / 28 RT 03 / RW 07 </v>
      </c>
      <c r="V12" s="38" t="str">
        <f>VLOOKUP(A12,DATAKARYAWAN,23,0)</f>
        <v/>
      </c>
      <c r="W12" s="38" t="str">
        <f>VLOOKUP(A12,DATAKARYAWAN,24,0)</f>
        <v>JAWA TIMUR</v>
      </c>
      <c r="X12" s="38" t="str">
        <f>VLOOKUP(A12,DATAKARYAWAN,25,0)</f>
        <v>SURABAYA</v>
      </c>
      <c r="Y12" s="38" t="str">
        <f>VLOOKUP(A12,DATAKARYAWAN,26,0)</f>
        <v>KARANG PILANG</v>
      </c>
      <c r="Z12" s="38" t="str">
        <f>VLOOKUP(A12,DATAKARYAWAN,27,0)</f>
        <v>KEBRAON</v>
      </c>
      <c r="AA12" s="38">
        <f>VLOOKUP(A12,DATAKARYAWAN,28,0)</f>
        <v>60222</v>
      </c>
      <c r="AB12" s="38"/>
      <c r="AC12" s="38"/>
      <c r="AD12" s="38" t="str">
        <f>VLOOKUP(A12,DATAKARYAWAN,31,0)</f>
        <v>K/3</v>
      </c>
      <c r="AE12" s="48"/>
      <c r="AF12" s="38" t="str">
        <f>VLOOKUP(A12,DATAKARYAWAN,33,0)</f>
        <v>tidak ada NPWP</v>
      </c>
      <c r="AG12" s="506">
        <f>VLOOKUP(A12,DATAKARYAWAN,34,0)</f>
        <v>25175565644</v>
      </c>
      <c r="AH12" s="52" t="s">
        <v>2667</v>
      </c>
      <c r="AI12" s="38" t="str">
        <f>VLOOKUP(A12,DATAKARYAWAN,36,0)</f>
        <v/>
      </c>
      <c r="AJ12" s="38"/>
      <c r="AK12" s="485">
        <f>VLOOKUP(A12,DATAKARYAWAN,38,0)</f>
        <v>45782</v>
      </c>
      <c r="AL12" s="346"/>
    </row>
    <row r="13" ht="15.75" customHeight="1">
      <c r="A13" s="98" t="s">
        <v>1930</v>
      </c>
      <c r="B13" s="38" t="str">
        <f>VLOOKUP(A13,DATAKARYAWAN,3,0)</f>
        <v>Karyawan Kontrak</v>
      </c>
      <c r="C13" s="38" t="str">
        <f>VLOOKUP(A13,DATAKARYAWAN,4,0)</f>
        <v>25-040013</v>
      </c>
      <c r="D13" s="38" t="str">
        <f>VLOOKUP(A13,DATAKARYAWAN,5,0)</f>
        <v>081282275294</v>
      </c>
      <c r="E13" s="38" t="str">
        <f>VLOOKUP(A13,DATAKARYAWAN,6,0)</f>
        <v>sugianto280892@gmail.com</v>
      </c>
      <c r="F13" s="38" t="str">
        <f>VLOOKUP(A13,DATAKARYAWAN,7,0)</f>
        <v>SOPIR PESONA</v>
      </c>
      <c r="G13" s="38" t="str">
        <f>VLOOKUP(A13,DATAKARYAWAN,8,0)</f>
        <v>PESONA</v>
      </c>
      <c r="H13" s="53"/>
      <c r="I13" s="38" t="str">
        <f>VLOOKUP(A13,DATAKARYAWAN,10,0)</f>
        <v>Indonesia</v>
      </c>
      <c r="J13" s="38" t="str">
        <f>VLOOKUP(A13,DATAKARYAWAN,11,0)</f>
        <v>ISLAM</v>
      </c>
      <c r="K13" s="38" t="str">
        <f>VLOOKUP(A13,DATAKARYAWAN,12,0)</f>
        <v>3522031111190002</v>
      </c>
      <c r="L13" s="38" t="str">
        <f>VLOOKUP(A13,DATAKARYAWAN,13,0)</f>
        <v>3522030209890001</v>
      </c>
      <c r="M13" s="38" t="str">
        <f>VLOOKUP(A13,DATAKARYAWAN,14,0)</f>
        <v/>
      </c>
      <c r="N13" s="38" t="str">
        <f>VLOOKUP(A13,DATAKARYAWAN,15,0)</f>
        <v/>
      </c>
      <c r="O13" s="38" t="str">
        <f>VLOOKUP(A13,DATAKARYAWAN,16,0)</f>
        <v>SLTP</v>
      </c>
      <c r="P13" s="48"/>
      <c r="Q13" s="38" t="str">
        <f>VLOOKUP(A13,DATAKARYAWAN,18,0)</f>
        <v>LAKI-LAKI</v>
      </c>
      <c r="R13" s="38" t="str">
        <f>VLOOKUP(A13,DATAKARYAWAN,19,0)</f>
        <v>28 Agustus 1992</v>
      </c>
      <c r="S13" s="38" t="str">
        <f>VLOOKUP(A13,DATAKARYAWAN,20,0)</f>
        <v>BOJONEGORO</v>
      </c>
      <c r="T13" s="38"/>
      <c r="U13" s="38" t="str">
        <f>VLOOKUP(A13,DATAKARYAWAN,22,0)</f>
        <v>DUSUN MUNDU RT 15/ RW 05</v>
      </c>
      <c r="V13" s="38" t="str">
        <f>VLOOKUP(A13,DATAKARYAWAN,23,0)</f>
        <v/>
      </c>
      <c r="W13" s="38" t="str">
        <f>VLOOKUP(A13,DATAKARYAWAN,24,0)</f>
        <v>JAWA TIMUR</v>
      </c>
      <c r="X13" s="38" t="str">
        <f>VLOOKUP(A13,DATAKARYAWAN,25,0)</f>
        <v>BOJONEGORO</v>
      </c>
      <c r="Y13" s="38" t="str">
        <f>VLOOKUP(A13,DATAKARYAWAN,26,0)</f>
        <v>NGAMBON</v>
      </c>
      <c r="Z13" s="38" t="str">
        <f>VLOOKUP(A13,DATAKARYAWAN,27,0)</f>
        <v>NGLAMPIN</v>
      </c>
      <c r="AA13" s="38">
        <f>VLOOKUP(A13,DATAKARYAWAN,28,0)</f>
        <v>62167</v>
      </c>
      <c r="AB13" s="38"/>
      <c r="AC13" s="38"/>
      <c r="AD13" s="38" t="str">
        <f>VLOOKUP(A13,DATAKARYAWAN,31,0)</f>
        <v>K/1</v>
      </c>
      <c r="AE13" s="48"/>
      <c r="AF13" s="38" t="str">
        <f>VLOOKUP(A13,DATAKARYAWAN,33,0)</f>
        <v>tidak ada NPWP</v>
      </c>
      <c r="AG13" s="506">
        <f>VLOOKUP(A13,DATAKARYAWAN,34,0)</f>
        <v>25175565677</v>
      </c>
      <c r="AH13" s="38" t="str">
        <f>VLOOKUP(A13,DATAKARYAWAN,35,0)</f>
        <v>0000746328071</v>
      </c>
      <c r="AI13" s="38" t="str">
        <f>VLOOKUP(A13,DATAKARYAWAN,36,0)</f>
        <v/>
      </c>
      <c r="AJ13" s="38"/>
      <c r="AK13" s="485">
        <f>VLOOKUP(A13,DATAKARYAWAN,38,0)</f>
        <v>45796</v>
      </c>
      <c r="AL13" s="277"/>
      <c r="AM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7"/>
      <c r="BD13" s="277"/>
      <c r="BE13" s="277"/>
      <c r="BF13" s="277"/>
      <c r="BG13" s="277"/>
      <c r="BH13" s="277"/>
      <c r="BI13" s="277"/>
      <c r="BJ13" s="277"/>
      <c r="BK13" s="277"/>
      <c r="BL13" s="277"/>
      <c r="BM13" s="277"/>
      <c r="BN13" s="277"/>
      <c r="BO13" s="277"/>
      <c r="BP13" s="277"/>
      <c r="BQ13" s="277"/>
      <c r="BR13" s="277"/>
      <c r="BS13" s="277"/>
      <c r="BT13" s="277"/>
      <c r="BU13" s="277"/>
      <c r="BV13" s="277"/>
      <c r="BW13" s="277"/>
      <c r="BX13" s="277"/>
      <c r="BY13" s="277"/>
      <c r="BZ13" s="277"/>
      <c r="CA13" s="277"/>
    </row>
    <row r="14" ht="15.75" customHeight="1">
      <c r="A14" s="90" t="s">
        <v>1995</v>
      </c>
      <c r="B14" s="38" t="str">
        <f>VLOOKUP(A14,DATAKARYAWAN,3,0)</f>
        <v>Karyawan Kontrak</v>
      </c>
      <c r="C14" s="38" t="str">
        <f>VLOOKUP(A14,DATAKARYAWAN,4,0)</f>
        <v>25-070014</v>
      </c>
      <c r="D14" s="38" t="str">
        <f>VLOOKUP(A14,DATAKARYAWAN,5,0)</f>
        <v/>
      </c>
      <c r="E14" s="38" t="str">
        <f>VLOOKUP(A14,DATAKARYAWAN,6,0)</f>
        <v/>
      </c>
      <c r="F14" s="38" t="str">
        <f>VLOOKUP(A14,DATAKARYAWAN,7,0)</f>
        <v>SOPIR PESONA</v>
      </c>
      <c r="G14" s="38" t="str">
        <f>VLOOKUP(A14,DATAKARYAWAN,8,0)</f>
        <v>PESONA</v>
      </c>
      <c r="H14" s="57"/>
      <c r="I14" s="38" t="str">
        <f>VLOOKUP(A14,DATAKARYAWAN,10,0)</f>
        <v>Indonesia</v>
      </c>
      <c r="J14" s="38" t="str">
        <f>VLOOKUP(A14,DATAKARYAWAN,11,0)</f>
        <v>ISLAM</v>
      </c>
      <c r="K14" s="38" t="str">
        <f>VLOOKUP(A14,DATAKARYAWAN,12,0)</f>
        <v>3508083012150001</v>
      </c>
      <c r="L14" s="38" t="str">
        <f>VLOOKUP(A14,DATAKARYAWAN,13,0)</f>
        <v>3578060212840003</v>
      </c>
      <c r="M14" s="38" t="str">
        <f>VLOOKUP(A14,DATAKARYAWAN,14,0)</f>
        <v/>
      </c>
      <c r="N14" s="38" t="str">
        <f>VLOOKUP(A14,DATAKARYAWAN,15,0)</f>
        <v/>
      </c>
      <c r="O14" s="38" t="str">
        <f>VLOOKUP(A14,DATAKARYAWAN,16,0)</f>
        <v>SMA</v>
      </c>
      <c r="P14" s="48"/>
      <c r="Q14" s="38" t="str">
        <f>VLOOKUP(A14,DATAKARYAWAN,18,0)</f>
        <v>LAKI - LAKI</v>
      </c>
      <c r="R14" s="38" t="str">
        <f>VLOOKUP(A14,DATAKARYAWAN,19,0)</f>
        <v>02 Desember 1984</v>
      </c>
      <c r="S14" s="38" t="str">
        <f>VLOOKUP(A14,DATAKARYAWAN,20,0)</f>
        <v>LUMAJANG</v>
      </c>
      <c r="T14" s="38"/>
      <c r="U14" s="38" t="str">
        <f>VLOOKUP(A14,DATAKARYAWAN,22,0)</f>
        <v>KRAJAN TIMUR RT 03/RW 04</v>
      </c>
      <c r="V14" s="38" t="str">
        <f>VLOOKUP(A14,DATAKARYAWAN,23,0)</f>
        <v/>
      </c>
      <c r="W14" s="38" t="str">
        <f>VLOOKUP(A14,DATAKARYAWAN,24,0)</f>
        <v>JAWA TIMUR</v>
      </c>
      <c r="X14" s="38" t="str">
        <f>VLOOKUP(A14,DATAKARYAWAN,25,0)</f>
        <v>LUMAJANG</v>
      </c>
      <c r="Y14" s="38" t="str">
        <f>VLOOKUP(A14,DATAKARYAWAN,26,0)</f>
        <v>ROWOKANGKUNG</v>
      </c>
      <c r="Z14" s="38" t="str">
        <f>VLOOKUP(A14,DATAKARYAWAN,27,0)</f>
        <v>ROWOKANGKUNG</v>
      </c>
      <c r="AA14" s="38">
        <f>VLOOKUP(A14,DATAKARYAWAN,28,0)</f>
        <v>67359</v>
      </c>
      <c r="AB14" s="38"/>
      <c r="AC14" s="38"/>
      <c r="AD14" s="38" t="str">
        <f>VLOOKUP(A14,DATAKARYAWAN,31,0)</f>
        <v>K/1</v>
      </c>
      <c r="AE14" s="48"/>
      <c r="AF14" s="38" t="str">
        <f>VLOOKUP(A14,DATAKARYAWAN,33,0)</f>
        <v>tidak ada NPWP</v>
      </c>
      <c r="AG14" s="506">
        <f>VLOOKUP(A14,DATAKARYAWAN,34,0)</f>
        <v>25175565685</v>
      </c>
      <c r="AH14" s="38" t="str">
        <f>VLOOKUP(A14,DATAKARYAWAN,35,0)</f>
        <v>0001801486934</v>
      </c>
      <c r="AI14" s="38" t="str">
        <f>VLOOKUP(A14,DATAKARYAWAN,36,0)</f>
        <v/>
      </c>
      <c r="AJ14" s="38"/>
      <c r="AK14" s="485">
        <f>VLOOKUP(A14,DATAKARYAWAN,38,0)</f>
        <v>45850</v>
      </c>
      <c r="AL14" s="394"/>
      <c r="AM14" s="57"/>
      <c r="AN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</row>
    <row r="15" ht="15.75" customHeight="1">
      <c r="A15" s="90" t="s">
        <v>2015</v>
      </c>
      <c r="B15" s="38" t="str">
        <f>VLOOKUP(A15,DATAKARYAWAN,3,0)</f>
        <v>Karyawan Kontrak</v>
      </c>
      <c r="C15" s="38" t="str">
        <f>VLOOKUP(A15,DATAKARYAWAN,4,0)</f>
        <v>25-070015</v>
      </c>
      <c r="D15" s="38" t="str">
        <f>VLOOKUP(A15,DATAKARYAWAN,5,0)</f>
        <v>082245724644</v>
      </c>
      <c r="E15" s="38" t="str">
        <f>VLOOKUP(A15,DATAKARYAWAN,6,0)</f>
        <v/>
      </c>
      <c r="F15" s="38" t="str">
        <f>VLOOKUP(A15,DATAKARYAWAN,7,0)</f>
        <v>SOPIR PESONA</v>
      </c>
      <c r="G15" s="38" t="str">
        <f>VLOOKUP(A15,DATAKARYAWAN,8,0)</f>
        <v>PESONA</v>
      </c>
      <c r="H15" s="57"/>
      <c r="I15" s="38" t="str">
        <f>VLOOKUP(A15,DATAKARYAWAN,10,0)</f>
        <v>Indonesia</v>
      </c>
      <c r="J15" s="38" t="str">
        <f>VLOOKUP(A15,DATAKARYAWAN,11,0)</f>
        <v>ISLAM</v>
      </c>
      <c r="K15" s="38" t="str">
        <f>VLOOKUP(A15,DATAKARYAWAN,12,0)</f>
        <v>3525131507130003</v>
      </c>
      <c r="L15" s="38" t="str">
        <f>VLOOKUP(A15,DATAKARYAWAN,13,0)</f>
        <v>3516161212870001</v>
      </c>
      <c r="M15" s="38" t="str">
        <f>VLOOKUP(A15,DATAKARYAWAN,14,0)</f>
        <v/>
      </c>
      <c r="N15" s="38" t="str">
        <f>VLOOKUP(A15,DATAKARYAWAN,15,0)</f>
        <v/>
      </c>
      <c r="O15" s="38" t="str">
        <f>VLOOKUP(A15,DATAKARYAWAN,16,0)</f>
        <v>SMA</v>
      </c>
      <c r="P15" s="48"/>
      <c r="Q15" s="38" t="str">
        <f>VLOOKUP(A15,DATAKARYAWAN,18,0)</f>
        <v>LAKI - LAKI</v>
      </c>
      <c r="R15" s="38" t="str">
        <f>VLOOKUP(A15,DATAKARYAWAN,19,0)</f>
        <v>12 Desember 1987</v>
      </c>
      <c r="S15" s="38" t="str">
        <f>VLOOKUP(A15,DATAKARYAWAN,20,0)</f>
        <v>MOJOKERTO</v>
      </c>
      <c r="T15" s="38"/>
      <c r="U15" s="38" t="str">
        <f>VLOOKUP(A15,DATAKARYAWAN,22,0)</f>
        <v>DUSUN SETRO RT 05/ RW 03 </v>
      </c>
      <c r="V15" s="38" t="str">
        <f>VLOOKUP(A15,DATAKARYAWAN,23,0)</f>
        <v/>
      </c>
      <c r="W15" s="38" t="str">
        <f>VLOOKUP(A15,DATAKARYAWAN,24,0)</f>
        <v>JAWA TIMUR</v>
      </c>
      <c r="X15" s="38" t="str">
        <f>VLOOKUP(A15,DATAKARYAWAN,25,0)</f>
        <v>GRESIK</v>
      </c>
      <c r="Y15" s="38" t="str">
        <f>VLOOKUP(A15,DATAKARYAWAN,26,0)</f>
        <v>MENGANTI</v>
      </c>
      <c r="Z15" s="38" t="str">
        <f>VLOOKUP(A15,DATAKARYAWAN,27,0)</f>
        <v>SETRO</v>
      </c>
      <c r="AA15" s="38">
        <f>VLOOKUP(A15,DATAKARYAWAN,28,0)</f>
        <v>61174</v>
      </c>
      <c r="AB15" s="38"/>
      <c r="AC15" s="38"/>
      <c r="AD15" s="38" t="str">
        <f>VLOOKUP(A15,DATAKARYAWAN,31,0)</f>
        <v>K/2</v>
      </c>
      <c r="AE15" s="48"/>
      <c r="AF15" s="38" t="str">
        <f>VLOOKUP(A15,DATAKARYAWAN,33,0)</f>
        <v>tidak ada NPWP</v>
      </c>
      <c r="AG15" s="506">
        <f>VLOOKUP(A15,DATAKARYAWAN,34,0)</f>
        <v>25175565628</v>
      </c>
      <c r="AH15" s="38" t="str">
        <f>VLOOKUP(A15,DATAKARYAWAN,35,0)</f>
        <v>0002453327245</v>
      </c>
      <c r="AI15" s="38" t="str">
        <f>VLOOKUP(A15,DATAKARYAWAN,36,0)</f>
        <v/>
      </c>
      <c r="AJ15" s="38"/>
      <c r="AK15" s="485">
        <f>VLOOKUP(A15,DATAKARYAWAN,38,0)</f>
        <v>45864</v>
      </c>
      <c r="AL15" s="394"/>
      <c r="AM15" s="57"/>
      <c r="AN15" s="57"/>
      <c r="AO15" s="57"/>
      <c r="AP15" s="57"/>
      <c r="AQ15" s="57"/>
      <c r="AR15" s="57"/>
      <c r="AS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</row>
    <row r="16" ht="15.75" customHeight="1">
      <c r="A16" s="98" t="s">
        <v>2162</v>
      </c>
      <c r="B16" s="38" t="str">
        <f>VLOOKUP(A16,DATAKARYAWAN,3,0)</f>
        <v>Karyawan Kontrak</v>
      </c>
      <c r="C16" s="38" t="str">
        <f>VLOOKUP(A16,DATAKARYAWAN,4,0)</f>
        <v>25-090016</v>
      </c>
      <c r="D16" s="38" t="str">
        <f>VLOOKUP(A16,DATAKARYAWAN,5,0)</f>
        <v>085704258204</v>
      </c>
      <c r="E16" s="38" t="str">
        <f>VLOOKUP(A16,DATAKARYAWAN,6,0)</f>
        <v>masdanidani774@gmail.com</v>
      </c>
      <c r="F16" s="38" t="str">
        <f>VLOOKUP(A16,DATAKARYAWAN,7,0)</f>
        <v>SOPIR PESONA</v>
      </c>
      <c r="G16" s="38" t="str">
        <f>VLOOKUP(A16,DATAKARYAWAN,8,0)</f>
        <v>PESONA</v>
      </c>
      <c r="I16" s="38" t="str">
        <f>VLOOKUP(A16,DATAKARYAWAN,10,0)</f>
        <v>Indonesia</v>
      </c>
      <c r="J16" s="38" t="str">
        <f>VLOOKUP(A16,DATAKARYAWAN,11,0)</f>
        <v>ISLAM</v>
      </c>
      <c r="K16" s="38" t="str">
        <f>VLOOKUP(A16,DATAKARYAWAN,12,0)</f>
        <v>3516130212020286</v>
      </c>
      <c r="L16" s="38" t="str">
        <f>VLOOKUP(A16,DATAKARYAWAN,13,0)</f>
        <v>3516130512020002</v>
      </c>
      <c r="M16" s="38" t="str">
        <f>VLOOKUP(A16,DATAKARYAWAN,14,0)</f>
        <v/>
      </c>
      <c r="N16" s="38" t="str">
        <f>VLOOKUP(A16,DATAKARYAWAN,15,0)</f>
        <v/>
      </c>
      <c r="O16" s="38" t="str">
        <f>VLOOKUP(A16,DATAKARYAWAN,16,0)</f>
        <v>SMK</v>
      </c>
      <c r="P16" s="48"/>
      <c r="Q16" s="38" t="str">
        <f>VLOOKUP(A16,DATAKARYAWAN,18,0)</f>
        <v>LAKI - LAKI</v>
      </c>
      <c r="R16" s="38" t="str">
        <f>VLOOKUP(A16,DATAKARYAWAN,19,0)</f>
        <v>05 Desember 2002</v>
      </c>
      <c r="S16" s="38" t="str">
        <f>VLOOKUP(A16,DATAKARYAWAN,20,0)</f>
        <v>MOJOKERTO</v>
      </c>
      <c r="T16" s="38"/>
      <c r="U16" s="38" t="str">
        <f>VLOOKUP(A16,DATAKARYAWAN,22,0)</f>
        <v>KEDUNGMALING II RT/RW 07/03</v>
      </c>
      <c r="V16" s="38" t="str">
        <f>VLOOKUP(A16,DATAKARYAWAN,23,0)</f>
        <v/>
      </c>
      <c r="W16" s="38" t="str">
        <f>VLOOKUP(A16,DATAKARYAWAN,24,0)</f>
        <v>JAWA TIMUR</v>
      </c>
      <c r="X16" s="38" t="str">
        <f>VLOOKUP(A16,DATAKARYAWAN,25,0)</f>
        <v>MOJOKERTO</v>
      </c>
      <c r="Y16" s="38" t="str">
        <f>VLOOKUP(A16,DATAKARYAWAN,26,0)</f>
        <v>SOOKO</v>
      </c>
      <c r="Z16" s="38" t="str">
        <f>VLOOKUP(A16,DATAKARYAWAN,27,0)</f>
        <v>KEDUNG MALING</v>
      </c>
      <c r="AA16" s="38">
        <f>VLOOKUP(A16,DATAKARYAWAN,28,0)</f>
        <v>61361</v>
      </c>
      <c r="AB16" s="38"/>
      <c r="AC16" s="38"/>
      <c r="AD16" s="38" t="str">
        <f>VLOOKUP(A16,DATAKARYAWAN,31,0)</f>
        <v>TK/0</v>
      </c>
      <c r="AE16" s="48"/>
      <c r="AF16" s="38" t="str">
        <f>VLOOKUP(A16,DATAKARYAWAN,33,0)</f>
        <v>OKE</v>
      </c>
      <c r="AG16" s="508" t="s">
        <v>2061</v>
      </c>
      <c r="AH16" s="311" t="s">
        <v>2171</v>
      </c>
      <c r="AI16" s="38" t="str">
        <f>VLOOKUP(A16,DATAKARYAWAN,36,0)</f>
        <v/>
      </c>
      <c r="AJ16" s="38"/>
      <c r="AK16" s="485">
        <f>VLOOKUP(A16,DATAKARYAWAN,38,0)</f>
        <v>45929</v>
      </c>
    </row>
    <row r="17" ht="15.75" customHeight="1">
      <c r="A17" s="67" t="s">
        <v>2223</v>
      </c>
      <c r="B17" s="38" t="str">
        <f>VLOOKUP(A17,DATAKARYAWAN,3,0)</f>
        <v>Karyawan Kontrak</v>
      </c>
      <c r="C17" s="38" t="str">
        <f>VLOOKUP(A17,DATAKARYAWAN,4,0)</f>
        <v>25-110017</v>
      </c>
      <c r="D17" s="38" t="str">
        <f>VLOOKUP(A17,DATAKARYAWAN,5,0)</f>
        <v>62 812-3506-4373</v>
      </c>
      <c r="E17" s="38" t="str">
        <f>VLOOKUP(A17,DATAKARYAWAN,6,0)</f>
        <v>feniw150511@gmail.com</v>
      </c>
      <c r="F17" s="38" t="str">
        <f>VLOOKUP(A17,DATAKARYAWAN,7,0)</f>
        <v>STAFF ACCOUNTING &amp; TAX</v>
      </c>
      <c r="G17" s="38" t="str">
        <f>VLOOKUP(A17,DATAKARYAWAN,8,0)</f>
        <v>KEUANGAN</v>
      </c>
      <c r="I17" s="38" t="str">
        <f>VLOOKUP(A17,DATAKARYAWAN,10,0)</f>
        <v>Indonesia</v>
      </c>
      <c r="J17" s="38" t="str">
        <f>VLOOKUP(A17,DATAKARYAWAN,11,0)</f>
        <v>ISLAM</v>
      </c>
      <c r="K17" s="38" t="str">
        <f>VLOOKUP(A17,DATAKARYAWAN,12,0)</f>
        <v>3578312810190001</v>
      </c>
      <c r="L17" s="38" t="str">
        <f>VLOOKUP(A17,DATAKARYAWAN,13,0)</f>
        <v>3578316206940004</v>
      </c>
      <c r="M17" s="38" t="str">
        <f>VLOOKUP(A17,DATAKARYAWAN,14,0)</f>
        <v>BRI</v>
      </c>
      <c r="N17" s="38" t="str">
        <f>VLOOKUP(A17,DATAKARYAWAN,15,0)</f>
        <v>0328 0108 6502 507</v>
      </c>
      <c r="O17" s="38" t="str">
        <f>VLOOKUP(A17,DATAKARYAWAN,16,0)</f>
        <v>S1</v>
      </c>
      <c r="P17" s="48"/>
      <c r="Q17" s="38" t="str">
        <f>VLOOKUP(A17,DATAKARYAWAN,18,0)</f>
        <v>PEREMPUAN</v>
      </c>
      <c r="R17" s="38" t="str">
        <f>VLOOKUP(A17,DATAKARYAWAN,19,0)</f>
        <v>22 juni 1994</v>
      </c>
      <c r="S17" s="38" t="str">
        <f>VLOOKUP(A17,DATAKARYAWAN,20,0)</f>
        <v>SURABAYA</v>
      </c>
      <c r="T17" s="38"/>
      <c r="U17" s="38" t="str">
        <f>VLOOKUP(A17,DATAKARYAWAN,22,0)</f>
        <v>DK. KUWUKAN 2 NO. 71</v>
      </c>
      <c r="V17" s="38" t="str">
        <f>VLOOKUP(A17,DATAKARYAWAN,23,0)</f>
        <v/>
      </c>
      <c r="W17" s="38" t="str">
        <f>VLOOKUP(A17,DATAKARYAWAN,24,0)</f>
        <v>JAWA TIMUR</v>
      </c>
      <c r="X17" s="38" t="str">
        <f>VLOOKUP(A17,DATAKARYAWAN,25,0)</f>
        <v>SURABAYA</v>
      </c>
      <c r="Y17" s="38" t="str">
        <f>VLOOKUP(A17,DATAKARYAWAN,26,0)</f>
        <v>SAMBI KEREP</v>
      </c>
      <c r="Z17" s="38" t="str">
        <f>VLOOKUP(A17,DATAKARYAWAN,27,0)</f>
        <v>LONTAR</v>
      </c>
      <c r="AA17" s="38">
        <f>VLOOKUP(A17,DATAKARYAWAN,28,0)</f>
        <v>60216</v>
      </c>
      <c r="AB17" s="38"/>
      <c r="AC17" s="38"/>
      <c r="AD17" s="38" t="str">
        <f>VLOOKUP(A17,DATAKARYAWAN,31,0)</f>
        <v>TK/0</v>
      </c>
      <c r="AE17" s="48"/>
      <c r="AF17" s="38" t="str">
        <f>VLOOKUP(A17,DATAKARYAWAN,33,0)</f>
        <v>OKE</v>
      </c>
      <c r="AG17" s="38">
        <f>VLOOKUP(A17,DATAKARYAWAN,34,0)</f>
        <v>26028978349</v>
      </c>
      <c r="AH17" s="38" t="str">
        <f>VLOOKUP(A17,DATAKARYAWAN,35,0)</f>
        <v>0002156151666</v>
      </c>
      <c r="AI17" s="38" t="str">
        <f>VLOOKUP(A17,DATAKARYAWAN,36,0)</f>
        <v/>
      </c>
      <c r="AJ17" s="38"/>
      <c r="AK17" s="485">
        <f>VLOOKUP(A17,DATAKARYAWAN,38,0)</f>
        <v>45971</v>
      </c>
    </row>
    <row r="18" ht="15.75" customHeight="1">
      <c r="AG18" s="155" t="s">
        <v>2670</v>
      </c>
      <c r="AH18" s="155" t="s">
        <v>2671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3.57"/>
    <col customWidth="1" min="2" max="2" width="16.43"/>
    <col customWidth="1" min="3" max="3" width="11.0"/>
    <col customWidth="1" min="4" max="4" width="16.86"/>
    <col customWidth="1" min="5" max="5" width="32.0"/>
    <col customWidth="1" min="6" max="6" width="28.57"/>
    <col customWidth="1" min="7" max="7" width="23.86"/>
    <col customWidth="1" min="8" max="8" width="16.86"/>
    <col customWidth="1" min="9" max="9" width="8.71"/>
    <col customWidth="1" min="10" max="10" width="20.71"/>
    <col customWidth="1" min="11" max="11" width="21.57"/>
    <col customWidth="1" min="12" max="12" width="29.86"/>
    <col customWidth="1" min="13" max="16" width="8.71"/>
    <col customWidth="1" min="17" max="17" width="15.43"/>
    <col customWidth="1" min="18" max="18" width="20.29"/>
    <col customWidth="1" min="19" max="19" width="18.43"/>
    <col customWidth="1" min="20" max="20" width="38.14"/>
    <col customWidth="1" min="21" max="21" width="8.71"/>
    <col customWidth="1" min="22" max="22" width="18.43"/>
    <col customWidth="1" min="23" max="23" width="8.71"/>
    <col customWidth="1" min="24" max="24" width="13.86"/>
    <col customWidth="1" min="25" max="30" width="8.71"/>
    <col customWidth="1" min="31" max="31" width="23.43"/>
    <col customWidth="1" min="32" max="32" width="17.86"/>
    <col customWidth="1" min="33" max="33" width="22.86"/>
    <col customWidth="1" min="34" max="34" width="21.0"/>
    <col customWidth="1" min="35" max="35" width="10.0"/>
    <col customWidth="1" min="36" max="36" width="23.14"/>
    <col customWidth="1" min="37" max="37" width="20.29"/>
    <col customWidth="1" min="38" max="38" width="24.43"/>
    <col customWidth="1" min="39" max="89" width="17.43"/>
  </cols>
  <sheetData>
    <row r="1">
      <c r="A1" s="98" t="s">
        <v>2672</v>
      </c>
      <c r="B1" s="444" t="s">
        <v>3</v>
      </c>
      <c r="C1" s="444" t="s">
        <v>4</v>
      </c>
      <c r="D1" s="444" t="s">
        <v>5</v>
      </c>
      <c r="E1" s="444" t="s">
        <v>6</v>
      </c>
      <c r="F1" s="444" t="s">
        <v>2650</v>
      </c>
      <c r="G1" s="445" t="s">
        <v>8</v>
      </c>
      <c r="H1" s="444" t="s">
        <v>2651</v>
      </c>
      <c r="I1" s="444" t="s">
        <v>10</v>
      </c>
      <c r="J1" s="444" t="s">
        <v>11</v>
      </c>
      <c r="K1" s="444" t="s">
        <v>12</v>
      </c>
      <c r="L1" s="444" t="s">
        <v>13</v>
      </c>
      <c r="M1" s="444" t="s">
        <v>14</v>
      </c>
      <c r="N1" s="444" t="s">
        <v>15</v>
      </c>
      <c r="O1" s="444" t="s">
        <v>16</v>
      </c>
      <c r="P1" s="444" t="s">
        <v>2652</v>
      </c>
      <c r="Q1" s="444" t="s">
        <v>18</v>
      </c>
      <c r="R1" s="444" t="s">
        <v>19</v>
      </c>
      <c r="S1" s="444" t="s">
        <v>20</v>
      </c>
      <c r="T1" s="446" t="s">
        <v>21</v>
      </c>
      <c r="U1" s="444" t="s">
        <v>22</v>
      </c>
      <c r="V1" s="444" t="s">
        <v>23</v>
      </c>
      <c r="W1" s="444" t="s">
        <v>24</v>
      </c>
      <c r="X1" s="444" t="s">
        <v>25</v>
      </c>
      <c r="Y1" s="444" t="s">
        <v>26</v>
      </c>
      <c r="Z1" s="444" t="s">
        <v>27</v>
      </c>
      <c r="AA1" s="444" t="s">
        <v>28</v>
      </c>
      <c r="AB1" s="444" t="s">
        <v>29</v>
      </c>
      <c r="AC1" s="444" t="s">
        <v>30</v>
      </c>
      <c r="AD1" s="444" t="s">
        <v>31</v>
      </c>
      <c r="AE1" s="444" t="s">
        <v>32</v>
      </c>
      <c r="AF1" s="444" t="s">
        <v>33</v>
      </c>
      <c r="AG1" s="444" t="s">
        <v>2653</v>
      </c>
      <c r="AH1" s="444" t="s">
        <v>35</v>
      </c>
      <c r="AI1" s="444" t="s">
        <v>36</v>
      </c>
      <c r="AJ1" s="444" t="s">
        <v>38</v>
      </c>
      <c r="AK1" s="444" t="s">
        <v>39</v>
      </c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</row>
    <row r="2" ht="15.0" customHeight="1">
      <c r="A2" s="510" t="s">
        <v>635</v>
      </c>
      <c r="B2" s="38" t="str">
        <f>VLOOKUP(A2,DATAKARYAWAN,3,0)</f>
        <v>Karyawan Tetap</v>
      </c>
      <c r="C2" s="38" t="str">
        <f>VLOOKUP(A2,DATAKARYAWAN,4,0)</f>
        <v>19-110001</v>
      </c>
      <c r="D2" s="38" t="str">
        <f>VLOOKUP(A2,DATAKARYAWAN,5,0)</f>
        <v>082232323738</v>
      </c>
      <c r="E2" s="38" t="str">
        <f>VLOOKUP(A2,DATAKARYAWAN,6,0)</f>
        <v>febrian.fufu2702@gmail.com</v>
      </c>
      <c r="F2" s="38" t="str">
        <f>VLOOKUP(A2,DATAKARYAWAN,7,0)</f>
        <v>MANAGER GA &amp; ASET</v>
      </c>
      <c r="G2" s="38" t="str">
        <f>VLOOKUP(A2,DATAKARYAWAN,8,0)</f>
        <v>MANAGERIAL</v>
      </c>
      <c r="H2" s="53"/>
      <c r="I2" s="38" t="str">
        <f>VLOOKUP(A2,DATAKARYAWAN,10,0)</f>
        <v>Indonesia</v>
      </c>
      <c r="J2" s="38" t="str">
        <f>VLOOKUP(A2,DATAKARYAWAN,11,0)</f>
        <v>BUDDHA</v>
      </c>
      <c r="K2" s="38" t="str">
        <f>VLOOKUP(A2,DATAKARYAWAN,12,0)</f>
        <v>3578261006130003</v>
      </c>
      <c r="L2" s="38" t="str">
        <f>VLOOKUP(A2,DATAKARYAWAN,13,0)</f>
        <v>7371032702920001</v>
      </c>
      <c r="M2" s="38" t="str">
        <f>VLOOKUP(A2,DATAKARYAWAN,14,0)</f>
        <v>OCBC NISP</v>
      </c>
      <c r="N2" s="38">
        <f>VLOOKUP(A2,DATAKARYAWAN,15,0)</f>
        <v>58810108033</v>
      </c>
      <c r="O2" s="38" t="str">
        <f>VLOOKUP(A2,DATAKARYAWAN,16,0)</f>
        <v>S1</v>
      </c>
      <c r="P2" s="48"/>
      <c r="Q2" s="38" t="str">
        <f>VLOOKUP(A2,DATAKARYAWAN,18,0)</f>
        <v>LAKI-LAKI</v>
      </c>
      <c r="R2" s="49" t="str">
        <f>VLOOKUP(A2,DATAKARYAWAN,19,0)</f>
        <v>27 Februari 1992</v>
      </c>
      <c r="S2" s="38" t="str">
        <f>VLOOKUP(A2,DATAKARYAWAN,20,0)</f>
        <v>SURABAYA</v>
      </c>
      <c r="T2" s="38"/>
      <c r="U2" s="38" t="str">
        <f>VLOOKUP(A2,DATAKARYAWAN,22,0)</f>
        <v>BABATAN PANTAI UTARA 7/9 RT 1 / RW 5</v>
      </c>
      <c r="V2" s="38" t="str">
        <f>VLOOKUP(A2,DATAKARYAWAN,23,0)</f>
        <v/>
      </c>
      <c r="W2" s="38" t="str">
        <f>VLOOKUP(A2,DATAKARYAWAN,24,0)</f>
        <v>JAWA TIMUR</v>
      </c>
      <c r="X2" s="38" t="str">
        <f>VLOOKUP(A2,DATAKARYAWAN,25,0)</f>
        <v>SURABAYA</v>
      </c>
      <c r="Y2" s="38" t="str">
        <f>VLOOKUP(A2,DATAKARYAWAN,26,0)</f>
        <v>MULYOREJO</v>
      </c>
      <c r="Z2" s="38" t="str">
        <f>VLOOKUP(A2,DATAKARYAWAN,27,0)</f>
        <v>KALIJUDAN</v>
      </c>
      <c r="AA2" s="38">
        <f>VLOOKUP(A2,DATAKARYAWAN,28,0)</f>
        <v>60114</v>
      </c>
      <c r="AB2" s="38"/>
      <c r="AC2" s="38"/>
      <c r="AD2" s="38" t="str">
        <f>VLOOKUP(A2,DATAKARYAWAN,31,0)</f>
        <v>K/0</v>
      </c>
      <c r="AE2" s="48"/>
      <c r="AF2" s="38" t="str">
        <f>VLOOKUP(A2,DATAKARYAWAN,33,0)</f>
        <v>804970663619000</v>
      </c>
      <c r="AG2" s="38">
        <f>VLOOKUP(A2,DATAKARYAWAN,34,0)</f>
        <v>21025506409</v>
      </c>
      <c r="AH2" s="38" t="str">
        <f>VLOOKUP(A2,DATAKARYAWAN,35,0)</f>
        <v>0001732116003</v>
      </c>
      <c r="AI2" s="38" t="str">
        <f>VLOOKUP(A2,DATAKARYAWAN,36,0)</f>
        <v>Kelas 1</v>
      </c>
      <c r="AJ2" s="38"/>
      <c r="AK2" s="38" t="str">
        <f>VLOOKUP(A2,DATAKARYAWAN,38,0)</f>
        <v>30 September 2019</v>
      </c>
    </row>
    <row r="3" ht="15.75" customHeight="1">
      <c r="A3" s="510" t="s">
        <v>935</v>
      </c>
      <c r="B3" s="38" t="str">
        <f>VLOOKUP(A3,DATAKARYAWAN,3,0)</f>
        <v>Karyawan Tetap</v>
      </c>
      <c r="C3" s="38" t="str">
        <f>VLOOKUP(A3,DATAKARYAWAN,4,0)</f>
        <v>23-060002</v>
      </c>
      <c r="D3" s="38" t="str">
        <f>VLOOKUP(A3,DATAKARYAWAN,5,0)</f>
        <v>085323886000</v>
      </c>
      <c r="E3" s="38" t="str">
        <f>VLOOKUP(A3,DATAKARYAWAN,6,0)</f>
        <v>noviloa06@gmail.com</v>
      </c>
      <c r="F3" s="38" t="str">
        <f>VLOOKUP(A3,DATAKARYAWAN,7,0)</f>
        <v>KEPALA KEUANGAN CAB. MKS</v>
      </c>
      <c r="G3" s="38" t="str">
        <f>VLOOKUP(A3,DATAKARYAWAN,8,0)</f>
        <v>KEUANGAN</v>
      </c>
      <c r="H3" s="53"/>
      <c r="I3" s="38" t="str">
        <f>VLOOKUP(A3,DATAKARYAWAN,10,0)</f>
        <v>Indonesia</v>
      </c>
      <c r="J3" s="38" t="str">
        <f>VLOOKUP(A3,DATAKARYAWAN,11,0)</f>
        <v>BUDDHA</v>
      </c>
      <c r="K3" s="38" t="str">
        <f>VLOOKUP(A3,DATAKARYAWAN,12,0)</f>
        <v>7371102609170002</v>
      </c>
      <c r="L3" s="38" t="str">
        <f>VLOOKUP(A3,DATAKARYAWAN,13,0)</f>
        <v>7372034608890002</v>
      </c>
      <c r="M3" s="38" t="str">
        <f>VLOOKUP(A3,DATAKARYAWAN,14,0)</f>
        <v/>
      </c>
      <c r="N3" s="38" t="str">
        <f>VLOOKUP(A3,DATAKARYAWAN,15,0)</f>
        <v/>
      </c>
      <c r="O3" s="38" t="str">
        <f>VLOOKUP(A3,DATAKARYAWAN,16,0)</f>
        <v>D4/S1</v>
      </c>
      <c r="P3" s="48"/>
      <c r="Q3" s="38" t="str">
        <f>VLOOKUP(A3,DATAKARYAWAN,18,0)</f>
        <v>PEREMPUAN</v>
      </c>
      <c r="R3" s="38" t="str">
        <f>VLOOKUP(A3,DATAKARYAWAN,19,0)</f>
        <v>06 Agustus 1989</v>
      </c>
      <c r="S3" s="38" t="str">
        <f>VLOOKUP(A3,DATAKARYAWAN,20,0)</f>
        <v>PARE-PARE</v>
      </c>
      <c r="T3" s="38"/>
      <c r="U3" s="38" t="str">
        <f>VLOOKUP(A3,DATAKARYAWAN,22,0)</f>
        <v>JL. GUNUNG RINJANI 2 NO.1 RT 04/ RW 08</v>
      </c>
      <c r="V3" s="38" t="str">
        <f>VLOOKUP(A3,DATAKARYAWAN,23,0)</f>
        <v/>
      </c>
      <c r="W3" s="38" t="str">
        <f>VLOOKUP(A3,DATAKARYAWAN,24,0)</f>
        <v>SULAWESI SELATAN</v>
      </c>
      <c r="X3" s="38" t="str">
        <f>VLOOKUP(A3,DATAKARYAWAN,25,0)</f>
        <v>MAKASSAR</v>
      </c>
      <c r="Y3" s="38" t="str">
        <f>VLOOKUP(A3,DATAKARYAWAN,26,0)</f>
        <v>TAMALATE</v>
      </c>
      <c r="Z3" s="38" t="str">
        <f>VLOOKUP(A3,DATAKARYAWAN,27,0)</f>
        <v>TANJUNG MERDEKA</v>
      </c>
      <c r="AA3" s="38">
        <f>VLOOKUP(A3,DATAKARYAWAN,28,0)</f>
        <v>90224</v>
      </c>
      <c r="AB3" s="38"/>
      <c r="AC3" s="38"/>
      <c r="AD3" s="38" t="str">
        <f>VLOOKUP(A3,DATAKARYAWAN,31,0)</f>
        <v>TK/0</v>
      </c>
      <c r="AE3" s="48"/>
      <c r="AF3" s="38" t="str">
        <f>VLOOKUP(A3,DATAKARYAWAN,33,0)</f>
        <v>911596849804000</v>
      </c>
      <c r="AG3" s="38">
        <f>VLOOKUP(A3,DATAKARYAWAN,34,0)</f>
        <v>23158787111</v>
      </c>
      <c r="AH3" s="38" t="str">
        <f>VLOOKUP(A3,DATAKARYAWAN,35,0)</f>
        <v>0002618255518</v>
      </c>
      <c r="AI3" s="38" t="str">
        <f>VLOOKUP(A3,DATAKARYAWAN,36,0)</f>
        <v>Kelas 2</v>
      </c>
      <c r="AJ3" s="38"/>
      <c r="AK3" s="451">
        <f>VLOOKUP(A3,DATAKARYAWAN,38,0)</f>
        <v>45085</v>
      </c>
    </row>
    <row r="4" ht="15.75" customHeight="1">
      <c r="A4" s="511" t="s">
        <v>1011</v>
      </c>
      <c r="B4" s="38" t="str">
        <f>VLOOKUP(A4,DATAKARYAWAN,3,0)</f>
        <v>Karyawan Tetap</v>
      </c>
      <c r="C4" s="38" t="str">
        <f>VLOOKUP(A4,DATAKARYAWAN,4,0)</f>
        <v>23-070003</v>
      </c>
      <c r="D4" s="38" t="str">
        <f>VLOOKUP(A4,DATAKARYAWAN,5,0)</f>
        <v>082193039457</v>
      </c>
      <c r="E4" s="453" t="str">
        <f>VLOOKUP(A4,DATAKARYAWAN,6,0)</f>
        <v>nurjannihpratiwi@gmail.com</v>
      </c>
      <c r="F4" s="38" t="str">
        <f>VLOOKUP(A4,DATAKARYAWAN,7,0)</f>
        <v>STAFF AR CAB. MKS</v>
      </c>
      <c r="G4" s="38" t="str">
        <f>VLOOKUP(A4,DATAKARYAWAN,8,0)</f>
        <v>KEUANGAN</v>
      </c>
      <c r="H4" s="53"/>
      <c r="I4" s="38" t="str">
        <f>VLOOKUP(A4,DATAKARYAWAN,10,0)</f>
        <v>Indonesia</v>
      </c>
      <c r="J4" s="38" t="str">
        <f>VLOOKUP(A4,DATAKARYAWAN,11,0)</f>
        <v>ISLAM</v>
      </c>
      <c r="K4" s="38" t="str">
        <f>VLOOKUP(A4,DATAKARYAWAN,12,0)</f>
        <v>7371102011230011</v>
      </c>
      <c r="L4" s="38" t="str">
        <f>VLOOKUP(A4,DATAKARYAWAN,13,0)</f>
        <v>7371106702930005</v>
      </c>
      <c r="M4" s="38" t="str">
        <f>VLOOKUP(A4,DATAKARYAWAN,14,0)</f>
        <v/>
      </c>
      <c r="N4" s="38" t="str">
        <f>VLOOKUP(A4,DATAKARYAWAN,15,0)</f>
        <v/>
      </c>
      <c r="O4" s="38" t="str">
        <f>VLOOKUP(A4,DATAKARYAWAN,16,0)</f>
        <v>S1</v>
      </c>
      <c r="P4" s="48"/>
      <c r="Q4" s="38" t="str">
        <f>VLOOKUP(A4,DATAKARYAWAN,18,0)</f>
        <v>PEREMPUAN</v>
      </c>
      <c r="R4" s="38" t="str">
        <f>VLOOKUP(A4,DATAKARYAWAN,19,0)</f>
        <v>27 Februari 1993</v>
      </c>
      <c r="S4" s="38" t="str">
        <f>VLOOKUP(A4,DATAKARYAWAN,20,0)</f>
        <v>UJUNG PANDANG</v>
      </c>
      <c r="T4" s="38"/>
      <c r="U4" s="38" t="str">
        <f>VLOOKUP(A4,DATAKARYAWAN,22,0)</f>
        <v>JL MANUNGGAL 31 NO.9 RT 04/RW 08</v>
      </c>
      <c r="V4" s="38" t="str">
        <f>VLOOKUP(A4,DATAKARYAWAN,23,0)</f>
        <v/>
      </c>
      <c r="W4" s="38" t="str">
        <f>VLOOKUP(A4,DATAKARYAWAN,24,0)</f>
        <v>SULAWESI SELATAN</v>
      </c>
      <c r="X4" s="38" t="str">
        <f>VLOOKUP(A4,DATAKARYAWAN,25,0)</f>
        <v>MAKASSAR</v>
      </c>
      <c r="Y4" s="38" t="str">
        <f>VLOOKUP(A4,DATAKARYAWAN,26,0)</f>
        <v>TAMALATE</v>
      </c>
      <c r="Z4" s="38" t="str">
        <f>VLOOKUP(A4,DATAKARYAWAN,27,0)</f>
        <v>MACCINI SOMBALA</v>
      </c>
      <c r="AA4" s="38">
        <f>VLOOKUP(A4,DATAKARYAWAN,28,0)</f>
        <v>90224</v>
      </c>
      <c r="AB4" s="38"/>
      <c r="AC4" s="38"/>
      <c r="AD4" s="38" t="str">
        <f>VLOOKUP(A4,DATAKARYAWAN,31,0)</f>
        <v>TK/3</v>
      </c>
      <c r="AE4" s="48"/>
      <c r="AF4" s="38" t="str">
        <f>VLOOKUP(A4,DATAKARYAWAN,33,0)</f>
        <v>752660506804000</v>
      </c>
      <c r="AG4" s="38">
        <f>VLOOKUP(A4,DATAKARYAWAN,34,0)</f>
        <v>23193553841</v>
      </c>
      <c r="AH4" s="38" t="str">
        <f>VLOOKUP(A4,DATAKARYAWAN,35,0)</f>
        <v>0001585110058</v>
      </c>
      <c r="AI4" s="38" t="str">
        <f>VLOOKUP(A4,DATAKARYAWAN,36,0)</f>
        <v>Kelas 2</v>
      </c>
      <c r="AJ4" s="38"/>
      <c r="AK4" s="451">
        <f>VLOOKUP(A4,DATAKARYAWAN,38,0)</f>
        <v>45131</v>
      </c>
      <c r="AL4" s="45" t="s">
        <v>892</v>
      </c>
      <c r="AM4" s="155" t="s">
        <v>904</v>
      </c>
    </row>
    <row r="5" ht="15.75" customHeight="1">
      <c r="A5" s="512" t="s">
        <v>1149</v>
      </c>
      <c r="B5" s="38" t="str">
        <f>VLOOKUP(A5,DATAKARYAWAN,3,0)</f>
        <v>Karyawan Kontrak</v>
      </c>
      <c r="C5" s="38" t="str">
        <f>VLOOKUP(A5,DATAKARYAWAN,4,0)</f>
        <v>23-110005</v>
      </c>
      <c r="D5" s="38" t="str">
        <f>VLOOKUP(A5,DATAKARYAWAN,5,0)</f>
        <v>082349885195</v>
      </c>
      <c r="E5" s="453" t="str">
        <f>VLOOKUP(A5,DATAKARYAWAN,6,0)</f>
        <v>audyleatemia1@gmail.com</v>
      </c>
      <c r="F5" s="38" t="str">
        <f>VLOOKUP(A5,DATAKARYAWAN,7,0)</f>
        <v>STAFF COLLECTION CAB. MAKASSAR</v>
      </c>
      <c r="G5" s="38" t="str">
        <f>VLOOKUP(A5,DATAKARYAWAN,8,0)</f>
        <v>KEUANGAN</v>
      </c>
      <c r="H5" s="53"/>
      <c r="I5" s="38" t="str">
        <f>VLOOKUP(A5,DATAKARYAWAN,10,0)</f>
        <v>Indonesia</v>
      </c>
      <c r="J5" s="38" t="str">
        <f>VLOOKUP(A5,DATAKARYAWAN,11,0)</f>
        <v>KRISTEN</v>
      </c>
      <c r="K5" s="38" t="str">
        <f>VLOOKUP(A5,DATAKARYAWAN,12,0)</f>
        <v>7371032505210016</v>
      </c>
      <c r="L5" s="38" t="str">
        <f>VLOOKUP(A5,DATAKARYAWAN,13,0)</f>
        <v>7371031507980003</v>
      </c>
      <c r="M5" s="38" t="str">
        <f>VLOOKUP(A5,DATAKARYAWAN,14,0)</f>
        <v/>
      </c>
      <c r="N5" s="38" t="str">
        <f>VLOOKUP(A5,DATAKARYAWAN,15,0)</f>
        <v/>
      </c>
      <c r="O5" s="38" t="str">
        <f>VLOOKUP(A5,DATAKARYAWAN,16,0)</f>
        <v>S1</v>
      </c>
      <c r="P5" s="48"/>
      <c r="Q5" s="38" t="str">
        <f>VLOOKUP(A5,DATAKARYAWAN,18,0)</f>
        <v>LAKI-LAKI</v>
      </c>
      <c r="R5" s="38" t="str">
        <f>VLOOKUP(A5,DATAKARYAWAN,19,0)</f>
        <v>05 Juni 1997</v>
      </c>
      <c r="S5" s="38" t="str">
        <f>VLOOKUP(A5,DATAKARYAWAN,20,0)</f>
        <v>SURABAYA</v>
      </c>
      <c r="T5" s="38"/>
      <c r="U5" s="38" t="str">
        <f>VLOOKUP(A5,DATAKARYAWAN,22,0)</f>
        <v>JL. TONDONG KURA NO. 11/27 RT 05/ RW 02</v>
      </c>
      <c r="V5" s="38" t="str">
        <f>VLOOKUP(A5,DATAKARYAWAN,23,0)</f>
        <v/>
      </c>
      <c r="W5" s="38" t="str">
        <f>VLOOKUP(A5,DATAKARYAWAN,24,0)</f>
        <v>SULAWESI SELATAN</v>
      </c>
      <c r="X5" s="38" t="str">
        <f>VLOOKUP(A5,DATAKARYAWAN,25,0)</f>
        <v>MAKASSAR</v>
      </c>
      <c r="Y5" s="38" t="str">
        <f>VLOOKUP(A5,DATAKARYAWAN,26,0)</f>
        <v>MAKASSAR</v>
      </c>
      <c r="Z5" s="38" t="str">
        <f>VLOOKUP(A5,DATAKARYAWAN,27,0)</f>
        <v>MARADEKAYA</v>
      </c>
      <c r="AA5" s="38">
        <f>VLOOKUP(A5,DATAKARYAWAN,28,0)</f>
        <v>90141</v>
      </c>
      <c r="AB5" s="38"/>
      <c r="AC5" s="38"/>
      <c r="AD5" s="38" t="str">
        <f>VLOOKUP(A5,DATAKARYAWAN,31,0)</f>
        <v>TK/0</v>
      </c>
      <c r="AE5" s="48"/>
      <c r="AF5" s="38" t="str">
        <f>VLOOKUP(A5,DATAKARYAWAN,33,0)</f>
        <v>tidak ada NPWP</v>
      </c>
      <c r="AG5" s="38">
        <f>VLOOKUP(A5,DATAKARYAWAN,34,0)</f>
        <v>24045194123</v>
      </c>
      <c r="AH5" s="38" t="str">
        <f>VLOOKUP(A5,DATAKARYAWAN,35,0)</f>
        <v>0003089293964</v>
      </c>
      <c r="AI5" s="38" t="str">
        <f>VLOOKUP(A5,DATAKARYAWAN,36,0)</f>
        <v>Kelas 1</v>
      </c>
      <c r="AJ5" s="38"/>
      <c r="AK5" s="93" t="s">
        <v>2673</v>
      </c>
      <c r="AL5" s="45" t="s">
        <v>990</v>
      </c>
      <c r="AM5" s="277" t="s">
        <v>1160</v>
      </c>
      <c r="AN5" s="370" t="s">
        <v>1161</v>
      </c>
      <c r="AO5" s="98" t="s">
        <v>1162</v>
      </c>
    </row>
    <row r="6" ht="15.75" customHeight="1">
      <c r="A6" s="512" t="s">
        <v>1321</v>
      </c>
      <c r="B6" s="38" t="str">
        <f>VLOOKUP(A6,DATAKARYAWAN,3,0)</f>
        <v>Karyawan Tetap</v>
      </c>
      <c r="C6" s="38" t="str">
        <f>VLOOKUP(A6,DATAKARYAWAN,4,0)</f>
        <v>24-040008</v>
      </c>
      <c r="D6" s="38" t="str">
        <f>VLOOKUP(A6,DATAKARYAWAN,5,0)</f>
        <v>085399182901</v>
      </c>
      <c r="E6" s="38" t="str">
        <f>VLOOKUP(A6,DATAKARYAWAN,6,0)</f>
        <v>yuliussampenanna@gmail.com</v>
      </c>
      <c r="F6" s="38" t="str">
        <f>VLOOKUP(A6,DATAKARYAWAN,7,0)</f>
        <v>STAFF FINANCE CAB.MKS</v>
      </c>
      <c r="G6" s="38" t="str">
        <f>VLOOKUP(A6,DATAKARYAWAN,8,0)</f>
        <v>KEUANGAN </v>
      </c>
      <c r="H6" s="53"/>
      <c r="I6" s="38" t="str">
        <f>VLOOKUP(A6,DATAKARYAWAN,10,0)</f>
        <v>Indonesia</v>
      </c>
      <c r="J6" s="38" t="str">
        <f>VLOOKUP(A6,DATAKARYAWAN,11,0)</f>
        <v>KRISTEN</v>
      </c>
      <c r="K6" s="38" t="str">
        <f>VLOOKUP(A6,DATAKARYAWAN,12,0)</f>
        <v>7371091801080022</v>
      </c>
      <c r="L6" s="38" t="str">
        <f>VLOOKUP(A6,DATAKARYAWAN,13,0)</f>
        <v>7371090306760003</v>
      </c>
      <c r="M6" s="38" t="str">
        <f>VLOOKUP(A6,DATAKARYAWAN,14,0)</f>
        <v>OCBC</v>
      </c>
      <c r="N6" s="38" t="str">
        <f>VLOOKUP(A6,DATAKARYAWAN,15,0)</f>
        <v>0000000058810123438</v>
      </c>
      <c r="O6" s="38" t="str">
        <f>VLOOKUP(A6,DATAKARYAWAN,16,0)</f>
        <v>SLTA</v>
      </c>
      <c r="P6" s="48"/>
      <c r="Q6" s="38" t="str">
        <f>VLOOKUP(A6,DATAKARYAWAN,18,0)</f>
        <v>LAKI-LAKI</v>
      </c>
      <c r="R6" s="38" t="str">
        <f>VLOOKUP(A6,DATAKARYAWAN,19,0)</f>
        <v>03 Juni 1976</v>
      </c>
      <c r="S6" s="38" t="str">
        <f>VLOOKUP(A6,DATAKARYAWAN,20,0)</f>
        <v>TANA TORAJA</v>
      </c>
      <c r="T6" s="38"/>
      <c r="U6" s="38" t="str">
        <f>VLOOKUP(A6,DATAKARYAWAN,22,0)</f>
        <v>JL. DIRGANTARA LR 13 NO 4 B</v>
      </c>
      <c r="V6" s="38" t="str">
        <f>VLOOKUP(A6,DATAKARYAWAN,23,0)</f>
        <v/>
      </c>
      <c r="W6" s="38" t="str">
        <f>VLOOKUP(A6,DATAKARYAWAN,24,0)</f>
        <v>SULAWESI SELATAN</v>
      </c>
      <c r="X6" s="38" t="str">
        <f>VLOOKUP(A6,DATAKARYAWAN,25,0)</f>
        <v>MAKASSAR</v>
      </c>
      <c r="Y6" s="38" t="str">
        <f>VLOOKUP(A6,DATAKARYAWAN,26,0)</f>
        <v>PANAKKUANG</v>
      </c>
      <c r="Z6" s="38" t="str">
        <f>VLOOKUP(A6,DATAKARYAWAN,27,0)</f>
        <v>PAROPO</v>
      </c>
      <c r="AA6" s="38">
        <f>VLOOKUP(A6,DATAKARYAWAN,28,0)</f>
        <v>0</v>
      </c>
      <c r="AB6" s="38"/>
      <c r="AC6" s="38"/>
      <c r="AD6" s="38" t="str">
        <f>VLOOKUP(A6,DATAKARYAWAN,31,0)</f>
        <v>K/3</v>
      </c>
      <c r="AE6" s="48"/>
      <c r="AF6" s="38" t="str">
        <f>VLOOKUP(A6,DATAKARYAWAN,33,0)</f>
        <v>401782420805000</v>
      </c>
      <c r="AG6" s="38">
        <f>VLOOKUP(A6,DATAKARYAWAN,34,0)</f>
        <v>8005949667</v>
      </c>
      <c r="AH6" s="38" t="str">
        <f>VLOOKUP(A6,DATAKARYAWAN,35,0)</f>
        <v>0001133475478</v>
      </c>
      <c r="AI6" s="38" t="str">
        <f>VLOOKUP(A6,DATAKARYAWAN,36,0)</f>
        <v>Kelas 2</v>
      </c>
      <c r="AJ6" s="38"/>
      <c r="AK6" s="451" t="str">
        <f>VLOOKUP(A6,DATAKARYAWAN,38,0)</f>
        <v>01 April 2024</v>
      </c>
    </row>
    <row r="7" ht="15.75" customHeight="1">
      <c r="A7" s="408" t="s">
        <v>1423</v>
      </c>
      <c r="B7" s="38" t="str">
        <f>VLOOKUP(A7,DATAKARYAWAN,3,0)</f>
        <v>Karyawan Kontrak</v>
      </c>
      <c r="C7" s="38" t="str">
        <f>VLOOKUP(A7,DATAKARYAWAN,4,0)</f>
        <v>24-090010</v>
      </c>
      <c r="D7" s="38" t="str">
        <f>VLOOKUP(A7,DATAKARYAWAN,5,0)</f>
        <v>081265996660</v>
      </c>
      <c r="E7" s="38" t="str">
        <f>VLOOKUP(A7,DATAKARYAWAN,6,0)</f>
        <v>hofmanharianto@gmail.com</v>
      </c>
      <c r="F7" s="38" t="str">
        <f>VLOOKUP(A7,DATAKARYAWAN,7,0)</f>
        <v>OPERASIONAL CAB. MKS</v>
      </c>
      <c r="G7" s="38" t="str">
        <f>VLOOKUP(A7,DATAKARYAWAN,8,0)</f>
        <v>OPERASIONAL</v>
      </c>
      <c r="H7" s="53"/>
      <c r="I7" s="38" t="str">
        <f>VLOOKUP(A7,DATAKARYAWAN,10,0)</f>
        <v>Indonesia</v>
      </c>
      <c r="J7" s="38" t="str">
        <f>VLOOKUP(A7,DATAKARYAWAN,11,0)</f>
        <v>KRISTEN</v>
      </c>
      <c r="K7" s="38" t="str">
        <f>VLOOKUP(A7,DATAKARYAWAN,12,0)</f>
        <v>1271092604160012</v>
      </c>
      <c r="L7" s="38" t="str">
        <f>VLOOKUP(A7,DATAKARYAWAN,13,0)</f>
        <v>1271091805920001</v>
      </c>
      <c r="M7" s="38" t="str">
        <f>VLOOKUP(A7,DATAKARYAWAN,14,0)</f>
        <v/>
      </c>
      <c r="N7" s="38" t="str">
        <f>VLOOKUP(A7,DATAKARYAWAN,15,0)</f>
        <v/>
      </c>
      <c r="O7" s="38" t="str">
        <f>VLOOKUP(A7,DATAKARYAWAN,16,0)</f>
        <v>S1</v>
      </c>
      <c r="P7" s="48"/>
      <c r="Q7" s="38" t="str">
        <f>VLOOKUP(A7,DATAKARYAWAN,18,0)</f>
        <v>LAKI-LAKI</v>
      </c>
      <c r="R7" s="38" t="str">
        <f>VLOOKUP(A7,DATAKARYAWAN,19,0)</f>
        <v>18 Mei 1992</v>
      </c>
      <c r="S7" s="38" t="str">
        <f>VLOOKUP(A7,DATAKARYAWAN,20,0)</f>
        <v>L.PAKAM</v>
      </c>
      <c r="T7" s="38"/>
      <c r="U7" s="38" t="str">
        <f>VLOOKUP(A7,DATAKARYAWAN,22,0)</f>
        <v>JL. SELAMAT LURUS NO 19-S MEDAN</v>
      </c>
      <c r="V7" s="38" t="str">
        <f>VLOOKUP(A7,DATAKARYAWAN,23,0)</f>
        <v/>
      </c>
      <c r="W7" s="38" t="str">
        <f>VLOOKUP(A7,DATAKARYAWAN,24,0)</f>
        <v>SUMATERA UTARA</v>
      </c>
      <c r="X7" s="38" t="str">
        <f>VLOOKUP(A7,DATAKARYAWAN,25,0)</f>
        <v>MEDAN</v>
      </c>
      <c r="Y7" s="38" t="str">
        <f>VLOOKUP(A7,DATAKARYAWAN,26,0)</f>
        <v>MEDAN AMPLAS</v>
      </c>
      <c r="Z7" s="38" t="str">
        <f>VLOOKUP(A7,DATAKARYAWAN,27,0)</f>
        <v>SITIREJO III</v>
      </c>
      <c r="AA7" s="38">
        <f>VLOOKUP(A7,DATAKARYAWAN,28,0)</f>
        <v>20219</v>
      </c>
      <c r="AB7" s="38"/>
      <c r="AC7" s="38"/>
      <c r="AD7" s="38" t="str">
        <f>VLOOKUP(A7,DATAKARYAWAN,31,0)</f>
        <v>TK/0</v>
      </c>
      <c r="AE7" s="48"/>
      <c r="AF7" s="38" t="str">
        <f>VLOOKUP(A7,DATAKARYAWAN,33,0)</f>
        <v>tidak ada NPWP</v>
      </c>
      <c r="AG7" s="38" t="str">
        <f>VLOOKUP(A7,DATAKARYAWAN,34,0)</f>
        <v>BELUM</v>
      </c>
      <c r="AH7" s="38" t="str">
        <f>VLOOKUP(A7,DATAKARYAWAN,35,0)</f>
        <v>BELUM</v>
      </c>
      <c r="AI7" s="38" t="str">
        <f>VLOOKUP(A7,DATAKARYAWAN,36,0)</f>
        <v/>
      </c>
      <c r="AJ7" s="38"/>
      <c r="AK7" s="451">
        <f>VLOOKUP(A7,DATAKARYAWAN,38,0)</f>
        <v>45482</v>
      </c>
      <c r="AL7" s="155" t="s">
        <v>1437</v>
      </c>
    </row>
    <row r="8" ht="15.75" customHeight="1">
      <c r="A8" s="513" t="s">
        <v>1469</v>
      </c>
      <c r="B8" s="38" t="str">
        <f>VLOOKUP(A8,DATAKARYAWAN,3,0)</f>
        <v>Karyawan Tetap</v>
      </c>
      <c r="C8" s="38" t="str">
        <f>VLOOKUP(A8,DATAKARYAWAN,4,0)</f>
        <v>24-090011</v>
      </c>
      <c r="D8" s="38" t="str">
        <f>VLOOKUP(A8,DATAKARYAWAN,5,0)</f>
        <v>089635954312</v>
      </c>
      <c r="E8" s="38" t="str">
        <f>VLOOKUP(A8,DATAKARYAWAN,6,0)</f>
        <v>finahmallarangan@gmail.com</v>
      </c>
      <c r="F8" s="38" t="str">
        <f>VLOOKUP(A8,DATAKARYAWAN,7,0)</f>
        <v>STAFF AP CAB. MKS</v>
      </c>
      <c r="G8" s="38" t="str">
        <f>VLOOKUP(A8,DATAKARYAWAN,8,0)</f>
        <v>KEUANGAN</v>
      </c>
      <c r="H8" s="53"/>
      <c r="I8" s="38" t="str">
        <f>VLOOKUP(A8,DATAKARYAWAN,10,0)</f>
        <v>Indonesia</v>
      </c>
      <c r="J8" s="38" t="str">
        <f>VLOOKUP(A8,DATAKARYAWAN,11,0)</f>
        <v>ISLAM</v>
      </c>
      <c r="K8" s="38" t="str">
        <f>VLOOKUP(A8,DATAKARYAWAN,12,0)</f>
        <v>7306061803110004</v>
      </c>
      <c r="L8" s="38" t="str">
        <f>VLOOKUP(A8,DATAKARYAWAN,13,0)</f>
        <v>7306066508940003</v>
      </c>
      <c r="M8" s="38" t="str">
        <f>VLOOKUP(A8,DATAKARYAWAN,14,0)</f>
        <v>OCBC</v>
      </c>
      <c r="N8" s="38" t="str">
        <f>VLOOKUP(A8,DATAKARYAWAN,15,0)</f>
        <v>0000000058810123453</v>
      </c>
      <c r="O8" s="38" t="str">
        <f>VLOOKUP(A8,DATAKARYAWAN,16,0)</f>
        <v>S1</v>
      </c>
      <c r="P8" s="48"/>
      <c r="Q8" s="38" t="str">
        <f>VLOOKUP(A8,DATAKARYAWAN,18,0)</f>
        <v>PEREMPUAN</v>
      </c>
      <c r="R8" s="38" t="str">
        <f>VLOOKUP(A8,DATAKARYAWAN,19,0)</f>
        <v>25 Agustus 1994</v>
      </c>
      <c r="S8" s="38" t="str">
        <f>VLOOKUP(A8,DATAKARYAWAN,20,0)</f>
        <v>SUNGGUMINASA</v>
      </c>
      <c r="T8" s="38"/>
      <c r="U8" s="38" t="str">
        <f>VLOOKUP(A8,DATAKARYAWAN,22,0)</f>
        <v>BALANG-BALANG RT 02/ RW 04</v>
      </c>
      <c r="V8" s="38" t="str">
        <f>VLOOKUP(A8,DATAKARYAWAN,23,0)</f>
        <v/>
      </c>
      <c r="W8" s="38" t="str">
        <f>VLOOKUP(A8,DATAKARYAWAN,24,0)</f>
        <v>SULAWESI SELATAN</v>
      </c>
      <c r="X8" s="38" t="str">
        <f>VLOOKUP(A8,DATAKARYAWAN,25,0)</f>
        <v>GOWA</v>
      </c>
      <c r="Y8" s="38" t="str">
        <f>VLOOKUP(A8,DATAKARYAWAN,26,0)</f>
        <v>BONTOMARANNU</v>
      </c>
      <c r="Z8" s="38" t="str">
        <f>VLOOKUP(A8,DATAKARYAWAN,27,0)</f>
        <v>BONTOMANAI</v>
      </c>
      <c r="AA8" s="38">
        <f>VLOOKUP(A8,DATAKARYAWAN,28,0)</f>
        <v>92172</v>
      </c>
      <c r="AB8" s="38"/>
      <c r="AC8" s="38"/>
      <c r="AD8" s="38" t="str">
        <f>VLOOKUP(A8,DATAKARYAWAN,31,0)</f>
        <v>TK/0</v>
      </c>
      <c r="AE8" s="48"/>
      <c r="AF8" s="38" t="str">
        <f>VLOOKUP(A8,DATAKARYAWAN,33,0)</f>
        <v>tidak ada NPWP</v>
      </c>
      <c r="AG8" s="38">
        <f>VLOOKUP(A8,DATAKARYAWAN,34,0)</f>
        <v>24215065780</v>
      </c>
      <c r="AH8" s="38" t="str">
        <f>VLOOKUP(A8,DATAKARYAWAN,35,0)</f>
        <v>0002915532617</v>
      </c>
      <c r="AI8" s="38" t="str">
        <f>VLOOKUP(A8,DATAKARYAWAN,36,0)</f>
        <v/>
      </c>
      <c r="AJ8" s="38"/>
      <c r="AK8" s="451" t="str">
        <f>VLOOKUP(A8,DATAKARYAWAN,38,0)</f>
        <v>05 September 2024</v>
      </c>
      <c r="AL8" s="333">
        <v>45990.0</v>
      </c>
      <c r="AM8" s="277"/>
      <c r="AN8" s="277"/>
      <c r="AO8" s="277"/>
      <c r="AP8" s="277"/>
      <c r="AQ8" s="277"/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7"/>
      <c r="BD8" s="277"/>
      <c r="BE8" s="277"/>
      <c r="BF8" s="277"/>
      <c r="BG8" s="277"/>
      <c r="BH8" s="277"/>
      <c r="BI8" s="277"/>
      <c r="BJ8" s="277"/>
      <c r="BK8" s="277"/>
      <c r="BL8" s="277"/>
      <c r="BM8" s="277"/>
      <c r="BN8" s="277"/>
      <c r="BO8" s="277"/>
      <c r="BP8" s="277"/>
      <c r="BQ8" s="277"/>
      <c r="BR8" s="277"/>
      <c r="BS8" s="277"/>
      <c r="BT8" s="277"/>
      <c r="BU8" s="277"/>
      <c r="BV8" s="277"/>
      <c r="BW8" s="277"/>
      <c r="BX8" s="277"/>
      <c r="BY8" s="277"/>
      <c r="BZ8" s="277"/>
      <c r="CA8" s="277"/>
      <c r="CB8" s="277"/>
      <c r="CC8" s="277"/>
      <c r="CD8" s="277"/>
      <c r="CE8" s="277"/>
      <c r="CF8" s="277"/>
      <c r="CG8" s="277"/>
      <c r="CH8" s="277"/>
      <c r="CI8" s="277"/>
      <c r="CJ8" s="277"/>
      <c r="CK8" s="277"/>
    </row>
    <row r="9" ht="15.75" customHeight="1">
      <c r="A9" s="408" t="s">
        <v>1485</v>
      </c>
      <c r="B9" s="38" t="str">
        <f>VLOOKUP(A9,DATAKARYAWAN,3,0)</f>
        <v>Karyawan Kontrak</v>
      </c>
      <c r="C9" s="38" t="str">
        <f>VLOOKUP(A9,DATAKARYAWAN,4,0)</f>
        <v>24-090012</v>
      </c>
      <c r="D9" s="38" t="str">
        <f>VLOOKUP(A9,DATAKARYAWAN,5,0)</f>
        <v>08875295954</v>
      </c>
      <c r="E9" s="38" t="str">
        <f>VLOOKUP(A9,DATAKARYAWAN,6,0)</f>
        <v>djodisetiawan75@gmail.com</v>
      </c>
      <c r="F9" s="38" t="str">
        <f>VLOOKUP(A9,DATAKARYAWAN,7,0)</f>
        <v>OPERASIONAL CAB MKS</v>
      </c>
      <c r="G9" s="38" t="str">
        <f>VLOOKUP(A9,DATAKARYAWAN,8,0)</f>
        <v>OPERASIONAL</v>
      </c>
      <c r="H9" s="53"/>
      <c r="I9" s="38" t="str">
        <f>VLOOKUP(A9,DATAKARYAWAN,10,0)</f>
        <v>Indonesia</v>
      </c>
      <c r="J9" s="38" t="str">
        <f>VLOOKUP(A9,DATAKARYAWAN,11,0)</f>
        <v>ISLAM</v>
      </c>
      <c r="K9" s="38" t="str">
        <f>VLOOKUP(A9,DATAKARYAWAN,12,0)</f>
        <v>7306120707080001</v>
      </c>
      <c r="L9" s="38" t="str">
        <f>VLOOKUP(A9,DATAKARYAWAN,13,0)</f>
        <v>7306122804960001</v>
      </c>
      <c r="M9" s="38" t="str">
        <f>VLOOKUP(A9,DATAKARYAWAN,14,0)</f>
        <v/>
      </c>
      <c r="N9" s="38" t="str">
        <f>VLOOKUP(A9,DATAKARYAWAN,15,0)</f>
        <v/>
      </c>
      <c r="O9" s="38" t="str">
        <f>VLOOKUP(A9,DATAKARYAWAN,16,0)</f>
        <v>SLTA</v>
      </c>
      <c r="P9" s="48"/>
      <c r="Q9" s="38" t="str">
        <f>VLOOKUP(A9,DATAKARYAWAN,18,0)</f>
        <v>LAKI-LAKI</v>
      </c>
      <c r="R9" s="38" t="str">
        <f>VLOOKUP(A9,DATAKARYAWAN,19,0)</f>
        <v>25 APRIL 1996</v>
      </c>
      <c r="S9" s="38" t="str">
        <f>VLOOKUP(A9,DATAKARYAWAN,20,0)</f>
        <v>MAKASSAR</v>
      </c>
      <c r="T9" s="38"/>
      <c r="U9" s="38" t="str">
        <f>VLOOKUP(A9,DATAKARYAWAN,22,0)</f>
        <v>GRIYA BAROMBONG BLOK G 4 NO 7</v>
      </c>
      <c r="V9" s="38" t="str">
        <f>VLOOKUP(A9,DATAKARYAWAN,23,0)</f>
        <v/>
      </c>
      <c r="W9" s="38" t="str">
        <f>VLOOKUP(A9,DATAKARYAWAN,24,0)</f>
        <v>SULAWESI SELATAN</v>
      </c>
      <c r="X9" s="38" t="str">
        <f>VLOOKUP(A9,DATAKARYAWAN,25,0)</f>
        <v>GOWA</v>
      </c>
      <c r="Y9" s="38" t="str">
        <f>VLOOKUP(A9,DATAKARYAWAN,26,0)</f>
        <v>BAROMBONG</v>
      </c>
      <c r="Z9" s="38" t="str">
        <f>VLOOKUP(A9,DATAKARYAWAN,27,0)</f>
        <v>KANJILO</v>
      </c>
      <c r="AA9" s="38" t="str">
        <f>VLOOKUP(A9,DATAKARYAWAN,28,0)</f>
        <v>92161</v>
      </c>
      <c r="AB9" s="38"/>
      <c r="AC9" s="38"/>
      <c r="AD9" s="38" t="str">
        <f>VLOOKUP(A9,DATAKARYAWAN,31,0)</f>
        <v>TK/0</v>
      </c>
      <c r="AE9" s="48"/>
      <c r="AF9" s="38" t="str">
        <f>VLOOKUP(A9,DATAKARYAWAN,33,0)</f>
        <v>tidak ada NPWP</v>
      </c>
      <c r="AG9" s="38" t="str">
        <f>VLOOKUP(A9,DATAKARYAWAN,34,0)</f>
        <v>BELUM</v>
      </c>
      <c r="AH9" s="38" t="str">
        <f>VLOOKUP(A9,DATAKARYAWAN,35,0)</f>
        <v>BELUM</v>
      </c>
      <c r="AI9" s="38" t="str">
        <f>VLOOKUP(A9,DATAKARYAWAN,36,0)</f>
        <v/>
      </c>
      <c r="AJ9" s="38"/>
      <c r="AK9" s="451" t="str">
        <f>VLOOKUP(A9,DATAKARYAWAN,38,0)</f>
        <v>07 September 2024</v>
      </c>
      <c r="AL9" s="155" t="s">
        <v>1437</v>
      </c>
    </row>
    <row r="10" ht="15.75" customHeight="1">
      <c r="A10" s="514" t="s">
        <v>1593</v>
      </c>
      <c r="B10" s="38" t="str">
        <f>VLOOKUP(A10,DATAKARYAWAN,3,0)</f>
        <v>Karyawan Kontrak</v>
      </c>
      <c r="C10" s="38" t="str">
        <f>VLOOKUP(A10,DATAKARYAWAN,4,0)</f>
        <v>24-110014</v>
      </c>
      <c r="D10" s="38" t="str">
        <f>VLOOKUP(A10,DATAKARYAWAN,5,0)</f>
        <v>085256509882</v>
      </c>
      <c r="E10" s="38" t="str">
        <f>VLOOKUP(A10,DATAKARYAWAN,6,0)</f>
        <v>reskyuliana18@gmail.com</v>
      </c>
      <c r="F10" s="38" t="str">
        <f>VLOOKUP(A10,DATAKARYAWAN,7,0)</f>
        <v>STAFF CS &amp; DOC CAB.MKS</v>
      </c>
      <c r="G10" s="38" t="str">
        <f>VLOOKUP(A10,DATAKARYAWAN,8,0)</f>
        <v>CUSTOMER SERVICE</v>
      </c>
      <c r="H10" s="53"/>
      <c r="I10" s="38" t="str">
        <f>VLOOKUP(A10,DATAKARYAWAN,10,0)</f>
        <v>Indonesia</v>
      </c>
      <c r="J10" s="38" t="str">
        <f>VLOOKUP(A10,DATAKARYAWAN,11,0)</f>
        <v>ISLAM</v>
      </c>
      <c r="K10" s="38" t="str">
        <f>VLOOKUP(A10,DATAKARYAWAN,12,0)</f>
        <v>7371142701060018</v>
      </c>
      <c r="L10" s="38" t="str">
        <f>VLOOKUP(A10,DATAKARYAWAN,13,0)</f>
        <v>7371144307940005</v>
      </c>
      <c r="M10" s="38" t="str">
        <f>VLOOKUP(A10,DATAKARYAWAN,14,0)</f>
        <v>OCBC</v>
      </c>
      <c r="N10" s="38" t="str">
        <f>VLOOKUP(A10,DATAKARYAWAN,15,0)</f>
        <v>0000000058810123446</v>
      </c>
      <c r="O10" s="38" t="str">
        <f>VLOOKUP(A10,DATAKARYAWAN,16,0)</f>
        <v>SLTA</v>
      </c>
      <c r="P10" s="48"/>
      <c r="Q10" s="38" t="str">
        <f>VLOOKUP(A10,DATAKARYAWAN,18,0)</f>
        <v>PEREMPUAN</v>
      </c>
      <c r="R10" s="38" t="str">
        <f>VLOOKUP(A10,DATAKARYAWAN,19,0)</f>
        <v>03 Juli 1994</v>
      </c>
      <c r="S10" s="38" t="str">
        <f>VLOOKUP(A10,DATAKARYAWAN,20,0)</f>
        <v>WATAMPONE</v>
      </c>
      <c r="T10" s="38"/>
      <c r="U10" s="38" t="str">
        <f>VLOOKUP(A10,DATAKARYAWAN,22,0)</f>
        <v>BTP. JL. KED. SELATAN 7 BLOK F NO.174 RT. 05 / RW 016</v>
      </c>
      <c r="V10" s="38" t="str">
        <f>VLOOKUP(A10,DATAKARYAWAN,23,0)</f>
        <v/>
      </c>
      <c r="W10" s="38" t="str">
        <f>VLOOKUP(A10,DATAKARYAWAN,24,0)</f>
        <v>JAWA TIMUR</v>
      </c>
      <c r="X10" s="38" t="str">
        <f>VLOOKUP(A10,DATAKARYAWAN,25,0)</f>
        <v>MAKASSAR</v>
      </c>
      <c r="Y10" s="38" t="str">
        <f>VLOOKUP(A10,DATAKARYAWAN,26,0)</f>
        <v>TAMALANREA</v>
      </c>
      <c r="Z10" s="38" t="str">
        <f>VLOOKUP(A10,DATAKARYAWAN,27,0)</f>
        <v>TAMALANREA</v>
      </c>
      <c r="AA10" s="38">
        <f>VLOOKUP(A10,DATAKARYAWAN,28,0)</f>
        <v>90245</v>
      </c>
      <c r="AB10" s="38"/>
      <c r="AC10" s="38"/>
      <c r="AD10" s="38" t="str">
        <f>VLOOKUP(A10,DATAKARYAWAN,31,0)</f>
        <v>TK/0</v>
      </c>
      <c r="AE10" s="48"/>
      <c r="AF10" s="38" t="str">
        <f>VLOOKUP(A10,DATAKARYAWAN,33,0)</f>
        <v>tidak ada NPWP</v>
      </c>
      <c r="AG10" s="38">
        <f>VLOOKUP(A10,DATAKARYAWAN,34,0)</f>
        <v>25031727065</v>
      </c>
      <c r="AH10" s="38" t="str">
        <f>VLOOKUP(A10,DATAKARYAWAN,35,0)</f>
        <v>0000041319099</v>
      </c>
      <c r="AI10" s="38" t="str">
        <f>VLOOKUP(A10,DATAKARYAWAN,36,0)</f>
        <v/>
      </c>
      <c r="AJ10" s="38"/>
      <c r="AK10" s="38">
        <f>VLOOKUP(A10,DATAKARYAWAN,38,0)</f>
        <v>45616</v>
      </c>
      <c r="AL10" s="98" t="s">
        <v>1484</v>
      </c>
    </row>
    <row r="11" ht="15.75" customHeight="1">
      <c r="A11" s="515" t="s">
        <v>1904</v>
      </c>
      <c r="B11" s="38" t="str">
        <f>VLOOKUP(A11,DATAKARYAWAN,3,0)</f>
        <v>Karyawan Kontrak</v>
      </c>
      <c r="C11" s="38" t="str">
        <f>VLOOKUP(A11,DATAKARYAWAN,4,0)</f>
        <v>25-050016</v>
      </c>
      <c r="D11" s="38" t="str">
        <f>VLOOKUP(A11,DATAKARYAWAN,5,0)</f>
        <v>082231061462</v>
      </c>
      <c r="E11" s="38" t="str">
        <f>VLOOKUP(A11,DATAKARYAWAN,6,0)</f>
        <v>abdrahmat496@gmail.com</v>
      </c>
      <c r="F11" s="38" t="str">
        <f>VLOOKUP(A11,DATAKARYAWAN,7,0)</f>
        <v>STAFF OPERASIONAL CAB. MKS</v>
      </c>
      <c r="G11" s="38" t="str">
        <f>VLOOKUP(A11,DATAKARYAWAN,8,0)</f>
        <v>OPERASIONAL MKS</v>
      </c>
      <c r="H11" s="53"/>
      <c r="I11" s="38" t="str">
        <f>VLOOKUP(A11,DATAKARYAWAN,10,0)</f>
        <v>Indonesia</v>
      </c>
      <c r="J11" s="38" t="str">
        <f>VLOOKUP(A11,DATAKARYAWAN,11,0)</f>
        <v>ISLAM</v>
      </c>
      <c r="K11" s="38" t="str">
        <f>VLOOKUP(A11,DATAKARYAWAN,12,0)</f>
        <v>7304022803190004</v>
      </c>
      <c r="L11" s="38" t="str">
        <f>VLOOKUP(A11,DATAKARYAWAN,13,0)</f>
        <v>7304020402960001</v>
      </c>
      <c r="M11" s="38" t="str">
        <f>VLOOKUP(A11,DATAKARYAWAN,14,0)</f>
        <v>OCBC</v>
      </c>
      <c r="N11" s="38" t="str">
        <f>VLOOKUP(A11,DATAKARYAWAN,15,0)</f>
        <v>058810126910</v>
      </c>
      <c r="O11" s="38" t="str">
        <f>VLOOKUP(A11,DATAKARYAWAN,16,0)</f>
        <v>SMA</v>
      </c>
      <c r="P11" s="48"/>
      <c r="Q11" s="38" t="str">
        <f>VLOOKUP(A11,DATAKARYAWAN,18,0)</f>
        <v>LAKI-LAKI</v>
      </c>
      <c r="R11" s="38" t="str">
        <f>VLOOKUP(A11,DATAKARYAWAN,19,0)</f>
        <v>31 Januari 1996</v>
      </c>
      <c r="S11" s="38" t="str">
        <f>VLOOKUP(A11,DATAKARYAWAN,20,0)</f>
        <v>ATSY</v>
      </c>
      <c r="T11" s="38"/>
      <c r="U11" s="38" t="str">
        <f>VLOOKUP(A11,DATAKARYAWAN,22,0)</f>
        <v>CINONG BARAT</v>
      </c>
      <c r="V11" s="38" t="str">
        <f>VLOOKUP(A11,DATAKARYAWAN,23,0)</f>
        <v/>
      </c>
      <c r="W11" s="38" t="str">
        <f>VLOOKUP(A11,DATAKARYAWAN,24,0)</f>
        <v>SULAWESI SELATAN</v>
      </c>
      <c r="X11" s="38" t="str">
        <f>VLOOKUP(A11,DATAKARYAWAN,25,0)</f>
        <v>JENEPONT0</v>
      </c>
      <c r="Y11" s="38" t="str">
        <f>VLOOKUP(A11,DATAKARYAWAN,26,0)</f>
        <v>TAMALATEA</v>
      </c>
      <c r="Z11" s="38" t="str">
        <f>VLOOKUP(A11,DATAKARYAWAN,27,0)</f>
        <v>TONROKASSI</v>
      </c>
      <c r="AA11" s="38">
        <f>VLOOKUP(A11,DATAKARYAWAN,28,0)</f>
        <v>92351</v>
      </c>
      <c r="AB11" s="38"/>
      <c r="AC11" s="38"/>
      <c r="AD11" s="38" t="str">
        <f>VLOOKUP(A11,DATAKARYAWAN,31,0)</f>
        <v>TK/0</v>
      </c>
      <c r="AE11" s="48"/>
      <c r="AF11" s="38" t="str">
        <f>VLOOKUP(A11,DATAKARYAWAN,33,0)</f>
        <v>431560515801000</v>
      </c>
      <c r="AG11" s="38">
        <f>VLOOKUP(A11,DATAKARYAWAN,34,0)</f>
        <v>25112915191</v>
      </c>
      <c r="AH11" s="38" t="str">
        <f>VLOOKUP(A11,DATAKARYAWAN,35,0)</f>
        <v>0001097548953</v>
      </c>
      <c r="AI11" s="38" t="str">
        <f>VLOOKUP(A11,DATAKARYAWAN,36,0)</f>
        <v/>
      </c>
      <c r="AJ11" s="38"/>
      <c r="AK11" s="485">
        <f>VLOOKUP(A11,DATAKARYAWAN,38,0)</f>
        <v>45791</v>
      </c>
      <c r="AL11" s="106" t="s">
        <v>1208</v>
      </c>
      <c r="AM11" s="155" t="s">
        <v>1209</v>
      </c>
    </row>
    <row r="12" ht="15.75" customHeight="1">
      <c r="A12" s="265" t="s">
        <v>1982</v>
      </c>
      <c r="B12" s="38" t="str">
        <f>VLOOKUP(A12,DATAKARYAWAN,3,0)</f>
        <v>Karyawan Kontrak</v>
      </c>
      <c r="C12" s="38" t="str">
        <f>VLOOKUP(A12,DATAKARYAWAN,4,0)</f>
        <v>25-070017</v>
      </c>
      <c r="D12" s="38" t="str">
        <f>VLOOKUP(A12,DATAKARYAWAN,5,0)</f>
        <v>081341977116</v>
      </c>
      <c r="E12" s="38" t="str">
        <f>VLOOKUP(A12,DATAKARYAWAN,6,0)</f>
        <v>delvianiriniponsibata@gmail.com</v>
      </c>
      <c r="F12" s="38" t="str">
        <f>VLOOKUP(A12,DATAKARYAWAN,7,0)</f>
        <v>STAFF OPERASIONAL CAB. MKS</v>
      </c>
      <c r="G12" s="38" t="str">
        <f>VLOOKUP(A12,DATAKARYAWAN,8,0)</f>
        <v>OPERASIONAL MKS</v>
      </c>
      <c r="H12" s="53"/>
      <c r="I12" s="38" t="str">
        <f>VLOOKUP(A12,DATAKARYAWAN,10,0)</f>
        <v>Indonesia</v>
      </c>
      <c r="J12" s="38" t="str">
        <f>VLOOKUP(A12,DATAKARYAWAN,11,0)</f>
        <v>KRISTEN</v>
      </c>
      <c r="K12" s="38" t="str">
        <f>VLOOKUP(A12,DATAKARYAWAN,12,0)</f>
        <v>7326152505070408</v>
      </c>
      <c r="L12" s="38" t="str">
        <f>VLOOKUP(A12,DATAKARYAWAN,13,0)</f>
        <v>7326154809030002</v>
      </c>
      <c r="M12" s="38" t="str">
        <f>VLOOKUP(A12,DATAKARYAWAN,14,0)</f>
        <v>BRI</v>
      </c>
      <c r="N12" s="38" t="str">
        <f>VLOOKUP(A12,DATAKARYAWAN,15,0)</f>
        <v/>
      </c>
      <c r="O12" s="38" t="str">
        <f>VLOOKUP(A12,DATAKARYAWAN,16,0)</f>
        <v>S1</v>
      </c>
      <c r="P12" s="48"/>
      <c r="Q12" s="38" t="str">
        <f>VLOOKUP(A12,DATAKARYAWAN,18,0)</f>
        <v>PEREMPUAN</v>
      </c>
      <c r="R12" s="490">
        <f>VLOOKUP(A12,DATAKARYAWAN,19,0)</f>
        <v>37872</v>
      </c>
      <c r="S12" s="38" t="str">
        <f>VLOOKUP(A12,DATAKARYAWAN,20,0)</f>
        <v>BA'TAN PADANG</v>
      </c>
      <c r="T12" s="38"/>
      <c r="U12" s="38" t="str">
        <f>VLOOKUP(A12,DATAKARYAWAN,22,0)</f>
        <v>BA'TAN RT 03/ RW 00</v>
      </c>
      <c r="V12" s="38" t="str">
        <f>VLOOKUP(A12,DATAKARYAWAN,23,0)</f>
        <v/>
      </c>
      <c r="W12" s="38" t="str">
        <f>VLOOKUP(A12,DATAKARYAWAN,24,0)</f>
        <v>SULAWESI SELATAN</v>
      </c>
      <c r="X12" s="38" t="str">
        <f>VLOOKUP(A12,DATAKARYAWAN,25,0)</f>
        <v>TORAJA UTARA</v>
      </c>
      <c r="Y12" s="38" t="str">
        <f>VLOOKUP(A12,DATAKARYAWAN,26,0)</f>
        <v>KESU</v>
      </c>
      <c r="Z12" s="38" t="str">
        <f>VLOOKUP(A12,DATAKARYAWAN,27,0)</f>
        <v>BA'TAN</v>
      </c>
      <c r="AA12" s="38">
        <f>VLOOKUP(A12,DATAKARYAWAN,28,0)</f>
        <v>91852</v>
      </c>
      <c r="AB12" s="38"/>
      <c r="AC12" s="38"/>
      <c r="AD12" s="38" t="str">
        <f>VLOOKUP(A12,DATAKARYAWAN,31,0)</f>
        <v>TK/0</v>
      </c>
      <c r="AE12" s="48"/>
      <c r="AF12" s="38" t="str">
        <f>VLOOKUP(A12,DATAKARYAWAN,33,0)</f>
        <v>tidak ada NPWP</v>
      </c>
      <c r="AG12" s="38">
        <f>VLOOKUP(A12,DATAKARYAWAN,34,0)</f>
        <v>25147449331</v>
      </c>
      <c r="AH12" s="38" t="str">
        <f>VLOOKUP(A12,DATAKARYAWAN,35,0)</f>
        <v>0000942972401</v>
      </c>
      <c r="AI12" s="38" t="str">
        <f>VLOOKUP(A12,DATAKARYAWAN,36,0)</f>
        <v/>
      </c>
      <c r="AJ12" s="38"/>
      <c r="AK12" s="485">
        <f>VLOOKUP(A12,DATAKARYAWAN,38,0)</f>
        <v>45845</v>
      </c>
      <c r="AL12" s="502" t="s">
        <v>1972</v>
      </c>
    </row>
    <row r="13">
      <c r="A13" s="265" t="s">
        <v>2233</v>
      </c>
      <c r="B13" s="38" t="str">
        <f>VLOOKUP(A13,DATAKARYAWAN,3,0)</f>
        <v>Karyawan Kontrak</v>
      </c>
      <c r="C13" s="38" t="str">
        <f>VLOOKUP(A13,DATAKARYAWAN,4,0)</f>
        <v>25-110018</v>
      </c>
      <c r="D13" s="38" t="str">
        <f>VLOOKUP(A13,DATAKARYAWAN,5,0)</f>
        <v>62 822-1051-1833</v>
      </c>
      <c r="E13" s="38" t="str">
        <f>VLOOKUP(A13,DATAKARYAWAN,6,0)</f>
        <v>vanesialinady@gmail.com</v>
      </c>
      <c r="F13" s="38" t="str">
        <f>VLOOKUP(A13,DATAKARYAWAN,7,0)</f>
        <v>KEPALA KEUANGAN CAB. MKS</v>
      </c>
      <c r="G13" s="38" t="str">
        <f>VLOOKUP(A13,DATAKARYAWAN,8,0)</f>
        <v>KEUANGAN</v>
      </c>
      <c r="H13" s="53"/>
      <c r="I13" s="38" t="str">
        <f>VLOOKUP(A13,DATAKARYAWAN,10,0)</f>
        <v>Indonesia</v>
      </c>
      <c r="J13" s="38" t="str">
        <f>VLOOKUP(A13,DATAKARYAWAN,11,0)</f>
        <v>KRISTEN</v>
      </c>
      <c r="K13" s="38" t="str">
        <f>VLOOKUP(A13,DATAKARYAWAN,12,0)</f>
        <v>7373022812070020</v>
      </c>
      <c r="L13" s="38" t="str">
        <f>VLOOKUP(A13,DATAKARYAWAN,13,0)</f>
        <v>7373024502040001</v>
      </c>
      <c r="M13" s="38" t="str">
        <f>VLOOKUP(A13,DATAKARYAWAN,14,0)</f>
        <v>OCBC</v>
      </c>
      <c r="N13" s="38" t="str">
        <f>VLOOKUP(A13,DATAKARYAWAN,15,0)</f>
        <v>058810128635</v>
      </c>
      <c r="O13" s="38" t="str">
        <f>VLOOKUP(A13,DATAKARYAWAN,16,0)</f>
        <v>S1</v>
      </c>
      <c r="P13" s="48"/>
      <c r="Q13" s="38" t="str">
        <f>VLOOKUP(A13,DATAKARYAWAN,18,0)</f>
        <v>PEREMPUAN</v>
      </c>
      <c r="R13" s="38" t="str">
        <f>VLOOKUP(A13,DATAKARYAWAN,19,0)</f>
        <v>05 Februari 2004</v>
      </c>
      <c r="S13" s="38" t="str">
        <f>VLOOKUP(A13,DATAKARYAWAN,20,0)</f>
        <v>MAKASSAR</v>
      </c>
      <c r="T13" s="38"/>
      <c r="U13" s="38" t="str">
        <f>VLOOKUP(A13,DATAKARYAWAN,22,0)</f>
        <v>Jl. BARATA LATTU NO. 35 RT/RW 002/004</v>
      </c>
      <c r="V13" s="38" t="str">
        <f>VLOOKUP(A13,DATAKARYAWAN,23,0)</f>
        <v/>
      </c>
      <c r="W13" s="38" t="str">
        <f>VLOOKUP(A13,DATAKARYAWAN,24,0)</f>
        <v>SULAWESI SELATAN</v>
      </c>
      <c r="X13" s="38" t="str">
        <f>VLOOKUP(A13,DATAKARYAWAN,25,0)</f>
        <v>PALOPO</v>
      </c>
      <c r="Y13" s="38" t="str">
        <f>VLOOKUP(A13,DATAKARYAWAN,26,0)</f>
        <v>WARA UTARA</v>
      </c>
      <c r="Z13" s="38" t="str">
        <f>VLOOKUP(A13,DATAKARYAWAN,27,0)</f>
        <v>LUMINDA </v>
      </c>
      <c r="AA13" s="38">
        <f>VLOOKUP(A13,DATAKARYAWAN,28,0)</f>
        <v>91913</v>
      </c>
      <c r="AB13" s="38"/>
      <c r="AC13" s="38"/>
      <c r="AD13" s="38" t="str">
        <f>VLOOKUP(A13,DATAKARYAWAN,31,0)</f>
        <v>TK/0</v>
      </c>
      <c r="AE13" s="48"/>
      <c r="AF13" s="38" t="str">
        <f>VLOOKUP(A13,DATAKARYAWAN,33,0)</f>
        <v>OKE</v>
      </c>
      <c r="AG13" s="38" t="str">
        <f>VLOOKUP(A13,DATAKARYAWAN,34,0)</f>
        <v>BELUM</v>
      </c>
      <c r="AH13" s="38" t="str">
        <f>VLOOKUP(A13,DATAKARYAWAN,35,0)</f>
        <v>AKTIF FEBRUARI</v>
      </c>
      <c r="AI13" s="38" t="str">
        <f>VLOOKUP(A13,DATAKARYAWAN,36,0)</f>
        <v/>
      </c>
      <c r="AJ13" s="38"/>
      <c r="AK13" s="485">
        <f>VLOOKUP(A13,DATAKARYAWAN,38,0)</f>
        <v>45971</v>
      </c>
    </row>
    <row r="14">
      <c r="A14" s="155" t="s">
        <v>2250</v>
      </c>
      <c r="B14" s="38" t="str">
        <f>VLOOKUP(A14,DATAKARYAWAN,3,0)</f>
        <v>Karyawan Kontrak</v>
      </c>
      <c r="C14" s="38" t="str">
        <f>VLOOKUP(A14,DATAKARYAWAN,4,0)</f>
        <v>25-110019</v>
      </c>
      <c r="D14" s="38" t="str">
        <f>VLOOKUP(A14,DATAKARYAWAN,5,0)</f>
        <v>085386504488</v>
      </c>
      <c r="E14" s="38" t="str">
        <f>VLOOKUP(A14,DATAKARYAWAN,6,0)</f>
        <v>hardanidewasaputramohar@gmail.com</v>
      </c>
      <c r="F14" s="38" t="str">
        <f>VLOOKUP(A14,DATAKARYAWAN,7,0)</f>
        <v>STAFF COLLECTION</v>
      </c>
      <c r="G14" s="38" t="str">
        <f>VLOOKUP(A14,DATAKARYAWAN,8,0)</f>
        <v>KEUANGAN</v>
      </c>
      <c r="H14" s="53"/>
      <c r="I14" s="38" t="str">
        <f>VLOOKUP(A14,DATAKARYAWAN,10,0)</f>
        <v>Indonesia</v>
      </c>
      <c r="J14" s="38" t="str">
        <f>VLOOKUP(A14,DATAKARYAWAN,11,0)</f>
        <v>ISLAM</v>
      </c>
      <c r="K14" s="38" t="str">
        <f>VLOOKUP(A14,DATAKARYAWAN,12,0)</f>
        <v>7306081510080006</v>
      </c>
      <c r="L14" s="38" t="str">
        <f>VLOOKUP(A14,DATAKARYAWAN,13,0)</f>
        <v>7306081207930003</v>
      </c>
      <c r="M14" s="38" t="str">
        <f>VLOOKUP(A14,DATAKARYAWAN,14,0)</f>
        <v>OCBC</v>
      </c>
      <c r="N14" s="38" t="str">
        <f>VLOOKUP(A14,DATAKARYAWAN,15,0)</f>
        <v>058810128627</v>
      </c>
      <c r="O14" s="38" t="str">
        <f>VLOOKUP(A14,DATAKARYAWAN,16,0)</f>
        <v>S1</v>
      </c>
      <c r="P14" s="48"/>
      <c r="Q14" s="38" t="str">
        <f>VLOOKUP(A14,DATAKARYAWAN,18,0)</f>
        <v>LAKI - LAKI</v>
      </c>
      <c r="R14" s="38" t="str">
        <f>VLOOKUP(A14,DATAKARYAWAN,19,0)</f>
        <v>12 Juli 1993</v>
      </c>
      <c r="S14" s="38" t="str">
        <f>VLOOKUP(A14,DATAKARYAWAN,20,0)</f>
        <v>SUNGGUMINASA</v>
      </c>
      <c r="T14" s="38"/>
      <c r="U14" s="38" t="str">
        <f>VLOOKUP(A14,DATAKARYAWAN,22,0)</f>
        <v>JL. MANGGA I LING. PAO-PAO B.5 RT008 RW004</v>
      </c>
      <c r="V14" s="38" t="str">
        <f>VLOOKUP(A14,DATAKARYAWAN,23,0)</f>
        <v/>
      </c>
      <c r="W14" s="38" t="str">
        <f>VLOOKUP(A14,DATAKARYAWAN,24,0)</f>
        <v>SULAWESI SELATAN</v>
      </c>
      <c r="X14" s="38" t="str">
        <f>VLOOKUP(A14,DATAKARYAWAN,25,0)</f>
        <v>GOWA</v>
      </c>
      <c r="Y14" s="38" t="str">
        <f>VLOOKUP(A14,DATAKARYAWAN,26,0)</f>
        <v>SOMBA OPU</v>
      </c>
      <c r="Z14" s="38" t="str">
        <f>VLOOKUP(A14,DATAKARYAWAN,27,0)</f>
        <v>PACCINONGANG</v>
      </c>
      <c r="AA14" s="38">
        <f>VLOOKUP(A14,DATAKARYAWAN,28,0)</f>
        <v>92113</v>
      </c>
      <c r="AB14" s="38"/>
      <c r="AC14" s="38"/>
      <c r="AD14" s="38" t="str">
        <f>VLOOKUP(A14,DATAKARYAWAN,31,0)</f>
        <v>TK/0</v>
      </c>
      <c r="AE14" s="48"/>
      <c r="AF14" s="38" t="str">
        <f>VLOOKUP(A14,DATAKARYAWAN,33,0)</f>
        <v>OKE</v>
      </c>
      <c r="AG14" s="38" t="str">
        <f>VLOOKUP(A14,DATAKARYAWAN,34,0)</f>
        <v/>
      </c>
      <c r="AH14" s="38" t="str">
        <f>VLOOKUP(A14,DATAKARYAWAN,35,0)</f>
        <v/>
      </c>
      <c r="AI14" s="38" t="str">
        <f>VLOOKUP(A14,DATAKARYAWAN,36,0)</f>
        <v/>
      </c>
      <c r="AJ14" s="38"/>
      <c r="AK14" s="485">
        <f>VLOOKUP(A14,DATAKARYAWAN,38,0)</f>
        <v>45978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6.29"/>
    <col customWidth="1" min="2" max="2" width="21.29"/>
    <col customWidth="1" min="3" max="3" width="40.0"/>
    <col customWidth="1" min="4" max="4" width="25.29"/>
    <col customWidth="1" min="5" max="5" width="19.86"/>
    <col customWidth="1" min="6" max="6" width="14.14"/>
    <col customWidth="1" min="7" max="7" width="33.43"/>
    <col customWidth="1" min="8" max="8" width="26.14"/>
    <col customWidth="1" min="9" max="10" width="8.71"/>
    <col customWidth="1" min="11" max="11" width="20.71"/>
    <col customWidth="1" min="12" max="12" width="22.29"/>
    <col customWidth="1" min="13" max="13" width="10.57"/>
    <col customWidth="1" min="14" max="14" width="24.0"/>
    <col customWidth="1" min="15" max="17" width="8.71"/>
    <col customWidth="1" min="18" max="18" width="17.29"/>
    <col customWidth="1" min="19" max="19" width="10.14"/>
    <col customWidth="1" min="20" max="20" width="14.71"/>
    <col customWidth="1" min="21" max="21" width="39.14"/>
    <col customWidth="1" min="22" max="24" width="8.71"/>
    <col customWidth="1" min="25" max="25" width="11.43"/>
    <col customWidth="1" min="26" max="26" width="15.43"/>
    <col customWidth="1" min="27" max="31" width="8.71"/>
    <col customWidth="1" min="32" max="32" width="18.57"/>
    <col customWidth="1" min="33" max="33" width="22.0"/>
    <col customWidth="1" min="34" max="34" width="17.0"/>
    <col customWidth="1" min="35" max="36" width="8.71"/>
    <col customWidth="1" min="37" max="37" width="23.86"/>
    <col customWidth="1" min="38" max="38" width="20.71"/>
    <col customWidth="1" min="39" max="39" width="19.14"/>
    <col customWidth="1" min="40" max="40" width="24.86"/>
    <col customWidth="1" min="41" max="41" width="21.71"/>
    <col customWidth="1" min="42" max="90" width="17.43"/>
  </cols>
  <sheetData>
    <row r="1">
      <c r="A1" s="4" t="s">
        <v>2674</v>
      </c>
      <c r="B1" s="5" t="s">
        <v>2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2650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2652</v>
      </c>
      <c r="Q1" s="4" t="s">
        <v>18</v>
      </c>
      <c r="R1" s="4" t="s">
        <v>19</v>
      </c>
      <c r="S1" s="4" t="s">
        <v>20</v>
      </c>
      <c r="T1" s="11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2675</v>
      </c>
      <c r="AH1" s="4" t="s">
        <v>2653</v>
      </c>
      <c r="AI1" s="4" t="s">
        <v>2676</v>
      </c>
      <c r="AJ1" s="4" t="s">
        <v>2677</v>
      </c>
      <c r="AK1" s="4" t="s">
        <v>35</v>
      </c>
      <c r="AL1" s="4" t="s">
        <v>36</v>
      </c>
      <c r="AM1" s="4" t="s">
        <v>2654</v>
      </c>
      <c r="AN1" s="13" t="s">
        <v>38</v>
      </c>
      <c r="AO1" s="13" t="s">
        <v>1735</v>
      </c>
      <c r="AP1" s="106" t="s">
        <v>2678</v>
      </c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</row>
    <row r="2">
      <c r="A2" s="45">
        <v>1.0</v>
      </c>
      <c r="B2" s="45" t="s">
        <v>2679</v>
      </c>
      <c r="C2" s="155" t="s">
        <v>41</v>
      </c>
      <c r="D2" s="45" t="s">
        <v>91</v>
      </c>
      <c r="E2" s="92" t="s">
        <v>2680</v>
      </c>
      <c r="F2" s="93" t="s">
        <v>2681</v>
      </c>
      <c r="H2" s="95" t="s">
        <v>113</v>
      </c>
      <c r="I2" s="45" t="s">
        <v>44</v>
      </c>
      <c r="K2" s="40" t="s">
        <v>2682</v>
      </c>
      <c r="L2" s="40" t="s">
        <v>2683</v>
      </c>
      <c r="M2" s="45" t="s">
        <v>101</v>
      </c>
      <c r="P2" s="97"/>
      <c r="Q2" s="45" t="s">
        <v>49</v>
      </c>
      <c r="R2" s="49" t="s">
        <v>2684</v>
      </c>
      <c r="S2" s="45" t="s">
        <v>135</v>
      </c>
      <c r="U2" s="45" t="s">
        <v>2685</v>
      </c>
      <c r="W2" s="45" t="s">
        <v>53</v>
      </c>
      <c r="X2" s="45" t="s">
        <v>135</v>
      </c>
      <c r="Y2" s="45" t="s">
        <v>150</v>
      </c>
      <c r="Z2" s="45" t="s">
        <v>151</v>
      </c>
      <c r="AD2" s="97"/>
      <c r="AE2" s="97"/>
      <c r="AF2" s="97"/>
      <c r="AG2" s="97"/>
      <c r="AH2" s="97"/>
      <c r="AI2" s="97"/>
      <c r="AJ2" s="45" t="s">
        <v>2686</v>
      </c>
      <c r="AK2" s="45" t="s">
        <v>2687</v>
      </c>
      <c r="AL2" s="45" t="s">
        <v>108</v>
      </c>
      <c r="AN2" s="100">
        <v>42800.0</v>
      </c>
      <c r="AO2" s="477" t="s">
        <v>2688</v>
      </c>
    </row>
    <row r="3">
      <c r="A3" s="45">
        <v>2.0</v>
      </c>
      <c r="B3" s="103" t="s">
        <v>2689</v>
      </c>
      <c r="C3" s="155" t="s">
        <v>498</v>
      </c>
      <c r="D3" s="45" t="s">
        <v>91</v>
      </c>
      <c r="E3" s="92" t="s">
        <v>2690</v>
      </c>
      <c r="F3" s="93" t="s">
        <v>2691</v>
      </c>
      <c r="G3" s="225" t="s">
        <v>2692</v>
      </c>
      <c r="H3" s="45" t="s">
        <v>614</v>
      </c>
      <c r="I3" s="45" t="s">
        <v>44</v>
      </c>
      <c r="J3" s="45" t="s">
        <v>98</v>
      </c>
      <c r="K3" s="93" t="s">
        <v>2693</v>
      </c>
      <c r="L3" s="93" t="s">
        <v>2694</v>
      </c>
      <c r="M3" s="45" t="s">
        <v>101</v>
      </c>
      <c r="O3" s="45" t="s">
        <v>48</v>
      </c>
      <c r="P3" s="97"/>
      <c r="Q3" s="45" t="s">
        <v>49</v>
      </c>
      <c r="R3" s="236" t="s">
        <v>2695</v>
      </c>
      <c r="S3" s="45" t="s">
        <v>378</v>
      </c>
      <c r="U3" s="45" t="s">
        <v>2696</v>
      </c>
      <c r="V3" s="45" t="s">
        <v>2697</v>
      </c>
      <c r="W3" s="45" t="s">
        <v>53</v>
      </c>
      <c r="X3" s="45" t="s">
        <v>378</v>
      </c>
      <c r="Y3" s="45" t="s">
        <v>2698</v>
      </c>
      <c r="Z3" s="45" t="s">
        <v>2699</v>
      </c>
      <c r="AA3" s="45">
        <v>67174.0</v>
      </c>
      <c r="AD3" s="97"/>
      <c r="AE3" s="97"/>
      <c r="AF3" s="97"/>
      <c r="AG3" s="97"/>
      <c r="AH3" s="97"/>
      <c r="AI3" s="97"/>
      <c r="AJ3" s="45" t="s">
        <v>2686</v>
      </c>
      <c r="AK3" s="103" t="s">
        <v>2700</v>
      </c>
      <c r="AL3" s="45" t="s">
        <v>108</v>
      </c>
      <c r="AN3" s="100">
        <v>44928.0</v>
      </c>
      <c r="AO3" s="477" t="s">
        <v>2701</v>
      </c>
    </row>
    <row r="4">
      <c r="A4" s="45">
        <v>3.0</v>
      </c>
      <c r="B4" s="496" t="s">
        <v>2702</v>
      </c>
      <c r="C4" s="155" t="s">
        <v>1139</v>
      </c>
      <c r="D4" s="45" t="s">
        <v>923</v>
      </c>
      <c r="E4" s="92" t="s">
        <v>2703</v>
      </c>
      <c r="F4" s="93" t="s">
        <v>2704</v>
      </c>
      <c r="G4" s="225" t="s">
        <v>2705</v>
      </c>
      <c r="H4" s="92" t="s">
        <v>247</v>
      </c>
      <c r="I4" s="45" t="s">
        <v>44</v>
      </c>
      <c r="J4" s="45" t="s">
        <v>98</v>
      </c>
      <c r="K4" s="93" t="s">
        <v>2706</v>
      </c>
      <c r="L4" s="93" t="s">
        <v>2707</v>
      </c>
      <c r="O4" s="45" t="s">
        <v>2708</v>
      </c>
      <c r="Q4" s="45" t="s">
        <v>69</v>
      </c>
      <c r="R4" s="40" t="s">
        <v>2709</v>
      </c>
      <c r="S4" s="45" t="s">
        <v>2710</v>
      </c>
      <c r="U4" s="45" t="s">
        <v>2711</v>
      </c>
      <c r="V4" s="45" t="s">
        <v>2712</v>
      </c>
      <c r="W4" s="45" t="s">
        <v>53</v>
      </c>
      <c r="X4" s="45" t="s">
        <v>2710</v>
      </c>
      <c r="Y4" s="45" t="s">
        <v>2713</v>
      </c>
      <c r="Z4" s="45" t="s">
        <v>2714</v>
      </c>
      <c r="AA4" s="45">
        <v>68488.0</v>
      </c>
      <c r="AH4" s="38"/>
      <c r="AN4" s="100">
        <v>45083.0</v>
      </c>
      <c r="AO4" s="270" t="s">
        <v>2715</v>
      </c>
      <c r="AP4" s="297"/>
      <c r="AQ4" s="297"/>
      <c r="AR4" s="297"/>
      <c r="AS4" s="297"/>
      <c r="AT4" s="297"/>
      <c r="AU4" s="297"/>
      <c r="AV4" s="297"/>
      <c r="AW4" s="297"/>
      <c r="AX4" s="297"/>
      <c r="AY4" s="297"/>
      <c r="AZ4" s="297"/>
      <c r="BA4" s="297"/>
      <c r="BB4" s="297"/>
      <c r="BC4" s="297"/>
      <c r="BD4" s="297"/>
      <c r="BE4" s="297"/>
      <c r="BF4" s="297"/>
      <c r="BG4" s="297"/>
      <c r="BH4" s="297"/>
      <c r="BI4" s="297"/>
      <c r="BJ4" s="297"/>
      <c r="BK4" s="297"/>
      <c r="BL4" s="297"/>
      <c r="BM4" s="297"/>
      <c r="BN4" s="297"/>
      <c r="BO4" s="297"/>
      <c r="BP4" s="297"/>
      <c r="BQ4" s="297"/>
      <c r="BR4" s="297"/>
      <c r="BS4" s="297"/>
      <c r="BT4" s="297"/>
      <c r="BU4" s="297"/>
      <c r="BV4" s="297"/>
      <c r="BW4" s="297"/>
      <c r="BX4" s="297"/>
      <c r="BY4" s="297"/>
      <c r="BZ4" s="297"/>
      <c r="CA4" s="297"/>
      <c r="CB4" s="297"/>
      <c r="CC4" s="297"/>
      <c r="CD4" s="297"/>
      <c r="CE4" s="297"/>
      <c r="CF4" s="297"/>
      <c r="CG4" s="297"/>
      <c r="CH4" s="297"/>
      <c r="CI4" s="297"/>
      <c r="CJ4" s="297"/>
      <c r="CK4" s="297"/>
      <c r="CL4" s="297"/>
    </row>
    <row r="5">
      <c r="A5" s="45">
        <v>4.0</v>
      </c>
      <c r="B5" s="496" t="s">
        <v>804</v>
      </c>
      <c r="C5" s="155" t="s">
        <v>1139</v>
      </c>
      <c r="D5" s="45" t="s">
        <v>91</v>
      </c>
      <c r="E5" s="92" t="s">
        <v>805</v>
      </c>
      <c r="F5" s="93" t="s">
        <v>806</v>
      </c>
      <c r="G5" s="225" t="s">
        <v>807</v>
      </c>
      <c r="H5" s="92" t="s">
        <v>260</v>
      </c>
      <c r="I5" s="45" t="s">
        <v>44</v>
      </c>
      <c r="J5" s="45" t="s">
        <v>98</v>
      </c>
      <c r="K5" s="93" t="s">
        <v>808</v>
      </c>
      <c r="L5" s="93" t="s">
        <v>809</v>
      </c>
      <c r="O5" s="125" t="s">
        <v>461</v>
      </c>
      <c r="Q5" s="45" t="s">
        <v>49</v>
      </c>
      <c r="R5" s="38" t="s">
        <v>810</v>
      </c>
      <c r="S5" s="45" t="s">
        <v>51</v>
      </c>
      <c r="U5" s="45" t="s">
        <v>811</v>
      </c>
      <c r="W5" s="45" t="s">
        <v>53</v>
      </c>
      <c r="X5" s="45" t="s">
        <v>51</v>
      </c>
      <c r="Y5" s="45" t="s">
        <v>619</v>
      </c>
      <c r="Z5" s="45" t="s">
        <v>619</v>
      </c>
      <c r="AA5" s="45">
        <v>60187.0</v>
      </c>
      <c r="AH5" s="38">
        <v>2.3107452759E10</v>
      </c>
      <c r="AJ5" s="45" t="s">
        <v>2686</v>
      </c>
      <c r="AK5" s="40" t="s">
        <v>812</v>
      </c>
      <c r="AL5" s="45" t="s">
        <v>108</v>
      </c>
      <c r="AN5" s="100">
        <v>44832.0</v>
      </c>
      <c r="AO5" s="477" t="s">
        <v>2716</v>
      </c>
    </row>
    <row r="6">
      <c r="A6" s="45">
        <v>5.0</v>
      </c>
      <c r="B6" s="496" t="s">
        <v>2346</v>
      </c>
      <c r="C6" s="155" t="s">
        <v>1139</v>
      </c>
      <c r="D6" s="45" t="s">
        <v>91</v>
      </c>
      <c r="E6" s="95" t="s">
        <v>2717</v>
      </c>
      <c r="F6" s="93" t="s">
        <v>832</v>
      </c>
      <c r="G6" s="225" t="s">
        <v>833</v>
      </c>
      <c r="H6" s="95" t="s">
        <v>113</v>
      </c>
      <c r="I6" s="45" t="s">
        <v>44</v>
      </c>
      <c r="J6" s="45" t="s">
        <v>98</v>
      </c>
      <c r="K6" s="93" t="s">
        <v>834</v>
      </c>
      <c r="L6" s="93" t="s">
        <v>835</v>
      </c>
      <c r="M6" s="45" t="s">
        <v>101</v>
      </c>
      <c r="O6" s="45" t="s">
        <v>87</v>
      </c>
      <c r="Q6" s="45" t="s">
        <v>49</v>
      </c>
      <c r="R6" s="38" t="s">
        <v>836</v>
      </c>
      <c r="S6" s="45" t="s">
        <v>630</v>
      </c>
      <c r="U6" s="45" t="s">
        <v>837</v>
      </c>
      <c r="W6" s="45" t="s">
        <v>53</v>
      </c>
      <c r="X6" s="45" t="s">
        <v>51</v>
      </c>
      <c r="Y6" s="45" t="s">
        <v>137</v>
      </c>
      <c r="Z6" s="45" t="s">
        <v>138</v>
      </c>
      <c r="AA6" s="45">
        <v>60198.0</v>
      </c>
      <c r="AG6" s="45" t="s">
        <v>2686</v>
      </c>
      <c r="AH6" s="38">
        <v>2.3083538613E10</v>
      </c>
      <c r="AJ6" s="45" t="s">
        <v>2686</v>
      </c>
      <c r="AK6" s="38" t="s">
        <v>838</v>
      </c>
      <c r="AL6" s="45" t="s">
        <v>108</v>
      </c>
      <c r="AN6" s="100">
        <v>44874.0</v>
      </c>
      <c r="AO6" s="477" t="s">
        <v>2718</v>
      </c>
    </row>
    <row r="7">
      <c r="A7" s="45">
        <v>6.0</v>
      </c>
      <c r="B7" s="45" t="s">
        <v>1053</v>
      </c>
      <c r="C7" s="155" t="s">
        <v>2719</v>
      </c>
      <c r="D7" s="45" t="s">
        <v>923</v>
      </c>
      <c r="E7" s="95" t="s">
        <v>1054</v>
      </c>
      <c r="F7" s="136" t="s">
        <v>1055</v>
      </c>
      <c r="G7" s="225" t="s">
        <v>1056</v>
      </c>
      <c r="H7" s="45" t="s">
        <v>1057</v>
      </c>
      <c r="I7" s="243" t="s">
        <v>44</v>
      </c>
      <c r="J7" s="45" t="s">
        <v>98</v>
      </c>
      <c r="K7" s="93" t="s">
        <v>1058</v>
      </c>
      <c r="L7" s="93" t="s">
        <v>1059</v>
      </c>
      <c r="O7" s="45" t="s">
        <v>48</v>
      </c>
      <c r="Q7" s="45" t="s">
        <v>49</v>
      </c>
      <c r="R7" s="45" t="s">
        <v>1060</v>
      </c>
      <c r="S7" s="45" t="s">
        <v>1019</v>
      </c>
      <c r="U7" s="45" t="s">
        <v>1061</v>
      </c>
      <c r="W7" s="45" t="s">
        <v>798</v>
      </c>
      <c r="X7" s="45" t="s">
        <v>64</v>
      </c>
      <c r="Y7" s="45" t="s">
        <v>1062</v>
      </c>
      <c r="Z7" s="45" t="s">
        <v>1063</v>
      </c>
      <c r="AA7" s="45">
        <v>90283.0</v>
      </c>
      <c r="AN7" s="45" t="s">
        <v>1064</v>
      </c>
      <c r="AO7" s="477" t="s">
        <v>2718</v>
      </c>
    </row>
    <row r="8">
      <c r="A8" s="45">
        <v>7.0</v>
      </c>
      <c r="B8" s="38" t="s">
        <v>527</v>
      </c>
      <c r="C8" s="52" t="s">
        <v>41</v>
      </c>
      <c r="D8" s="38" t="s">
        <v>91</v>
      </c>
      <c r="E8" s="39" t="s">
        <v>2720</v>
      </c>
      <c r="F8" s="40" t="s">
        <v>528</v>
      </c>
      <c r="G8" s="516" t="s">
        <v>529</v>
      </c>
      <c r="H8" s="39" t="s">
        <v>2721</v>
      </c>
      <c r="I8" s="38" t="s">
        <v>44</v>
      </c>
      <c r="J8" s="45" t="s">
        <v>98</v>
      </c>
      <c r="K8" s="46" t="s">
        <v>530</v>
      </c>
      <c r="L8" s="46" t="s">
        <v>531</v>
      </c>
      <c r="M8" s="38"/>
      <c r="N8" s="38"/>
      <c r="O8" s="125" t="s">
        <v>87</v>
      </c>
      <c r="P8" s="48"/>
      <c r="Q8" s="38" t="s">
        <v>69</v>
      </c>
      <c r="R8" s="101" t="s">
        <v>532</v>
      </c>
      <c r="S8" s="38" t="s">
        <v>533</v>
      </c>
      <c r="T8" s="38"/>
      <c r="U8" s="38" t="s">
        <v>534</v>
      </c>
      <c r="V8" s="38"/>
      <c r="W8" s="38" t="s">
        <v>53</v>
      </c>
      <c r="X8" s="38" t="s">
        <v>51</v>
      </c>
      <c r="Y8" s="38" t="s">
        <v>535</v>
      </c>
      <c r="Z8" s="38" t="s">
        <v>536</v>
      </c>
      <c r="AA8" s="45">
        <v>60232.0</v>
      </c>
      <c r="AB8" s="38"/>
      <c r="AC8" s="38"/>
      <c r="AD8" s="48"/>
      <c r="AE8" s="48"/>
      <c r="AF8" s="48"/>
      <c r="AG8" s="48"/>
      <c r="AH8" s="48"/>
      <c r="AI8" s="48"/>
      <c r="AJ8" s="38" t="s">
        <v>2686</v>
      </c>
      <c r="AK8" s="38" t="s">
        <v>537</v>
      </c>
      <c r="AL8" s="38" t="s">
        <v>108</v>
      </c>
      <c r="AM8" s="38"/>
      <c r="AN8" s="100">
        <v>43728.0</v>
      </c>
      <c r="AO8" s="270" t="s">
        <v>2722</v>
      </c>
      <c r="AP8" s="297"/>
      <c r="AQ8" s="297"/>
      <c r="AR8" s="297"/>
      <c r="AS8" s="297"/>
      <c r="AT8" s="297"/>
      <c r="AU8" s="297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297"/>
      <c r="BG8" s="297"/>
      <c r="BH8" s="297"/>
      <c r="BI8" s="297"/>
      <c r="BJ8" s="297"/>
      <c r="BK8" s="297"/>
      <c r="BL8" s="297"/>
      <c r="BM8" s="297"/>
      <c r="BN8" s="297"/>
      <c r="BO8" s="297"/>
      <c r="BP8" s="297"/>
      <c r="BQ8" s="297"/>
      <c r="BR8" s="297"/>
      <c r="BS8" s="297"/>
      <c r="BT8" s="297"/>
      <c r="BU8" s="297"/>
      <c r="BV8" s="297"/>
      <c r="BW8" s="297"/>
      <c r="BX8" s="297"/>
      <c r="BY8" s="297"/>
      <c r="BZ8" s="297"/>
      <c r="CA8" s="297"/>
      <c r="CB8" s="297"/>
      <c r="CC8" s="297"/>
      <c r="CD8" s="297"/>
      <c r="CE8" s="297"/>
      <c r="CF8" s="297"/>
      <c r="CG8" s="297"/>
      <c r="CH8" s="297"/>
      <c r="CI8" s="297"/>
      <c r="CJ8" s="297"/>
      <c r="CK8" s="297"/>
      <c r="CL8" s="297"/>
    </row>
    <row r="9">
      <c r="A9" s="409">
        <v>8.0</v>
      </c>
      <c r="B9" s="465" t="s">
        <v>1116</v>
      </c>
      <c r="C9" s="410" t="s">
        <v>729</v>
      </c>
      <c r="D9" s="45" t="s">
        <v>923</v>
      </c>
      <c r="E9" s="92"/>
      <c r="F9" s="93" t="s">
        <v>1117</v>
      </c>
      <c r="G9" s="225" t="s">
        <v>1118</v>
      </c>
      <c r="H9" s="45" t="s">
        <v>1119</v>
      </c>
      <c r="I9" s="45" t="s">
        <v>44</v>
      </c>
      <c r="J9" s="45" t="s">
        <v>98</v>
      </c>
      <c r="K9" s="93" t="s">
        <v>1120</v>
      </c>
      <c r="L9" s="40" t="s">
        <v>1121</v>
      </c>
      <c r="O9" s="45" t="s">
        <v>48</v>
      </c>
      <c r="Q9" s="45" t="s">
        <v>49</v>
      </c>
      <c r="R9" s="45" t="s">
        <v>1122</v>
      </c>
      <c r="S9" s="38" t="s">
        <v>1123</v>
      </c>
      <c r="U9" s="38" t="s">
        <v>1124</v>
      </c>
      <c r="W9" s="38" t="s">
        <v>53</v>
      </c>
      <c r="X9" s="38" t="s">
        <v>1123</v>
      </c>
      <c r="Y9" s="38" t="s">
        <v>1125</v>
      </c>
      <c r="Z9" s="38" t="s">
        <v>1126</v>
      </c>
      <c r="AA9" s="271">
        <v>61482.0</v>
      </c>
      <c r="AH9" s="38"/>
      <c r="AN9" s="45" t="s">
        <v>1127</v>
      </c>
      <c r="AO9" s="477"/>
    </row>
    <row r="10">
      <c r="A10" s="155">
        <v>9.0</v>
      </c>
      <c r="B10" s="45" t="s">
        <v>849</v>
      </c>
      <c r="C10" s="155" t="s">
        <v>41</v>
      </c>
      <c r="D10" s="45" t="s">
        <v>923</v>
      </c>
      <c r="E10" s="92" t="s">
        <v>850</v>
      </c>
      <c r="F10" s="93" t="s">
        <v>851</v>
      </c>
      <c r="G10" s="225" t="s">
        <v>852</v>
      </c>
      <c r="H10" s="92" t="s">
        <v>247</v>
      </c>
      <c r="I10" s="45" t="s">
        <v>44</v>
      </c>
      <c r="J10" s="45" t="s">
        <v>98</v>
      </c>
      <c r="K10" s="40" t="s">
        <v>853</v>
      </c>
      <c r="L10" s="40" t="s">
        <v>854</v>
      </c>
      <c r="M10" s="45" t="s">
        <v>101</v>
      </c>
      <c r="O10" s="45" t="s">
        <v>521</v>
      </c>
      <c r="P10" s="97"/>
      <c r="Q10" s="45" t="s">
        <v>69</v>
      </c>
      <c r="R10" s="49" t="s">
        <v>855</v>
      </c>
      <c r="S10" s="45" t="s">
        <v>432</v>
      </c>
      <c r="T10" s="125"/>
      <c r="U10" s="45" t="s">
        <v>856</v>
      </c>
      <c r="V10" s="45" t="s">
        <v>857</v>
      </c>
      <c r="W10" s="45" t="s">
        <v>53</v>
      </c>
      <c r="X10" s="45" t="s">
        <v>432</v>
      </c>
      <c r="Y10" s="45" t="s">
        <v>858</v>
      </c>
      <c r="Z10" s="45" t="s">
        <v>859</v>
      </c>
      <c r="AA10" s="45">
        <v>61264.0</v>
      </c>
      <c r="AB10" s="45" t="s">
        <v>141</v>
      </c>
      <c r="AC10" s="45" t="s">
        <v>141</v>
      </c>
      <c r="AD10" s="97"/>
      <c r="AE10" s="97"/>
      <c r="AF10" s="97"/>
      <c r="AG10" s="45" t="s">
        <v>2686</v>
      </c>
      <c r="AH10" s="38">
        <v>2.3008088751E10</v>
      </c>
      <c r="AI10" s="97"/>
      <c r="AJ10" s="45" t="s">
        <v>2686</v>
      </c>
      <c r="AK10" s="45" t="s">
        <v>860</v>
      </c>
      <c r="AL10" s="45" t="s">
        <v>108</v>
      </c>
      <c r="AM10" s="45" t="s">
        <v>141</v>
      </c>
      <c r="AN10" s="100">
        <v>44923.0</v>
      </c>
      <c r="AO10" s="477" t="s">
        <v>2723</v>
      </c>
    </row>
    <row r="11" ht="15.0" customHeight="1">
      <c r="A11" s="45">
        <v>10.0</v>
      </c>
      <c r="B11" s="45" t="s">
        <v>664</v>
      </c>
      <c r="C11" s="155" t="s">
        <v>41</v>
      </c>
      <c r="D11" s="45" t="s">
        <v>91</v>
      </c>
      <c r="E11" s="92" t="s">
        <v>665</v>
      </c>
      <c r="F11" s="93" t="s">
        <v>666</v>
      </c>
      <c r="G11" s="225" t="s">
        <v>667</v>
      </c>
      <c r="H11" s="92" t="s">
        <v>668</v>
      </c>
      <c r="I11" s="45" t="s">
        <v>44</v>
      </c>
      <c r="J11" s="45" t="s">
        <v>98</v>
      </c>
      <c r="K11" s="123" t="s">
        <v>669</v>
      </c>
      <c r="L11" s="123" t="s">
        <v>670</v>
      </c>
      <c r="M11" s="45" t="s">
        <v>101</v>
      </c>
      <c r="O11" s="45" t="s">
        <v>671</v>
      </c>
      <c r="P11" s="97"/>
      <c r="Q11" s="45" t="s">
        <v>49</v>
      </c>
      <c r="R11" s="49" t="s">
        <v>672</v>
      </c>
      <c r="S11" s="45" t="s">
        <v>51</v>
      </c>
      <c r="U11" s="45" t="s">
        <v>673</v>
      </c>
      <c r="W11" s="45" t="s">
        <v>53</v>
      </c>
      <c r="X11" s="45" t="s">
        <v>51</v>
      </c>
      <c r="Y11" s="45" t="s">
        <v>494</v>
      </c>
      <c r="Z11" s="45" t="s">
        <v>495</v>
      </c>
      <c r="AA11" s="45">
        <v>60185.0</v>
      </c>
      <c r="AD11" s="97"/>
      <c r="AE11" s="97"/>
      <c r="AF11" s="517" t="s">
        <v>674</v>
      </c>
      <c r="AG11" s="45" t="s">
        <v>2686</v>
      </c>
      <c r="AH11" s="38">
        <v>2.2039699925E10</v>
      </c>
      <c r="AI11" s="97"/>
      <c r="AJ11" s="45" t="s">
        <v>2686</v>
      </c>
      <c r="AK11" s="45" t="s">
        <v>675</v>
      </c>
      <c r="AL11" s="45" t="s">
        <v>108</v>
      </c>
      <c r="AN11" s="100">
        <v>44579.0</v>
      </c>
      <c r="AO11" s="477" t="s">
        <v>2724</v>
      </c>
    </row>
    <row r="12">
      <c r="A12" s="45">
        <v>11.0</v>
      </c>
      <c r="B12" s="38" t="s">
        <v>1184</v>
      </c>
      <c r="C12" s="155" t="s">
        <v>1139</v>
      </c>
      <c r="D12" s="45" t="s">
        <v>923</v>
      </c>
      <c r="E12" s="95" t="s">
        <v>1185</v>
      </c>
      <c r="F12" s="93" t="s">
        <v>1186</v>
      </c>
      <c r="G12" s="94" t="s">
        <v>1187</v>
      </c>
      <c r="H12" s="45" t="s">
        <v>1188</v>
      </c>
      <c r="I12" s="45" t="s">
        <v>44</v>
      </c>
      <c r="J12" s="45" t="s">
        <v>98</v>
      </c>
      <c r="K12" s="93" t="s">
        <v>1189</v>
      </c>
      <c r="L12" s="40" t="s">
        <v>1190</v>
      </c>
      <c r="O12" s="45" t="s">
        <v>521</v>
      </c>
      <c r="Q12" s="45" t="s">
        <v>49</v>
      </c>
      <c r="R12" s="93" t="s">
        <v>1191</v>
      </c>
      <c r="S12" s="38" t="s">
        <v>51</v>
      </c>
      <c r="U12" s="38" t="s">
        <v>2725</v>
      </c>
      <c r="W12" s="38" t="s">
        <v>53</v>
      </c>
      <c r="X12" s="38" t="s">
        <v>51</v>
      </c>
      <c r="Y12" s="38" t="s">
        <v>104</v>
      </c>
      <c r="Z12" s="38" t="s">
        <v>1193</v>
      </c>
      <c r="AA12" s="271">
        <v>60126.0</v>
      </c>
      <c r="AD12" s="45" t="s">
        <v>71</v>
      </c>
      <c r="AH12" s="38"/>
      <c r="AN12" s="93" t="s">
        <v>1194</v>
      </c>
      <c r="AO12" s="477" t="s">
        <v>2726</v>
      </c>
    </row>
    <row r="13">
      <c r="A13" s="45">
        <v>12.0</v>
      </c>
      <c r="B13" s="38" t="s">
        <v>1233</v>
      </c>
      <c r="C13" s="155" t="s">
        <v>2719</v>
      </c>
      <c r="D13" s="45" t="s">
        <v>923</v>
      </c>
      <c r="E13" s="95" t="s">
        <v>2727</v>
      </c>
      <c r="F13" s="93" t="s">
        <v>1235</v>
      </c>
      <c r="G13" s="45" t="s">
        <v>1236</v>
      </c>
      <c r="H13" s="38" t="s">
        <v>1237</v>
      </c>
      <c r="I13" s="45" t="s">
        <v>44</v>
      </c>
      <c r="J13" s="45" t="s">
        <v>98</v>
      </c>
      <c r="K13" s="93" t="s">
        <v>1238</v>
      </c>
      <c r="L13" s="40" t="s">
        <v>1239</v>
      </c>
      <c r="O13" s="45" t="s">
        <v>521</v>
      </c>
      <c r="Q13" s="45" t="s">
        <v>49</v>
      </c>
      <c r="R13" s="45" t="s">
        <v>1240</v>
      </c>
      <c r="S13" s="38" t="s">
        <v>64</v>
      </c>
      <c r="U13" s="38" t="s">
        <v>1241</v>
      </c>
      <c r="W13" s="38" t="s">
        <v>798</v>
      </c>
      <c r="X13" s="38" t="s">
        <v>64</v>
      </c>
      <c r="Y13" s="38" t="s">
        <v>1242</v>
      </c>
      <c r="Z13" s="38" t="s">
        <v>1243</v>
      </c>
      <c r="AA13" s="271">
        <v>90222.0</v>
      </c>
      <c r="AD13" s="38" t="s">
        <v>71</v>
      </c>
      <c r="AF13" s="93" t="s">
        <v>1244</v>
      </c>
      <c r="AH13" s="38"/>
      <c r="AN13" s="45" t="s">
        <v>1245</v>
      </c>
      <c r="AO13" s="477" t="s">
        <v>2726</v>
      </c>
    </row>
    <row r="14">
      <c r="A14" s="45">
        <v>13.0</v>
      </c>
      <c r="B14" s="38" t="s">
        <v>1246</v>
      </c>
      <c r="C14" s="155" t="s">
        <v>1139</v>
      </c>
      <c r="D14" s="45" t="s">
        <v>923</v>
      </c>
      <c r="E14" s="518" t="s">
        <v>1247</v>
      </c>
      <c r="F14" s="93" t="s">
        <v>1248</v>
      </c>
      <c r="G14" s="45" t="s">
        <v>1249</v>
      </c>
      <c r="H14" s="38" t="s">
        <v>1188</v>
      </c>
      <c r="I14" s="45" t="s">
        <v>44</v>
      </c>
      <c r="J14" s="45" t="s">
        <v>98</v>
      </c>
      <c r="K14" s="93" t="s">
        <v>1250</v>
      </c>
      <c r="L14" s="40" t="s">
        <v>1251</v>
      </c>
      <c r="O14" s="45" t="s">
        <v>521</v>
      </c>
      <c r="Q14" s="45" t="s">
        <v>49</v>
      </c>
      <c r="R14" s="93" t="s">
        <v>1252</v>
      </c>
      <c r="S14" s="38" t="s">
        <v>51</v>
      </c>
      <c r="U14" s="38" t="s">
        <v>1253</v>
      </c>
      <c r="W14" s="38" t="s">
        <v>53</v>
      </c>
      <c r="X14" s="38" t="s">
        <v>51</v>
      </c>
      <c r="Y14" s="38" t="s">
        <v>1254</v>
      </c>
      <c r="Z14" s="38" t="s">
        <v>348</v>
      </c>
      <c r="AA14" s="271">
        <v>60296.0</v>
      </c>
      <c r="AD14" s="38" t="s">
        <v>596</v>
      </c>
      <c r="AF14" s="93" t="s">
        <v>1255</v>
      </c>
      <c r="AH14" s="38"/>
      <c r="AN14" s="45" t="s">
        <v>1256</v>
      </c>
      <c r="AO14" s="477" t="s">
        <v>2726</v>
      </c>
    </row>
    <row r="15">
      <c r="A15" s="125">
        <v>14.0</v>
      </c>
      <c r="B15" s="465" t="s">
        <v>1128</v>
      </c>
      <c r="C15" s="156" t="s">
        <v>729</v>
      </c>
      <c r="D15" s="103" t="s">
        <v>923</v>
      </c>
      <c r="E15" s="92" t="s">
        <v>1129</v>
      </c>
      <c r="F15" s="93" t="s">
        <v>1130</v>
      </c>
      <c r="G15" s="225"/>
      <c r="H15" s="103" t="s">
        <v>1119</v>
      </c>
      <c r="I15" s="103" t="s">
        <v>44</v>
      </c>
      <c r="J15" s="103" t="s">
        <v>98</v>
      </c>
      <c r="K15" s="93" t="s">
        <v>1131</v>
      </c>
      <c r="L15" s="40" t="s">
        <v>1132</v>
      </c>
      <c r="M15" s="103"/>
      <c r="N15" s="103"/>
      <c r="O15" s="103" t="s">
        <v>48</v>
      </c>
      <c r="P15" s="103"/>
      <c r="Q15" s="103" t="s">
        <v>49</v>
      </c>
      <c r="R15" s="93" t="s">
        <v>1133</v>
      </c>
      <c r="S15" s="38" t="s">
        <v>51</v>
      </c>
      <c r="T15" s="103"/>
      <c r="U15" s="38" t="s">
        <v>1134</v>
      </c>
      <c r="V15" s="103"/>
      <c r="W15" s="38" t="s">
        <v>53</v>
      </c>
      <c r="X15" s="38" t="s">
        <v>51</v>
      </c>
      <c r="Y15" s="38" t="s">
        <v>1135</v>
      </c>
      <c r="Z15" s="38" t="s">
        <v>1136</v>
      </c>
      <c r="AA15" s="271">
        <v>60196.0</v>
      </c>
      <c r="AB15" s="103"/>
      <c r="AC15" s="103"/>
      <c r="AD15" s="38" t="s">
        <v>139</v>
      </c>
      <c r="AE15" s="103"/>
      <c r="AF15" s="280" t="s">
        <v>125</v>
      </c>
      <c r="AG15" s="103"/>
      <c r="AH15" s="38"/>
      <c r="AI15" s="103"/>
      <c r="AJ15" s="103"/>
      <c r="AK15" s="103"/>
      <c r="AL15" s="103"/>
      <c r="AM15" s="103"/>
      <c r="AN15" s="103" t="s">
        <v>1137</v>
      </c>
      <c r="AO15" s="38" t="s">
        <v>2728</v>
      </c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</row>
    <row r="16" ht="15.75" customHeight="1">
      <c r="A16" s="519">
        <v>15.0</v>
      </c>
      <c r="B16" s="520" t="s">
        <v>1175</v>
      </c>
      <c r="C16" s="156" t="s">
        <v>729</v>
      </c>
      <c r="D16" s="244" t="s">
        <v>923</v>
      </c>
      <c r="E16" s="521" t="s">
        <v>1176</v>
      </c>
      <c r="F16" s="301" t="s">
        <v>1177</v>
      </c>
      <c r="G16" s="522"/>
      <c r="H16" s="523" t="s">
        <v>1178</v>
      </c>
      <c r="I16" s="244" t="s">
        <v>44</v>
      </c>
      <c r="J16" s="244" t="s">
        <v>98</v>
      </c>
      <c r="K16" s="301" t="s">
        <v>1179</v>
      </c>
      <c r="L16" s="524" t="s">
        <v>1180</v>
      </c>
      <c r="M16" s="244"/>
      <c r="N16" s="244"/>
      <c r="O16" s="244" t="s">
        <v>87</v>
      </c>
      <c r="P16" s="244"/>
      <c r="Q16" s="244" t="s">
        <v>49</v>
      </c>
      <c r="R16" s="301" t="s">
        <v>1181</v>
      </c>
      <c r="S16" s="523" t="s">
        <v>432</v>
      </c>
      <c r="T16" s="244"/>
      <c r="U16" s="523" t="s">
        <v>1182</v>
      </c>
      <c r="V16" s="244"/>
      <c r="W16" s="523" t="s">
        <v>53</v>
      </c>
      <c r="X16" s="523" t="s">
        <v>432</v>
      </c>
      <c r="Y16" s="523" t="s">
        <v>177</v>
      </c>
      <c r="Z16" s="523" t="s">
        <v>1183</v>
      </c>
      <c r="AA16" s="525">
        <v>64475.0</v>
      </c>
      <c r="AB16" s="244"/>
      <c r="AC16" s="244"/>
      <c r="AD16" s="523" t="s">
        <v>139</v>
      </c>
      <c r="AE16" s="244"/>
      <c r="AF16" s="526" t="s">
        <v>125</v>
      </c>
      <c r="AG16" s="244"/>
      <c r="AH16" s="523"/>
      <c r="AI16" s="244"/>
      <c r="AJ16" s="244"/>
      <c r="AK16" s="244"/>
      <c r="AL16" s="244"/>
      <c r="AM16" s="244"/>
      <c r="AN16" s="527" t="s">
        <v>1174</v>
      </c>
      <c r="AO16" s="528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4"/>
      <c r="CA16" s="244"/>
      <c r="CB16" s="244"/>
      <c r="CC16" s="244"/>
      <c r="CD16" s="244"/>
      <c r="CE16" s="244"/>
      <c r="CF16" s="244"/>
      <c r="CG16" s="244"/>
      <c r="CH16" s="244"/>
      <c r="CI16" s="244"/>
      <c r="CJ16" s="244"/>
      <c r="CK16" s="244"/>
      <c r="CL16" s="244"/>
    </row>
    <row r="17" ht="15.75" customHeight="1">
      <c r="A17" s="519">
        <v>16.0</v>
      </c>
      <c r="B17" s="520" t="s">
        <v>1338</v>
      </c>
      <c r="C17" s="156" t="s">
        <v>729</v>
      </c>
      <c r="D17" s="244" t="s">
        <v>923</v>
      </c>
      <c r="E17" s="521"/>
      <c r="F17" s="25"/>
      <c r="G17" s="522"/>
      <c r="H17" s="523" t="s">
        <v>1339</v>
      </c>
      <c r="I17" s="244" t="s">
        <v>44</v>
      </c>
      <c r="J17" s="244" t="s">
        <v>98</v>
      </c>
      <c r="K17" s="301" t="s">
        <v>1340</v>
      </c>
      <c r="L17" s="524" t="s">
        <v>1341</v>
      </c>
      <c r="M17" s="244"/>
      <c r="N17" s="244"/>
      <c r="O17" s="244" t="s">
        <v>87</v>
      </c>
      <c r="P17" s="244"/>
      <c r="Q17" s="244" t="s">
        <v>49</v>
      </c>
      <c r="R17" s="301" t="s">
        <v>1342</v>
      </c>
      <c r="S17" s="523" t="s">
        <v>51</v>
      </c>
      <c r="T17" s="244"/>
      <c r="U17" s="523" t="s">
        <v>1343</v>
      </c>
      <c r="V17" s="244"/>
      <c r="W17" s="523" t="s">
        <v>53</v>
      </c>
      <c r="X17" s="523" t="s">
        <v>51</v>
      </c>
      <c r="Y17" s="523" t="s">
        <v>619</v>
      </c>
      <c r="Z17" s="523" t="s">
        <v>619</v>
      </c>
      <c r="AA17" s="525">
        <v>60188.0</v>
      </c>
      <c r="AB17" s="244"/>
      <c r="AC17" s="244"/>
      <c r="AD17" s="523" t="s">
        <v>71</v>
      </c>
      <c r="AE17" s="244"/>
      <c r="AF17" s="25"/>
      <c r="AG17" s="244"/>
      <c r="AH17" s="523"/>
      <c r="AI17" s="244"/>
      <c r="AJ17" s="244"/>
      <c r="AK17" s="244"/>
      <c r="AL17" s="244"/>
      <c r="AM17" s="244"/>
      <c r="AN17" s="301" t="s">
        <v>1344</v>
      </c>
      <c r="AO17" s="529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  <c r="CL17" s="244"/>
    </row>
    <row r="18">
      <c r="A18" s="370">
        <v>17.0</v>
      </c>
      <c r="B18" s="370" t="s">
        <v>2729</v>
      </c>
      <c r="C18" s="370" t="s">
        <v>498</v>
      </c>
      <c r="D18" s="277" t="s">
        <v>91</v>
      </c>
      <c r="E18" s="530" t="s">
        <v>879</v>
      </c>
      <c r="F18" s="364" t="s">
        <v>880</v>
      </c>
      <c r="G18" s="531" t="s">
        <v>881</v>
      </c>
      <c r="H18" s="370" t="s">
        <v>157</v>
      </c>
      <c r="I18" s="277" t="s">
        <v>44</v>
      </c>
      <c r="J18" s="277" t="s">
        <v>98</v>
      </c>
      <c r="K18" s="364" t="s">
        <v>882</v>
      </c>
      <c r="L18" s="364" t="s">
        <v>883</v>
      </c>
      <c r="M18" s="277" t="s">
        <v>101</v>
      </c>
      <c r="N18" s="277"/>
      <c r="O18" s="277" t="s">
        <v>521</v>
      </c>
      <c r="P18" s="532"/>
      <c r="Q18" s="277" t="s">
        <v>49</v>
      </c>
      <c r="R18" s="533" t="s">
        <v>884</v>
      </c>
      <c r="S18" s="277" t="s">
        <v>533</v>
      </c>
      <c r="T18" s="277"/>
      <c r="U18" s="277" t="s">
        <v>885</v>
      </c>
      <c r="V18" s="277" t="s">
        <v>886</v>
      </c>
      <c r="W18" s="277" t="s">
        <v>53</v>
      </c>
      <c r="X18" s="277" t="s">
        <v>533</v>
      </c>
      <c r="Y18" s="277" t="s">
        <v>887</v>
      </c>
      <c r="Z18" s="277" t="s">
        <v>888</v>
      </c>
      <c r="AA18" s="277">
        <v>64154.0</v>
      </c>
      <c r="AB18" s="277"/>
      <c r="AC18" s="277"/>
      <c r="AD18" s="367" t="s">
        <v>71</v>
      </c>
      <c r="AE18" s="532"/>
      <c r="AF18" s="364" t="s">
        <v>889</v>
      </c>
      <c r="AG18" s="277" t="s">
        <v>2686</v>
      </c>
      <c r="AH18" s="367">
        <v>2.3076097551E10</v>
      </c>
      <c r="AI18" s="532"/>
      <c r="AJ18" s="277" t="s">
        <v>2686</v>
      </c>
      <c r="AK18" s="277" t="s">
        <v>890</v>
      </c>
      <c r="AL18" s="277" t="s">
        <v>108</v>
      </c>
      <c r="AM18" s="277"/>
      <c r="AN18" s="534">
        <v>44944.0</v>
      </c>
      <c r="AO18" s="481" t="s">
        <v>2730</v>
      </c>
      <c r="AP18" s="370" t="s">
        <v>2731</v>
      </c>
      <c r="AQ18" s="369"/>
      <c r="AR18" s="277"/>
      <c r="AS18" s="277"/>
      <c r="AT18" s="277"/>
      <c r="AU18" s="277"/>
      <c r="AV18" s="535"/>
      <c r="AW18" s="535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7"/>
      <c r="BJ18" s="277"/>
      <c r="BK18" s="277"/>
      <c r="BL18" s="277"/>
      <c r="BM18" s="277"/>
      <c r="BN18" s="277"/>
      <c r="BO18" s="277"/>
      <c r="BP18" s="277"/>
      <c r="BQ18" s="277"/>
      <c r="BR18" s="277"/>
      <c r="BS18" s="277"/>
      <c r="BT18" s="277"/>
      <c r="BU18" s="277"/>
      <c r="BV18" s="277"/>
      <c r="BW18" s="277"/>
      <c r="BX18" s="277"/>
      <c r="BY18" s="277"/>
      <c r="BZ18" s="277"/>
      <c r="CA18" s="277"/>
      <c r="CB18" s="277"/>
      <c r="CC18" s="277"/>
      <c r="CD18" s="277"/>
      <c r="CE18" s="277"/>
      <c r="CF18" s="277"/>
      <c r="CG18" s="277"/>
      <c r="CH18" s="277"/>
      <c r="CI18" s="277"/>
      <c r="CJ18" s="277"/>
      <c r="CK18" s="277"/>
      <c r="CL18" s="277"/>
    </row>
    <row r="19">
      <c r="A19" s="370">
        <v>18.0</v>
      </c>
      <c r="B19" s="536" t="s">
        <v>787</v>
      </c>
      <c r="C19" s="370" t="s">
        <v>2732</v>
      </c>
      <c r="D19" s="277" t="s">
        <v>91</v>
      </c>
      <c r="E19" s="356" t="s">
        <v>2733</v>
      </c>
      <c r="F19" s="364" t="s">
        <v>789</v>
      </c>
      <c r="G19" s="531" t="s">
        <v>790</v>
      </c>
      <c r="H19" s="356" t="s">
        <v>2734</v>
      </c>
      <c r="I19" s="277" t="s">
        <v>44</v>
      </c>
      <c r="J19" s="277" t="s">
        <v>98</v>
      </c>
      <c r="K19" s="364" t="s">
        <v>792</v>
      </c>
      <c r="L19" s="364" t="s">
        <v>793</v>
      </c>
      <c r="M19" s="277" t="s">
        <v>101</v>
      </c>
      <c r="N19" s="277"/>
      <c r="O19" s="537" t="s">
        <v>794</v>
      </c>
      <c r="P19" s="532"/>
      <c r="Q19" s="277" t="s">
        <v>49</v>
      </c>
      <c r="R19" s="538" t="s">
        <v>795</v>
      </c>
      <c r="S19" s="277" t="s">
        <v>796</v>
      </c>
      <c r="T19" s="277"/>
      <c r="U19" s="277" t="s">
        <v>797</v>
      </c>
      <c r="V19" s="277"/>
      <c r="W19" s="277" t="s">
        <v>798</v>
      </c>
      <c r="X19" s="277" t="s">
        <v>799</v>
      </c>
      <c r="Y19" s="277" t="s">
        <v>800</v>
      </c>
      <c r="Z19" s="277" t="s">
        <v>801</v>
      </c>
      <c r="AA19" s="277">
        <v>92175.0</v>
      </c>
      <c r="AB19" s="277"/>
      <c r="AC19" s="277"/>
      <c r="AD19" s="367" t="s">
        <v>71</v>
      </c>
      <c r="AE19" s="277"/>
      <c r="AF19" s="539" t="s">
        <v>125</v>
      </c>
      <c r="AG19" s="277" t="s">
        <v>2686</v>
      </c>
      <c r="AH19" s="367">
        <v>2.3083538589E10</v>
      </c>
      <c r="AI19" s="277"/>
      <c r="AJ19" s="277" t="s">
        <v>2686</v>
      </c>
      <c r="AK19" s="365" t="s">
        <v>802</v>
      </c>
      <c r="AL19" s="277" t="s">
        <v>108</v>
      </c>
      <c r="AM19" s="277"/>
      <c r="AN19" s="534">
        <v>44825.0</v>
      </c>
      <c r="AO19" s="481" t="s">
        <v>2735</v>
      </c>
      <c r="AP19" s="277"/>
      <c r="AQ19" s="489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  <c r="BL19" s="277"/>
      <c r="BM19" s="277"/>
      <c r="BN19" s="277"/>
      <c r="BO19" s="277"/>
      <c r="BP19" s="277"/>
      <c r="BQ19" s="277"/>
      <c r="BR19" s="277"/>
      <c r="BS19" s="277"/>
      <c r="BT19" s="277"/>
      <c r="BU19" s="277"/>
      <c r="BV19" s="277"/>
      <c r="BW19" s="277"/>
      <c r="BX19" s="277"/>
      <c r="BY19" s="277"/>
      <c r="BZ19" s="277"/>
      <c r="CA19" s="277"/>
      <c r="CB19" s="277"/>
      <c r="CC19" s="277"/>
      <c r="CD19" s="277"/>
      <c r="CE19" s="277"/>
      <c r="CF19" s="277"/>
      <c r="CG19" s="277"/>
      <c r="CH19" s="277"/>
      <c r="CI19" s="277"/>
      <c r="CJ19" s="277"/>
      <c r="CK19" s="277"/>
      <c r="CL19" s="277"/>
    </row>
    <row r="20" ht="15.75" customHeight="1">
      <c r="A20" s="370">
        <v>19.0</v>
      </c>
      <c r="B20" s="357" t="s">
        <v>1449</v>
      </c>
      <c r="C20" s="370" t="s">
        <v>2732</v>
      </c>
      <c r="D20" s="277" t="s">
        <v>923</v>
      </c>
      <c r="E20" s="540" t="s">
        <v>1450</v>
      </c>
      <c r="F20" s="313" t="s">
        <v>1451</v>
      </c>
      <c r="G20" s="531"/>
      <c r="H20" s="357" t="s">
        <v>113</v>
      </c>
      <c r="I20" s="370" t="s">
        <v>44</v>
      </c>
      <c r="J20" s="370" t="s">
        <v>98</v>
      </c>
      <c r="K20" s="313" t="s">
        <v>1452</v>
      </c>
      <c r="L20" s="328" t="s">
        <v>1453</v>
      </c>
      <c r="M20" s="277"/>
      <c r="N20" s="277"/>
      <c r="O20" s="370" t="s">
        <v>48</v>
      </c>
      <c r="P20" s="277"/>
      <c r="Q20" s="370" t="s">
        <v>49</v>
      </c>
      <c r="R20" s="313" t="s">
        <v>1454</v>
      </c>
      <c r="S20" s="357" t="s">
        <v>51</v>
      </c>
      <c r="T20" s="277"/>
      <c r="U20" s="357" t="s">
        <v>1455</v>
      </c>
      <c r="V20" s="277"/>
      <c r="W20" s="357" t="s">
        <v>53</v>
      </c>
      <c r="X20" s="357" t="s">
        <v>51</v>
      </c>
      <c r="Y20" s="357" t="s">
        <v>847</v>
      </c>
      <c r="Z20" s="357" t="s">
        <v>847</v>
      </c>
      <c r="AA20" s="381">
        <v>60182.0</v>
      </c>
      <c r="AB20" s="277"/>
      <c r="AC20" s="277"/>
      <c r="AD20" s="357" t="s">
        <v>510</v>
      </c>
      <c r="AE20" s="277"/>
      <c r="AF20" s="489"/>
      <c r="AG20" s="277"/>
      <c r="AH20" s="367"/>
      <c r="AI20" s="277"/>
      <c r="AJ20" s="277"/>
      <c r="AK20" s="277"/>
      <c r="AL20" s="277"/>
      <c r="AM20" s="277"/>
      <c r="AN20" s="313" t="s">
        <v>1456</v>
      </c>
      <c r="AO20" s="328" t="s">
        <v>2736</v>
      </c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7"/>
      <c r="BB20" s="277"/>
      <c r="BC20" s="277"/>
      <c r="BD20" s="277"/>
      <c r="BE20" s="277"/>
      <c r="BF20" s="277"/>
      <c r="BG20" s="277"/>
      <c r="BH20" s="277"/>
      <c r="BI20" s="277"/>
      <c r="BJ20" s="277"/>
      <c r="BK20" s="277"/>
      <c r="BL20" s="277"/>
      <c r="BM20" s="277"/>
      <c r="BN20" s="277"/>
      <c r="BO20" s="277"/>
      <c r="BP20" s="277"/>
      <c r="BQ20" s="277"/>
      <c r="BR20" s="277"/>
      <c r="BS20" s="277"/>
      <c r="BT20" s="277"/>
      <c r="BU20" s="277"/>
      <c r="BV20" s="277"/>
      <c r="BW20" s="277"/>
      <c r="BX20" s="277"/>
      <c r="BY20" s="277"/>
      <c r="BZ20" s="277"/>
      <c r="CA20" s="277"/>
      <c r="CB20" s="277"/>
      <c r="CC20" s="277"/>
      <c r="CD20" s="277"/>
      <c r="CE20" s="277"/>
      <c r="CF20" s="277"/>
      <c r="CG20" s="277"/>
      <c r="CH20" s="277"/>
      <c r="CI20" s="277"/>
      <c r="CJ20" s="277"/>
      <c r="CK20" s="277"/>
      <c r="CL20" s="277"/>
    </row>
    <row r="21" ht="15.75" customHeight="1">
      <c r="A21" s="370">
        <v>20.0</v>
      </c>
      <c r="B21" s="370" t="s">
        <v>446</v>
      </c>
      <c r="C21" s="370" t="s">
        <v>41</v>
      </c>
      <c r="D21" s="277" t="s">
        <v>91</v>
      </c>
      <c r="E21" s="530" t="s">
        <v>447</v>
      </c>
      <c r="F21" s="364" t="s">
        <v>448</v>
      </c>
      <c r="G21" s="531" t="s">
        <v>449</v>
      </c>
      <c r="H21" s="356" t="s">
        <v>113</v>
      </c>
      <c r="I21" s="277" t="s">
        <v>44</v>
      </c>
      <c r="J21" s="277" t="s">
        <v>98</v>
      </c>
      <c r="K21" s="365" t="s">
        <v>450</v>
      </c>
      <c r="L21" s="365" t="s">
        <v>451</v>
      </c>
      <c r="M21" s="277" t="s">
        <v>101</v>
      </c>
      <c r="N21" s="277"/>
      <c r="O21" s="277" t="s">
        <v>48</v>
      </c>
      <c r="P21" s="532"/>
      <c r="Q21" s="277" t="s">
        <v>49</v>
      </c>
      <c r="R21" s="541" t="s">
        <v>452</v>
      </c>
      <c r="S21" s="277" t="s">
        <v>420</v>
      </c>
      <c r="T21" s="277"/>
      <c r="U21" s="277" t="s">
        <v>453</v>
      </c>
      <c r="V21" s="277"/>
      <c r="W21" s="277" t="s">
        <v>53</v>
      </c>
      <c r="X21" s="277" t="s">
        <v>420</v>
      </c>
      <c r="Y21" s="277" t="s">
        <v>422</v>
      </c>
      <c r="Z21" s="277" t="s">
        <v>423</v>
      </c>
      <c r="AA21" s="277">
        <v>61174.0</v>
      </c>
      <c r="AB21" s="277"/>
      <c r="AC21" s="277"/>
      <c r="AD21" s="277" t="s">
        <v>56</v>
      </c>
      <c r="AE21" s="532"/>
      <c r="AF21" s="539" t="s">
        <v>125</v>
      </c>
      <c r="AG21" s="277" t="s">
        <v>2686</v>
      </c>
      <c r="AH21" s="367">
        <v>1.9076930551E10</v>
      </c>
      <c r="AI21" s="532"/>
      <c r="AJ21" s="277" t="s">
        <v>2686</v>
      </c>
      <c r="AK21" s="277" t="s">
        <v>454</v>
      </c>
      <c r="AL21" s="277" t="s">
        <v>108</v>
      </c>
      <c r="AM21" s="277"/>
      <c r="AN21" s="534">
        <v>43479.0</v>
      </c>
      <c r="AO21" s="542" t="s">
        <v>1456</v>
      </c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7"/>
      <c r="BB21" s="277"/>
      <c r="BC21" s="277"/>
      <c r="BD21" s="277"/>
      <c r="BE21" s="277"/>
      <c r="BF21" s="277"/>
      <c r="BG21" s="277"/>
      <c r="BH21" s="277"/>
      <c r="BI21" s="277"/>
      <c r="BJ21" s="277"/>
      <c r="BK21" s="277"/>
      <c r="BL21" s="277"/>
      <c r="BM21" s="277"/>
      <c r="BN21" s="277"/>
      <c r="BO21" s="277"/>
      <c r="BP21" s="277"/>
      <c r="BQ21" s="277"/>
      <c r="BR21" s="277"/>
      <c r="BS21" s="277"/>
      <c r="BT21" s="277"/>
      <c r="BU21" s="277"/>
      <c r="BV21" s="277"/>
      <c r="BW21" s="277"/>
      <c r="BX21" s="277"/>
      <c r="BY21" s="277"/>
      <c r="BZ21" s="277"/>
      <c r="CA21" s="277"/>
      <c r="CB21" s="277"/>
      <c r="CC21" s="277"/>
      <c r="CD21" s="277"/>
      <c r="CE21" s="277"/>
      <c r="CF21" s="277"/>
      <c r="CG21" s="277"/>
      <c r="CH21" s="277"/>
      <c r="CI21" s="277"/>
      <c r="CJ21" s="277"/>
      <c r="CK21" s="277"/>
      <c r="CL21" s="277"/>
    </row>
    <row r="22" ht="15.75" customHeight="1">
      <c r="A22" s="370">
        <v>21.0</v>
      </c>
      <c r="B22" s="543" t="s">
        <v>1210</v>
      </c>
      <c r="C22" s="370" t="s">
        <v>1139</v>
      </c>
      <c r="D22" s="543" t="s">
        <v>923</v>
      </c>
      <c r="E22" s="346" t="s">
        <v>2737</v>
      </c>
      <c r="F22" s="544" t="s">
        <v>1212</v>
      </c>
      <c r="G22" s="545" t="s">
        <v>1213</v>
      </c>
      <c r="H22" s="543" t="s">
        <v>1094</v>
      </c>
      <c r="I22" s="543" t="s">
        <v>44</v>
      </c>
      <c r="J22" s="543" t="s">
        <v>98</v>
      </c>
      <c r="K22" s="544" t="s">
        <v>1214</v>
      </c>
      <c r="L22" s="544" t="s">
        <v>1215</v>
      </c>
      <c r="M22" s="543"/>
      <c r="N22" s="543"/>
      <c r="O22" s="543" t="s">
        <v>521</v>
      </c>
      <c r="P22" s="543"/>
      <c r="Q22" s="543" t="s">
        <v>69</v>
      </c>
      <c r="R22" s="544" t="s">
        <v>1216</v>
      </c>
      <c r="S22" s="543" t="s">
        <v>51</v>
      </c>
      <c r="T22" s="543"/>
      <c r="U22" s="543" t="s">
        <v>1217</v>
      </c>
      <c r="V22" s="543"/>
      <c r="W22" s="543" t="s">
        <v>53</v>
      </c>
      <c r="X22" s="543" t="s">
        <v>51</v>
      </c>
      <c r="Y22" s="543" t="s">
        <v>54</v>
      </c>
      <c r="Z22" s="543" t="s">
        <v>54</v>
      </c>
      <c r="AA22" s="546">
        <v>60136.0</v>
      </c>
      <c r="AB22" s="543"/>
      <c r="AC22" s="543"/>
      <c r="AD22" s="543" t="s">
        <v>71</v>
      </c>
      <c r="AE22" s="543"/>
      <c r="AF22" s="547" t="s">
        <v>125</v>
      </c>
      <c r="AG22" s="543" t="s">
        <v>2686</v>
      </c>
      <c r="AH22" s="543">
        <v>2.4084472257E10</v>
      </c>
      <c r="AI22" s="543"/>
      <c r="AJ22" s="543" t="s">
        <v>2686</v>
      </c>
      <c r="AK22" s="544" t="s">
        <v>1218</v>
      </c>
      <c r="AL22" s="543" t="s">
        <v>108</v>
      </c>
      <c r="AM22" s="543"/>
      <c r="AN22" s="544" t="s">
        <v>1219</v>
      </c>
      <c r="AO22" s="548" t="s">
        <v>2738</v>
      </c>
      <c r="AP22" s="543"/>
      <c r="AQ22" s="549"/>
      <c r="AR22" s="543"/>
      <c r="AS22" s="543"/>
      <c r="AT22" s="543"/>
      <c r="AU22" s="543"/>
      <c r="AV22" s="277"/>
      <c r="AW22" s="543"/>
      <c r="AX22" s="543"/>
      <c r="AY22" s="543"/>
      <c r="AZ22" s="543"/>
      <c r="BA22" s="543"/>
      <c r="BB22" s="543"/>
      <c r="BC22" s="543"/>
      <c r="BD22" s="543"/>
      <c r="BE22" s="543"/>
      <c r="BF22" s="543"/>
      <c r="BG22" s="543"/>
      <c r="BH22" s="543"/>
      <c r="BI22" s="543"/>
      <c r="BJ22" s="543"/>
      <c r="BK22" s="543"/>
      <c r="BL22" s="543"/>
      <c r="BM22" s="543"/>
      <c r="BN22" s="543"/>
      <c r="BO22" s="543"/>
      <c r="BP22" s="543"/>
      <c r="BQ22" s="543"/>
      <c r="BR22" s="543"/>
      <c r="BS22" s="543"/>
      <c r="BT22" s="543"/>
      <c r="BU22" s="543"/>
      <c r="BV22" s="543"/>
      <c r="BW22" s="543"/>
      <c r="BX22" s="543"/>
      <c r="BY22" s="543"/>
      <c r="BZ22" s="543"/>
      <c r="CA22" s="543"/>
      <c r="CB22" s="543"/>
      <c r="CC22" s="543"/>
      <c r="CD22" s="543"/>
      <c r="CE22" s="543"/>
      <c r="CF22" s="543"/>
      <c r="CG22" s="543"/>
      <c r="CH22" s="543"/>
      <c r="CI22" s="543"/>
      <c r="CJ22" s="543"/>
      <c r="CK22" s="543"/>
      <c r="CL22" s="543"/>
    </row>
    <row r="23" ht="15.75" customHeight="1">
      <c r="A23" s="370">
        <v>22.0</v>
      </c>
      <c r="B23" s="367" t="s">
        <v>1271</v>
      </c>
      <c r="C23" s="370" t="s">
        <v>1139</v>
      </c>
      <c r="D23" s="277" t="s">
        <v>923</v>
      </c>
      <c r="E23" s="356" t="s">
        <v>1272</v>
      </c>
      <c r="F23" s="364" t="s">
        <v>1273</v>
      </c>
      <c r="G23" s="277" t="s">
        <v>1274</v>
      </c>
      <c r="H23" s="367" t="s">
        <v>1094</v>
      </c>
      <c r="I23" s="277" t="s">
        <v>44</v>
      </c>
      <c r="J23" s="277" t="s">
        <v>98</v>
      </c>
      <c r="K23" s="364" t="s">
        <v>1275</v>
      </c>
      <c r="L23" s="365" t="s">
        <v>1276</v>
      </c>
      <c r="M23" s="277"/>
      <c r="N23" s="277"/>
      <c r="O23" s="277" t="s">
        <v>521</v>
      </c>
      <c r="P23" s="277"/>
      <c r="Q23" s="277" t="s">
        <v>49</v>
      </c>
      <c r="R23" s="364" t="s">
        <v>1277</v>
      </c>
      <c r="S23" s="367" t="s">
        <v>163</v>
      </c>
      <c r="T23" s="277"/>
      <c r="U23" s="367" t="s">
        <v>1278</v>
      </c>
      <c r="V23" s="277"/>
      <c r="W23" s="367" t="s">
        <v>53</v>
      </c>
      <c r="X23" s="367" t="s">
        <v>163</v>
      </c>
      <c r="Y23" s="367" t="s">
        <v>1279</v>
      </c>
      <c r="Z23" s="367" t="s">
        <v>1280</v>
      </c>
      <c r="AA23" s="368">
        <v>61261.0</v>
      </c>
      <c r="AB23" s="277"/>
      <c r="AC23" s="277"/>
      <c r="AD23" s="367" t="s">
        <v>71</v>
      </c>
      <c r="AE23" s="277"/>
      <c r="AF23" s="364" t="s">
        <v>1281</v>
      </c>
      <c r="AG23" s="277" t="s">
        <v>2686</v>
      </c>
      <c r="AH23" s="328" t="s">
        <v>2739</v>
      </c>
      <c r="AI23" s="277"/>
      <c r="AJ23" s="277" t="s">
        <v>2686</v>
      </c>
      <c r="AK23" s="364" t="s">
        <v>1282</v>
      </c>
      <c r="AL23" s="277" t="s">
        <v>108</v>
      </c>
      <c r="AM23" s="277"/>
      <c r="AN23" s="277" t="s">
        <v>1270</v>
      </c>
      <c r="AO23" s="542" t="s">
        <v>2740</v>
      </c>
      <c r="AP23" s="277"/>
      <c r="AQ23" s="277"/>
      <c r="AR23" s="277"/>
      <c r="AS23" s="277"/>
      <c r="AT23" s="277"/>
      <c r="AU23" s="277"/>
      <c r="AV23" s="277"/>
      <c r="AW23" s="277"/>
      <c r="AX23" s="277"/>
      <c r="AY23" s="277"/>
      <c r="AZ23" s="277"/>
      <c r="BA23" s="277"/>
      <c r="BB23" s="277"/>
      <c r="BC23" s="277"/>
      <c r="BD23" s="277"/>
      <c r="BE23" s="277"/>
      <c r="BF23" s="277"/>
      <c r="BG23" s="277"/>
      <c r="BH23" s="277"/>
      <c r="BI23" s="277"/>
      <c r="BJ23" s="277"/>
      <c r="BK23" s="277"/>
      <c r="BL23" s="277"/>
      <c r="BM23" s="277"/>
      <c r="BN23" s="277"/>
      <c r="BO23" s="277"/>
      <c r="BP23" s="277"/>
      <c r="BQ23" s="277"/>
      <c r="BR23" s="277"/>
      <c r="BS23" s="277"/>
      <c r="BT23" s="277"/>
      <c r="BU23" s="277"/>
      <c r="BV23" s="277"/>
      <c r="BW23" s="277"/>
      <c r="BX23" s="277"/>
      <c r="BY23" s="277"/>
      <c r="BZ23" s="277"/>
      <c r="CA23" s="277"/>
      <c r="CB23" s="277"/>
      <c r="CC23" s="277"/>
      <c r="CD23" s="277"/>
      <c r="CE23" s="277"/>
      <c r="CF23" s="277"/>
      <c r="CG23" s="277"/>
      <c r="CH23" s="277"/>
      <c r="CI23" s="277"/>
      <c r="CJ23" s="277"/>
      <c r="CK23" s="277"/>
      <c r="CL23" s="277"/>
    </row>
    <row r="24" ht="15.0" customHeight="1">
      <c r="A24" s="370">
        <v>23.0</v>
      </c>
      <c r="B24" s="277" t="s">
        <v>219</v>
      </c>
      <c r="C24" s="370" t="s">
        <v>41</v>
      </c>
      <c r="D24" s="277" t="s">
        <v>91</v>
      </c>
      <c r="E24" s="530" t="s">
        <v>220</v>
      </c>
      <c r="F24" s="364" t="s">
        <v>221</v>
      </c>
      <c r="G24" s="531" t="s">
        <v>222</v>
      </c>
      <c r="H24" s="356" t="s">
        <v>113</v>
      </c>
      <c r="I24" s="277" t="s">
        <v>44</v>
      </c>
      <c r="J24" s="277" t="s">
        <v>98</v>
      </c>
      <c r="K24" s="365" t="s">
        <v>223</v>
      </c>
      <c r="L24" s="365" t="s">
        <v>224</v>
      </c>
      <c r="M24" s="277" t="s">
        <v>101</v>
      </c>
      <c r="N24" s="277"/>
      <c r="O24" s="277" t="s">
        <v>87</v>
      </c>
      <c r="P24" s="532"/>
      <c r="Q24" s="277" t="s">
        <v>49</v>
      </c>
      <c r="R24" s="541" t="s">
        <v>225</v>
      </c>
      <c r="S24" s="277" t="s">
        <v>135</v>
      </c>
      <c r="T24" s="537"/>
      <c r="U24" s="277" t="s">
        <v>226</v>
      </c>
      <c r="V24" s="277"/>
      <c r="W24" s="277" t="s">
        <v>53</v>
      </c>
      <c r="X24" s="277" t="s">
        <v>135</v>
      </c>
      <c r="Y24" s="277" t="s">
        <v>227</v>
      </c>
      <c r="Z24" s="277" t="s">
        <v>228</v>
      </c>
      <c r="AA24" s="277">
        <v>63153.0</v>
      </c>
      <c r="AB24" s="277" t="s">
        <v>141</v>
      </c>
      <c r="AC24" s="277" t="s">
        <v>141</v>
      </c>
      <c r="AD24" s="367" t="s">
        <v>56</v>
      </c>
      <c r="AE24" s="532"/>
      <c r="AF24" s="364" t="s">
        <v>229</v>
      </c>
      <c r="AG24" s="277" t="s">
        <v>2686</v>
      </c>
      <c r="AH24" s="367">
        <v>1.8027093709E10</v>
      </c>
      <c r="AI24" s="532"/>
      <c r="AJ24" s="277" t="s">
        <v>2686</v>
      </c>
      <c r="AK24" s="277" t="s">
        <v>230</v>
      </c>
      <c r="AL24" s="277" t="s">
        <v>108</v>
      </c>
      <c r="AM24" s="277" t="s">
        <v>141</v>
      </c>
      <c r="AN24" s="534">
        <v>41568.0</v>
      </c>
      <c r="AO24" s="542" t="s">
        <v>1448</v>
      </c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7"/>
      <c r="BJ24" s="277"/>
      <c r="BK24" s="277"/>
      <c r="BL24" s="277"/>
      <c r="BM24" s="277"/>
      <c r="BN24" s="277"/>
      <c r="BO24" s="277"/>
      <c r="BP24" s="277"/>
      <c r="BQ24" s="277"/>
      <c r="BR24" s="277"/>
      <c r="BS24" s="277"/>
      <c r="BT24" s="277"/>
      <c r="BU24" s="277"/>
      <c r="BV24" s="277"/>
      <c r="BW24" s="277"/>
      <c r="BX24" s="277"/>
      <c r="BY24" s="277"/>
      <c r="BZ24" s="277"/>
      <c r="CA24" s="277"/>
      <c r="CB24" s="277"/>
      <c r="CC24" s="277"/>
      <c r="CD24" s="277"/>
      <c r="CE24" s="277"/>
      <c r="CF24" s="277"/>
      <c r="CG24" s="277"/>
      <c r="CH24" s="277"/>
      <c r="CI24" s="277"/>
      <c r="CJ24" s="277"/>
      <c r="CK24" s="277"/>
      <c r="CL24" s="277"/>
    </row>
    <row r="25" ht="15.75" customHeight="1">
      <c r="A25" s="370">
        <v>24.0</v>
      </c>
      <c r="B25" s="357" t="s">
        <v>2741</v>
      </c>
      <c r="C25" s="370" t="s">
        <v>2732</v>
      </c>
      <c r="D25" s="277" t="s">
        <v>923</v>
      </c>
      <c r="E25" s="370" t="s">
        <v>1439</v>
      </c>
      <c r="F25" s="313" t="s">
        <v>1440</v>
      </c>
      <c r="G25" s="550" t="s">
        <v>1441</v>
      </c>
      <c r="H25" s="357" t="s">
        <v>1094</v>
      </c>
      <c r="I25" s="370" t="s">
        <v>44</v>
      </c>
      <c r="J25" s="370" t="s">
        <v>98</v>
      </c>
      <c r="K25" s="313" t="s">
        <v>1442</v>
      </c>
      <c r="L25" s="328" t="s">
        <v>1443</v>
      </c>
      <c r="M25" s="277"/>
      <c r="N25" s="277"/>
      <c r="O25" s="370" t="s">
        <v>521</v>
      </c>
      <c r="P25" s="277"/>
      <c r="Q25" s="370" t="s">
        <v>69</v>
      </c>
      <c r="R25" s="313" t="s">
        <v>1444</v>
      </c>
      <c r="S25" s="357" t="s">
        <v>163</v>
      </c>
      <c r="T25" s="277"/>
      <c r="U25" s="357" t="s">
        <v>1445</v>
      </c>
      <c r="V25" s="277"/>
      <c r="W25" s="357" t="s">
        <v>53</v>
      </c>
      <c r="X25" s="357" t="s">
        <v>51</v>
      </c>
      <c r="Y25" s="357" t="s">
        <v>494</v>
      </c>
      <c r="Z25" s="357" t="s">
        <v>495</v>
      </c>
      <c r="AA25" s="381">
        <v>60185.0</v>
      </c>
      <c r="AB25" s="277"/>
      <c r="AC25" s="277"/>
      <c r="AD25" s="551" t="s">
        <v>71</v>
      </c>
      <c r="AE25" s="277"/>
      <c r="AF25" s="313" t="s">
        <v>1446</v>
      </c>
      <c r="AG25" s="277"/>
      <c r="AH25" s="367"/>
      <c r="AI25" s="277"/>
      <c r="AJ25" s="277"/>
      <c r="AK25" s="277"/>
      <c r="AL25" s="277"/>
      <c r="AM25" s="277"/>
      <c r="AN25" s="313" t="s">
        <v>1447</v>
      </c>
      <c r="AO25" s="552">
        <v>45598.0</v>
      </c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7"/>
      <c r="BB25" s="277"/>
      <c r="BC25" s="277"/>
      <c r="BD25" s="277"/>
      <c r="BE25" s="277"/>
      <c r="BF25" s="277"/>
      <c r="BG25" s="277"/>
      <c r="BH25" s="277"/>
      <c r="BI25" s="277"/>
      <c r="BJ25" s="277"/>
      <c r="BK25" s="277"/>
      <c r="BL25" s="277"/>
      <c r="BM25" s="277"/>
      <c r="BN25" s="277"/>
      <c r="BO25" s="277"/>
      <c r="BP25" s="277"/>
      <c r="BQ25" s="277"/>
      <c r="BR25" s="277"/>
      <c r="BS25" s="277"/>
      <c r="BT25" s="277"/>
      <c r="BU25" s="277"/>
      <c r="BV25" s="277"/>
      <c r="BW25" s="277"/>
      <c r="BX25" s="277"/>
      <c r="BY25" s="277"/>
      <c r="BZ25" s="277"/>
      <c r="CA25" s="277"/>
      <c r="CB25" s="277"/>
      <c r="CC25" s="277"/>
      <c r="CD25" s="277"/>
      <c r="CE25" s="277"/>
      <c r="CF25" s="277"/>
      <c r="CG25" s="277"/>
      <c r="CH25" s="277"/>
      <c r="CI25" s="277"/>
      <c r="CJ25" s="277"/>
      <c r="CK25" s="277"/>
      <c r="CL25" s="277"/>
    </row>
    <row r="26" ht="15.75" customHeight="1">
      <c r="A26" s="370">
        <v>25.0</v>
      </c>
      <c r="B26" s="536" t="s">
        <v>922</v>
      </c>
      <c r="C26" s="370" t="s">
        <v>2732</v>
      </c>
      <c r="D26" s="277" t="s">
        <v>923</v>
      </c>
      <c r="E26" s="356" t="s">
        <v>924</v>
      </c>
      <c r="F26" s="364" t="s">
        <v>925</v>
      </c>
      <c r="G26" s="531" t="s">
        <v>926</v>
      </c>
      <c r="H26" s="553" t="s">
        <v>927</v>
      </c>
      <c r="I26" s="277" t="s">
        <v>44</v>
      </c>
      <c r="J26" s="277" t="s">
        <v>98</v>
      </c>
      <c r="K26" s="364" t="s">
        <v>928</v>
      </c>
      <c r="L26" s="364" t="s">
        <v>929</v>
      </c>
      <c r="M26" s="277"/>
      <c r="N26" s="277"/>
      <c r="O26" s="537" t="s">
        <v>133</v>
      </c>
      <c r="P26" s="277"/>
      <c r="Q26" s="277" t="s">
        <v>69</v>
      </c>
      <c r="R26" s="365" t="s">
        <v>930</v>
      </c>
      <c r="S26" s="277" t="s">
        <v>51</v>
      </c>
      <c r="T26" s="277"/>
      <c r="U26" s="277" t="s">
        <v>931</v>
      </c>
      <c r="V26" s="277"/>
      <c r="W26" s="277" t="s">
        <v>53</v>
      </c>
      <c r="X26" s="277" t="s">
        <v>51</v>
      </c>
      <c r="Y26" s="277" t="s">
        <v>494</v>
      </c>
      <c r="Z26" s="277" t="s">
        <v>932</v>
      </c>
      <c r="AA26" s="277">
        <v>60185.0</v>
      </c>
      <c r="AB26" s="277"/>
      <c r="AC26" s="277"/>
      <c r="AD26" s="367" t="s">
        <v>71</v>
      </c>
      <c r="AE26" s="277"/>
      <c r="AF26" s="364" t="s">
        <v>933</v>
      </c>
      <c r="AG26" s="277" t="s">
        <v>2686</v>
      </c>
      <c r="AH26" s="367">
        <v>2.3141485021E10</v>
      </c>
      <c r="AI26" s="277"/>
      <c r="AJ26" s="277" t="s">
        <v>2686</v>
      </c>
      <c r="AK26" s="364" t="s">
        <v>934</v>
      </c>
      <c r="AL26" s="277" t="s">
        <v>108</v>
      </c>
      <c r="AM26" s="277"/>
      <c r="AN26" s="534">
        <v>45084.0</v>
      </c>
      <c r="AO26" s="538" t="s">
        <v>1101</v>
      </c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  <c r="BD26" s="277"/>
      <c r="BE26" s="277"/>
      <c r="BF26" s="277"/>
      <c r="BG26" s="277"/>
      <c r="BH26" s="277"/>
      <c r="BI26" s="277"/>
      <c r="BJ26" s="277"/>
      <c r="BK26" s="277"/>
      <c r="BL26" s="277"/>
      <c r="BM26" s="277"/>
      <c r="BN26" s="277"/>
      <c r="BO26" s="277"/>
      <c r="BP26" s="277"/>
      <c r="BQ26" s="277"/>
      <c r="BR26" s="277"/>
      <c r="BS26" s="277"/>
      <c r="BT26" s="277"/>
      <c r="BU26" s="277"/>
      <c r="BV26" s="277"/>
      <c r="BW26" s="277"/>
      <c r="BX26" s="277"/>
      <c r="BY26" s="277"/>
      <c r="BZ26" s="277"/>
      <c r="CA26" s="277"/>
      <c r="CB26" s="277"/>
      <c r="CC26" s="277"/>
      <c r="CD26" s="277"/>
      <c r="CE26" s="277"/>
      <c r="CF26" s="277"/>
      <c r="CG26" s="277"/>
      <c r="CH26" s="277"/>
      <c r="CI26" s="277"/>
      <c r="CJ26" s="277"/>
      <c r="CK26" s="277"/>
      <c r="CL26" s="277"/>
    </row>
    <row r="27" ht="15.75" customHeight="1">
      <c r="A27" s="370">
        <v>26.0</v>
      </c>
      <c r="B27" s="357" t="s">
        <v>1409</v>
      </c>
      <c r="C27" s="370" t="s">
        <v>2719</v>
      </c>
      <c r="D27" s="277" t="s">
        <v>923</v>
      </c>
      <c r="E27" s="540" t="s">
        <v>1410</v>
      </c>
      <c r="F27" s="313" t="s">
        <v>1411</v>
      </c>
      <c r="G27" s="550" t="s">
        <v>1412</v>
      </c>
      <c r="H27" s="357" t="s">
        <v>1261</v>
      </c>
      <c r="I27" s="277" t="s">
        <v>44</v>
      </c>
      <c r="J27" s="277" t="s">
        <v>98</v>
      </c>
      <c r="K27" s="313" t="s">
        <v>1413</v>
      </c>
      <c r="L27" s="328" t="s">
        <v>1414</v>
      </c>
      <c r="M27" s="277"/>
      <c r="N27" s="277"/>
      <c r="O27" s="370" t="s">
        <v>521</v>
      </c>
      <c r="P27" s="277"/>
      <c r="Q27" s="370" t="s">
        <v>69</v>
      </c>
      <c r="R27" s="313" t="s">
        <v>1415</v>
      </c>
      <c r="S27" s="357" t="s">
        <v>1019</v>
      </c>
      <c r="T27" s="277"/>
      <c r="U27" s="357" t="s">
        <v>1416</v>
      </c>
      <c r="V27" s="277"/>
      <c r="W27" s="357" t="s">
        <v>53</v>
      </c>
      <c r="X27" s="357" t="s">
        <v>799</v>
      </c>
      <c r="Y27" s="357" t="s">
        <v>1417</v>
      </c>
      <c r="Z27" s="357" t="s">
        <v>1418</v>
      </c>
      <c r="AA27" s="554" t="s">
        <v>1419</v>
      </c>
      <c r="AB27" s="277"/>
      <c r="AC27" s="277"/>
      <c r="AD27" s="357" t="s">
        <v>71</v>
      </c>
      <c r="AE27" s="277"/>
      <c r="AF27" s="326" t="s">
        <v>1420</v>
      </c>
      <c r="AG27" s="277"/>
      <c r="AH27" s="367"/>
      <c r="AI27" s="277"/>
      <c r="AJ27" s="277"/>
      <c r="AK27" s="277"/>
      <c r="AL27" s="277"/>
      <c r="AM27" s="277"/>
      <c r="AN27" s="313" t="s">
        <v>1421</v>
      </c>
      <c r="AO27" s="373">
        <v>45616.0</v>
      </c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7"/>
      <c r="BJ27" s="277"/>
      <c r="BK27" s="277"/>
      <c r="BL27" s="277"/>
      <c r="BM27" s="277"/>
      <c r="BN27" s="277"/>
      <c r="BO27" s="277"/>
      <c r="BP27" s="277"/>
      <c r="BQ27" s="277"/>
      <c r="BR27" s="277"/>
      <c r="BS27" s="277"/>
      <c r="BT27" s="277"/>
      <c r="BU27" s="277"/>
      <c r="BV27" s="277"/>
      <c r="BW27" s="277"/>
      <c r="BX27" s="277"/>
      <c r="BY27" s="277"/>
      <c r="BZ27" s="277"/>
      <c r="CA27" s="277"/>
      <c r="CB27" s="277"/>
      <c r="CC27" s="277"/>
      <c r="CD27" s="277"/>
      <c r="CE27" s="277"/>
      <c r="CF27" s="277"/>
      <c r="CG27" s="277"/>
      <c r="CH27" s="277"/>
      <c r="CI27" s="277"/>
      <c r="CJ27" s="277"/>
      <c r="CK27" s="277"/>
      <c r="CL27" s="277"/>
    </row>
    <row r="28" ht="15.75" customHeight="1">
      <c r="A28" s="370">
        <v>27.0</v>
      </c>
      <c r="B28" s="367" t="s">
        <v>1257</v>
      </c>
      <c r="C28" s="370" t="s">
        <v>2719</v>
      </c>
      <c r="D28" s="277" t="s">
        <v>923</v>
      </c>
      <c r="E28" s="356" t="s">
        <v>1258</v>
      </c>
      <c r="F28" s="364" t="s">
        <v>1259</v>
      </c>
      <c r="G28" s="531" t="s">
        <v>1260</v>
      </c>
      <c r="H28" s="357" t="s">
        <v>1261</v>
      </c>
      <c r="I28" s="277" t="s">
        <v>44</v>
      </c>
      <c r="J28" s="277" t="s">
        <v>98</v>
      </c>
      <c r="K28" s="364" t="s">
        <v>1262</v>
      </c>
      <c r="L28" s="365" t="s">
        <v>1263</v>
      </c>
      <c r="M28" s="277"/>
      <c r="N28" s="277"/>
      <c r="O28" s="277" t="s">
        <v>521</v>
      </c>
      <c r="P28" s="277"/>
      <c r="Q28" s="277" t="s">
        <v>69</v>
      </c>
      <c r="R28" s="277" t="s">
        <v>1264</v>
      </c>
      <c r="S28" s="367" t="s">
        <v>1265</v>
      </c>
      <c r="T28" s="277"/>
      <c r="U28" s="367" t="s">
        <v>1265</v>
      </c>
      <c r="V28" s="277"/>
      <c r="W28" s="367" t="s">
        <v>798</v>
      </c>
      <c r="X28" s="367" t="s">
        <v>1266</v>
      </c>
      <c r="Y28" s="367" t="s">
        <v>1267</v>
      </c>
      <c r="Z28" s="367" t="s">
        <v>1265</v>
      </c>
      <c r="AA28" s="368">
        <v>91752.0</v>
      </c>
      <c r="AB28" s="277"/>
      <c r="AC28" s="277"/>
      <c r="AD28" s="367" t="s">
        <v>71</v>
      </c>
      <c r="AE28" s="277"/>
      <c r="AF28" s="364" t="s">
        <v>1268</v>
      </c>
      <c r="AG28" s="277" t="s">
        <v>2686</v>
      </c>
      <c r="AH28" s="357">
        <v>2.4099311672E10</v>
      </c>
      <c r="AI28" s="277"/>
      <c r="AJ28" s="277" t="s">
        <v>2686</v>
      </c>
      <c r="AK28" s="364" t="s">
        <v>1269</v>
      </c>
      <c r="AL28" s="277" t="s">
        <v>108</v>
      </c>
      <c r="AM28" s="277"/>
      <c r="AN28" s="277" t="s">
        <v>1270</v>
      </c>
      <c r="AO28" s="538" t="s">
        <v>1101</v>
      </c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  <c r="BD28" s="277"/>
      <c r="BE28" s="277"/>
      <c r="BF28" s="277"/>
      <c r="BG28" s="277"/>
      <c r="BH28" s="277"/>
      <c r="BI28" s="277"/>
      <c r="BJ28" s="277"/>
      <c r="BK28" s="277"/>
      <c r="BL28" s="277"/>
      <c r="BM28" s="277"/>
      <c r="BN28" s="277"/>
      <c r="BO28" s="277"/>
      <c r="BP28" s="277"/>
      <c r="BQ28" s="277"/>
      <c r="BR28" s="277"/>
      <c r="BS28" s="277"/>
      <c r="BT28" s="277"/>
      <c r="BU28" s="277"/>
      <c r="BV28" s="277"/>
      <c r="BW28" s="277"/>
      <c r="BX28" s="277"/>
      <c r="BY28" s="277"/>
      <c r="BZ28" s="277"/>
      <c r="CA28" s="277"/>
      <c r="CB28" s="277"/>
      <c r="CC28" s="277"/>
      <c r="CD28" s="277"/>
      <c r="CE28" s="277"/>
      <c r="CF28" s="277"/>
      <c r="CG28" s="277"/>
      <c r="CH28" s="277"/>
      <c r="CI28" s="277"/>
      <c r="CJ28" s="277"/>
      <c r="CK28" s="277"/>
      <c r="CL28" s="277"/>
    </row>
    <row r="29" ht="15.0" customHeight="1">
      <c r="A29" s="370">
        <v>28.0</v>
      </c>
      <c r="B29" s="555" t="s">
        <v>127</v>
      </c>
      <c r="C29" s="370" t="s">
        <v>41</v>
      </c>
      <c r="D29" s="277" t="s">
        <v>91</v>
      </c>
      <c r="E29" s="530" t="s">
        <v>128</v>
      </c>
      <c r="F29" s="364" t="s">
        <v>129</v>
      </c>
      <c r="G29" s="531" t="s">
        <v>130</v>
      </c>
      <c r="H29" s="356" t="s">
        <v>113</v>
      </c>
      <c r="I29" s="277" t="s">
        <v>44</v>
      </c>
      <c r="J29" s="277" t="s">
        <v>98</v>
      </c>
      <c r="K29" s="556" t="s">
        <v>131</v>
      </c>
      <c r="L29" s="556" t="s">
        <v>132</v>
      </c>
      <c r="M29" s="277" t="s">
        <v>101</v>
      </c>
      <c r="N29" s="277"/>
      <c r="O29" s="277" t="s">
        <v>133</v>
      </c>
      <c r="P29" s="532"/>
      <c r="Q29" s="277" t="s">
        <v>49</v>
      </c>
      <c r="R29" s="541" t="s">
        <v>134</v>
      </c>
      <c r="S29" s="277" t="s">
        <v>135</v>
      </c>
      <c r="T29" s="277"/>
      <c r="U29" s="277" t="s">
        <v>136</v>
      </c>
      <c r="V29" s="277"/>
      <c r="W29" s="277" t="s">
        <v>53</v>
      </c>
      <c r="X29" s="277" t="s">
        <v>51</v>
      </c>
      <c r="Y29" s="277" t="s">
        <v>137</v>
      </c>
      <c r="Z29" s="277" t="s">
        <v>138</v>
      </c>
      <c r="AA29" s="277">
        <v>60199.0</v>
      </c>
      <c r="AB29" s="277"/>
      <c r="AC29" s="277"/>
      <c r="AD29" s="277" t="s">
        <v>139</v>
      </c>
      <c r="AE29" s="532"/>
      <c r="AF29" s="539" t="s">
        <v>125</v>
      </c>
      <c r="AG29" s="277" t="s">
        <v>2686</v>
      </c>
      <c r="AH29" s="367">
        <v>1.8027093832E10</v>
      </c>
      <c r="AI29" s="532"/>
      <c r="AJ29" s="277" t="s">
        <v>2686</v>
      </c>
      <c r="AK29" s="277" t="s">
        <v>140</v>
      </c>
      <c r="AL29" s="277" t="s">
        <v>108</v>
      </c>
      <c r="AM29" s="277"/>
      <c r="AN29" s="557">
        <v>37622.0</v>
      </c>
      <c r="AO29" s="481" t="s">
        <v>2742</v>
      </c>
      <c r="AP29" s="277" t="s">
        <v>141</v>
      </c>
      <c r="AQ29" s="277" t="s">
        <v>141</v>
      </c>
      <c r="AR29" s="277"/>
      <c r="AS29" s="277" t="s">
        <v>141</v>
      </c>
      <c r="AT29" s="277"/>
      <c r="AU29" s="277"/>
      <c r="AV29" s="277"/>
      <c r="AW29" s="277"/>
      <c r="AX29" s="277"/>
      <c r="AY29" s="277"/>
      <c r="AZ29" s="277"/>
      <c r="BA29" s="277"/>
      <c r="BB29" s="277"/>
      <c r="BC29" s="277"/>
      <c r="BD29" s="277"/>
      <c r="BE29" s="277"/>
      <c r="BF29" s="277"/>
      <c r="BG29" s="277"/>
      <c r="BH29" s="277"/>
      <c r="BI29" s="277"/>
      <c r="BJ29" s="277"/>
      <c r="BK29" s="277"/>
      <c r="BL29" s="277"/>
      <c r="BM29" s="277"/>
      <c r="BN29" s="277"/>
      <c r="BO29" s="277"/>
      <c r="BP29" s="277"/>
      <c r="BQ29" s="277"/>
      <c r="BR29" s="277"/>
      <c r="BS29" s="277"/>
      <c r="BT29" s="277"/>
      <c r="BU29" s="277"/>
      <c r="BV29" s="277"/>
      <c r="BW29" s="277"/>
      <c r="BX29" s="277"/>
      <c r="BY29" s="277"/>
      <c r="BZ29" s="277"/>
      <c r="CA29" s="277"/>
      <c r="CB29" s="277"/>
      <c r="CC29" s="277"/>
      <c r="CD29" s="277"/>
      <c r="CE29" s="277"/>
      <c r="CF29" s="277"/>
      <c r="CG29" s="277"/>
      <c r="CH29" s="277"/>
      <c r="CI29" s="277"/>
      <c r="CJ29" s="277"/>
      <c r="CK29" s="277"/>
      <c r="CL29" s="277"/>
    </row>
    <row r="30" ht="15.75" customHeight="1">
      <c r="A30" s="370">
        <v>29.0</v>
      </c>
      <c r="B30" s="367" t="s">
        <v>1360</v>
      </c>
      <c r="C30" s="370" t="s">
        <v>41</v>
      </c>
      <c r="D30" s="277" t="s">
        <v>923</v>
      </c>
      <c r="E30" s="370" t="s">
        <v>1361</v>
      </c>
      <c r="F30" s="364" t="s">
        <v>1362</v>
      </c>
      <c r="G30" s="531" t="s">
        <v>1363</v>
      </c>
      <c r="H30" s="370" t="s">
        <v>1094</v>
      </c>
      <c r="I30" s="277" t="s">
        <v>44</v>
      </c>
      <c r="J30" s="277" t="s">
        <v>98</v>
      </c>
      <c r="K30" s="364" t="s">
        <v>1364</v>
      </c>
      <c r="L30" s="365" t="s">
        <v>1365</v>
      </c>
      <c r="M30" s="277"/>
      <c r="N30" s="277"/>
      <c r="O30" s="277" t="s">
        <v>521</v>
      </c>
      <c r="P30" s="277"/>
      <c r="Q30" s="277" t="s">
        <v>69</v>
      </c>
      <c r="R30" s="364" t="s">
        <v>1366</v>
      </c>
      <c r="S30" s="367" t="s">
        <v>51</v>
      </c>
      <c r="T30" s="277"/>
      <c r="U30" s="367" t="s">
        <v>1367</v>
      </c>
      <c r="V30" s="277"/>
      <c r="W30" s="367" t="s">
        <v>53</v>
      </c>
      <c r="X30" s="367" t="s">
        <v>51</v>
      </c>
      <c r="Y30" s="367" t="s">
        <v>347</v>
      </c>
      <c r="Z30" s="367" t="s">
        <v>1368</v>
      </c>
      <c r="AA30" s="368">
        <v>60261.0</v>
      </c>
      <c r="AB30" s="277"/>
      <c r="AC30" s="277"/>
      <c r="AD30" s="551" t="s">
        <v>71</v>
      </c>
      <c r="AE30" s="277"/>
      <c r="AF30" s="558" t="s">
        <v>125</v>
      </c>
      <c r="AG30" s="277" t="s">
        <v>2686</v>
      </c>
      <c r="AH30" s="367"/>
      <c r="AI30" s="277"/>
      <c r="AJ30" s="277" t="s">
        <v>2686</v>
      </c>
      <c r="AK30" s="277"/>
      <c r="AL30" s="277" t="s">
        <v>108</v>
      </c>
      <c r="AM30" s="277"/>
      <c r="AN30" s="364" t="s">
        <v>1369</v>
      </c>
      <c r="AO30" s="481" t="s">
        <v>2743</v>
      </c>
      <c r="AP30" s="277" t="s">
        <v>141</v>
      </c>
      <c r="AQ30" s="277" t="s">
        <v>141</v>
      </c>
      <c r="AR30" s="277"/>
      <c r="AS30" s="277"/>
      <c r="AT30" s="277"/>
      <c r="AU30" s="277"/>
      <c r="AV30" s="277"/>
      <c r="AW30" s="277"/>
      <c r="AX30" s="277"/>
      <c r="AY30" s="277"/>
      <c r="AZ30" s="277"/>
      <c r="BA30" s="277"/>
      <c r="BB30" s="277"/>
      <c r="BC30" s="277"/>
      <c r="BD30" s="277"/>
      <c r="BE30" s="277"/>
      <c r="BF30" s="277"/>
      <c r="BG30" s="277"/>
      <c r="BH30" s="277"/>
      <c r="BI30" s="277"/>
      <c r="BJ30" s="277"/>
      <c r="BK30" s="277"/>
      <c r="BL30" s="277"/>
      <c r="BM30" s="277"/>
      <c r="BN30" s="277"/>
      <c r="BO30" s="277"/>
      <c r="BP30" s="277"/>
      <c r="BQ30" s="277"/>
      <c r="BR30" s="277"/>
      <c r="BS30" s="277"/>
      <c r="BT30" s="277"/>
      <c r="BU30" s="277"/>
      <c r="BV30" s="277"/>
      <c r="BW30" s="277"/>
      <c r="BX30" s="277"/>
      <c r="BY30" s="277"/>
      <c r="BZ30" s="277"/>
      <c r="CA30" s="277"/>
      <c r="CB30" s="277"/>
      <c r="CC30" s="277"/>
      <c r="CD30" s="277"/>
      <c r="CE30" s="277"/>
      <c r="CF30" s="277"/>
      <c r="CG30" s="277"/>
      <c r="CH30" s="277"/>
      <c r="CI30" s="277"/>
      <c r="CJ30" s="277"/>
      <c r="CK30" s="277"/>
      <c r="CL30" s="277"/>
    </row>
    <row r="31" ht="15.75" customHeight="1">
      <c r="A31" s="370">
        <v>30.0</v>
      </c>
      <c r="B31" s="357" t="s">
        <v>1519</v>
      </c>
      <c r="C31" s="370" t="s">
        <v>84</v>
      </c>
      <c r="D31" s="277" t="s">
        <v>923</v>
      </c>
      <c r="E31" s="356" t="s">
        <v>1520</v>
      </c>
      <c r="F31" s="313" t="s">
        <v>1521</v>
      </c>
      <c r="G31" s="550" t="s">
        <v>1522</v>
      </c>
      <c r="H31" s="357" t="s">
        <v>1094</v>
      </c>
      <c r="I31" s="370" t="s">
        <v>44</v>
      </c>
      <c r="J31" s="370" t="s">
        <v>98</v>
      </c>
      <c r="K31" s="313" t="s">
        <v>1523</v>
      </c>
      <c r="L31" s="328" t="s">
        <v>1524</v>
      </c>
      <c r="M31" s="277"/>
      <c r="N31" s="277"/>
      <c r="O31" s="370" t="s">
        <v>48</v>
      </c>
      <c r="P31" s="277"/>
      <c r="Q31" s="370" t="s">
        <v>69</v>
      </c>
      <c r="R31" s="552">
        <v>36622.0</v>
      </c>
      <c r="S31" s="357" t="s">
        <v>51</v>
      </c>
      <c r="T31" s="277"/>
      <c r="U31" s="357" t="s">
        <v>1525</v>
      </c>
      <c r="V31" s="277"/>
      <c r="W31" s="357" t="s">
        <v>53</v>
      </c>
      <c r="X31" s="357" t="s">
        <v>51</v>
      </c>
      <c r="Y31" s="357" t="s">
        <v>1505</v>
      </c>
      <c r="Z31" s="357" t="s">
        <v>1526</v>
      </c>
      <c r="AA31" s="381">
        <v>60223.0</v>
      </c>
      <c r="AB31" s="277"/>
      <c r="AC31" s="277"/>
      <c r="AD31" s="357" t="s">
        <v>71</v>
      </c>
      <c r="AE31" s="277"/>
      <c r="AF31" s="313" t="s">
        <v>1527</v>
      </c>
      <c r="AG31" s="277"/>
      <c r="AH31" s="367"/>
      <c r="AI31" s="277"/>
      <c r="AJ31" s="277"/>
      <c r="AK31" s="277"/>
      <c r="AL31" s="277"/>
      <c r="AM31" s="277"/>
      <c r="AN31" s="370" t="s">
        <v>1528</v>
      </c>
      <c r="AO31" s="542" t="s">
        <v>2744</v>
      </c>
      <c r="AP31" s="277"/>
      <c r="AQ31" s="277" t="s">
        <v>141</v>
      </c>
      <c r="AR31" s="277"/>
      <c r="AS31" s="277"/>
      <c r="AT31" s="277"/>
      <c r="AU31" s="277"/>
      <c r="AV31" s="277"/>
      <c r="AW31" s="277"/>
      <c r="AX31" s="277"/>
      <c r="AY31" s="277"/>
      <c r="AZ31" s="277"/>
      <c r="BA31" s="277"/>
      <c r="BB31" s="277"/>
      <c r="BC31" s="277"/>
      <c r="BD31" s="277"/>
      <c r="BE31" s="277"/>
      <c r="BF31" s="277"/>
      <c r="BG31" s="277"/>
      <c r="BH31" s="277"/>
      <c r="BI31" s="277"/>
      <c r="BJ31" s="277"/>
      <c r="BK31" s="277"/>
      <c r="BL31" s="277"/>
      <c r="BM31" s="277"/>
      <c r="BN31" s="277"/>
      <c r="BO31" s="277"/>
      <c r="BP31" s="277"/>
      <c r="BQ31" s="277"/>
      <c r="BR31" s="277"/>
      <c r="BS31" s="277"/>
      <c r="BT31" s="277"/>
      <c r="BU31" s="277"/>
      <c r="BV31" s="277"/>
      <c r="BW31" s="277"/>
      <c r="BX31" s="277"/>
      <c r="BY31" s="277"/>
      <c r="BZ31" s="277"/>
      <c r="CA31" s="277"/>
      <c r="CB31" s="277"/>
      <c r="CC31" s="277"/>
      <c r="CD31" s="277"/>
      <c r="CE31" s="277"/>
      <c r="CF31" s="277"/>
      <c r="CG31" s="277"/>
      <c r="CH31" s="277"/>
      <c r="CI31" s="277"/>
      <c r="CJ31" s="277"/>
      <c r="CK31" s="277"/>
      <c r="CL31" s="277"/>
    </row>
    <row r="32" ht="15.75" customHeight="1">
      <c r="A32" s="370">
        <v>31.0</v>
      </c>
      <c r="B32" s="357" t="s">
        <v>1543</v>
      </c>
      <c r="C32" s="370" t="s">
        <v>2719</v>
      </c>
      <c r="D32" s="277" t="s">
        <v>923</v>
      </c>
      <c r="E32" s="370" t="s">
        <v>1544</v>
      </c>
      <c r="F32" s="313" t="s">
        <v>1545</v>
      </c>
      <c r="G32" s="379" t="s">
        <v>1546</v>
      </c>
      <c r="H32" s="357" t="s">
        <v>1547</v>
      </c>
      <c r="I32" s="370" t="s">
        <v>44</v>
      </c>
      <c r="J32" s="370" t="s">
        <v>98</v>
      </c>
      <c r="K32" s="313" t="s">
        <v>1548</v>
      </c>
      <c r="L32" s="328" t="s">
        <v>1549</v>
      </c>
      <c r="M32" s="277"/>
      <c r="N32" s="277"/>
      <c r="O32" s="370" t="s">
        <v>48</v>
      </c>
      <c r="P32" s="277"/>
      <c r="Q32" s="370" t="s">
        <v>49</v>
      </c>
      <c r="R32" s="313" t="s">
        <v>2745</v>
      </c>
      <c r="S32" s="357" t="s">
        <v>51</v>
      </c>
      <c r="T32" s="277"/>
      <c r="U32" s="357" t="s">
        <v>1551</v>
      </c>
      <c r="V32" s="277"/>
      <c r="W32" s="357" t="s">
        <v>798</v>
      </c>
      <c r="X32" s="357" t="s">
        <v>1552</v>
      </c>
      <c r="Y32" s="357" t="s">
        <v>1553</v>
      </c>
      <c r="Z32" s="357" t="s">
        <v>1554</v>
      </c>
      <c r="AA32" s="381">
        <v>92671.0</v>
      </c>
      <c r="AB32" s="277"/>
      <c r="AC32" s="277"/>
      <c r="AD32" s="357" t="s">
        <v>71</v>
      </c>
      <c r="AE32" s="277"/>
      <c r="AF32" s="313" t="s">
        <v>1555</v>
      </c>
      <c r="AG32" s="277"/>
      <c r="AH32" s="367"/>
      <c r="AI32" s="277"/>
      <c r="AJ32" s="277"/>
      <c r="AK32" s="277"/>
      <c r="AL32" s="277"/>
      <c r="AM32" s="277"/>
      <c r="AN32" s="346" t="s">
        <v>1448</v>
      </c>
      <c r="AO32" s="542" t="s">
        <v>2746</v>
      </c>
      <c r="AP32" s="277"/>
      <c r="AQ32" s="277" t="s">
        <v>141</v>
      </c>
      <c r="AR32" s="277"/>
      <c r="AS32" s="277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7"/>
      <c r="BH32" s="277"/>
      <c r="BI32" s="277"/>
      <c r="BJ32" s="277"/>
      <c r="BK32" s="277"/>
      <c r="BL32" s="277"/>
      <c r="BM32" s="277"/>
      <c r="BN32" s="277"/>
      <c r="BO32" s="277"/>
      <c r="BP32" s="277"/>
      <c r="BQ32" s="277"/>
      <c r="BR32" s="277"/>
      <c r="BS32" s="277"/>
      <c r="BT32" s="277"/>
      <c r="BU32" s="277"/>
      <c r="BV32" s="277"/>
      <c r="BW32" s="277"/>
      <c r="BX32" s="277"/>
      <c r="BY32" s="277"/>
      <c r="BZ32" s="277"/>
      <c r="CA32" s="277"/>
      <c r="CB32" s="277"/>
      <c r="CC32" s="277"/>
      <c r="CD32" s="277"/>
      <c r="CE32" s="277"/>
      <c r="CF32" s="277"/>
      <c r="CG32" s="277"/>
      <c r="CH32" s="277"/>
      <c r="CI32" s="277"/>
      <c r="CJ32" s="277"/>
      <c r="CK32" s="277"/>
      <c r="CL32" s="277"/>
    </row>
    <row r="33" ht="15.75" customHeight="1">
      <c r="A33" s="370">
        <v>32.0</v>
      </c>
      <c r="B33" s="357" t="s">
        <v>1629</v>
      </c>
      <c r="C33" s="370" t="s">
        <v>1953</v>
      </c>
      <c r="D33" s="277" t="s">
        <v>923</v>
      </c>
      <c r="E33" s="530"/>
      <c r="F33" s="313" t="s">
        <v>1630</v>
      </c>
      <c r="G33" s="379" t="s">
        <v>1631</v>
      </c>
      <c r="H33" s="357" t="s">
        <v>260</v>
      </c>
      <c r="I33" s="370" t="s">
        <v>44</v>
      </c>
      <c r="J33" s="370" t="s">
        <v>98</v>
      </c>
      <c r="K33" s="313" t="s">
        <v>1632</v>
      </c>
      <c r="L33" s="328" t="s">
        <v>1633</v>
      </c>
      <c r="M33" s="277"/>
      <c r="N33" s="277"/>
      <c r="O33" s="370" t="s">
        <v>48</v>
      </c>
      <c r="P33" s="277"/>
      <c r="Q33" s="370" t="s">
        <v>49</v>
      </c>
      <c r="R33" s="313" t="s">
        <v>1634</v>
      </c>
      <c r="S33" s="357" t="s">
        <v>51</v>
      </c>
      <c r="T33" s="277"/>
      <c r="U33" s="357" t="s">
        <v>1635</v>
      </c>
      <c r="V33" s="277"/>
      <c r="W33" s="357" t="s">
        <v>53</v>
      </c>
      <c r="X33" s="357" t="s">
        <v>51</v>
      </c>
      <c r="Y33" s="357" t="s">
        <v>177</v>
      </c>
      <c r="Z33" s="357" t="s">
        <v>178</v>
      </c>
      <c r="AA33" s="381">
        <v>60254.0</v>
      </c>
      <c r="AB33" s="277"/>
      <c r="AC33" s="277"/>
      <c r="AD33" s="357" t="s">
        <v>1396</v>
      </c>
      <c r="AE33" s="277"/>
      <c r="AF33" s="558" t="s">
        <v>125</v>
      </c>
      <c r="AG33" s="277"/>
      <c r="AH33" s="367"/>
      <c r="AI33" s="277"/>
      <c r="AJ33" s="277"/>
      <c r="AK33" s="277"/>
      <c r="AL33" s="277"/>
      <c r="AM33" s="277"/>
      <c r="AN33" s="313" t="s">
        <v>1628</v>
      </c>
      <c r="AO33" s="357" t="s">
        <v>1422</v>
      </c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7"/>
      <c r="BH33" s="277"/>
      <c r="BI33" s="277"/>
      <c r="BJ33" s="277"/>
      <c r="BK33" s="277"/>
      <c r="BL33" s="277"/>
      <c r="BM33" s="277"/>
      <c r="BN33" s="277"/>
      <c r="BO33" s="277"/>
      <c r="BP33" s="277"/>
      <c r="BQ33" s="277"/>
      <c r="BR33" s="277"/>
      <c r="BS33" s="277"/>
      <c r="BT33" s="277"/>
      <c r="BU33" s="277"/>
      <c r="BV33" s="277"/>
      <c r="BW33" s="277"/>
      <c r="BX33" s="277"/>
      <c r="BY33" s="277"/>
      <c r="BZ33" s="277"/>
      <c r="CA33" s="277"/>
      <c r="CB33" s="277"/>
      <c r="CC33" s="277"/>
      <c r="CD33" s="277"/>
      <c r="CE33" s="277"/>
      <c r="CF33" s="277"/>
      <c r="CG33" s="277"/>
      <c r="CH33" s="277"/>
      <c r="CI33" s="277"/>
      <c r="CJ33" s="277"/>
      <c r="CK33" s="277"/>
      <c r="CL33" s="277"/>
    </row>
    <row r="34" ht="15.75" customHeight="1">
      <c r="A34" s="370">
        <v>33.0</v>
      </c>
      <c r="B34" s="357" t="s">
        <v>1676</v>
      </c>
      <c r="C34" s="370" t="s">
        <v>84</v>
      </c>
      <c r="D34" s="277" t="s">
        <v>923</v>
      </c>
      <c r="E34" s="540" t="s">
        <v>1677</v>
      </c>
      <c r="F34" s="313" t="s">
        <v>1678</v>
      </c>
      <c r="G34" s="550" t="s">
        <v>1679</v>
      </c>
      <c r="H34" s="357" t="s">
        <v>157</v>
      </c>
      <c r="I34" s="370" t="s">
        <v>44</v>
      </c>
      <c r="J34" s="370" t="s">
        <v>98</v>
      </c>
      <c r="K34" s="314" t="s">
        <v>1680</v>
      </c>
      <c r="L34" s="313" t="s">
        <v>1681</v>
      </c>
      <c r="M34" s="277"/>
      <c r="N34" s="277"/>
      <c r="O34" s="370" t="s">
        <v>1682</v>
      </c>
      <c r="P34" s="277"/>
      <c r="Q34" s="370" t="s">
        <v>49</v>
      </c>
      <c r="R34" s="313" t="s">
        <v>1683</v>
      </c>
      <c r="S34" s="357" t="s">
        <v>51</v>
      </c>
      <c r="T34" s="277"/>
      <c r="U34" s="357" t="s">
        <v>1684</v>
      </c>
      <c r="V34" s="277"/>
      <c r="W34" s="357" t="s">
        <v>53</v>
      </c>
      <c r="X34" s="357" t="s">
        <v>51</v>
      </c>
      <c r="Y34" s="357" t="s">
        <v>104</v>
      </c>
      <c r="Z34" s="357" t="s">
        <v>105</v>
      </c>
      <c r="AA34" s="554" t="s">
        <v>1685</v>
      </c>
      <c r="AB34" s="277"/>
      <c r="AC34" s="277"/>
      <c r="AD34" s="357" t="s">
        <v>71</v>
      </c>
      <c r="AE34" s="277"/>
      <c r="AF34" s="558" t="s">
        <v>125</v>
      </c>
      <c r="AG34" s="277"/>
      <c r="AH34" s="367"/>
      <c r="AI34" s="277"/>
      <c r="AJ34" s="277"/>
      <c r="AK34" s="277"/>
      <c r="AL34" s="277"/>
      <c r="AM34" s="277"/>
      <c r="AN34" s="313" t="s">
        <v>1686</v>
      </c>
      <c r="AO34" s="353">
        <v>45775.0</v>
      </c>
      <c r="AP34" s="277"/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7"/>
      <c r="BH34" s="277"/>
      <c r="BI34" s="277"/>
      <c r="BJ34" s="277"/>
      <c r="BK34" s="277"/>
      <c r="BL34" s="277"/>
      <c r="BM34" s="277"/>
      <c r="BN34" s="277"/>
      <c r="BO34" s="277"/>
      <c r="BP34" s="277"/>
      <c r="BQ34" s="277"/>
      <c r="BR34" s="277"/>
      <c r="BS34" s="277"/>
      <c r="BT34" s="277"/>
      <c r="BU34" s="277"/>
      <c r="BV34" s="277"/>
      <c r="BW34" s="277"/>
      <c r="BX34" s="277"/>
      <c r="BY34" s="277"/>
      <c r="BZ34" s="277"/>
      <c r="CA34" s="277"/>
      <c r="CB34" s="277"/>
      <c r="CC34" s="277"/>
      <c r="CD34" s="277"/>
      <c r="CE34" s="277"/>
      <c r="CF34" s="277"/>
      <c r="CG34" s="277"/>
      <c r="CH34" s="277"/>
      <c r="CI34" s="277"/>
      <c r="CJ34" s="277"/>
      <c r="CK34" s="277"/>
      <c r="CL34" s="277"/>
    </row>
    <row r="35" ht="15.75" customHeight="1">
      <c r="A35" s="370">
        <v>34.0</v>
      </c>
      <c r="B35" s="357" t="s">
        <v>1697</v>
      </c>
      <c r="C35" s="370" t="s">
        <v>84</v>
      </c>
      <c r="D35" s="277" t="s">
        <v>923</v>
      </c>
      <c r="E35" s="356" t="s">
        <v>1698</v>
      </c>
      <c r="F35" s="313" t="s">
        <v>1699</v>
      </c>
      <c r="G35" s="550" t="s">
        <v>1700</v>
      </c>
      <c r="H35" s="357" t="s">
        <v>705</v>
      </c>
      <c r="I35" s="357" t="s">
        <v>248</v>
      </c>
      <c r="J35" s="277"/>
      <c r="K35" s="370" t="s">
        <v>44</v>
      </c>
      <c r="L35" s="370" t="s">
        <v>98</v>
      </c>
      <c r="M35" s="314" t="s">
        <v>1701</v>
      </c>
      <c r="N35" s="313" t="s">
        <v>1702</v>
      </c>
      <c r="O35" s="277"/>
      <c r="P35" s="277"/>
      <c r="Q35" s="370" t="s">
        <v>521</v>
      </c>
      <c r="R35" s="277"/>
      <c r="S35" s="370" t="s">
        <v>69</v>
      </c>
      <c r="T35" s="313" t="s">
        <v>1703</v>
      </c>
      <c r="U35" s="357" t="s">
        <v>1704</v>
      </c>
      <c r="V35" s="277"/>
      <c r="W35" s="357" t="s">
        <v>1705</v>
      </c>
      <c r="X35" s="277"/>
      <c r="Y35" s="357" t="s">
        <v>53</v>
      </c>
      <c r="Z35" s="357" t="s">
        <v>51</v>
      </c>
      <c r="AA35" s="357" t="s">
        <v>422</v>
      </c>
      <c r="AB35" s="357" t="s">
        <v>1706</v>
      </c>
      <c r="AC35" s="381">
        <v>61174.0</v>
      </c>
      <c r="AD35" s="277"/>
      <c r="AE35" s="277"/>
      <c r="AF35" s="357" t="s">
        <v>71</v>
      </c>
      <c r="AG35" s="277"/>
      <c r="AH35" s="558" t="s">
        <v>125</v>
      </c>
      <c r="AI35" s="367"/>
      <c r="AJ35" s="277"/>
      <c r="AK35" s="277"/>
      <c r="AL35" s="277"/>
      <c r="AM35" s="277"/>
      <c r="AN35" s="313" t="s">
        <v>1707</v>
      </c>
      <c r="AO35" s="353">
        <v>45775.0</v>
      </c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7"/>
      <c r="BH35" s="277"/>
      <c r="BI35" s="277"/>
      <c r="BJ35" s="277"/>
      <c r="BK35" s="277"/>
      <c r="BL35" s="277"/>
      <c r="BM35" s="277"/>
      <c r="BN35" s="277"/>
      <c r="BO35" s="277"/>
      <c r="BP35" s="277"/>
      <c r="BQ35" s="277"/>
      <c r="BR35" s="277"/>
      <c r="BS35" s="277"/>
      <c r="BT35" s="277"/>
      <c r="BU35" s="277"/>
      <c r="BV35" s="277"/>
      <c r="BW35" s="277"/>
      <c r="BX35" s="277"/>
      <c r="BY35" s="277"/>
      <c r="BZ35" s="277"/>
      <c r="CA35" s="277"/>
      <c r="CB35" s="277"/>
      <c r="CC35" s="277"/>
      <c r="CD35" s="277"/>
      <c r="CE35" s="277"/>
      <c r="CF35" s="277"/>
      <c r="CG35" s="277"/>
      <c r="CH35" s="277"/>
      <c r="CI35" s="277"/>
      <c r="CJ35" s="277"/>
      <c r="CK35" s="277"/>
      <c r="CL35" s="277"/>
    </row>
    <row r="36" ht="15.75" customHeight="1">
      <c r="A36" s="370">
        <v>35.0</v>
      </c>
      <c r="B36" s="357" t="s">
        <v>1617</v>
      </c>
      <c r="C36" s="370" t="s">
        <v>84</v>
      </c>
      <c r="D36" s="277" t="s">
        <v>923</v>
      </c>
      <c r="E36" s="356" t="s">
        <v>1618</v>
      </c>
      <c r="F36" s="313" t="s">
        <v>1619</v>
      </c>
      <c r="G36" s="363" t="s">
        <v>1620</v>
      </c>
      <c r="H36" s="357" t="s">
        <v>157</v>
      </c>
      <c r="I36" s="370" t="s">
        <v>44</v>
      </c>
      <c r="J36" s="370" t="s">
        <v>98</v>
      </c>
      <c r="K36" s="313" t="s">
        <v>1621</v>
      </c>
      <c r="L36" s="328" t="s">
        <v>1622</v>
      </c>
      <c r="M36" s="277"/>
      <c r="N36" s="277"/>
      <c r="O36" s="370" t="s">
        <v>684</v>
      </c>
      <c r="P36" s="277"/>
      <c r="Q36" s="370" t="s">
        <v>49</v>
      </c>
      <c r="R36" s="313" t="s">
        <v>1623</v>
      </c>
      <c r="S36" s="357" t="s">
        <v>914</v>
      </c>
      <c r="T36" s="277"/>
      <c r="U36" s="357" t="s">
        <v>1624</v>
      </c>
      <c r="V36" s="277"/>
      <c r="W36" s="357" t="s">
        <v>53</v>
      </c>
      <c r="X36" s="370" t="s">
        <v>914</v>
      </c>
      <c r="Y36" s="357" t="s">
        <v>1625</v>
      </c>
      <c r="Z36" s="357" t="s">
        <v>1626</v>
      </c>
      <c r="AA36" s="381">
        <v>63264.0</v>
      </c>
      <c r="AB36" s="277"/>
      <c r="AC36" s="277"/>
      <c r="AD36" s="357" t="s">
        <v>71</v>
      </c>
      <c r="AE36" s="277"/>
      <c r="AF36" s="370" t="s">
        <v>2144</v>
      </c>
      <c r="AG36" s="277"/>
      <c r="AH36" s="367"/>
      <c r="AI36" s="277"/>
      <c r="AJ36" s="277"/>
      <c r="AK36" s="277"/>
      <c r="AL36" s="277"/>
      <c r="AM36" s="277"/>
      <c r="AN36" s="346" t="s">
        <v>1628</v>
      </c>
      <c r="AO36" s="542" t="s">
        <v>2747</v>
      </c>
      <c r="AP36" s="277"/>
      <c r="AQ36" s="277"/>
      <c r="AR36" s="277"/>
      <c r="AS36" s="277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7"/>
      <c r="BH36" s="277"/>
      <c r="BI36" s="277"/>
      <c r="BJ36" s="277"/>
      <c r="BK36" s="277"/>
      <c r="BL36" s="277"/>
      <c r="BM36" s="277"/>
      <c r="BN36" s="277"/>
      <c r="BO36" s="277"/>
      <c r="BP36" s="277"/>
      <c r="BQ36" s="277"/>
      <c r="BR36" s="277"/>
      <c r="BS36" s="277"/>
      <c r="BT36" s="277"/>
      <c r="BU36" s="277"/>
      <c r="BV36" s="277"/>
      <c r="BW36" s="277"/>
      <c r="BX36" s="277"/>
      <c r="BY36" s="277"/>
      <c r="BZ36" s="277"/>
      <c r="CA36" s="277"/>
      <c r="CB36" s="277"/>
      <c r="CC36" s="277"/>
      <c r="CD36" s="277"/>
      <c r="CE36" s="277"/>
      <c r="CF36" s="277"/>
      <c r="CG36" s="277"/>
      <c r="CH36" s="277"/>
      <c r="CI36" s="277"/>
      <c r="CJ36" s="277"/>
      <c r="CK36" s="277"/>
      <c r="CL36" s="277"/>
    </row>
    <row r="37" ht="15.75" customHeight="1">
      <c r="A37" s="370">
        <v>36.0</v>
      </c>
      <c r="B37" s="559" t="s">
        <v>994</v>
      </c>
      <c r="C37" s="370" t="s">
        <v>41</v>
      </c>
      <c r="D37" s="277" t="s">
        <v>923</v>
      </c>
      <c r="E37" s="356" t="s">
        <v>995</v>
      </c>
      <c r="F37" s="364" t="s">
        <v>996</v>
      </c>
      <c r="G37" s="531" t="s">
        <v>997</v>
      </c>
      <c r="H37" s="370" t="s">
        <v>998</v>
      </c>
      <c r="I37" s="370" t="s">
        <v>309</v>
      </c>
      <c r="J37" s="277"/>
      <c r="K37" s="277" t="s">
        <v>999</v>
      </c>
      <c r="L37" s="277" t="s">
        <v>98</v>
      </c>
      <c r="M37" s="364" t="s">
        <v>1000</v>
      </c>
      <c r="N37" s="364" t="s">
        <v>1001</v>
      </c>
      <c r="O37" s="277"/>
      <c r="P37" s="366"/>
      <c r="Q37" s="277" t="s">
        <v>48</v>
      </c>
      <c r="R37" s="277"/>
      <c r="S37" s="277" t="s">
        <v>69</v>
      </c>
      <c r="T37" s="277" t="s">
        <v>1002</v>
      </c>
      <c r="U37" s="277" t="s">
        <v>135</v>
      </c>
      <c r="V37" s="277"/>
      <c r="W37" s="277" t="s">
        <v>1003</v>
      </c>
      <c r="X37" s="277" t="s">
        <v>1004</v>
      </c>
      <c r="Y37" s="277" t="s">
        <v>53</v>
      </c>
      <c r="Z37" s="277" t="s">
        <v>135</v>
      </c>
      <c r="AA37" s="277" t="s">
        <v>1005</v>
      </c>
      <c r="AB37" s="277" t="s">
        <v>1006</v>
      </c>
      <c r="AC37" s="277">
        <v>63152.0</v>
      </c>
      <c r="AD37" s="277"/>
      <c r="AE37" s="277"/>
      <c r="AF37" s="367" t="s">
        <v>71</v>
      </c>
      <c r="AG37" s="277"/>
      <c r="AH37" s="539" t="s">
        <v>125</v>
      </c>
      <c r="AI37" s="277"/>
      <c r="AJ37" s="277"/>
      <c r="AK37" s="277"/>
      <c r="AL37" s="277"/>
      <c r="AM37" s="277"/>
      <c r="AN37" s="277" t="s">
        <v>1008</v>
      </c>
      <c r="AO37" s="481" t="s">
        <v>1051</v>
      </c>
      <c r="AP37" s="277"/>
      <c r="AQ37" s="277"/>
      <c r="AR37" s="277"/>
      <c r="AS37" s="277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7"/>
      <c r="BH37" s="277"/>
      <c r="BI37" s="277"/>
      <c r="BJ37" s="277"/>
      <c r="BK37" s="277"/>
      <c r="BL37" s="277"/>
      <c r="BM37" s="277"/>
      <c r="BN37" s="277"/>
      <c r="BO37" s="277"/>
      <c r="BP37" s="277"/>
      <c r="BQ37" s="277"/>
      <c r="BR37" s="277"/>
      <c r="BS37" s="277"/>
      <c r="BT37" s="277"/>
      <c r="BU37" s="277"/>
      <c r="BV37" s="277"/>
      <c r="BW37" s="277"/>
      <c r="BX37" s="277"/>
      <c r="BY37" s="277"/>
      <c r="BZ37" s="277"/>
      <c r="CA37" s="277"/>
      <c r="CB37" s="277"/>
      <c r="CC37" s="277"/>
      <c r="CD37" s="277"/>
      <c r="CE37" s="277"/>
      <c r="CF37" s="277"/>
      <c r="CG37" s="277"/>
      <c r="CH37" s="277"/>
      <c r="CI37" s="277"/>
      <c r="CJ37" s="277"/>
      <c r="CK37" s="277"/>
      <c r="CL37" s="277"/>
    </row>
    <row r="38" ht="15.75" customHeight="1">
      <c r="A38" s="370">
        <v>37.0</v>
      </c>
      <c r="B38" s="367" t="s">
        <v>1371</v>
      </c>
      <c r="C38" s="370" t="s">
        <v>41</v>
      </c>
      <c r="D38" s="277" t="s">
        <v>91</v>
      </c>
      <c r="E38" s="356" t="s">
        <v>1372</v>
      </c>
      <c r="F38" s="313" t="s">
        <v>1373</v>
      </c>
      <c r="G38" s="363" t="s">
        <v>1374</v>
      </c>
      <c r="H38" s="367" t="s">
        <v>1375</v>
      </c>
      <c r="I38" s="357" t="s">
        <v>309</v>
      </c>
      <c r="J38" s="277"/>
      <c r="K38" s="277" t="s">
        <v>44</v>
      </c>
      <c r="L38" s="277" t="s">
        <v>1376</v>
      </c>
      <c r="M38" s="314" t="s">
        <v>1377</v>
      </c>
      <c r="N38" s="364" t="s">
        <v>1378</v>
      </c>
      <c r="O38" s="370" t="s">
        <v>1043</v>
      </c>
      <c r="P38" s="560" t="s">
        <v>1379</v>
      </c>
      <c r="Q38" s="370" t="s">
        <v>521</v>
      </c>
      <c r="R38" s="277"/>
      <c r="S38" s="277" t="s">
        <v>69</v>
      </c>
      <c r="T38" s="364" t="s">
        <v>1380</v>
      </c>
      <c r="U38" s="367" t="s">
        <v>163</v>
      </c>
      <c r="V38" s="277"/>
      <c r="W38" s="367" t="s">
        <v>1381</v>
      </c>
      <c r="X38" s="277"/>
      <c r="Y38" s="367" t="s">
        <v>53</v>
      </c>
      <c r="Z38" s="367" t="s">
        <v>420</v>
      </c>
      <c r="AA38" s="367" t="s">
        <v>1382</v>
      </c>
      <c r="AB38" s="367" t="s">
        <v>1383</v>
      </c>
      <c r="AC38" s="381">
        <v>61151.0</v>
      </c>
      <c r="AD38" s="277"/>
      <c r="AE38" s="277"/>
      <c r="AF38" s="551" t="s">
        <v>71</v>
      </c>
      <c r="AG38" s="277"/>
      <c r="AH38" s="364" t="s">
        <v>1384</v>
      </c>
      <c r="AI38" s="277"/>
      <c r="AJ38" s="277"/>
      <c r="AK38" s="277"/>
      <c r="AL38" s="277"/>
      <c r="AM38" s="277"/>
      <c r="AN38" s="489" t="s">
        <v>2748</v>
      </c>
      <c r="AO38" s="481" t="s">
        <v>1051</v>
      </c>
      <c r="AP38" s="277"/>
      <c r="AQ38" s="277"/>
      <c r="AR38" s="277"/>
      <c r="AS38" s="277"/>
      <c r="AT38" s="277"/>
      <c r="AU38" s="277"/>
      <c r="AV38" s="277"/>
      <c r="AW38" s="277"/>
      <c r="AX38" s="277"/>
      <c r="AY38" s="277"/>
      <c r="AZ38" s="277"/>
      <c r="BA38" s="277"/>
      <c r="BB38" s="277"/>
      <c r="BC38" s="277"/>
      <c r="BD38" s="277"/>
      <c r="BE38" s="277"/>
      <c r="BF38" s="277"/>
      <c r="BG38" s="277"/>
      <c r="BH38" s="277"/>
      <c r="BI38" s="277"/>
      <c r="BJ38" s="277"/>
      <c r="BK38" s="277"/>
      <c r="BL38" s="277"/>
      <c r="BM38" s="277"/>
      <c r="BN38" s="277"/>
      <c r="BO38" s="277"/>
      <c r="BP38" s="277"/>
      <c r="BQ38" s="277"/>
      <c r="BR38" s="277"/>
      <c r="BS38" s="277"/>
      <c r="BT38" s="277"/>
      <c r="BU38" s="277"/>
      <c r="BV38" s="277"/>
      <c r="BW38" s="277"/>
      <c r="BX38" s="277"/>
      <c r="BY38" s="277"/>
      <c r="BZ38" s="277"/>
      <c r="CA38" s="277"/>
      <c r="CB38" s="277"/>
      <c r="CC38" s="277"/>
      <c r="CD38" s="277"/>
      <c r="CE38" s="277"/>
      <c r="CF38" s="277"/>
      <c r="CG38" s="277"/>
      <c r="CH38" s="277"/>
      <c r="CI38" s="277"/>
      <c r="CJ38" s="277"/>
      <c r="CK38" s="277"/>
      <c r="CL38" s="277"/>
    </row>
    <row r="39" ht="15.75" customHeight="1">
      <c r="A39" s="561">
        <v>38.0</v>
      </c>
      <c r="B39" s="562" t="s">
        <v>2749</v>
      </c>
      <c r="C39" s="563" t="s">
        <v>729</v>
      </c>
      <c r="D39" s="543" t="s">
        <v>923</v>
      </c>
      <c r="E39" s="564" t="s">
        <v>1388</v>
      </c>
      <c r="F39" s="544" t="s">
        <v>1389</v>
      </c>
      <c r="G39" s="543" t="s">
        <v>1390</v>
      </c>
      <c r="H39" s="543" t="s">
        <v>1178</v>
      </c>
      <c r="I39" s="543" t="s">
        <v>729</v>
      </c>
      <c r="J39" s="543"/>
      <c r="K39" s="543" t="s">
        <v>44</v>
      </c>
      <c r="L39" s="543" t="s">
        <v>98</v>
      </c>
      <c r="M39" s="544" t="s">
        <v>1391</v>
      </c>
      <c r="N39" s="544" t="s">
        <v>1392</v>
      </c>
      <c r="O39" s="543"/>
      <c r="P39" s="543"/>
      <c r="Q39" s="543" t="s">
        <v>87</v>
      </c>
      <c r="R39" s="543"/>
      <c r="S39" s="543" t="s">
        <v>49</v>
      </c>
      <c r="T39" s="544" t="s">
        <v>2750</v>
      </c>
      <c r="U39" s="543" t="s">
        <v>51</v>
      </c>
      <c r="V39" s="543"/>
      <c r="W39" s="543" t="s">
        <v>1394</v>
      </c>
      <c r="X39" s="543"/>
      <c r="Y39" s="543" t="s">
        <v>53</v>
      </c>
      <c r="Z39" s="543" t="s">
        <v>51</v>
      </c>
      <c r="AA39" s="543" t="s">
        <v>54</v>
      </c>
      <c r="AB39" s="543" t="s">
        <v>1395</v>
      </c>
      <c r="AC39" s="546">
        <v>60135.0</v>
      </c>
      <c r="AD39" s="543"/>
      <c r="AE39" s="543"/>
      <c r="AF39" s="543" t="s">
        <v>1396</v>
      </c>
      <c r="AG39" s="543"/>
      <c r="AH39" s="547" t="s">
        <v>125</v>
      </c>
      <c r="AI39" s="277"/>
      <c r="AJ39" s="277"/>
      <c r="AK39" s="277"/>
      <c r="AL39" s="543"/>
      <c r="AM39" s="543"/>
      <c r="AN39" s="544" t="s">
        <v>1397</v>
      </c>
      <c r="AO39" s="481" t="s">
        <v>1051</v>
      </c>
      <c r="AP39" s="277"/>
      <c r="AQ39" s="549"/>
      <c r="AR39" s="543"/>
      <c r="AS39" s="543"/>
      <c r="AT39" s="543"/>
      <c r="AU39" s="543"/>
      <c r="AV39" s="543"/>
      <c r="AW39" s="543"/>
      <c r="AX39" s="543"/>
      <c r="AY39" s="543"/>
      <c r="AZ39" s="543"/>
      <c r="BA39" s="543"/>
      <c r="BB39" s="543"/>
      <c r="BC39" s="543"/>
      <c r="BD39" s="543"/>
      <c r="BE39" s="543"/>
      <c r="BF39" s="543"/>
      <c r="BG39" s="543"/>
      <c r="BH39" s="543"/>
      <c r="BI39" s="543"/>
      <c r="BJ39" s="543"/>
      <c r="BK39" s="543"/>
      <c r="BL39" s="543"/>
      <c r="BM39" s="543"/>
      <c r="BN39" s="543"/>
      <c r="BO39" s="543"/>
      <c r="BP39" s="543"/>
      <c r="BQ39" s="543"/>
      <c r="BR39" s="543"/>
      <c r="BS39" s="543"/>
      <c r="BT39" s="543"/>
      <c r="BU39" s="543"/>
      <c r="BV39" s="543"/>
      <c r="BW39" s="543"/>
      <c r="BX39" s="543"/>
      <c r="BY39" s="543"/>
      <c r="BZ39" s="543"/>
      <c r="CA39" s="543"/>
      <c r="CB39" s="543"/>
      <c r="CC39" s="543"/>
      <c r="CD39" s="543"/>
      <c r="CE39" s="543"/>
      <c r="CF39" s="543"/>
      <c r="CG39" s="543"/>
      <c r="CH39" s="543"/>
      <c r="CI39" s="543"/>
      <c r="CJ39" s="543"/>
      <c r="CK39" s="543"/>
      <c r="CL39" s="543"/>
    </row>
    <row r="40" ht="15.75" customHeight="1">
      <c r="A40" s="370">
        <v>39.0</v>
      </c>
      <c r="B40" s="277" t="s">
        <v>586</v>
      </c>
      <c r="C40" s="370" t="s">
        <v>41</v>
      </c>
      <c r="D40" s="277" t="s">
        <v>91</v>
      </c>
      <c r="E40" s="530" t="s">
        <v>587</v>
      </c>
      <c r="F40" s="364" t="s">
        <v>588</v>
      </c>
      <c r="G40" s="565" t="s">
        <v>589</v>
      </c>
      <c r="H40" s="530" t="s">
        <v>590</v>
      </c>
      <c r="I40" s="356" t="s">
        <v>591</v>
      </c>
      <c r="J40" s="566"/>
      <c r="K40" s="277" t="s">
        <v>44</v>
      </c>
      <c r="L40" s="277" t="s">
        <v>98</v>
      </c>
      <c r="M40" s="556" t="s">
        <v>592</v>
      </c>
      <c r="N40" s="556" t="s">
        <v>593</v>
      </c>
      <c r="O40" s="277" t="s">
        <v>101</v>
      </c>
      <c r="P40" s="380">
        <v>5.8810105286E10</v>
      </c>
      <c r="Q40" s="537" t="s">
        <v>133</v>
      </c>
      <c r="R40" s="532"/>
      <c r="S40" s="277" t="s">
        <v>49</v>
      </c>
      <c r="T40" s="541" t="s">
        <v>594</v>
      </c>
      <c r="U40" s="277" t="s">
        <v>51</v>
      </c>
      <c r="V40" s="277"/>
      <c r="W40" s="277" t="s">
        <v>595</v>
      </c>
      <c r="X40" s="277"/>
      <c r="Y40" s="277" t="s">
        <v>53</v>
      </c>
      <c r="Z40" s="277" t="s">
        <v>420</v>
      </c>
      <c r="AA40" s="277" t="s">
        <v>422</v>
      </c>
      <c r="AB40" s="277" t="s">
        <v>422</v>
      </c>
      <c r="AC40" s="277">
        <v>61174.0</v>
      </c>
      <c r="AD40" s="277"/>
      <c r="AE40" s="277"/>
      <c r="AF40" s="277" t="s">
        <v>596</v>
      </c>
      <c r="AG40" s="532"/>
      <c r="AH40" s="567" t="s">
        <v>597</v>
      </c>
      <c r="AI40" s="277"/>
      <c r="AJ40" s="277"/>
      <c r="AK40" s="277"/>
      <c r="AL40" s="277"/>
      <c r="AM40" s="543"/>
      <c r="AN40" s="534">
        <v>43899.0</v>
      </c>
      <c r="AO40" s="370" t="s">
        <v>2751</v>
      </c>
      <c r="AP40" s="277"/>
      <c r="AQ40" s="277"/>
      <c r="AR40" s="277"/>
      <c r="AS40" s="277"/>
      <c r="AT40" s="277"/>
      <c r="AU40" s="277"/>
      <c r="AV40" s="277"/>
      <c r="AW40" s="277"/>
      <c r="AX40" s="277"/>
      <c r="AY40" s="277"/>
      <c r="AZ40" s="277"/>
      <c r="BA40" s="277"/>
      <c r="BB40" s="277"/>
      <c r="BC40" s="277"/>
      <c r="BD40" s="277"/>
      <c r="BE40" s="277"/>
      <c r="BF40" s="277"/>
      <c r="BG40" s="277"/>
      <c r="BH40" s="277"/>
      <c r="BI40" s="277"/>
      <c r="BJ40" s="277"/>
      <c r="BK40" s="277"/>
      <c r="BL40" s="277"/>
      <c r="BM40" s="277"/>
      <c r="BN40" s="277"/>
      <c r="BO40" s="277"/>
      <c r="BP40" s="277"/>
      <c r="BQ40" s="277"/>
      <c r="BR40" s="277"/>
      <c r="BS40" s="277"/>
      <c r="BT40" s="277"/>
      <c r="BU40" s="277"/>
      <c r="BV40" s="277"/>
      <c r="BW40" s="277"/>
      <c r="BX40" s="277"/>
      <c r="BY40" s="277"/>
      <c r="BZ40" s="277"/>
      <c r="CA40" s="277"/>
      <c r="CB40" s="277"/>
      <c r="CC40" s="277"/>
      <c r="CD40" s="277"/>
      <c r="CE40" s="277"/>
      <c r="CF40" s="277"/>
      <c r="CG40" s="277"/>
      <c r="CH40" s="277"/>
      <c r="CI40" s="277"/>
      <c r="CJ40" s="277"/>
      <c r="CK40" s="277"/>
      <c r="CL40" s="277"/>
    </row>
    <row r="41" ht="15.75" customHeight="1">
      <c r="A41" s="370">
        <v>40.0</v>
      </c>
      <c r="B41" s="370" t="s">
        <v>1799</v>
      </c>
      <c r="C41" s="370" t="s">
        <v>1953</v>
      </c>
      <c r="D41" s="370" t="s">
        <v>923</v>
      </c>
      <c r="E41" s="356"/>
      <c r="F41" s="313" t="s">
        <v>1801</v>
      </c>
      <c r="G41" s="565" t="s">
        <v>1802</v>
      </c>
      <c r="H41" s="357" t="s">
        <v>260</v>
      </c>
      <c r="I41" s="357" t="s">
        <v>260</v>
      </c>
      <c r="J41" s="277"/>
      <c r="K41" s="370" t="s">
        <v>44</v>
      </c>
      <c r="L41" s="370" t="s">
        <v>98</v>
      </c>
      <c r="M41" s="313" t="s">
        <v>1803</v>
      </c>
      <c r="N41" s="328" t="s">
        <v>1804</v>
      </c>
      <c r="O41" s="277"/>
      <c r="P41" s="366"/>
      <c r="Q41" s="370" t="s">
        <v>1682</v>
      </c>
      <c r="R41" s="277"/>
      <c r="S41" s="370" t="s">
        <v>49</v>
      </c>
      <c r="T41" s="313" t="s">
        <v>1805</v>
      </c>
      <c r="U41" s="357" t="s">
        <v>51</v>
      </c>
      <c r="V41" s="277"/>
      <c r="W41" s="357" t="s">
        <v>1806</v>
      </c>
      <c r="X41" s="277"/>
      <c r="Y41" s="357" t="s">
        <v>53</v>
      </c>
      <c r="Z41" s="357" t="s">
        <v>51</v>
      </c>
      <c r="AA41" s="357" t="s">
        <v>104</v>
      </c>
      <c r="AB41" s="357" t="s">
        <v>205</v>
      </c>
      <c r="AC41" s="554" t="s">
        <v>1590</v>
      </c>
      <c r="AD41" s="277"/>
      <c r="AE41" s="277"/>
      <c r="AF41" s="357" t="s">
        <v>56</v>
      </c>
      <c r="AG41" s="277"/>
      <c r="AH41" s="558" t="s">
        <v>125</v>
      </c>
      <c r="AI41" s="357" t="s">
        <v>1010</v>
      </c>
      <c r="AJ41" s="357" t="s">
        <v>1010</v>
      </c>
      <c r="AK41" s="277"/>
      <c r="AL41" s="277"/>
      <c r="AM41" s="277"/>
      <c r="AN41" s="552">
        <v>45834.0</v>
      </c>
      <c r="AO41" s="370" t="s">
        <v>2752</v>
      </c>
      <c r="AP41" s="277"/>
      <c r="AQ41" s="277"/>
      <c r="AR41" s="277"/>
      <c r="AS41" s="277"/>
      <c r="AT41" s="277"/>
      <c r="AU41" s="277"/>
      <c r="AV41" s="277"/>
      <c r="AW41" s="277"/>
      <c r="AX41" s="277"/>
      <c r="AY41" s="277"/>
      <c r="AZ41" s="277"/>
      <c r="BA41" s="277"/>
      <c r="BB41" s="277"/>
      <c r="BC41" s="277"/>
      <c r="BD41" s="277"/>
      <c r="BE41" s="277"/>
      <c r="BF41" s="277"/>
      <c r="BG41" s="277"/>
      <c r="BH41" s="277"/>
      <c r="BI41" s="277"/>
      <c r="BJ41" s="277"/>
      <c r="BK41" s="277"/>
      <c r="BL41" s="277"/>
      <c r="BM41" s="277"/>
      <c r="BN41" s="277"/>
      <c r="BO41" s="277"/>
      <c r="BP41" s="277"/>
      <c r="BQ41" s="277"/>
      <c r="BR41" s="277"/>
      <c r="BS41" s="277"/>
      <c r="BT41" s="277"/>
      <c r="BU41" s="277"/>
      <c r="BV41" s="277"/>
      <c r="BW41" s="277"/>
      <c r="BX41" s="277"/>
      <c r="BY41" s="277"/>
      <c r="BZ41" s="277"/>
      <c r="CA41" s="277"/>
      <c r="CB41" s="277"/>
      <c r="CC41" s="277"/>
      <c r="CD41" s="277"/>
      <c r="CE41" s="277"/>
      <c r="CF41" s="277"/>
      <c r="CG41" s="277"/>
      <c r="CH41" s="277"/>
      <c r="CI41" s="277"/>
      <c r="CJ41" s="277"/>
      <c r="CK41" s="277"/>
      <c r="CL41" s="277"/>
    </row>
    <row r="42" ht="15.75" customHeight="1">
      <c r="A42" s="370">
        <v>41.0</v>
      </c>
      <c r="B42" s="367" t="s">
        <v>1283</v>
      </c>
      <c r="C42" s="357" t="s">
        <v>1139</v>
      </c>
      <c r="D42" s="277" t="s">
        <v>923</v>
      </c>
      <c r="E42" s="356" t="s">
        <v>1284</v>
      </c>
      <c r="F42" s="364" t="s">
        <v>1285</v>
      </c>
      <c r="G42" s="531" t="s">
        <v>1286</v>
      </c>
      <c r="H42" s="367" t="s">
        <v>1188</v>
      </c>
      <c r="I42" s="357" t="s">
        <v>591</v>
      </c>
      <c r="J42" s="277"/>
      <c r="K42" s="277" t="s">
        <v>44</v>
      </c>
      <c r="L42" s="277" t="s">
        <v>98</v>
      </c>
      <c r="M42" s="364" t="s">
        <v>1287</v>
      </c>
      <c r="N42" s="365" t="s">
        <v>1288</v>
      </c>
      <c r="O42" s="277"/>
      <c r="P42" s="366"/>
      <c r="Q42" s="277" t="s">
        <v>521</v>
      </c>
      <c r="R42" s="277"/>
      <c r="S42" s="277" t="s">
        <v>49</v>
      </c>
      <c r="T42" s="364" t="s">
        <v>1289</v>
      </c>
      <c r="U42" s="367" t="s">
        <v>51</v>
      </c>
      <c r="V42" s="277"/>
      <c r="W42" s="367" t="s">
        <v>1290</v>
      </c>
      <c r="X42" s="277"/>
      <c r="Y42" s="367" t="s">
        <v>53</v>
      </c>
      <c r="Z42" s="367" t="s">
        <v>51</v>
      </c>
      <c r="AA42" s="367" t="s">
        <v>1291</v>
      </c>
      <c r="AB42" s="367" t="s">
        <v>1292</v>
      </c>
      <c r="AC42" s="368">
        <v>60218.0</v>
      </c>
      <c r="AD42" s="277"/>
      <c r="AE42" s="277"/>
      <c r="AF42" s="367" t="s">
        <v>71</v>
      </c>
      <c r="AG42" s="277"/>
      <c r="AH42" s="364" t="s">
        <v>1293</v>
      </c>
      <c r="AI42" s="357">
        <v>2.4099309957E10</v>
      </c>
      <c r="AJ42" s="364" t="s">
        <v>1294</v>
      </c>
      <c r="AK42" s="277" t="s">
        <v>108</v>
      </c>
      <c r="AL42" s="277"/>
      <c r="AM42" s="277"/>
      <c r="AN42" s="286" t="s">
        <v>1049</v>
      </c>
      <c r="AO42" s="370" t="s">
        <v>1296</v>
      </c>
      <c r="AP42" s="277"/>
      <c r="AQ42" s="277"/>
      <c r="AR42" s="277"/>
      <c r="AS42" s="277"/>
      <c r="AT42" s="277"/>
      <c r="AU42" s="277"/>
      <c r="AV42" s="277"/>
      <c r="AW42" s="277"/>
      <c r="AX42" s="277"/>
      <c r="AY42" s="277"/>
      <c r="AZ42" s="277"/>
      <c r="BA42" s="277"/>
      <c r="BB42" s="277"/>
      <c r="BC42" s="277"/>
      <c r="BD42" s="277"/>
      <c r="BE42" s="277"/>
      <c r="BF42" s="277"/>
      <c r="BG42" s="277"/>
      <c r="BH42" s="277"/>
      <c r="BI42" s="277"/>
      <c r="BJ42" s="277"/>
      <c r="BK42" s="277"/>
      <c r="BL42" s="277"/>
      <c r="BM42" s="277"/>
      <c r="BN42" s="277"/>
      <c r="BO42" s="277"/>
      <c r="BP42" s="277"/>
      <c r="BQ42" s="277"/>
      <c r="BR42" s="277"/>
      <c r="BS42" s="277"/>
      <c r="BT42" s="277"/>
      <c r="BU42" s="277"/>
      <c r="BV42" s="277"/>
      <c r="BW42" s="277"/>
      <c r="BX42" s="277"/>
      <c r="BY42" s="277"/>
      <c r="BZ42" s="277"/>
      <c r="CA42" s="277"/>
      <c r="CB42" s="277"/>
      <c r="CC42" s="277"/>
      <c r="CD42" s="277"/>
      <c r="CE42" s="277"/>
      <c r="CF42" s="277"/>
      <c r="CG42" s="277"/>
      <c r="CH42" s="277"/>
      <c r="CI42" s="277"/>
      <c r="CJ42" s="277"/>
      <c r="CK42" s="277"/>
      <c r="CL42" s="277"/>
    </row>
    <row r="43" ht="15.75" customHeight="1">
      <c r="A43" s="370">
        <v>42.0</v>
      </c>
      <c r="B43" s="357" t="s">
        <v>1774</v>
      </c>
      <c r="C43" s="370" t="s">
        <v>41</v>
      </c>
      <c r="D43" s="277" t="s">
        <v>923</v>
      </c>
      <c r="E43" s="370" t="s">
        <v>1775</v>
      </c>
      <c r="F43" s="313" t="s">
        <v>1776</v>
      </c>
      <c r="G43" s="379" t="s">
        <v>1777</v>
      </c>
      <c r="H43" s="357" t="s">
        <v>1427</v>
      </c>
      <c r="I43" s="357" t="s">
        <v>614</v>
      </c>
      <c r="J43" s="277"/>
      <c r="K43" s="277" t="s">
        <v>44</v>
      </c>
      <c r="L43" s="277" t="s">
        <v>98</v>
      </c>
      <c r="M43" s="313" t="s">
        <v>1778</v>
      </c>
      <c r="N43" s="357" t="s">
        <v>1779</v>
      </c>
      <c r="O43" s="370" t="s">
        <v>819</v>
      </c>
      <c r="P43" s="380" t="s">
        <v>1780</v>
      </c>
      <c r="Q43" s="370" t="s">
        <v>684</v>
      </c>
      <c r="R43" s="277"/>
      <c r="S43" s="370" t="s">
        <v>49</v>
      </c>
      <c r="T43" s="313" t="s">
        <v>1781</v>
      </c>
      <c r="U43" s="357" t="s">
        <v>51</v>
      </c>
      <c r="V43" s="277"/>
      <c r="W43" s="357" t="s">
        <v>1782</v>
      </c>
      <c r="X43" s="277"/>
      <c r="Y43" s="357" t="s">
        <v>798</v>
      </c>
      <c r="Z43" s="357" t="s">
        <v>64</v>
      </c>
      <c r="AA43" s="357" t="s">
        <v>1783</v>
      </c>
      <c r="AB43" s="357" t="s">
        <v>1784</v>
      </c>
      <c r="AC43" s="381">
        <v>90243.0</v>
      </c>
      <c r="AD43" s="277"/>
      <c r="AE43" s="277"/>
      <c r="AF43" s="357" t="s">
        <v>71</v>
      </c>
      <c r="AG43" s="277"/>
      <c r="AH43" s="558" t="s">
        <v>125</v>
      </c>
      <c r="AI43" s="357" t="s">
        <v>1010</v>
      </c>
      <c r="AJ43" s="357" t="s">
        <v>1010</v>
      </c>
      <c r="AK43" s="277"/>
      <c r="AL43" s="277"/>
      <c r="AM43" s="277"/>
      <c r="AN43" s="313" t="s">
        <v>1511</v>
      </c>
      <c r="AO43" s="370" t="s">
        <v>1786</v>
      </c>
      <c r="AP43" s="277"/>
      <c r="AQ43" s="277"/>
      <c r="AR43" s="277"/>
      <c r="AS43" s="277"/>
      <c r="AT43" s="277"/>
      <c r="AU43" s="277"/>
      <c r="AV43" s="277"/>
      <c r="AW43" s="277"/>
      <c r="AX43" s="277"/>
      <c r="AY43" s="277"/>
      <c r="AZ43" s="277"/>
      <c r="BA43" s="277"/>
      <c r="BB43" s="277"/>
      <c r="BC43" s="277"/>
      <c r="BD43" s="277"/>
      <c r="BE43" s="277"/>
      <c r="BF43" s="277"/>
      <c r="BG43" s="277"/>
      <c r="BH43" s="277"/>
      <c r="BI43" s="277"/>
      <c r="BJ43" s="277"/>
      <c r="BK43" s="277"/>
      <c r="BL43" s="277"/>
      <c r="BM43" s="277"/>
      <c r="BN43" s="277"/>
      <c r="BO43" s="277"/>
      <c r="BP43" s="277"/>
      <c r="BQ43" s="277"/>
      <c r="BR43" s="277"/>
      <c r="BS43" s="277"/>
      <c r="BT43" s="277"/>
      <c r="BU43" s="277"/>
      <c r="BV43" s="277"/>
      <c r="BW43" s="277"/>
      <c r="BX43" s="277"/>
      <c r="BY43" s="277"/>
      <c r="BZ43" s="277"/>
      <c r="CA43" s="277"/>
      <c r="CB43" s="277"/>
      <c r="CC43" s="277"/>
      <c r="CD43" s="277"/>
      <c r="CE43" s="277"/>
      <c r="CF43" s="277"/>
      <c r="CG43" s="277"/>
      <c r="CH43" s="277"/>
      <c r="CI43" s="277"/>
      <c r="CJ43" s="277"/>
      <c r="CK43" s="277"/>
      <c r="CL43" s="277"/>
    </row>
    <row r="44" ht="15.0" customHeight="1">
      <c r="A44" s="561">
        <v>43.0</v>
      </c>
      <c r="B44" s="568" t="s">
        <v>813</v>
      </c>
      <c r="C44" s="370" t="s">
        <v>514</v>
      </c>
      <c r="D44" s="569" t="s">
        <v>91</v>
      </c>
      <c r="E44" s="570" t="s">
        <v>814</v>
      </c>
      <c r="F44" s="571" t="s">
        <v>815</v>
      </c>
      <c r="G44" s="572" t="s">
        <v>816</v>
      </c>
      <c r="H44" s="570" t="s">
        <v>113</v>
      </c>
      <c r="I44" s="356" t="s">
        <v>614</v>
      </c>
      <c r="J44" s="569"/>
      <c r="K44" s="569" t="s">
        <v>44</v>
      </c>
      <c r="L44" s="569" t="s">
        <v>504</v>
      </c>
      <c r="M44" s="571" t="s">
        <v>817</v>
      </c>
      <c r="N44" s="571" t="s">
        <v>818</v>
      </c>
      <c r="O44" s="561" t="s">
        <v>819</v>
      </c>
      <c r="P44" s="573" t="s">
        <v>820</v>
      </c>
      <c r="Q44" s="569" t="s">
        <v>133</v>
      </c>
      <c r="R44" s="569"/>
      <c r="S44" s="569" t="s">
        <v>49</v>
      </c>
      <c r="T44" s="574" t="s">
        <v>821</v>
      </c>
      <c r="U44" s="569" t="s">
        <v>822</v>
      </c>
      <c r="V44" s="569"/>
      <c r="W44" s="569" t="s">
        <v>823</v>
      </c>
      <c r="X44" s="575" t="s">
        <v>824</v>
      </c>
      <c r="Y44" s="569" t="s">
        <v>825</v>
      </c>
      <c r="Z44" s="569" t="s">
        <v>826</v>
      </c>
      <c r="AA44" s="569" t="s">
        <v>827</v>
      </c>
      <c r="AB44" s="569" t="s">
        <v>828</v>
      </c>
      <c r="AC44" s="576">
        <v>86562.0</v>
      </c>
      <c r="AD44" s="569"/>
      <c r="AE44" s="569"/>
      <c r="AF44" s="574" t="s">
        <v>71</v>
      </c>
      <c r="AG44" s="569"/>
      <c r="AH44" s="537" t="s">
        <v>125</v>
      </c>
      <c r="AI44" s="577">
        <v>2.3083538605E10</v>
      </c>
      <c r="AJ44" s="578" t="s">
        <v>829</v>
      </c>
      <c r="AK44" s="569" t="s">
        <v>108</v>
      </c>
      <c r="AL44" s="569"/>
      <c r="AM44" s="277"/>
      <c r="AN44" s="579">
        <v>44852.0</v>
      </c>
      <c r="AO44" s="561" t="s">
        <v>1208</v>
      </c>
      <c r="AP44" s="569"/>
      <c r="AQ44" s="569"/>
      <c r="AR44" s="569"/>
      <c r="AS44" s="569"/>
      <c r="AT44" s="569"/>
      <c r="AU44" s="569"/>
      <c r="AV44" s="569"/>
      <c r="AW44" s="569"/>
      <c r="AX44" s="569"/>
      <c r="AY44" s="569"/>
      <c r="AZ44" s="569"/>
      <c r="BA44" s="569"/>
      <c r="BB44" s="569"/>
      <c r="BC44" s="569"/>
      <c r="BD44" s="569"/>
      <c r="BE44" s="569"/>
      <c r="BF44" s="569"/>
      <c r="BG44" s="569"/>
      <c r="BH44" s="569"/>
      <c r="BI44" s="569"/>
      <c r="BJ44" s="569"/>
      <c r="BK44" s="569"/>
      <c r="BL44" s="569"/>
      <c r="BM44" s="569"/>
      <c r="BN44" s="569"/>
      <c r="BO44" s="569"/>
      <c r="BP44" s="569"/>
      <c r="BQ44" s="569"/>
      <c r="BR44" s="569"/>
      <c r="BS44" s="569"/>
      <c r="BT44" s="569"/>
      <c r="BU44" s="569"/>
      <c r="BV44" s="569"/>
      <c r="BW44" s="569"/>
      <c r="BX44" s="569"/>
      <c r="BY44" s="569"/>
      <c r="BZ44" s="569"/>
      <c r="CA44" s="569"/>
      <c r="CB44" s="569"/>
      <c r="CC44" s="569"/>
      <c r="CD44" s="569"/>
      <c r="CE44" s="569"/>
      <c r="CF44" s="569"/>
      <c r="CG44" s="569"/>
      <c r="CH44" s="569"/>
      <c r="CI44" s="569"/>
      <c r="CJ44" s="569"/>
      <c r="CK44" s="569"/>
      <c r="CL44" s="569"/>
    </row>
    <row r="45" ht="15.75" customHeight="1">
      <c r="A45" s="370">
        <v>44.0</v>
      </c>
      <c r="B45" s="277" t="s">
        <v>359</v>
      </c>
      <c r="C45" s="370" t="s">
        <v>41</v>
      </c>
      <c r="D45" s="277" t="s">
        <v>91</v>
      </c>
      <c r="E45" s="530" t="s">
        <v>360</v>
      </c>
      <c r="F45" s="364" t="s">
        <v>361</v>
      </c>
      <c r="G45" s="565" t="s">
        <v>362</v>
      </c>
      <c r="H45" s="356" t="s">
        <v>363</v>
      </c>
      <c r="I45" s="356" t="s">
        <v>309</v>
      </c>
      <c r="J45" s="566"/>
      <c r="K45" s="277" t="s">
        <v>44</v>
      </c>
      <c r="L45" s="277" t="s">
        <v>98</v>
      </c>
      <c r="M45" s="556" t="s">
        <v>364</v>
      </c>
      <c r="N45" s="556" t="s">
        <v>365</v>
      </c>
      <c r="O45" s="277" t="s">
        <v>101</v>
      </c>
      <c r="P45" s="366"/>
      <c r="Q45" s="537" t="s">
        <v>87</v>
      </c>
      <c r="R45" s="532"/>
      <c r="S45" s="277" t="s">
        <v>49</v>
      </c>
      <c r="T45" s="541" t="s">
        <v>366</v>
      </c>
      <c r="U45" s="277" t="s">
        <v>51</v>
      </c>
      <c r="V45" s="277"/>
      <c r="W45" s="277" t="s">
        <v>367</v>
      </c>
      <c r="X45" s="277"/>
      <c r="Y45" s="277" t="s">
        <v>53</v>
      </c>
      <c r="Z45" s="277" t="s">
        <v>51</v>
      </c>
      <c r="AA45" s="277" t="s">
        <v>137</v>
      </c>
      <c r="AB45" s="277" t="s">
        <v>138</v>
      </c>
      <c r="AC45" s="277">
        <v>60199.0</v>
      </c>
      <c r="AD45" s="277"/>
      <c r="AE45" s="277"/>
      <c r="AF45" s="367" t="s">
        <v>71</v>
      </c>
      <c r="AG45" s="532"/>
      <c r="AH45" s="539" t="s">
        <v>125</v>
      </c>
      <c r="AI45" s="577">
        <v>2.0016994301E10</v>
      </c>
      <c r="AJ45" s="569" t="s">
        <v>368</v>
      </c>
      <c r="AK45" s="277" t="s">
        <v>108</v>
      </c>
      <c r="AL45" s="277"/>
      <c r="AM45" s="277"/>
      <c r="AN45" s="534">
        <v>43243.0</v>
      </c>
      <c r="AO45" s="370" t="s">
        <v>2753</v>
      </c>
      <c r="AP45" s="277"/>
      <c r="AQ45" s="277"/>
      <c r="AR45" s="277"/>
      <c r="AS45" s="277"/>
      <c r="AT45" s="277"/>
      <c r="AU45" s="277"/>
      <c r="AV45" s="277"/>
      <c r="AW45" s="277"/>
      <c r="AX45" s="277"/>
      <c r="AY45" s="277"/>
      <c r="AZ45" s="277"/>
      <c r="BA45" s="277"/>
      <c r="BB45" s="277"/>
      <c r="BC45" s="277"/>
      <c r="BD45" s="277"/>
      <c r="BE45" s="277"/>
      <c r="BF45" s="277"/>
      <c r="BG45" s="277"/>
      <c r="BH45" s="277"/>
      <c r="BI45" s="277"/>
      <c r="BJ45" s="277"/>
      <c r="BK45" s="277"/>
      <c r="BL45" s="277"/>
      <c r="BM45" s="277"/>
      <c r="BN45" s="277"/>
      <c r="BO45" s="277"/>
      <c r="BP45" s="277"/>
      <c r="BQ45" s="277"/>
      <c r="BR45" s="277"/>
      <c r="BS45" s="277"/>
      <c r="BT45" s="277"/>
      <c r="BU45" s="277"/>
      <c r="BV45" s="277"/>
      <c r="BW45" s="277"/>
      <c r="BX45" s="277"/>
      <c r="BY45" s="277"/>
      <c r="BZ45" s="277"/>
      <c r="CA45" s="277"/>
      <c r="CB45" s="277"/>
      <c r="CC45" s="277"/>
      <c r="CD45" s="277"/>
      <c r="CE45" s="277"/>
      <c r="CF45" s="277"/>
      <c r="CG45" s="277"/>
      <c r="CH45" s="277"/>
      <c r="CI45" s="277"/>
      <c r="CJ45" s="277"/>
      <c r="CK45" s="277"/>
      <c r="CL45" s="277"/>
    </row>
    <row r="46" ht="15.75" customHeight="1">
      <c r="A46" s="370">
        <v>45.0</v>
      </c>
      <c r="B46" s="370" t="s">
        <v>1952</v>
      </c>
      <c r="C46" s="370" t="s">
        <v>1953</v>
      </c>
      <c r="D46" s="370" t="s">
        <v>923</v>
      </c>
      <c r="E46" s="356"/>
      <c r="F46" s="328" t="s">
        <v>1954</v>
      </c>
      <c r="G46" s="379" t="s">
        <v>1955</v>
      </c>
      <c r="H46" s="357" t="s">
        <v>260</v>
      </c>
      <c r="I46" s="357" t="s">
        <v>260</v>
      </c>
      <c r="J46" s="277"/>
      <c r="K46" s="370" t="s">
        <v>44</v>
      </c>
      <c r="L46" s="370" t="s">
        <v>98</v>
      </c>
      <c r="M46" s="346" t="s">
        <v>1956</v>
      </c>
      <c r="N46" s="328" t="s">
        <v>1957</v>
      </c>
      <c r="O46" s="277"/>
      <c r="P46" s="366"/>
      <c r="Q46" s="277"/>
      <c r="R46" s="277"/>
      <c r="S46" s="370" t="s">
        <v>1958</v>
      </c>
      <c r="T46" s="346" t="s">
        <v>1959</v>
      </c>
      <c r="U46" s="357" t="s">
        <v>51</v>
      </c>
      <c r="V46" s="277"/>
      <c r="W46" s="357" t="s">
        <v>1960</v>
      </c>
      <c r="X46" s="277"/>
      <c r="Y46" s="340" t="s">
        <v>53</v>
      </c>
      <c r="Z46" s="357" t="s">
        <v>51</v>
      </c>
      <c r="AA46" s="357" t="s">
        <v>335</v>
      </c>
      <c r="AB46" s="357" t="s">
        <v>336</v>
      </c>
      <c r="AC46" s="381">
        <v>60154.0</v>
      </c>
      <c r="AD46" s="277"/>
      <c r="AE46" s="277"/>
      <c r="AF46" s="357" t="s">
        <v>71</v>
      </c>
      <c r="AG46" s="277"/>
      <c r="AH46" s="346" t="s">
        <v>125</v>
      </c>
      <c r="AI46" s="357" t="s">
        <v>1010</v>
      </c>
      <c r="AJ46" s="357" t="s">
        <v>1010</v>
      </c>
      <c r="AK46" s="277"/>
      <c r="AL46" s="277"/>
      <c r="AM46" s="277"/>
      <c r="AN46" s="346" t="s">
        <v>1511</v>
      </c>
      <c r="AO46" s="370" t="s">
        <v>2754</v>
      </c>
      <c r="AP46" s="277"/>
      <c r="AQ46" s="277"/>
      <c r="AR46" s="277"/>
      <c r="AS46" s="277"/>
      <c r="AT46" s="277"/>
      <c r="AU46" s="277"/>
      <c r="AV46" s="277"/>
      <c r="AW46" s="277"/>
      <c r="AX46" s="277"/>
      <c r="AY46" s="277"/>
      <c r="AZ46" s="277"/>
      <c r="BA46" s="277"/>
      <c r="BB46" s="277"/>
      <c r="BC46" s="277"/>
      <c r="BD46" s="277"/>
      <c r="BE46" s="277"/>
      <c r="BF46" s="277"/>
      <c r="BG46" s="277"/>
      <c r="BH46" s="277"/>
      <c r="BI46" s="277"/>
      <c r="BJ46" s="277"/>
      <c r="BK46" s="277"/>
      <c r="BL46" s="277"/>
      <c r="BM46" s="277"/>
      <c r="BN46" s="277"/>
      <c r="BO46" s="277"/>
      <c r="BP46" s="277"/>
      <c r="BQ46" s="277"/>
      <c r="BR46" s="277"/>
      <c r="BS46" s="277"/>
      <c r="BT46" s="277"/>
      <c r="BU46" s="277"/>
      <c r="BV46" s="277"/>
      <c r="BW46" s="277"/>
      <c r="BX46" s="277"/>
      <c r="BY46" s="277"/>
      <c r="BZ46" s="277"/>
      <c r="CA46" s="277"/>
      <c r="CB46" s="277"/>
      <c r="CC46" s="277"/>
      <c r="CD46" s="277"/>
      <c r="CE46" s="277"/>
      <c r="CF46" s="277"/>
      <c r="CG46" s="277"/>
      <c r="CH46" s="277"/>
      <c r="CI46" s="277"/>
      <c r="CJ46" s="277"/>
      <c r="CK46" s="277"/>
      <c r="CL46" s="277"/>
    </row>
    <row r="47" ht="15.75" customHeight="1">
      <c r="A47" s="370">
        <v>46.0</v>
      </c>
      <c r="B47" s="340" t="s">
        <v>1607</v>
      </c>
      <c r="C47" s="370" t="s">
        <v>84</v>
      </c>
      <c r="D47" s="569" t="s">
        <v>923</v>
      </c>
      <c r="E47" s="570" t="s">
        <v>1608</v>
      </c>
      <c r="F47" s="580" t="s">
        <v>1609</v>
      </c>
      <c r="G47" s="581" t="s">
        <v>1610</v>
      </c>
      <c r="H47" s="577" t="s">
        <v>113</v>
      </c>
      <c r="I47" s="577" t="s">
        <v>614</v>
      </c>
      <c r="J47" s="569"/>
      <c r="K47" s="561" t="s">
        <v>44</v>
      </c>
      <c r="L47" s="561" t="s">
        <v>98</v>
      </c>
      <c r="M47" s="580" t="s">
        <v>1611</v>
      </c>
      <c r="N47" s="582" t="s">
        <v>1612</v>
      </c>
      <c r="O47" s="569"/>
      <c r="P47" s="583"/>
      <c r="Q47" s="561" t="s">
        <v>48</v>
      </c>
      <c r="R47" s="569"/>
      <c r="S47" s="561" t="s">
        <v>49</v>
      </c>
      <c r="T47" s="580" t="s">
        <v>1613</v>
      </c>
      <c r="U47" s="577" t="s">
        <v>135</v>
      </c>
      <c r="V47" s="569"/>
      <c r="W47" s="577" t="s">
        <v>1614</v>
      </c>
      <c r="X47" s="569"/>
      <c r="Y47" s="577" t="s">
        <v>53</v>
      </c>
      <c r="Z47" s="577" t="s">
        <v>135</v>
      </c>
      <c r="AA47" s="577" t="s">
        <v>150</v>
      </c>
      <c r="AB47" s="577" t="s">
        <v>151</v>
      </c>
      <c r="AC47" s="584">
        <v>63153.0</v>
      </c>
      <c r="AD47" s="569"/>
      <c r="AE47" s="569"/>
      <c r="AF47" s="577" t="s">
        <v>510</v>
      </c>
      <c r="AG47" s="569"/>
      <c r="AH47" s="537" t="s">
        <v>125</v>
      </c>
      <c r="AI47" s="577" t="s">
        <v>1010</v>
      </c>
      <c r="AJ47" s="561" t="s">
        <v>1010</v>
      </c>
      <c r="AK47" s="569"/>
      <c r="AL47" s="569"/>
      <c r="AM47" s="277"/>
      <c r="AN47" s="572" t="s">
        <v>1422</v>
      </c>
      <c r="AO47" s="370" t="s">
        <v>2755</v>
      </c>
      <c r="AP47" s="277"/>
      <c r="AQ47" s="569"/>
      <c r="AR47" s="569"/>
      <c r="AS47" s="569"/>
      <c r="AT47" s="569"/>
      <c r="AU47" s="569"/>
      <c r="AV47" s="569"/>
      <c r="AW47" s="569"/>
      <c r="AX47" s="569"/>
      <c r="AY47" s="569"/>
      <c r="AZ47" s="569"/>
      <c r="BA47" s="569"/>
      <c r="BB47" s="569"/>
      <c r="BC47" s="569"/>
      <c r="BD47" s="569"/>
      <c r="BE47" s="569"/>
      <c r="BF47" s="569"/>
      <c r="BG47" s="569"/>
      <c r="BH47" s="569"/>
      <c r="BI47" s="569"/>
      <c r="BJ47" s="569"/>
      <c r="BK47" s="569"/>
      <c r="BL47" s="569"/>
      <c r="BM47" s="569"/>
      <c r="BN47" s="569"/>
      <c r="BO47" s="569"/>
      <c r="BP47" s="569"/>
      <c r="BQ47" s="569"/>
      <c r="BR47" s="569"/>
      <c r="BS47" s="569"/>
      <c r="BT47" s="569"/>
      <c r="BU47" s="569"/>
      <c r="BV47" s="569"/>
      <c r="BW47" s="569"/>
      <c r="BX47" s="569"/>
      <c r="BY47" s="569"/>
      <c r="BZ47" s="569"/>
      <c r="CA47" s="569"/>
      <c r="CB47" s="569"/>
      <c r="CC47" s="569"/>
      <c r="CD47" s="569"/>
      <c r="CE47" s="569"/>
      <c r="CF47" s="569"/>
      <c r="CG47" s="569"/>
      <c r="CH47" s="569"/>
      <c r="CI47" s="569"/>
      <c r="CJ47" s="569"/>
      <c r="CK47" s="569"/>
      <c r="CL47" s="569"/>
    </row>
    <row r="48" ht="15.75" customHeight="1">
      <c r="A48" s="370">
        <v>47.0</v>
      </c>
      <c r="B48" s="370" t="s">
        <v>1746</v>
      </c>
      <c r="C48" s="370" t="s">
        <v>84</v>
      </c>
      <c r="D48" s="277" t="s">
        <v>923</v>
      </c>
      <c r="E48" s="356" t="s">
        <v>1747</v>
      </c>
      <c r="F48" s="313" t="s">
        <v>1748</v>
      </c>
      <c r="G48" s="379" t="s">
        <v>1749</v>
      </c>
      <c r="H48" s="357" t="s">
        <v>355</v>
      </c>
      <c r="I48" s="357" t="s">
        <v>614</v>
      </c>
      <c r="J48" s="277"/>
      <c r="K48" s="370" t="s">
        <v>44</v>
      </c>
      <c r="L48" s="370" t="s">
        <v>98</v>
      </c>
      <c r="M48" s="313" t="s">
        <v>1750</v>
      </c>
      <c r="N48" s="328" t="s">
        <v>1751</v>
      </c>
      <c r="O48" s="370" t="s">
        <v>1742</v>
      </c>
      <c r="P48" s="380">
        <v>1.400024673965E12</v>
      </c>
      <c r="Q48" s="370" t="s">
        <v>1682</v>
      </c>
      <c r="R48" s="277"/>
      <c r="S48" s="370" t="s">
        <v>49</v>
      </c>
      <c r="T48" s="313" t="s">
        <v>1752</v>
      </c>
      <c r="U48" s="357" t="s">
        <v>1753</v>
      </c>
      <c r="V48" s="277"/>
      <c r="W48" s="357" t="s">
        <v>1754</v>
      </c>
      <c r="X48" s="277"/>
      <c r="Y48" s="357" t="s">
        <v>53</v>
      </c>
      <c r="Z48" s="357" t="s">
        <v>1753</v>
      </c>
      <c r="AA48" s="357" t="s">
        <v>1755</v>
      </c>
      <c r="AB48" s="357" t="s">
        <v>1755</v>
      </c>
      <c r="AC48" s="381">
        <v>68352.0</v>
      </c>
      <c r="AD48" s="277"/>
      <c r="AE48" s="277"/>
      <c r="AF48" s="357" t="s">
        <v>71</v>
      </c>
      <c r="AG48" s="277"/>
      <c r="AH48" s="558" t="s">
        <v>125</v>
      </c>
      <c r="AI48" s="577">
        <v>2.5072190777E10</v>
      </c>
      <c r="AJ48" s="585" t="s">
        <v>1756</v>
      </c>
      <c r="AK48" s="277"/>
      <c r="AL48" s="277"/>
      <c r="AM48" s="277"/>
      <c r="AN48" s="357" t="s">
        <v>1051</v>
      </c>
      <c r="AO48" s="370" t="s">
        <v>2755</v>
      </c>
      <c r="AP48" s="277"/>
      <c r="AQ48" s="277"/>
      <c r="AR48" s="277"/>
      <c r="AS48" s="277"/>
      <c r="AT48" s="277"/>
      <c r="AU48" s="277"/>
      <c r="AV48" s="277"/>
      <c r="AW48" s="277"/>
      <c r="AX48" s="277"/>
      <c r="AY48" s="277"/>
      <c r="AZ48" s="277"/>
      <c r="BA48" s="277"/>
      <c r="BB48" s="277"/>
      <c r="BC48" s="277"/>
      <c r="BD48" s="277"/>
      <c r="BE48" s="277"/>
      <c r="BF48" s="277"/>
      <c r="BG48" s="277"/>
      <c r="BH48" s="277"/>
      <c r="BI48" s="277"/>
      <c r="BJ48" s="277"/>
      <c r="BK48" s="277"/>
      <c r="BL48" s="277"/>
      <c r="BM48" s="277"/>
      <c r="BN48" s="277"/>
      <c r="BO48" s="277"/>
      <c r="BP48" s="277"/>
      <c r="BQ48" s="277"/>
      <c r="BR48" s="277"/>
      <c r="BS48" s="277"/>
      <c r="BT48" s="277"/>
      <c r="BU48" s="277"/>
      <c r="BV48" s="277"/>
      <c r="BW48" s="277"/>
      <c r="BX48" s="277"/>
      <c r="BY48" s="277"/>
      <c r="BZ48" s="277"/>
      <c r="CA48" s="277"/>
      <c r="CB48" s="277"/>
      <c r="CC48" s="277"/>
      <c r="CD48" s="277"/>
      <c r="CE48" s="277"/>
      <c r="CF48" s="277"/>
      <c r="CG48" s="277"/>
      <c r="CH48" s="277"/>
      <c r="CI48" s="277"/>
      <c r="CJ48" s="277"/>
      <c r="CK48" s="277"/>
      <c r="CL48" s="277"/>
    </row>
    <row r="49" ht="15.75" customHeight="1">
      <c r="A49" s="361">
        <v>48.0</v>
      </c>
      <c r="B49" s="586" t="s">
        <v>2003</v>
      </c>
      <c r="C49" s="586" t="s">
        <v>84</v>
      </c>
      <c r="D49" s="263" t="s">
        <v>923</v>
      </c>
      <c r="E49" s="382" t="s">
        <v>2004</v>
      </c>
      <c r="F49" s="326" t="s">
        <v>2005</v>
      </c>
      <c r="G49" s="383" t="s">
        <v>2006</v>
      </c>
      <c r="H49" s="340" t="s">
        <v>2007</v>
      </c>
      <c r="I49" s="340" t="s">
        <v>309</v>
      </c>
      <c r="J49" s="384"/>
      <c r="K49" s="370" t="s">
        <v>44</v>
      </c>
      <c r="L49" s="370" t="s">
        <v>98</v>
      </c>
      <c r="M49" s="326" t="s">
        <v>2008</v>
      </c>
      <c r="N49" s="385" t="s">
        <v>2009</v>
      </c>
      <c r="O49" s="263" t="s">
        <v>868</v>
      </c>
      <c r="P49" s="587" t="s">
        <v>2010</v>
      </c>
      <c r="Q49" s="370" t="s">
        <v>1682</v>
      </c>
      <c r="R49" s="384"/>
      <c r="S49" s="370" t="s">
        <v>1958</v>
      </c>
      <c r="T49" s="389" t="s">
        <v>2011</v>
      </c>
      <c r="U49" s="340" t="s">
        <v>51</v>
      </c>
      <c r="V49" s="384"/>
      <c r="W49" s="340" t="s">
        <v>2012</v>
      </c>
      <c r="X49" s="384"/>
      <c r="Y49" s="357" t="s">
        <v>53</v>
      </c>
      <c r="Z49" s="357" t="s">
        <v>51</v>
      </c>
      <c r="AA49" s="340" t="s">
        <v>1135</v>
      </c>
      <c r="AB49" s="340" t="s">
        <v>1136</v>
      </c>
      <c r="AC49" s="361">
        <v>60197.0</v>
      </c>
      <c r="AD49" s="384"/>
      <c r="AE49" s="384"/>
      <c r="AF49" s="340" t="s">
        <v>65</v>
      </c>
      <c r="AG49" s="384"/>
      <c r="AH49" s="326" t="s">
        <v>2013</v>
      </c>
      <c r="AI49" s="357" t="s">
        <v>1010</v>
      </c>
      <c r="AJ49" s="357" t="s">
        <v>1010</v>
      </c>
      <c r="AK49" s="384"/>
      <c r="AL49" s="384"/>
      <c r="AM49" s="277"/>
      <c r="AN49" s="313" t="s">
        <v>1972</v>
      </c>
      <c r="AO49" s="370" t="s">
        <v>1616</v>
      </c>
      <c r="AP49" s="384"/>
      <c r="AQ49" s="384"/>
      <c r="AR49" s="384"/>
      <c r="AS49" s="384"/>
      <c r="AT49" s="384"/>
      <c r="AU49" s="384"/>
      <c r="AV49" s="384"/>
      <c r="AW49" s="384"/>
      <c r="AX49" s="384"/>
      <c r="AY49" s="384"/>
      <c r="AZ49" s="384"/>
      <c r="BA49" s="384"/>
      <c r="BB49" s="384"/>
      <c r="BC49" s="384"/>
      <c r="BD49" s="384"/>
      <c r="BE49" s="384"/>
      <c r="BF49" s="384"/>
      <c r="BG49" s="384"/>
      <c r="BH49" s="384"/>
      <c r="BI49" s="384"/>
      <c r="BJ49" s="384"/>
      <c r="BK49" s="384"/>
      <c r="BL49" s="384"/>
      <c r="BM49" s="384"/>
      <c r="BN49" s="384"/>
      <c r="BO49" s="384"/>
      <c r="BP49" s="384"/>
      <c r="BQ49" s="384"/>
      <c r="BR49" s="384"/>
      <c r="BS49" s="384"/>
      <c r="BT49" s="384"/>
      <c r="BU49" s="384"/>
      <c r="BV49" s="384"/>
      <c r="BW49" s="384"/>
      <c r="BX49" s="384"/>
      <c r="BY49" s="384"/>
      <c r="BZ49" s="384"/>
      <c r="CA49" s="384"/>
      <c r="CB49" s="384"/>
      <c r="CC49" s="384"/>
      <c r="CD49" s="384"/>
      <c r="CE49" s="384"/>
      <c r="CF49" s="384"/>
      <c r="CG49" s="384"/>
      <c r="CH49" s="384"/>
      <c r="CI49" s="384"/>
      <c r="CJ49" s="384"/>
      <c r="CK49" s="384"/>
      <c r="CL49" s="384"/>
    </row>
    <row r="50" ht="15.75" customHeight="1">
      <c r="A50" s="370">
        <v>49.0</v>
      </c>
      <c r="B50" s="357" t="s">
        <v>1498</v>
      </c>
      <c r="C50" s="370" t="s">
        <v>514</v>
      </c>
      <c r="D50" s="277" t="s">
        <v>923</v>
      </c>
      <c r="E50" s="540" t="s">
        <v>1499</v>
      </c>
      <c r="F50" s="313" t="s">
        <v>1500</v>
      </c>
      <c r="G50" s="379" t="s">
        <v>1501</v>
      </c>
      <c r="H50" s="357" t="s">
        <v>705</v>
      </c>
      <c r="I50" s="357" t="s">
        <v>248</v>
      </c>
      <c r="J50" s="277"/>
      <c r="K50" s="370" t="s">
        <v>44</v>
      </c>
      <c r="L50" s="370" t="s">
        <v>98</v>
      </c>
      <c r="M50" s="313" t="s">
        <v>1502</v>
      </c>
      <c r="N50" s="357" t="s">
        <v>1503</v>
      </c>
      <c r="O50" s="277"/>
      <c r="P50" s="366"/>
      <c r="Q50" s="370" t="s">
        <v>521</v>
      </c>
      <c r="R50" s="277"/>
      <c r="S50" s="370" t="s">
        <v>69</v>
      </c>
      <c r="T50" s="313" t="s">
        <v>1085</v>
      </c>
      <c r="U50" s="357" t="s">
        <v>51</v>
      </c>
      <c r="V50" s="277"/>
      <c r="W50" s="357" t="s">
        <v>1504</v>
      </c>
      <c r="X50" s="277"/>
      <c r="Y50" s="357" t="s">
        <v>53</v>
      </c>
      <c r="Z50" s="357" t="s">
        <v>51</v>
      </c>
      <c r="AA50" s="357" t="s">
        <v>1505</v>
      </c>
      <c r="AB50" s="357" t="s">
        <v>1506</v>
      </c>
      <c r="AC50" s="381">
        <v>60222.0</v>
      </c>
      <c r="AD50" s="277"/>
      <c r="AE50" s="277"/>
      <c r="AF50" s="551" t="s">
        <v>71</v>
      </c>
      <c r="AG50" s="277"/>
      <c r="AH50" s="313" t="s">
        <v>1507</v>
      </c>
      <c r="AI50" s="357">
        <v>2.5011542195E10</v>
      </c>
      <c r="AJ50" s="314" t="s">
        <v>1508</v>
      </c>
      <c r="AK50" s="277"/>
      <c r="AL50" s="277"/>
      <c r="AM50" s="277"/>
      <c r="AN50" s="346" t="s">
        <v>1510</v>
      </c>
      <c r="AO50" s="484" t="s">
        <v>2756</v>
      </c>
      <c r="AQ50" s="277"/>
      <c r="AR50" s="277"/>
      <c r="AS50" s="277"/>
      <c r="AT50" s="277"/>
      <c r="AU50" s="277"/>
      <c r="AV50" s="277"/>
      <c r="AW50" s="277"/>
      <c r="AX50" s="277"/>
      <c r="AY50" s="277"/>
      <c r="AZ50" s="277"/>
      <c r="BA50" s="277"/>
      <c r="BB50" s="277"/>
      <c r="BC50" s="277"/>
      <c r="BD50" s="277"/>
      <c r="BE50" s="277"/>
      <c r="BF50" s="277"/>
      <c r="BG50" s="277"/>
      <c r="BH50" s="277"/>
      <c r="BI50" s="277"/>
      <c r="BJ50" s="277"/>
      <c r="BK50" s="277"/>
      <c r="BL50" s="277"/>
      <c r="BM50" s="277"/>
      <c r="BN50" s="277"/>
      <c r="BO50" s="277"/>
      <c r="BP50" s="277"/>
      <c r="BQ50" s="277"/>
      <c r="BR50" s="277"/>
      <c r="BS50" s="277"/>
      <c r="BT50" s="277"/>
      <c r="BU50" s="277"/>
      <c r="BV50" s="277"/>
      <c r="BW50" s="277"/>
      <c r="BX50" s="277"/>
      <c r="BY50" s="277"/>
      <c r="BZ50" s="277"/>
      <c r="CA50" s="277"/>
      <c r="CB50" s="277"/>
      <c r="CC50" s="277"/>
      <c r="CD50" s="277"/>
      <c r="CE50" s="277"/>
      <c r="CF50" s="277"/>
      <c r="CG50" s="277"/>
      <c r="CH50" s="277"/>
      <c r="CI50" s="277"/>
      <c r="CJ50" s="277"/>
      <c r="CK50" s="277"/>
      <c r="CL50" s="277"/>
    </row>
    <row r="51" ht="15.75" customHeight="1">
      <c r="A51" s="361">
        <v>50.0</v>
      </c>
      <c r="B51" s="263" t="s">
        <v>2117</v>
      </c>
      <c r="C51" s="586" t="s">
        <v>84</v>
      </c>
      <c r="D51" s="263" t="s">
        <v>923</v>
      </c>
      <c r="E51" s="382" t="s">
        <v>2082</v>
      </c>
      <c r="F51" s="340">
        <v>8.2333006255E10</v>
      </c>
      <c r="G51" s="383" t="s">
        <v>2118</v>
      </c>
      <c r="H51" s="340" t="s">
        <v>2757</v>
      </c>
      <c r="I51" s="340" t="s">
        <v>614</v>
      </c>
      <c r="J51" s="384"/>
      <c r="K51" s="263" t="s">
        <v>44</v>
      </c>
      <c r="L51" s="263" t="s">
        <v>98</v>
      </c>
      <c r="M51" s="389" t="s">
        <v>2119</v>
      </c>
      <c r="N51" s="577" t="s">
        <v>2120</v>
      </c>
      <c r="O51" s="263" t="s">
        <v>868</v>
      </c>
      <c r="P51" s="386">
        <v>4.680565886E9</v>
      </c>
      <c r="Q51" s="384"/>
      <c r="R51" s="384"/>
      <c r="S51" s="263" t="s">
        <v>1958</v>
      </c>
      <c r="T51" s="389" t="s">
        <v>2121</v>
      </c>
      <c r="U51" s="340" t="s">
        <v>51</v>
      </c>
      <c r="V51" s="384"/>
      <c r="W51" s="340" t="s">
        <v>2122</v>
      </c>
      <c r="X51" s="384"/>
      <c r="Y51" s="340" t="s">
        <v>53</v>
      </c>
      <c r="Z51" s="340" t="s">
        <v>51</v>
      </c>
      <c r="AA51" s="340" t="s">
        <v>253</v>
      </c>
      <c r="AB51" s="340" t="s">
        <v>254</v>
      </c>
      <c r="AC51" s="361">
        <v>60178.0</v>
      </c>
      <c r="AD51" s="384"/>
      <c r="AE51" s="384"/>
      <c r="AF51" s="340" t="s">
        <v>139</v>
      </c>
      <c r="AG51" s="384"/>
      <c r="AH51" s="346" t="s">
        <v>125</v>
      </c>
      <c r="AI51" s="357" t="s">
        <v>1010</v>
      </c>
      <c r="AJ51" s="357" t="s">
        <v>1010</v>
      </c>
      <c r="AK51" s="384"/>
      <c r="AL51" s="384"/>
      <c r="AM51" s="277"/>
      <c r="AN51" s="588">
        <v>45911.0</v>
      </c>
      <c r="AO51" s="588">
        <v>45919.0</v>
      </c>
      <c r="AP51" s="384"/>
      <c r="AQ51" s="384"/>
      <c r="AR51" s="384"/>
      <c r="AS51" s="384"/>
      <c r="AT51" s="384"/>
      <c r="AU51" s="384"/>
      <c r="AV51" s="384"/>
      <c r="AW51" s="384"/>
      <c r="AX51" s="384"/>
      <c r="AY51" s="384"/>
      <c r="AZ51" s="384"/>
      <c r="BA51" s="384"/>
      <c r="BB51" s="384"/>
      <c r="BC51" s="384"/>
      <c r="BD51" s="384"/>
      <c r="BE51" s="384"/>
      <c r="BF51" s="384"/>
      <c r="BG51" s="384"/>
      <c r="BH51" s="384"/>
      <c r="BI51" s="384"/>
      <c r="BJ51" s="384"/>
      <c r="BK51" s="384"/>
      <c r="BL51" s="384"/>
      <c r="BM51" s="384"/>
      <c r="BN51" s="384"/>
      <c r="BO51" s="384"/>
      <c r="BP51" s="384"/>
      <c r="BQ51" s="384"/>
      <c r="BR51" s="384"/>
      <c r="BS51" s="384"/>
      <c r="BT51" s="384"/>
      <c r="BU51" s="384"/>
      <c r="BV51" s="384"/>
      <c r="BW51" s="384"/>
      <c r="BX51" s="384"/>
      <c r="BY51" s="384"/>
      <c r="BZ51" s="384"/>
      <c r="CA51" s="384"/>
      <c r="CB51" s="384"/>
      <c r="CC51" s="384"/>
      <c r="CD51" s="384"/>
      <c r="CE51" s="384"/>
      <c r="CF51" s="384"/>
      <c r="CG51" s="384"/>
      <c r="CH51" s="384"/>
      <c r="CI51" s="384"/>
      <c r="CJ51" s="384"/>
      <c r="CK51" s="384"/>
      <c r="CL51" s="384"/>
    </row>
    <row r="52" ht="15.75" customHeight="1">
      <c r="A52" s="361">
        <v>51.0</v>
      </c>
      <c r="B52" s="586" t="s">
        <v>256</v>
      </c>
      <c r="C52" s="586" t="s">
        <v>41</v>
      </c>
      <c r="D52" s="263" t="s">
        <v>91</v>
      </c>
      <c r="E52" s="382" t="s">
        <v>257</v>
      </c>
      <c r="F52" s="326" t="s">
        <v>258</v>
      </c>
      <c r="G52" s="383" t="s">
        <v>259</v>
      </c>
      <c r="H52" s="340" t="s">
        <v>260</v>
      </c>
      <c r="I52" s="340" t="s">
        <v>260</v>
      </c>
      <c r="J52" s="384"/>
      <c r="K52" s="370" t="s">
        <v>44</v>
      </c>
      <c r="L52" s="370" t="s">
        <v>98</v>
      </c>
      <c r="M52" s="326" t="s">
        <v>261</v>
      </c>
      <c r="N52" s="385" t="s">
        <v>262</v>
      </c>
      <c r="O52" s="263" t="s">
        <v>101</v>
      </c>
      <c r="P52" s="386">
        <v>5.8810105997E10</v>
      </c>
      <c r="Q52" s="370" t="s">
        <v>133</v>
      </c>
      <c r="R52" s="384"/>
      <c r="S52" s="370" t="s">
        <v>69</v>
      </c>
      <c r="T52" s="389" t="s">
        <v>263</v>
      </c>
      <c r="U52" s="340" t="s">
        <v>203</v>
      </c>
      <c r="V52" s="384"/>
      <c r="W52" s="340" t="s">
        <v>264</v>
      </c>
      <c r="X52" s="384"/>
      <c r="Y52" s="357" t="s">
        <v>53</v>
      </c>
      <c r="Z52" s="357" t="s">
        <v>203</v>
      </c>
      <c r="AA52" s="340" t="s">
        <v>265</v>
      </c>
      <c r="AB52" s="340" t="s">
        <v>266</v>
      </c>
      <c r="AC52" s="361">
        <v>62292.0</v>
      </c>
      <c r="AD52" s="384"/>
      <c r="AE52" s="384"/>
      <c r="AF52" s="340" t="s">
        <v>71</v>
      </c>
      <c r="AG52" s="384"/>
      <c r="AH52" s="389" t="s">
        <v>125</v>
      </c>
      <c r="AI52" s="357">
        <v>1.8027093824E10</v>
      </c>
      <c r="AJ52" s="357" t="s">
        <v>267</v>
      </c>
      <c r="AK52" s="384" t="s">
        <v>108</v>
      </c>
      <c r="AL52" s="589"/>
      <c r="AN52" s="589">
        <v>42087.0</v>
      </c>
      <c r="AO52" s="590">
        <v>45925.0</v>
      </c>
      <c r="AP52" s="384"/>
      <c r="AQ52" s="384"/>
      <c r="AR52" s="384"/>
      <c r="AS52" s="384"/>
      <c r="AT52" s="384"/>
      <c r="AU52" s="384"/>
      <c r="AV52" s="384"/>
      <c r="AW52" s="384"/>
      <c r="AX52" s="384"/>
      <c r="AY52" s="384"/>
      <c r="AZ52" s="384"/>
      <c r="BA52" s="384"/>
      <c r="BB52" s="384"/>
      <c r="BC52" s="384"/>
      <c r="BD52" s="384"/>
      <c r="BE52" s="384"/>
      <c r="BF52" s="384"/>
      <c r="BG52" s="384"/>
      <c r="BH52" s="384"/>
      <c r="BI52" s="384"/>
      <c r="BJ52" s="384"/>
      <c r="BK52" s="384"/>
      <c r="BL52" s="384"/>
      <c r="BM52" s="384"/>
      <c r="BN52" s="384"/>
      <c r="BO52" s="384"/>
      <c r="BP52" s="384"/>
      <c r="BQ52" s="384"/>
      <c r="BR52" s="384"/>
      <c r="BS52" s="384"/>
      <c r="BT52" s="384"/>
      <c r="BU52" s="384"/>
      <c r="BV52" s="384"/>
      <c r="BW52" s="384"/>
      <c r="BX52" s="384"/>
      <c r="BY52" s="384"/>
      <c r="BZ52" s="384"/>
      <c r="CA52" s="384"/>
      <c r="CB52" s="384"/>
      <c r="CC52" s="384"/>
      <c r="CD52" s="384"/>
      <c r="CE52" s="384"/>
      <c r="CF52" s="384"/>
      <c r="CG52" s="384"/>
      <c r="CH52" s="384"/>
      <c r="CI52" s="384"/>
      <c r="CJ52" s="384"/>
      <c r="CK52" s="384"/>
      <c r="CL52" s="384"/>
    </row>
    <row r="53" ht="15.75" customHeight="1">
      <c r="A53" s="361">
        <v>52.0</v>
      </c>
      <c r="B53" s="586" t="s">
        <v>950</v>
      </c>
      <c r="C53" s="586" t="s">
        <v>514</v>
      </c>
      <c r="D53" s="263" t="s">
        <v>91</v>
      </c>
      <c r="E53" s="382" t="s">
        <v>951</v>
      </c>
      <c r="F53" s="326" t="s">
        <v>952</v>
      </c>
      <c r="G53" s="383" t="s">
        <v>2758</v>
      </c>
      <c r="H53" s="340" t="s">
        <v>954</v>
      </c>
      <c r="I53" s="340" t="s">
        <v>955</v>
      </c>
      <c r="J53" s="384"/>
      <c r="K53" s="370" t="s">
        <v>44</v>
      </c>
      <c r="L53" s="370" t="s">
        <v>98</v>
      </c>
      <c r="M53" s="326" t="s">
        <v>956</v>
      </c>
      <c r="N53" s="385" t="s">
        <v>957</v>
      </c>
      <c r="O53" s="263"/>
      <c r="P53" s="386"/>
      <c r="Q53" s="370" t="s">
        <v>521</v>
      </c>
      <c r="R53" s="384"/>
      <c r="S53" s="370" t="s">
        <v>69</v>
      </c>
      <c r="T53" s="389" t="s">
        <v>958</v>
      </c>
      <c r="U53" s="340" t="s">
        <v>122</v>
      </c>
      <c r="V53" s="384"/>
      <c r="W53" s="340" t="s">
        <v>959</v>
      </c>
      <c r="X53" s="384" t="s">
        <v>960</v>
      </c>
      <c r="Y53" s="357" t="s">
        <v>53</v>
      </c>
      <c r="Z53" s="357" t="s">
        <v>122</v>
      </c>
      <c r="AA53" s="340" t="s">
        <v>961</v>
      </c>
      <c r="AB53" s="340" t="s">
        <v>962</v>
      </c>
      <c r="AC53" s="361">
        <v>63361.0</v>
      </c>
      <c r="AD53" s="384"/>
      <c r="AE53" s="384"/>
      <c r="AF53" s="340" t="s">
        <v>71</v>
      </c>
      <c r="AG53" s="384"/>
      <c r="AH53" s="389" t="s">
        <v>125</v>
      </c>
      <c r="AI53" s="357">
        <v>2.3141485013E10</v>
      </c>
      <c r="AJ53" s="328" t="s">
        <v>963</v>
      </c>
      <c r="AK53" s="384" t="s">
        <v>108</v>
      </c>
      <c r="AL53" s="589"/>
      <c r="AN53" s="589">
        <v>45089.0</v>
      </c>
      <c r="AO53" s="590">
        <v>45927.0</v>
      </c>
      <c r="AP53" s="384"/>
      <c r="AQ53" s="384"/>
      <c r="AR53" s="384"/>
      <c r="AS53" s="384"/>
      <c r="AT53" s="384"/>
      <c r="AU53" s="384"/>
      <c r="AV53" s="384"/>
      <c r="AW53" s="384"/>
      <c r="AX53" s="384"/>
      <c r="AY53" s="384"/>
      <c r="AZ53" s="384"/>
      <c r="BA53" s="384"/>
      <c r="BB53" s="384"/>
      <c r="BC53" s="384"/>
      <c r="BD53" s="384"/>
      <c r="BE53" s="384"/>
      <c r="BF53" s="384"/>
      <c r="BG53" s="384"/>
      <c r="BH53" s="384"/>
      <c r="BI53" s="384"/>
      <c r="BJ53" s="384"/>
      <c r="BK53" s="384"/>
      <c r="BL53" s="384"/>
      <c r="BM53" s="384"/>
      <c r="BN53" s="384"/>
      <c r="BO53" s="384"/>
      <c r="BP53" s="384"/>
      <c r="BQ53" s="384"/>
      <c r="BR53" s="384"/>
      <c r="BS53" s="384"/>
      <c r="BT53" s="384"/>
      <c r="BU53" s="384"/>
      <c r="BV53" s="384"/>
      <c r="BW53" s="384"/>
      <c r="BX53" s="384"/>
      <c r="BY53" s="384"/>
      <c r="BZ53" s="384"/>
      <c r="CA53" s="384"/>
      <c r="CB53" s="384"/>
      <c r="CC53" s="384"/>
      <c r="CD53" s="384"/>
      <c r="CE53" s="384"/>
      <c r="CF53" s="384"/>
      <c r="CG53" s="384"/>
      <c r="CH53" s="384"/>
      <c r="CI53" s="384"/>
      <c r="CJ53" s="384"/>
      <c r="CK53" s="384"/>
      <c r="CL53" s="384"/>
    </row>
    <row r="54" ht="15.75" customHeight="1">
      <c r="A54" s="155">
        <v>53.0</v>
      </c>
      <c r="B54" s="155" t="s">
        <v>2038</v>
      </c>
      <c r="C54" s="155" t="s">
        <v>514</v>
      </c>
      <c r="D54" s="591" t="s">
        <v>923</v>
      </c>
      <c r="E54" s="591" t="s">
        <v>2039</v>
      </c>
      <c r="F54" s="591" t="s">
        <v>2040</v>
      </c>
      <c r="G54" s="591" t="s">
        <v>2041</v>
      </c>
      <c r="H54" s="591" t="s">
        <v>705</v>
      </c>
      <c r="I54" s="591" t="s">
        <v>248</v>
      </c>
      <c r="J54" s="592"/>
      <c r="K54" s="591" t="s">
        <v>44</v>
      </c>
      <c r="L54" s="591" t="s">
        <v>98</v>
      </c>
      <c r="M54" s="591" t="s">
        <v>2042</v>
      </c>
      <c r="N54" s="591" t="s">
        <v>2043</v>
      </c>
      <c r="O54" s="591" t="s">
        <v>868</v>
      </c>
      <c r="P54" s="591" t="s">
        <v>2044</v>
      </c>
      <c r="Q54" s="591" t="s">
        <v>1682</v>
      </c>
      <c r="R54" s="591"/>
      <c r="S54" s="591" t="s">
        <v>69</v>
      </c>
      <c r="T54" s="591" t="s">
        <v>2045</v>
      </c>
      <c r="U54" s="591" t="s">
        <v>51</v>
      </c>
      <c r="V54" s="591"/>
      <c r="W54" s="591" t="s">
        <v>2046</v>
      </c>
      <c r="X54" s="591"/>
      <c r="Y54" s="591" t="s">
        <v>53</v>
      </c>
      <c r="Z54" s="591" t="s">
        <v>51</v>
      </c>
      <c r="AA54" s="591" t="s">
        <v>54</v>
      </c>
      <c r="AB54" s="591" t="s">
        <v>2047</v>
      </c>
      <c r="AC54" s="591">
        <v>60134.0</v>
      </c>
      <c r="AD54" s="591"/>
      <c r="AE54" s="591"/>
      <c r="AF54" s="591" t="s">
        <v>71</v>
      </c>
      <c r="AG54" s="591"/>
      <c r="AH54" s="591" t="s">
        <v>2048</v>
      </c>
      <c r="AI54" s="591" t="s">
        <v>1010</v>
      </c>
      <c r="AJ54" s="591" t="s">
        <v>1010</v>
      </c>
      <c r="AN54" s="155" t="s">
        <v>2753</v>
      </c>
      <c r="AO54" s="593">
        <v>45955.0</v>
      </c>
      <c r="AQ54" s="477"/>
    </row>
    <row r="55" ht="15.75" customHeight="1">
      <c r="A55" s="155">
        <v>54.0</v>
      </c>
      <c r="B55" s="155" t="s">
        <v>2050</v>
      </c>
      <c r="C55" s="155" t="s">
        <v>84</v>
      </c>
      <c r="D55" s="155" t="s">
        <v>923</v>
      </c>
      <c r="E55" s="155" t="s">
        <v>2051</v>
      </c>
      <c r="F55" s="136" t="s">
        <v>2052</v>
      </c>
      <c r="G55" s="155" t="s">
        <v>2053</v>
      </c>
      <c r="H55" s="155" t="s">
        <v>247</v>
      </c>
      <c r="I55" s="155" t="s">
        <v>248</v>
      </c>
      <c r="K55" s="155" t="s">
        <v>44</v>
      </c>
      <c r="L55" s="155" t="s">
        <v>98</v>
      </c>
      <c r="M55" s="136" t="s">
        <v>2054</v>
      </c>
      <c r="N55" s="155" t="s">
        <v>2055</v>
      </c>
      <c r="O55" s="155" t="s">
        <v>868</v>
      </c>
      <c r="P55" s="155">
        <v>7.205217304E9</v>
      </c>
      <c r="Q55" s="45" t="s">
        <v>521</v>
      </c>
      <c r="S55" s="155" t="s">
        <v>1958</v>
      </c>
      <c r="T55" s="155" t="s">
        <v>2056</v>
      </c>
      <c r="U55" s="155" t="s">
        <v>2057</v>
      </c>
      <c r="W55" s="155" t="s">
        <v>2058</v>
      </c>
      <c r="Y55" s="155" t="s">
        <v>53</v>
      </c>
      <c r="Z55" s="155" t="s">
        <v>2057</v>
      </c>
      <c r="AA55" s="155" t="s">
        <v>2059</v>
      </c>
      <c r="AB55" s="155" t="s">
        <v>2060</v>
      </c>
      <c r="AC55" s="155">
        <v>65179.0</v>
      </c>
      <c r="AF55" s="155" t="s">
        <v>71</v>
      </c>
      <c r="AH55" s="155" t="s">
        <v>125</v>
      </c>
      <c r="AI55" s="155" t="s">
        <v>2061</v>
      </c>
      <c r="AJ55" s="155" t="s">
        <v>2061</v>
      </c>
      <c r="AL55" s="45" t="s">
        <v>2759</v>
      </c>
      <c r="AN55" s="254">
        <v>45880.0</v>
      </c>
      <c r="AO55" s="590">
        <v>45958.0</v>
      </c>
    </row>
    <row r="56" ht="15.75" customHeight="1">
      <c r="A56" s="155">
        <v>55.0</v>
      </c>
      <c r="B56" s="155" t="s">
        <v>2150</v>
      </c>
      <c r="C56" s="155" t="s">
        <v>84</v>
      </c>
      <c r="D56" s="155" t="s">
        <v>923</v>
      </c>
      <c r="E56" s="155" t="s">
        <v>2151</v>
      </c>
      <c r="F56" s="136" t="s">
        <v>2152</v>
      </c>
      <c r="G56" s="155" t="s">
        <v>2153</v>
      </c>
      <c r="H56" s="155" t="s">
        <v>113</v>
      </c>
      <c r="I56" s="155" t="s">
        <v>614</v>
      </c>
      <c r="K56" s="155" t="s">
        <v>44</v>
      </c>
      <c r="L56" s="155" t="s">
        <v>98</v>
      </c>
      <c r="M56" s="136" t="s">
        <v>2154</v>
      </c>
      <c r="N56" s="155" t="s">
        <v>2155</v>
      </c>
      <c r="O56" s="155" t="s">
        <v>819</v>
      </c>
      <c r="P56" s="136" t="s">
        <v>2156</v>
      </c>
      <c r="Q56" s="45" t="s">
        <v>2143</v>
      </c>
      <c r="S56" s="155" t="s">
        <v>1958</v>
      </c>
      <c r="T56" s="155">
        <v>37740.0</v>
      </c>
      <c r="U56" s="155" t="s">
        <v>2157</v>
      </c>
      <c r="W56" s="155" t="s">
        <v>2158</v>
      </c>
      <c r="Y56" s="155" t="s">
        <v>2159</v>
      </c>
      <c r="Z56" s="155" t="s">
        <v>2157</v>
      </c>
      <c r="AA56" s="155" t="s">
        <v>2160</v>
      </c>
      <c r="AB56" s="155" t="s">
        <v>2161</v>
      </c>
      <c r="AC56" s="155">
        <v>58382.0</v>
      </c>
      <c r="AF56" s="155" t="s">
        <v>65</v>
      </c>
      <c r="AH56" s="155" t="s">
        <v>125</v>
      </c>
      <c r="AI56" s="155" t="s">
        <v>1010</v>
      </c>
      <c r="AJ56" s="155" t="s">
        <v>1010</v>
      </c>
      <c r="AL56" s="45" t="s">
        <v>2760</v>
      </c>
      <c r="AN56" s="254">
        <v>45925.0</v>
      </c>
      <c r="AO56" s="590">
        <v>45958.0</v>
      </c>
    </row>
    <row r="57" ht="15.75" customHeight="1">
      <c r="A57" s="155">
        <v>56.0</v>
      </c>
      <c r="B57" s="155" t="s">
        <v>1636</v>
      </c>
      <c r="C57" s="155" t="s">
        <v>84</v>
      </c>
      <c r="D57" s="591" t="s">
        <v>923</v>
      </c>
      <c r="E57" s="591" t="s">
        <v>1637</v>
      </c>
      <c r="F57" s="591" t="s">
        <v>1638</v>
      </c>
      <c r="G57" s="591" t="s">
        <v>1639</v>
      </c>
      <c r="H57" s="591" t="s">
        <v>1094</v>
      </c>
      <c r="I57" s="591" t="s">
        <v>248</v>
      </c>
      <c r="J57" s="592"/>
      <c r="K57" s="591" t="s">
        <v>44</v>
      </c>
      <c r="L57" s="591" t="s">
        <v>74</v>
      </c>
      <c r="M57" s="591" t="s">
        <v>1640</v>
      </c>
      <c r="N57" s="591" t="s">
        <v>1641</v>
      </c>
      <c r="O57" s="591" t="s">
        <v>868</v>
      </c>
      <c r="P57" s="591">
        <v>4.680128567E9</v>
      </c>
      <c r="Q57" s="591" t="s">
        <v>684</v>
      </c>
      <c r="R57" s="591"/>
      <c r="S57" s="591" t="s">
        <v>49</v>
      </c>
      <c r="T57" s="591" t="s">
        <v>1642</v>
      </c>
      <c r="U57" s="591" t="s">
        <v>238</v>
      </c>
      <c r="V57" s="591"/>
      <c r="W57" s="591" t="s">
        <v>1643</v>
      </c>
      <c r="X57" s="591"/>
      <c r="Y57" s="591" t="s">
        <v>53</v>
      </c>
      <c r="Z57" s="591" t="s">
        <v>51</v>
      </c>
      <c r="AA57" s="591" t="s">
        <v>1644</v>
      </c>
      <c r="AB57" s="591" t="s">
        <v>1645</v>
      </c>
      <c r="AC57" s="591">
        <v>60215.0</v>
      </c>
      <c r="AD57" s="591"/>
      <c r="AE57" s="591"/>
      <c r="AF57" s="591" t="s">
        <v>65</v>
      </c>
      <c r="AG57" s="591"/>
      <c r="AH57" s="591" t="s">
        <v>1646</v>
      </c>
      <c r="AI57" s="591">
        <v>2.5045536155E10</v>
      </c>
      <c r="AJ57" s="591" t="s">
        <v>1647</v>
      </c>
      <c r="AK57" s="591"/>
      <c r="AL57" s="591"/>
      <c r="AN57" s="594">
        <v>45643.0</v>
      </c>
      <c r="AO57" s="590">
        <v>45969.0</v>
      </c>
    </row>
    <row r="58" ht="15.75" customHeight="1">
      <c r="A58" s="325">
        <v>183.0</v>
      </c>
      <c r="B58" s="67" t="s">
        <v>2250</v>
      </c>
      <c r="C58" s="154" t="s">
        <v>636</v>
      </c>
      <c r="D58" s="67" t="s">
        <v>923</v>
      </c>
      <c r="E58" s="61" t="s">
        <v>2251</v>
      </c>
      <c r="F58" s="180" t="s">
        <v>2252</v>
      </c>
      <c r="G58" s="117" t="s">
        <v>2253</v>
      </c>
      <c r="H58" s="68" t="s">
        <v>322</v>
      </c>
      <c r="I58" s="68" t="s">
        <v>248</v>
      </c>
      <c r="J58" s="57"/>
      <c r="K58" s="67" t="s">
        <v>44</v>
      </c>
      <c r="L58" s="67" t="s">
        <v>98</v>
      </c>
      <c r="M58" s="324" t="s">
        <v>2254</v>
      </c>
      <c r="N58" s="595" t="s">
        <v>2255</v>
      </c>
      <c r="O58" s="67" t="s">
        <v>1043</v>
      </c>
      <c r="P58" s="260" t="s">
        <v>2256</v>
      </c>
      <c r="Q58" s="57" t="s">
        <v>521</v>
      </c>
      <c r="R58" s="57"/>
      <c r="S58" s="67" t="s">
        <v>1958</v>
      </c>
      <c r="T58" s="121" t="s">
        <v>2257</v>
      </c>
      <c r="U58" s="68" t="s">
        <v>1478</v>
      </c>
      <c r="V58" s="57"/>
      <c r="W58" s="68" t="s">
        <v>2258</v>
      </c>
      <c r="X58" s="57"/>
      <c r="Y58" s="68" t="s">
        <v>798</v>
      </c>
      <c r="Z58" s="68" t="s">
        <v>799</v>
      </c>
      <c r="AA58" s="68" t="s">
        <v>1417</v>
      </c>
      <c r="AB58" s="68" t="s">
        <v>1418</v>
      </c>
      <c r="AC58" s="325">
        <v>92113.0</v>
      </c>
      <c r="AD58" s="57"/>
      <c r="AE58" s="57"/>
      <c r="AF58" s="68" t="s">
        <v>71</v>
      </c>
      <c r="AG58" s="57"/>
      <c r="AH58" s="237" t="s">
        <v>2133</v>
      </c>
      <c r="AI58" s="52"/>
      <c r="AJ58" s="52"/>
      <c r="AK58" s="57"/>
      <c r="AL58" s="57" t="str">
        <f t="shared" ref="AL58:AL65" si="1">DATEDIF(AM58,NOW(),"y")&amp;" Tahun "&amp;DATEDIF(AM58,NOW(),"ym")&amp;" Bulan"</f>
        <v>0 Tahun 5 Bulan</v>
      </c>
      <c r="AM58" s="414">
        <v>45978.0</v>
      </c>
      <c r="AN58" s="396" t="s">
        <v>1484</v>
      </c>
      <c r="AO58" s="596">
        <v>46008.0</v>
      </c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</row>
    <row r="59" ht="15.75" customHeight="1">
      <c r="A59" s="325">
        <v>177.0</v>
      </c>
      <c r="B59" s="67" t="s">
        <v>2191</v>
      </c>
      <c r="C59" s="154" t="s">
        <v>498</v>
      </c>
      <c r="D59" s="67" t="s">
        <v>923</v>
      </c>
      <c r="E59" s="61" t="s">
        <v>2192</v>
      </c>
      <c r="F59" s="180" t="s">
        <v>2193</v>
      </c>
      <c r="G59" s="117" t="s">
        <v>2194</v>
      </c>
      <c r="H59" s="68" t="s">
        <v>113</v>
      </c>
      <c r="I59" s="68" t="s">
        <v>614</v>
      </c>
      <c r="J59" s="57"/>
      <c r="K59" s="67" t="s">
        <v>44</v>
      </c>
      <c r="L59" s="67" t="s">
        <v>98</v>
      </c>
      <c r="M59" s="324" t="s">
        <v>2195</v>
      </c>
      <c r="N59" s="595" t="s">
        <v>2196</v>
      </c>
      <c r="O59" s="67" t="s">
        <v>1043</v>
      </c>
      <c r="P59" s="260" t="s">
        <v>2197</v>
      </c>
      <c r="Q59" s="57" t="s">
        <v>87</v>
      </c>
      <c r="R59" s="57"/>
      <c r="S59" s="67" t="s">
        <v>1958</v>
      </c>
      <c r="T59" s="121" t="s">
        <v>2198</v>
      </c>
      <c r="U59" s="68" t="s">
        <v>203</v>
      </c>
      <c r="V59" s="57"/>
      <c r="W59" s="68" t="s">
        <v>2199</v>
      </c>
      <c r="X59" s="57"/>
      <c r="Y59" s="68" t="s">
        <v>53</v>
      </c>
      <c r="Z59" s="68" t="s">
        <v>420</v>
      </c>
      <c r="AA59" s="68" t="s">
        <v>422</v>
      </c>
      <c r="AB59" s="68" t="s">
        <v>473</v>
      </c>
      <c r="AC59" s="325">
        <v>61174.0</v>
      </c>
      <c r="AD59" s="57"/>
      <c r="AE59" s="57"/>
      <c r="AF59" s="68" t="s">
        <v>56</v>
      </c>
      <c r="AG59" s="57"/>
      <c r="AH59" s="237" t="s">
        <v>2133</v>
      </c>
      <c r="AI59" s="52" t="s">
        <v>1010</v>
      </c>
      <c r="AJ59" s="52" t="s">
        <v>1010</v>
      </c>
      <c r="AK59" s="57"/>
      <c r="AL59" s="57" t="str">
        <f t="shared" si="1"/>
        <v>0 Tahun 5 Bulan</v>
      </c>
      <c r="AM59" s="414">
        <v>45966.0</v>
      </c>
      <c r="AN59" s="396" t="s">
        <v>1567</v>
      </c>
      <c r="AO59" s="597">
        <v>46019.0</v>
      </c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</row>
    <row r="60" ht="15.75" customHeight="1">
      <c r="A60" s="598">
        <v>133.0</v>
      </c>
      <c r="B60" s="351" t="s">
        <v>1726</v>
      </c>
      <c r="C60" s="351" t="s">
        <v>498</v>
      </c>
      <c r="D60" s="351" t="s">
        <v>923</v>
      </c>
      <c r="E60" s="599" t="s">
        <v>1727</v>
      </c>
      <c r="F60" s="600" t="s">
        <v>1728</v>
      </c>
      <c r="G60" s="601" t="s">
        <v>1729</v>
      </c>
      <c r="H60" s="351" t="s">
        <v>1188</v>
      </c>
      <c r="I60" s="351" t="s">
        <v>591</v>
      </c>
      <c r="J60" s="351"/>
      <c r="K60" s="351" t="s">
        <v>44</v>
      </c>
      <c r="L60" s="351" t="s">
        <v>98</v>
      </c>
      <c r="M60" s="600" t="s">
        <v>1730</v>
      </c>
      <c r="N60" s="600" t="s">
        <v>1731</v>
      </c>
      <c r="O60" s="351" t="s">
        <v>868</v>
      </c>
      <c r="P60" s="355">
        <v>1.880646466E9</v>
      </c>
      <c r="Q60" s="351" t="s">
        <v>1682</v>
      </c>
      <c r="R60" s="351"/>
      <c r="S60" s="351" t="s">
        <v>49</v>
      </c>
      <c r="T60" s="600" t="s">
        <v>1732</v>
      </c>
      <c r="U60" s="351" t="s">
        <v>51</v>
      </c>
      <c r="V60" s="351"/>
      <c r="W60" s="351" t="s">
        <v>1733</v>
      </c>
      <c r="X60" s="351"/>
      <c r="Y60" s="351" t="s">
        <v>53</v>
      </c>
      <c r="Z60" s="351" t="s">
        <v>51</v>
      </c>
      <c r="AA60" s="351" t="s">
        <v>104</v>
      </c>
      <c r="AB60" s="351" t="s">
        <v>1087</v>
      </c>
      <c r="AC60" s="598">
        <v>60129.0</v>
      </c>
      <c r="AD60" s="351"/>
      <c r="AE60" s="351"/>
      <c r="AF60" s="351" t="s">
        <v>71</v>
      </c>
      <c r="AG60" s="351"/>
      <c r="AH60" s="598">
        <v>9.00746017619E14</v>
      </c>
      <c r="AI60" s="351">
        <v>2.5072198895E10</v>
      </c>
      <c r="AJ60" s="600" t="s">
        <v>1734</v>
      </c>
      <c r="AK60" s="351"/>
      <c r="AL60" s="351" t="str">
        <f t="shared" si="1"/>
        <v>1 Tahun 1 Bulan</v>
      </c>
      <c r="AM60" s="602">
        <v>45719.0</v>
      </c>
      <c r="AN60" s="603" t="s">
        <v>1051</v>
      </c>
      <c r="AO60" s="604">
        <v>46020.0</v>
      </c>
      <c r="AP60" s="590"/>
      <c r="AQ60" s="351"/>
      <c r="AR60" s="351"/>
      <c r="AS60" s="351"/>
      <c r="AT60" s="351"/>
      <c r="AU60" s="351"/>
      <c r="AV60" s="351"/>
      <c r="AW60" s="351"/>
      <c r="AX60" s="351"/>
      <c r="AY60" s="351"/>
      <c r="AZ60" s="351"/>
      <c r="BA60" s="351"/>
      <c r="BB60" s="351"/>
      <c r="BC60" s="351"/>
      <c r="BD60" s="351"/>
      <c r="BE60" s="351"/>
      <c r="BF60" s="351"/>
      <c r="BG60" s="351"/>
      <c r="BH60" s="351"/>
      <c r="BI60" s="351"/>
      <c r="BJ60" s="351"/>
      <c r="BK60" s="351"/>
      <c r="BL60" s="351"/>
      <c r="BM60" s="351"/>
      <c r="BN60" s="351"/>
      <c r="BO60" s="351"/>
      <c r="BP60" s="351"/>
      <c r="BQ60" s="351"/>
      <c r="BR60" s="351"/>
      <c r="BS60" s="351"/>
      <c r="BT60" s="351"/>
      <c r="BU60" s="351"/>
      <c r="BV60" s="351"/>
      <c r="BW60" s="351"/>
      <c r="BX60" s="351"/>
      <c r="BY60" s="351"/>
      <c r="BZ60" s="351"/>
      <c r="CA60" s="351"/>
      <c r="CB60" s="351"/>
      <c r="CC60" s="351"/>
      <c r="CD60" s="351"/>
      <c r="CE60" s="351"/>
      <c r="CF60" s="351"/>
      <c r="CG60" s="351"/>
      <c r="CH60" s="351"/>
      <c r="CI60" s="351"/>
      <c r="CJ60" s="351"/>
      <c r="CK60" s="351"/>
      <c r="CL60" s="351"/>
    </row>
    <row r="61" ht="15.75" customHeight="1">
      <c r="A61" s="598">
        <v>139.0</v>
      </c>
      <c r="B61" s="351" t="s">
        <v>1787</v>
      </c>
      <c r="C61" s="351" t="s">
        <v>1310</v>
      </c>
      <c r="D61" s="351" t="s">
        <v>923</v>
      </c>
      <c r="E61" s="599" t="s">
        <v>1788</v>
      </c>
      <c r="F61" s="600" t="s">
        <v>1789</v>
      </c>
      <c r="G61" s="601" t="s">
        <v>1790</v>
      </c>
      <c r="H61" s="351" t="s">
        <v>1178</v>
      </c>
      <c r="I61" s="351" t="s">
        <v>729</v>
      </c>
      <c r="J61" s="351"/>
      <c r="K61" s="351" t="s">
        <v>44</v>
      </c>
      <c r="L61" s="351" t="s">
        <v>98</v>
      </c>
      <c r="M61" s="600" t="s">
        <v>1791</v>
      </c>
      <c r="N61" s="600" t="s">
        <v>1792</v>
      </c>
      <c r="O61" s="351"/>
      <c r="P61" s="351"/>
      <c r="Q61" s="351" t="s">
        <v>1682</v>
      </c>
      <c r="R61" s="351"/>
      <c r="S61" s="351" t="s">
        <v>49</v>
      </c>
      <c r="T61" s="600" t="s">
        <v>1793</v>
      </c>
      <c r="U61" s="351" t="s">
        <v>51</v>
      </c>
      <c r="V61" s="351"/>
      <c r="W61" s="351" t="s">
        <v>1794</v>
      </c>
      <c r="X61" s="351"/>
      <c r="Y61" s="351" t="s">
        <v>53</v>
      </c>
      <c r="Z61" s="351" t="s">
        <v>238</v>
      </c>
      <c r="AA61" s="351" t="s">
        <v>1795</v>
      </c>
      <c r="AB61" s="351" t="s">
        <v>1796</v>
      </c>
      <c r="AC61" s="598">
        <v>61381.0</v>
      </c>
      <c r="AD61" s="351"/>
      <c r="AE61" s="351"/>
      <c r="AF61" s="351" t="s">
        <v>139</v>
      </c>
      <c r="AG61" s="351"/>
      <c r="AH61" s="351" t="s">
        <v>125</v>
      </c>
      <c r="AI61" s="351">
        <v>2.5175565594E10</v>
      </c>
      <c r="AJ61" s="600" t="s">
        <v>1797</v>
      </c>
      <c r="AK61" s="351"/>
      <c r="AL61" s="351" t="str">
        <f t="shared" si="1"/>
        <v>1 Tahun 0 Bulan</v>
      </c>
      <c r="AM61" s="605" t="s">
        <v>1798</v>
      </c>
      <c r="AN61" s="351"/>
      <c r="AO61" s="604">
        <v>46022.0</v>
      </c>
      <c r="AP61" s="351"/>
      <c r="AQ61" s="351"/>
      <c r="AR61" s="351"/>
      <c r="AS61" s="351"/>
      <c r="AT61" s="351"/>
      <c r="AU61" s="351"/>
      <c r="AV61" s="351"/>
      <c r="AW61" s="351"/>
      <c r="AX61" s="351"/>
      <c r="AY61" s="351"/>
      <c r="AZ61" s="351"/>
      <c r="BA61" s="351"/>
      <c r="BB61" s="351"/>
      <c r="BC61" s="351"/>
      <c r="BD61" s="351"/>
      <c r="BE61" s="351"/>
      <c r="BF61" s="351"/>
      <c r="BG61" s="351"/>
      <c r="BH61" s="351"/>
      <c r="BI61" s="351"/>
      <c r="BJ61" s="351"/>
      <c r="BK61" s="351"/>
      <c r="BL61" s="351"/>
      <c r="BM61" s="351"/>
      <c r="BN61" s="351"/>
      <c r="BO61" s="351"/>
      <c r="BP61" s="351"/>
      <c r="BQ61" s="351"/>
      <c r="BR61" s="351"/>
      <c r="BS61" s="351"/>
      <c r="BT61" s="351"/>
      <c r="BU61" s="351"/>
      <c r="BV61" s="351"/>
      <c r="BW61" s="351"/>
      <c r="BX61" s="351"/>
      <c r="BY61" s="351"/>
      <c r="BZ61" s="351"/>
      <c r="CA61" s="351"/>
      <c r="CB61" s="351"/>
      <c r="CC61" s="351"/>
      <c r="CD61" s="351"/>
      <c r="CE61" s="351"/>
      <c r="CF61" s="351"/>
      <c r="CG61" s="351"/>
      <c r="CH61" s="351"/>
      <c r="CI61" s="351"/>
      <c r="CJ61" s="351"/>
      <c r="CK61" s="351"/>
      <c r="CL61" s="351"/>
    </row>
    <row r="62" ht="15.75" customHeight="1">
      <c r="A62" s="598">
        <v>145.0</v>
      </c>
      <c r="B62" s="351" t="s">
        <v>1851</v>
      </c>
      <c r="C62" s="351" t="s">
        <v>1310</v>
      </c>
      <c r="D62" s="351" t="s">
        <v>923</v>
      </c>
      <c r="E62" s="599" t="s">
        <v>1852</v>
      </c>
      <c r="F62" s="600" t="s">
        <v>1853</v>
      </c>
      <c r="G62" s="601" t="s">
        <v>1854</v>
      </c>
      <c r="H62" s="351" t="s">
        <v>1178</v>
      </c>
      <c r="I62" s="351" t="s">
        <v>729</v>
      </c>
      <c r="J62" s="351"/>
      <c r="K62" s="351" t="s">
        <v>44</v>
      </c>
      <c r="L62" s="351" t="s">
        <v>98</v>
      </c>
      <c r="M62" s="600" t="s">
        <v>1855</v>
      </c>
      <c r="N62" s="600" t="s">
        <v>1856</v>
      </c>
      <c r="O62" s="351"/>
      <c r="P62" s="351"/>
      <c r="Q62" s="351" t="s">
        <v>1682</v>
      </c>
      <c r="R62" s="351"/>
      <c r="S62" s="351" t="s">
        <v>49</v>
      </c>
      <c r="T62" s="606">
        <v>27859.0</v>
      </c>
      <c r="U62" s="351" t="s">
        <v>51</v>
      </c>
      <c r="V62" s="351"/>
      <c r="W62" s="351" t="s">
        <v>1857</v>
      </c>
      <c r="X62" s="351"/>
      <c r="Y62" s="351" t="s">
        <v>53</v>
      </c>
      <c r="Z62" s="351" t="s">
        <v>51</v>
      </c>
      <c r="AA62" s="351" t="s">
        <v>1505</v>
      </c>
      <c r="AB62" s="351" t="s">
        <v>1506</v>
      </c>
      <c r="AC62" s="598">
        <v>60222.0</v>
      </c>
      <c r="AD62" s="351"/>
      <c r="AE62" s="351"/>
      <c r="AF62" s="351" t="s">
        <v>241</v>
      </c>
      <c r="AG62" s="351"/>
      <c r="AH62" s="351" t="s">
        <v>125</v>
      </c>
      <c r="AI62" s="351">
        <v>2.5175565644E10</v>
      </c>
      <c r="AJ62" s="600" t="s">
        <v>1858</v>
      </c>
      <c r="AK62" s="351"/>
      <c r="AL62" s="351" t="str">
        <f t="shared" si="1"/>
        <v>0 Tahun 11 Bulan</v>
      </c>
      <c r="AM62" s="603">
        <v>45782.0</v>
      </c>
      <c r="AN62" s="351"/>
      <c r="AO62" s="604">
        <v>46022.0</v>
      </c>
      <c r="AP62" s="351"/>
      <c r="AQ62" s="351"/>
      <c r="AR62" s="351"/>
      <c r="AS62" s="351"/>
      <c r="AT62" s="351"/>
      <c r="AU62" s="351"/>
      <c r="AV62" s="351"/>
      <c r="AW62" s="351"/>
      <c r="AX62" s="351"/>
      <c r="AY62" s="351"/>
      <c r="AZ62" s="351"/>
      <c r="BA62" s="351"/>
      <c r="BB62" s="351"/>
      <c r="BC62" s="351"/>
      <c r="BD62" s="351"/>
      <c r="BE62" s="351"/>
      <c r="BF62" s="351"/>
      <c r="BG62" s="351"/>
      <c r="BH62" s="351"/>
      <c r="BI62" s="351"/>
      <c r="BJ62" s="351"/>
      <c r="BK62" s="351"/>
      <c r="BL62" s="351"/>
      <c r="BM62" s="351"/>
      <c r="BN62" s="351"/>
      <c r="BO62" s="351"/>
      <c r="BP62" s="351"/>
      <c r="BQ62" s="351"/>
      <c r="BR62" s="351"/>
      <c r="BS62" s="351"/>
      <c r="BT62" s="351"/>
      <c r="BU62" s="351"/>
      <c r="BV62" s="351"/>
      <c r="BW62" s="351"/>
      <c r="BX62" s="351"/>
      <c r="BY62" s="351"/>
      <c r="BZ62" s="351"/>
      <c r="CA62" s="351"/>
      <c r="CB62" s="351"/>
      <c r="CC62" s="351"/>
      <c r="CD62" s="351"/>
      <c r="CE62" s="351"/>
      <c r="CF62" s="351"/>
      <c r="CG62" s="351"/>
      <c r="CH62" s="351"/>
      <c r="CI62" s="351"/>
      <c r="CJ62" s="351"/>
      <c r="CK62" s="351"/>
      <c r="CL62" s="351"/>
    </row>
    <row r="63" ht="15.75" customHeight="1">
      <c r="A63" s="598">
        <v>118.0</v>
      </c>
      <c r="B63" s="351" t="s">
        <v>1556</v>
      </c>
      <c r="C63" s="351" t="s">
        <v>84</v>
      </c>
      <c r="D63" s="351" t="s">
        <v>923</v>
      </c>
      <c r="E63" s="599" t="s">
        <v>1557</v>
      </c>
      <c r="F63" s="600" t="s">
        <v>1558</v>
      </c>
      <c r="G63" s="351" t="s">
        <v>1559</v>
      </c>
      <c r="H63" s="351" t="s">
        <v>1094</v>
      </c>
      <c r="I63" s="351" t="s">
        <v>248</v>
      </c>
      <c r="J63" s="351" t="s">
        <v>97</v>
      </c>
      <c r="K63" s="351" t="s">
        <v>44</v>
      </c>
      <c r="L63" s="351" t="s">
        <v>98</v>
      </c>
      <c r="M63" s="351" t="s">
        <v>1560</v>
      </c>
      <c r="N63" s="600" t="s">
        <v>1561</v>
      </c>
      <c r="O63" s="351"/>
      <c r="P63" s="351"/>
      <c r="Q63" s="351" t="s">
        <v>48</v>
      </c>
      <c r="R63" s="351"/>
      <c r="S63" s="351" t="s">
        <v>69</v>
      </c>
      <c r="T63" s="600" t="s">
        <v>1562</v>
      </c>
      <c r="U63" s="351" t="s">
        <v>238</v>
      </c>
      <c r="V63" s="351"/>
      <c r="W63" s="351" t="s">
        <v>1563</v>
      </c>
      <c r="X63" s="351"/>
      <c r="Y63" s="351" t="s">
        <v>53</v>
      </c>
      <c r="Z63" s="351" t="s">
        <v>51</v>
      </c>
      <c r="AA63" s="351" t="s">
        <v>1564</v>
      </c>
      <c r="AB63" s="351" t="s">
        <v>1565</v>
      </c>
      <c r="AC63" s="598">
        <v>60299.0</v>
      </c>
      <c r="AD63" s="351"/>
      <c r="AE63" s="351"/>
      <c r="AF63" s="351" t="s">
        <v>71</v>
      </c>
      <c r="AG63" s="351"/>
      <c r="AH63" s="351">
        <v>7.15548129615E14</v>
      </c>
      <c r="AI63" s="351">
        <v>2.5024378322E10</v>
      </c>
      <c r="AJ63" s="600" t="s">
        <v>1566</v>
      </c>
      <c r="AK63" s="351"/>
      <c r="AL63" s="351" t="str">
        <f t="shared" si="1"/>
        <v>1 Tahun 5 Bulan</v>
      </c>
      <c r="AM63" s="607">
        <v>45594.0</v>
      </c>
      <c r="AN63" s="351" t="s">
        <v>1529</v>
      </c>
      <c r="AO63" s="608">
        <v>46032.0</v>
      </c>
      <c r="AQ63" s="351"/>
      <c r="AR63" s="351"/>
      <c r="AS63" s="351"/>
      <c r="AT63" s="351"/>
      <c r="AU63" s="351"/>
      <c r="AV63" s="351"/>
      <c r="AW63" s="351"/>
      <c r="AX63" s="351"/>
      <c r="AY63" s="351"/>
      <c r="AZ63" s="351"/>
      <c r="BA63" s="351"/>
      <c r="BB63" s="351"/>
      <c r="BC63" s="351"/>
      <c r="BD63" s="351"/>
      <c r="BE63" s="351"/>
      <c r="BF63" s="351"/>
      <c r="BG63" s="351"/>
      <c r="BH63" s="351"/>
      <c r="BI63" s="351"/>
      <c r="BJ63" s="351"/>
      <c r="BK63" s="351"/>
      <c r="BL63" s="351"/>
      <c r="BM63" s="351"/>
      <c r="BN63" s="351"/>
      <c r="BO63" s="351"/>
      <c r="BP63" s="351"/>
      <c r="BQ63" s="351"/>
      <c r="BR63" s="351"/>
      <c r="BS63" s="351"/>
      <c r="BT63" s="351"/>
      <c r="BU63" s="351"/>
      <c r="BV63" s="351"/>
      <c r="BW63" s="351"/>
      <c r="BX63" s="351"/>
      <c r="BY63" s="351"/>
      <c r="BZ63" s="351"/>
      <c r="CA63" s="351"/>
      <c r="CB63" s="351"/>
      <c r="CC63" s="351"/>
      <c r="CD63" s="351"/>
      <c r="CE63" s="351"/>
      <c r="CF63" s="351"/>
      <c r="CG63" s="351"/>
      <c r="CH63" s="351"/>
      <c r="CI63" s="351"/>
      <c r="CJ63" s="351"/>
      <c r="CK63" s="351"/>
      <c r="CL63" s="351"/>
    </row>
    <row r="64" ht="15.75" customHeight="1">
      <c r="A64" s="325">
        <v>186.0</v>
      </c>
      <c r="B64" s="67" t="s">
        <v>2280</v>
      </c>
      <c r="C64" s="154" t="s">
        <v>514</v>
      </c>
      <c r="D64" s="67" t="s">
        <v>923</v>
      </c>
      <c r="E64" s="61" t="s">
        <v>2281</v>
      </c>
      <c r="F64" s="324" t="s">
        <v>2282</v>
      </c>
      <c r="G64" s="117" t="s">
        <v>2283</v>
      </c>
      <c r="H64" s="68" t="s">
        <v>113</v>
      </c>
      <c r="I64" s="68" t="s">
        <v>614</v>
      </c>
      <c r="J64" s="57"/>
      <c r="K64" s="67" t="s">
        <v>44</v>
      </c>
      <c r="L64" s="67" t="s">
        <v>98</v>
      </c>
      <c r="M64" s="180" t="s">
        <v>2284</v>
      </c>
      <c r="N64" s="180" t="s">
        <v>2285</v>
      </c>
      <c r="O64" s="67" t="s">
        <v>1043</v>
      </c>
      <c r="P64" s="260" t="s">
        <v>2286</v>
      </c>
      <c r="Q64" s="67" t="s">
        <v>2143</v>
      </c>
      <c r="R64" s="57"/>
      <c r="S64" s="67" t="s">
        <v>1958</v>
      </c>
      <c r="T64" s="121" t="s">
        <v>2287</v>
      </c>
      <c r="U64" s="68" t="s">
        <v>420</v>
      </c>
      <c r="V64" s="57"/>
      <c r="W64" s="68" t="s">
        <v>2288</v>
      </c>
      <c r="X64" s="57"/>
      <c r="Y64" s="68" t="s">
        <v>53</v>
      </c>
      <c r="Z64" s="68" t="s">
        <v>420</v>
      </c>
      <c r="AA64" s="68" t="s">
        <v>570</v>
      </c>
      <c r="AB64" s="68" t="s">
        <v>2289</v>
      </c>
      <c r="AC64" s="325">
        <v>61177.0</v>
      </c>
      <c r="AD64" s="57"/>
      <c r="AE64" s="57"/>
      <c r="AF64" s="68" t="s">
        <v>71</v>
      </c>
      <c r="AG64" s="57"/>
      <c r="AH64" s="121" t="s">
        <v>2290</v>
      </c>
      <c r="AI64" s="68" t="s">
        <v>1010</v>
      </c>
      <c r="AJ64" s="67" t="s">
        <v>1010</v>
      </c>
      <c r="AK64" s="57"/>
      <c r="AL64" s="45" t="str">
        <f t="shared" si="1"/>
        <v>0 Tahun 5 Bulan</v>
      </c>
      <c r="AM64" s="414">
        <v>45981.0</v>
      </c>
      <c r="AN64" s="67" t="s">
        <v>1484</v>
      </c>
      <c r="AO64" s="596">
        <v>46025.0</v>
      </c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</row>
    <row r="65" ht="15.75" customHeight="1">
      <c r="A65" s="325">
        <v>178.0</v>
      </c>
      <c r="B65" s="67" t="s">
        <v>2201</v>
      </c>
      <c r="C65" s="154" t="s">
        <v>84</v>
      </c>
      <c r="D65" s="67" t="s">
        <v>923</v>
      </c>
      <c r="E65" s="61" t="s">
        <v>2202</v>
      </c>
      <c r="F65" s="180" t="s">
        <v>2203</v>
      </c>
      <c r="G65" s="117" t="s">
        <v>2204</v>
      </c>
      <c r="H65" s="68" t="s">
        <v>2205</v>
      </c>
      <c r="I65" s="68" t="s">
        <v>248</v>
      </c>
      <c r="J65" s="57"/>
      <c r="K65" s="67" t="s">
        <v>44</v>
      </c>
      <c r="L65" s="67" t="s">
        <v>74</v>
      </c>
      <c r="M65" s="324" t="s">
        <v>2206</v>
      </c>
      <c r="N65" s="595" t="s">
        <v>2207</v>
      </c>
      <c r="O65" s="67" t="s">
        <v>868</v>
      </c>
      <c r="P65" s="65">
        <v>5.105112448E9</v>
      </c>
      <c r="Q65" s="57" t="s">
        <v>521</v>
      </c>
      <c r="R65" s="57"/>
      <c r="S65" s="67" t="s">
        <v>69</v>
      </c>
      <c r="T65" s="121" t="s">
        <v>2208</v>
      </c>
      <c r="U65" s="68" t="s">
        <v>135</v>
      </c>
      <c r="V65" s="57"/>
      <c r="W65" s="68" t="s">
        <v>2209</v>
      </c>
      <c r="X65" s="57"/>
      <c r="Y65" s="68" t="s">
        <v>53</v>
      </c>
      <c r="Z65" s="68" t="s">
        <v>135</v>
      </c>
      <c r="AA65" s="68" t="s">
        <v>227</v>
      </c>
      <c r="AB65" s="68" t="s">
        <v>2210</v>
      </c>
      <c r="AC65" s="325">
        <v>63155.0</v>
      </c>
      <c r="AD65" s="57"/>
      <c r="AE65" s="57"/>
      <c r="AF65" s="68" t="s">
        <v>71</v>
      </c>
      <c r="AG65" s="57"/>
      <c r="AH65" s="237" t="s">
        <v>2133</v>
      </c>
      <c r="AI65" s="52" t="s">
        <v>1010</v>
      </c>
      <c r="AJ65" s="52" t="s">
        <v>1010</v>
      </c>
      <c r="AK65" s="57"/>
      <c r="AL65" s="57" t="str">
        <f t="shared" si="1"/>
        <v>0 Tahun 5 Bulan</v>
      </c>
      <c r="AM65" s="414">
        <v>45965.0</v>
      </c>
      <c r="AN65" s="396" t="s">
        <v>1567</v>
      </c>
      <c r="AO65" s="596">
        <v>46050.0</v>
      </c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</row>
    <row r="66" ht="15.75" customHeight="1">
      <c r="A66" s="591">
        <v>80.0</v>
      </c>
      <c r="B66" s="591" t="s">
        <v>1090</v>
      </c>
      <c r="C66" s="591" t="s">
        <v>41</v>
      </c>
      <c r="D66" s="591" t="s">
        <v>91</v>
      </c>
      <c r="E66" s="591" t="s">
        <v>1091</v>
      </c>
      <c r="F66" s="609" t="s">
        <v>1092</v>
      </c>
      <c r="G66" s="591" t="s">
        <v>1093</v>
      </c>
      <c r="H66" s="591" t="s">
        <v>1094</v>
      </c>
      <c r="I66" s="591" t="s">
        <v>248</v>
      </c>
      <c r="J66" s="591" t="s">
        <v>97</v>
      </c>
      <c r="K66" s="591" t="s">
        <v>44</v>
      </c>
      <c r="L66" s="591" t="s">
        <v>98</v>
      </c>
      <c r="M66" s="609" t="s">
        <v>1095</v>
      </c>
      <c r="N66" s="609" t="s">
        <v>1096</v>
      </c>
      <c r="O66" s="591"/>
      <c r="P66" s="591"/>
      <c r="Q66" s="591" t="s">
        <v>521</v>
      </c>
      <c r="R66" s="591"/>
      <c r="S66" s="591" t="s">
        <v>69</v>
      </c>
      <c r="T66" s="591" t="s">
        <v>1097</v>
      </c>
      <c r="U66" s="591" t="s">
        <v>51</v>
      </c>
      <c r="V66" s="591"/>
      <c r="W66" s="591" t="s">
        <v>1098</v>
      </c>
      <c r="X66" s="591"/>
      <c r="Y66" s="591" t="s">
        <v>53</v>
      </c>
      <c r="Z66" s="591" t="s">
        <v>51</v>
      </c>
      <c r="AA66" s="591" t="s">
        <v>177</v>
      </c>
      <c r="AB66" s="591" t="s">
        <v>785</v>
      </c>
      <c r="AC66" s="591">
        <v>60256.0</v>
      </c>
      <c r="AD66" s="591"/>
      <c r="AE66" s="591"/>
      <c r="AF66" s="591" t="s">
        <v>71</v>
      </c>
      <c r="AG66" s="591"/>
      <c r="AH66" s="609" t="s">
        <v>1099</v>
      </c>
      <c r="AI66" s="591">
        <v>2.4004264196E10</v>
      </c>
      <c r="AJ66" s="609" t="s">
        <v>1100</v>
      </c>
      <c r="AK66" s="591" t="s">
        <v>108</v>
      </c>
      <c r="AL66" s="591" t="s">
        <v>2761</v>
      </c>
      <c r="AM66" s="414">
        <v>45168.0</v>
      </c>
      <c r="AN66" s="610" t="s">
        <v>1101</v>
      </c>
      <c r="AO66" s="611">
        <v>46057.0</v>
      </c>
      <c r="AP66" s="591"/>
      <c r="AR66" s="591"/>
      <c r="AS66" s="591"/>
      <c r="AT66" s="591"/>
      <c r="AU66" s="591"/>
      <c r="AV66" s="591"/>
      <c r="AW66" s="591"/>
      <c r="AX66" s="591"/>
      <c r="AY66" s="591"/>
      <c r="AZ66" s="591"/>
      <c r="BA66" s="591"/>
      <c r="BB66" s="591"/>
      <c r="BC66" s="591"/>
      <c r="BD66" s="591"/>
      <c r="BE66" s="591"/>
      <c r="BF66" s="591"/>
      <c r="BG66" s="591"/>
      <c r="BH66" s="591"/>
      <c r="BI66" s="591"/>
      <c r="BJ66" s="591"/>
      <c r="BK66" s="591"/>
      <c r="BL66" s="591"/>
      <c r="BM66" s="591"/>
      <c r="BN66" s="591"/>
      <c r="BO66" s="591"/>
      <c r="BP66" s="591"/>
      <c r="BQ66" s="591"/>
      <c r="BR66" s="591"/>
      <c r="BS66" s="591"/>
      <c r="BT66" s="591"/>
      <c r="BU66" s="591"/>
      <c r="BV66" s="591"/>
      <c r="BW66" s="591"/>
      <c r="BX66" s="591"/>
      <c r="BY66" s="591"/>
      <c r="BZ66" s="591"/>
      <c r="CA66" s="591"/>
      <c r="CB66" s="591"/>
      <c r="CC66" s="591"/>
      <c r="CD66" s="591"/>
      <c r="CE66" s="591"/>
      <c r="CF66" s="591"/>
      <c r="CG66" s="591"/>
      <c r="CH66" s="591"/>
      <c r="CI66" s="591"/>
      <c r="CJ66" s="591"/>
      <c r="CK66" s="591"/>
      <c r="CL66" s="591"/>
    </row>
    <row r="67" ht="15.75" customHeight="1">
      <c r="A67" s="419">
        <v>191.0</v>
      </c>
      <c r="B67" s="612" t="s">
        <v>2335</v>
      </c>
      <c r="C67" s="154" t="s">
        <v>729</v>
      </c>
      <c r="D67" s="67" t="s">
        <v>923</v>
      </c>
      <c r="E67" s="382" t="s">
        <v>2336</v>
      </c>
      <c r="F67" s="324" t="s">
        <v>2337</v>
      </c>
      <c r="G67" s="117" t="s">
        <v>2338</v>
      </c>
      <c r="H67" s="68" t="s">
        <v>2339</v>
      </c>
      <c r="I67" s="68" t="s">
        <v>729</v>
      </c>
      <c r="J67" s="57"/>
      <c r="K67" s="67" t="s">
        <v>2326</v>
      </c>
      <c r="L67" s="67" t="s">
        <v>98</v>
      </c>
      <c r="M67" s="324" t="s">
        <v>2340</v>
      </c>
      <c r="N67" s="180" t="s">
        <v>2341</v>
      </c>
      <c r="O67" s="67" t="s">
        <v>868</v>
      </c>
      <c r="P67" s="260" t="s">
        <v>2342</v>
      </c>
      <c r="Q67" s="67" t="s">
        <v>521</v>
      </c>
      <c r="R67" s="57"/>
      <c r="S67" s="67" t="s">
        <v>69</v>
      </c>
      <c r="T67" s="121" t="s">
        <v>2343</v>
      </c>
      <c r="U67" s="68" t="s">
        <v>51</v>
      </c>
      <c r="V67" s="57"/>
      <c r="W67" s="67" t="s">
        <v>2344</v>
      </c>
      <c r="X67" s="57"/>
      <c r="Y67" s="67" t="s">
        <v>53</v>
      </c>
      <c r="Z67" s="67" t="s">
        <v>51</v>
      </c>
      <c r="AA67" s="67" t="s">
        <v>347</v>
      </c>
      <c r="AB67" s="67" t="s">
        <v>347</v>
      </c>
      <c r="AC67" s="67">
        <v>60262.0</v>
      </c>
      <c r="AD67" s="57"/>
      <c r="AE67" s="57"/>
      <c r="AF67" s="90" t="s">
        <v>71</v>
      </c>
      <c r="AG67" s="57"/>
      <c r="AH67" s="121" t="s">
        <v>2133</v>
      </c>
      <c r="AI67" s="613"/>
      <c r="AJ67" s="614"/>
      <c r="AK67" s="57"/>
      <c r="AL67" s="57" t="str">
        <f t="shared" ref="AL67:AL71" si="2">DATEDIF(AM67,NOW(),"y")&amp;" Tahun "&amp;DATEDIF(AM67,NOW(),"ym")&amp;" Bulan"</f>
        <v>0 Tahun 4 Bulan</v>
      </c>
      <c r="AM67" s="414">
        <v>45992.0</v>
      </c>
      <c r="AN67" s="416" t="s">
        <v>1484</v>
      </c>
      <c r="AO67" s="596">
        <v>46081.0</v>
      </c>
      <c r="AP67" s="57"/>
      <c r="AQ67" s="57"/>
      <c r="AR67" s="57"/>
      <c r="AS67" s="57"/>
      <c r="AT67" s="57"/>
      <c r="AU67" s="57"/>
      <c r="AV67" s="57"/>
      <c r="AW67" s="45" t="str">
        <f t="shared" ref="AW67:AW71" si="3">DATEDIF(AM67,$AW$2,"Y") &amp; " Tahun " &amp; DATEDIF(AM67,$AW$2,"YM") &amp; " Bulan"</f>
        <v>#NUM!</v>
      </c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</row>
    <row r="68" ht="15.75" customHeight="1">
      <c r="A68" s="288">
        <v>121.0</v>
      </c>
      <c r="B68" s="319" t="s">
        <v>1593</v>
      </c>
      <c r="C68" s="154" t="s">
        <v>636</v>
      </c>
      <c r="D68" s="45" t="s">
        <v>923</v>
      </c>
      <c r="E68" s="155" t="s">
        <v>1594</v>
      </c>
      <c r="F68" s="238" t="s">
        <v>1595</v>
      </c>
      <c r="G68" s="108" t="s">
        <v>1596</v>
      </c>
      <c r="H68" s="52" t="s">
        <v>1597</v>
      </c>
      <c r="I68" s="52" t="s">
        <v>309</v>
      </c>
      <c r="J68" s="155" t="s">
        <v>503</v>
      </c>
      <c r="K68" s="155" t="s">
        <v>44</v>
      </c>
      <c r="L68" s="155" t="s">
        <v>98</v>
      </c>
      <c r="M68" s="238" t="s">
        <v>1598</v>
      </c>
      <c r="N68" s="311" t="s">
        <v>1599</v>
      </c>
      <c r="O68" s="155" t="s">
        <v>1043</v>
      </c>
      <c r="P68" s="300" t="s">
        <v>1600</v>
      </c>
      <c r="Q68" s="155" t="s">
        <v>48</v>
      </c>
      <c r="S68" s="155" t="s">
        <v>69</v>
      </c>
      <c r="T68" s="238" t="s">
        <v>1601</v>
      </c>
      <c r="U68" s="52" t="s">
        <v>1602</v>
      </c>
      <c r="W68" s="52" t="s">
        <v>1603</v>
      </c>
      <c r="Y68" s="52" t="s">
        <v>53</v>
      </c>
      <c r="Z68" s="52" t="s">
        <v>64</v>
      </c>
      <c r="AA68" s="52" t="s">
        <v>1604</v>
      </c>
      <c r="AB68" s="52" t="s">
        <v>1604</v>
      </c>
      <c r="AC68" s="312">
        <v>90245.0</v>
      </c>
      <c r="AF68" s="135" t="s">
        <v>71</v>
      </c>
      <c r="AH68" s="280" t="s">
        <v>125</v>
      </c>
      <c r="AI68" s="52">
        <v>2.5031727065E10</v>
      </c>
      <c r="AJ68" s="285" t="s">
        <v>1605</v>
      </c>
      <c r="AL68" s="45" t="str">
        <f t="shared" si="2"/>
        <v>1 Tahun 5 Bulan</v>
      </c>
      <c r="AM68" s="345">
        <v>45616.0</v>
      </c>
      <c r="AN68" s="346" t="s">
        <v>1422</v>
      </c>
      <c r="AO68" s="596">
        <v>46078.0</v>
      </c>
      <c r="AW68" s="45" t="str">
        <f t="shared" si="3"/>
        <v>#NUM!</v>
      </c>
    </row>
    <row r="69" ht="15.75" customHeight="1">
      <c r="A69" s="419">
        <v>184.0</v>
      </c>
      <c r="B69" s="615" t="s">
        <v>2259</v>
      </c>
      <c r="C69" s="154" t="s">
        <v>2183</v>
      </c>
      <c r="D69" s="67" t="s">
        <v>2184</v>
      </c>
      <c r="E69" s="382"/>
      <c r="F69" s="324" t="s">
        <v>2260</v>
      </c>
      <c r="G69" s="117" t="s">
        <v>2261</v>
      </c>
      <c r="H69" s="68" t="s">
        <v>2187</v>
      </c>
      <c r="I69" s="68" t="s">
        <v>248</v>
      </c>
      <c r="J69" s="57"/>
      <c r="K69" s="67" t="s">
        <v>44</v>
      </c>
      <c r="L69" s="67" t="s">
        <v>98</v>
      </c>
      <c r="M69" s="180" t="s">
        <v>2262</v>
      </c>
      <c r="N69" s="180" t="s">
        <v>2263</v>
      </c>
      <c r="O69" s="67" t="s">
        <v>2264</v>
      </c>
      <c r="P69" s="616" t="s">
        <v>2265</v>
      </c>
      <c r="Q69" s="67" t="s">
        <v>521</v>
      </c>
      <c r="R69" s="57"/>
      <c r="S69" s="67" t="s">
        <v>69</v>
      </c>
      <c r="T69" s="121" t="s">
        <v>2266</v>
      </c>
      <c r="U69" s="68" t="s">
        <v>432</v>
      </c>
      <c r="V69" s="57"/>
      <c r="W69" s="68" t="s">
        <v>2267</v>
      </c>
      <c r="X69" s="57"/>
      <c r="Y69" s="68" t="s">
        <v>53</v>
      </c>
      <c r="Z69" s="68" t="s">
        <v>432</v>
      </c>
      <c r="AA69" s="68" t="s">
        <v>2268</v>
      </c>
      <c r="AB69" s="68" t="s">
        <v>2269</v>
      </c>
      <c r="AC69" s="325">
        <v>64481.0</v>
      </c>
      <c r="AD69" s="57"/>
      <c r="AE69" s="57"/>
      <c r="AF69" s="127" t="s">
        <v>71</v>
      </c>
      <c r="AG69" s="57"/>
      <c r="AH69" s="121" t="s">
        <v>2133</v>
      </c>
      <c r="AI69" s="613"/>
      <c r="AJ69" s="613"/>
      <c r="AK69" s="57"/>
      <c r="AL69" s="45" t="str">
        <f t="shared" si="2"/>
        <v>0 Tahun 5 Bulan</v>
      </c>
      <c r="AM69" s="414">
        <v>45978.0</v>
      </c>
      <c r="AN69" s="90" t="s">
        <v>1484</v>
      </c>
      <c r="AO69" s="596">
        <v>46081.0</v>
      </c>
      <c r="AP69" s="57"/>
      <c r="AQ69" s="57"/>
      <c r="AR69" s="57"/>
      <c r="AS69" s="57"/>
      <c r="AT69" s="57"/>
      <c r="AU69" s="57"/>
      <c r="AV69" s="57"/>
      <c r="AW69" s="45" t="str">
        <f t="shared" si="3"/>
        <v>#NUM!</v>
      </c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</row>
    <row r="70" ht="15.75" customHeight="1">
      <c r="A70" s="591">
        <v>119.0</v>
      </c>
      <c r="B70" s="591" t="s">
        <v>1569</v>
      </c>
      <c r="C70" s="591" t="s">
        <v>1310</v>
      </c>
      <c r="D70" s="591" t="s">
        <v>923</v>
      </c>
      <c r="E70" s="591" t="s">
        <v>1570</v>
      </c>
      <c r="F70" s="609" t="s">
        <v>1571</v>
      </c>
      <c r="G70" s="591" t="s">
        <v>1572</v>
      </c>
      <c r="H70" s="591" t="s">
        <v>1178</v>
      </c>
      <c r="I70" s="591" t="s">
        <v>729</v>
      </c>
      <c r="J70" s="591" t="s">
        <v>1119</v>
      </c>
      <c r="K70" s="591" t="s">
        <v>44</v>
      </c>
      <c r="L70" s="591" t="s">
        <v>98</v>
      </c>
      <c r="M70" s="609" t="s">
        <v>1573</v>
      </c>
      <c r="N70" s="609" t="s">
        <v>1574</v>
      </c>
      <c r="O70" s="591"/>
      <c r="P70" s="591"/>
      <c r="Q70" s="591" t="s">
        <v>48</v>
      </c>
      <c r="R70" s="591"/>
      <c r="S70" s="591" t="s">
        <v>49</v>
      </c>
      <c r="T70" s="591" t="s">
        <v>1575</v>
      </c>
      <c r="U70" s="591" t="s">
        <v>548</v>
      </c>
      <c r="V70" s="591"/>
      <c r="W70" s="591" t="s">
        <v>1576</v>
      </c>
      <c r="X70" s="591"/>
      <c r="Y70" s="591" t="s">
        <v>53</v>
      </c>
      <c r="Z70" s="591" t="s">
        <v>1577</v>
      </c>
      <c r="AA70" s="591" t="s">
        <v>1578</v>
      </c>
      <c r="AB70" s="591" t="s">
        <v>1579</v>
      </c>
      <c r="AC70" s="591">
        <v>63464.0</v>
      </c>
      <c r="AD70" s="591"/>
      <c r="AE70" s="591"/>
      <c r="AF70" s="591" t="s">
        <v>71</v>
      </c>
      <c r="AG70" s="591"/>
      <c r="AH70" s="591" t="s">
        <v>125</v>
      </c>
      <c r="AI70" s="591">
        <v>2.5175565636E10</v>
      </c>
      <c r="AJ70" s="609" t="s">
        <v>1580</v>
      </c>
      <c r="AK70" s="591"/>
      <c r="AL70" s="591" t="str">
        <f t="shared" si="2"/>
        <v>1 Tahun 5 Bulan</v>
      </c>
      <c r="AM70" s="617" t="s">
        <v>1581</v>
      </c>
      <c r="AN70" s="618"/>
      <c r="AO70" s="611"/>
      <c r="AP70" s="591"/>
      <c r="AR70" s="591"/>
      <c r="AS70" s="591"/>
      <c r="AT70" s="591"/>
      <c r="AU70" s="591"/>
      <c r="AV70" s="591"/>
      <c r="AW70" s="591" t="str">
        <f t="shared" si="3"/>
        <v>#NUM!</v>
      </c>
      <c r="AX70" s="591"/>
      <c r="AY70" s="591"/>
      <c r="AZ70" s="591"/>
      <c r="BA70" s="591"/>
      <c r="BB70" s="591"/>
      <c r="BC70" s="591"/>
      <c r="BD70" s="591"/>
      <c r="BE70" s="591"/>
      <c r="BF70" s="591"/>
      <c r="BG70" s="591"/>
      <c r="BH70" s="591"/>
      <c r="BI70" s="591"/>
      <c r="BJ70" s="591"/>
      <c r="BK70" s="591"/>
      <c r="BL70" s="591"/>
      <c r="BM70" s="591"/>
      <c r="BN70" s="591"/>
      <c r="BO70" s="591"/>
      <c r="BP70" s="591"/>
      <c r="BQ70" s="591"/>
      <c r="BR70" s="591"/>
      <c r="BS70" s="591"/>
      <c r="BT70" s="591"/>
      <c r="BU70" s="591"/>
      <c r="BV70" s="591"/>
      <c r="BW70" s="591"/>
      <c r="BX70" s="591"/>
      <c r="BY70" s="591"/>
      <c r="BZ70" s="591"/>
      <c r="CA70" s="591"/>
      <c r="CB70" s="591"/>
      <c r="CC70" s="591"/>
      <c r="CD70" s="591"/>
      <c r="CE70" s="591"/>
      <c r="CF70" s="591"/>
      <c r="CG70" s="591"/>
      <c r="CH70" s="591"/>
      <c r="CI70" s="591"/>
      <c r="CJ70" s="591"/>
      <c r="CK70" s="591"/>
      <c r="CL70" s="591"/>
    </row>
    <row r="71" ht="15.75" customHeight="1">
      <c r="A71" s="361">
        <v>181.0</v>
      </c>
      <c r="B71" s="405" t="s">
        <v>2233</v>
      </c>
      <c r="C71" s="154" t="s">
        <v>636</v>
      </c>
      <c r="D71" s="67" t="s">
        <v>923</v>
      </c>
      <c r="E71" s="382" t="s">
        <v>2234</v>
      </c>
      <c r="F71" s="121" t="s">
        <v>2235</v>
      </c>
      <c r="G71" s="108" t="s">
        <v>2236</v>
      </c>
      <c r="H71" s="68" t="s">
        <v>939</v>
      </c>
      <c r="I71" s="68" t="s">
        <v>248</v>
      </c>
      <c r="J71" s="57"/>
      <c r="K71" s="67" t="s">
        <v>44</v>
      </c>
      <c r="L71" s="416" t="s">
        <v>74</v>
      </c>
      <c r="M71" s="180" t="s">
        <v>2237</v>
      </c>
      <c r="N71" s="68" t="s">
        <v>2238</v>
      </c>
      <c r="O71" s="67" t="s">
        <v>1043</v>
      </c>
      <c r="P71" s="260" t="s">
        <v>2239</v>
      </c>
      <c r="Q71" s="67" t="s">
        <v>521</v>
      </c>
      <c r="R71" s="57"/>
      <c r="S71" s="67" t="s">
        <v>69</v>
      </c>
      <c r="T71" s="121" t="s">
        <v>2240</v>
      </c>
      <c r="U71" s="68" t="s">
        <v>64</v>
      </c>
      <c r="V71" s="57"/>
      <c r="W71" s="68" t="s">
        <v>2241</v>
      </c>
      <c r="X71" s="57"/>
      <c r="Y71" s="68" t="s">
        <v>798</v>
      </c>
      <c r="Z71" s="68" t="s">
        <v>2242</v>
      </c>
      <c r="AA71" s="68" t="s">
        <v>2243</v>
      </c>
      <c r="AB71" s="68" t="s">
        <v>2244</v>
      </c>
      <c r="AC71" s="325">
        <v>91913.0</v>
      </c>
      <c r="AD71" s="57"/>
      <c r="AE71" s="57"/>
      <c r="AF71" s="127" t="s">
        <v>71</v>
      </c>
      <c r="AG71" s="57"/>
      <c r="AH71" s="121" t="s">
        <v>2133</v>
      </c>
      <c r="AI71" s="619" t="s">
        <v>1010</v>
      </c>
      <c r="AJ71" s="619" t="s">
        <v>2245</v>
      </c>
      <c r="AK71" s="57"/>
      <c r="AL71" s="45" t="str">
        <f t="shared" si="2"/>
        <v>0 Tahun 5 Bulan</v>
      </c>
      <c r="AM71" s="414">
        <v>45971.0</v>
      </c>
      <c r="AN71" s="415" t="s">
        <v>1567</v>
      </c>
      <c r="AO71" s="90" t="s">
        <v>2246</v>
      </c>
      <c r="AP71" s="67" t="s">
        <v>2135</v>
      </c>
      <c r="AQ71" s="57"/>
      <c r="AR71" s="57"/>
      <c r="AS71" s="57"/>
      <c r="AT71" s="57"/>
      <c r="AU71" s="57"/>
      <c r="AV71" s="57"/>
      <c r="AW71" s="45" t="str">
        <f t="shared" si="3"/>
        <v>#NUM!</v>
      </c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</row>
    <row r="72" ht="15.75" customHeight="1">
      <c r="A72" s="155">
        <v>190.0</v>
      </c>
      <c r="B72" s="155" t="s">
        <v>2322</v>
      </c>
      <c r="C72" s="155" t="s">
        <v>514</v>
      </c>
      <c r="D72" s="155" t="s">
        <v>923</v>
      </c>
      <c r="E72" s="155" t="s">
        <v>2323</v>
      </c>
      <c r="F72" s="136" t="s">
        <v>2324</v>
      </c>
      <c r="G72" s="155" t="s">
        <v>2325</v>
      </c>
      <c r="H72" s="155" t="s">
        <v>2205</v>
      </c>
      <c r="I72" s="155" t="s">
        <v>248</v>
      </c>
      <c r="K72" s="155" t="s">
        <v>2326</v>
      </c>
      <c r="L72" s="155" t="s">
        <v>98</v>
      </c>
      <c r="M72" s="136" t="s">
        <v>2327</v>
      </c>
      <c r="N72" s="136" t="s">
        <v>2328</v>
      </c>
      <c r="O72" s="155" t="s">
        <v>1043</v>
      </c>
      <c r="P72" s="136" t="s">
        <v>2329</v>
      </c>
      <c r="Q72" s="45" t="s">
        <v>521</v>
      </c>
      <c r="S72" s="155" t="s">
        <v>69</v>
      </c>
      <c r="T72" s="155" t="s">
        <v>2330</v>
      </c>
      <c r="U72" s="155" t="s">
        <v>203</v>
      </c>
      <c r="W72" s="155" t="s">
        <v>2331</v>
      </c>
      <c r="Y72" s="155" t="s">
        <v>53</v>
      </c>
      <c r="Z72" s="155" t="s">
        <v>203</v>
      </c>
      <c r="AA72" s="155" t="s">
        <v>2332</v>
      </c>
      <c r="AB72" s="155" t="s">
        <v>2333</v>
      </c>
      <c r="AC72" s="155">
        <v>62260.0</v>
      </c>
      <c r="AF72" s="155" t="s">
        <v>71</v>
      </c>
      <c r="AH72" s="155" t="s">
        <v>2133</v>
      </c>
      <c r="AI72" s="155" t="s">
        <v>1010</v>
      </c>
      <c r="AJ72" s="155" t="s">
        <v>2334</v>
      </c>
      <c r="AL72" s="45" t="s">
        <v>2762</v>
      </c>
      <c r="AM72" s="254">
        <v>45986.0</v>
      </c>
      <c r="AN72" s="254" t="s">
        <v>1484</v>
      </c>
      <c r="AO72" s="477" t="s">
        <v>1951</v>
      </c>
      <c r="AP72" s="45" t="s">
        <v>2135</v>
      </c>
      <c r="AW72" s="45" t="s">
        <v>2763</v>
      </c>
    </row>
    <row r="73" ht="15.75" customHeight="1">
      <c r="A73" s="155">
        <v>197.0</v>
      </c>
      <c r="B73" s="155" t="s">
        <v>2390</v>
      </c>
      <c r="C73" s="155" t="s">
        <v>84</v>
      </c>
      <c r="D73" s="155" t="s">
        <v>923</v>
      </c>
      <c r="E73" s="155" t="s">
        <v>2391</v>
      </c>
      <c r="F73" s="136" t="s">
        <v>2392</v>
      </c>
      <c r="G73" s="155" t="s">
        <v>2393</v>
      </c>
      <c r="H73" s="155" t="s">
        <v>2205</v>
      </c>
      <c r="I73" s="155" t="s">
        <v>248</v>
      </c>
      <c r="K73" s="155" t="s">
        <v>44</v>
      </c>
      <c r="L73" s="155" t="s">
        <v>98</v>
      </c>
      <c r="M73" s="155" t="s">
        <v>2394</v>
      </c>
      <c r="N73" s="136" t="s">
        <v>2395</v>
      </c>
      <c r="O73" s="155" t="s">
        <v>1742</v>
      </c>
      <c r="P73" s="155">
        <v>1.440022377805E12</v>
      </c>
      <c r="Q73" s="45" t="s">
        <v>521</v>
      </c>
      <c r="S73" s="155" t="s">
        <v>69</v>
      </c>
      <c r="T73" s="155" t="s">
        <v>2396</v>
      </c>
      <c r="U73" s="155" t="s">
        <v>2057</v>
      </c>
      <c r="W73" s="155" t="s">
        <v>2397</v>
      </c>
      <c r="Y73" s="155" t="s">
        <v>53</v>
      </c>
      <c r="Z73" s="155" t="s">
        <v>2057</v>
      </c>
      <c r="AA73" s="155" t="s">
        <v>2398</v>
      </c>
      <c r="AB73" s="155" t="s">
        <v>2399</v>
      </c>
      <c r="AC73" s="155">
        <v>65156.0</v>
      </c>
      <c r="AF73" s="155" t="s">
        <v>71</v>
      </c>
      <c r="AH73" s="155" t="s">
        <v>2133</v>
      </c>
      <c r="AI73" s="155" t="s">
        <v>1010</v>
      </c>
      <c r="AJ73" s="155" t="s">
        <v>1010</v>
      </c>
      <c r="AL73" s="45" t="s">
        <v>2763</v>
      </c>
      <c r="AM73" s="254">
        <v>46027.0</v>
      </c>
      <c r="AN73" s="254" t="s">
        <v>1648</v>
      </c>
      <c r="AO73" s="477" t="s">
        <v>2360</v>
      </c>
      <c r="AW73" s="45" t="s">
        <v>2759</v>
      </c>
    </row>
    <row r="74" ht="15.75" customHeight="1">
      <c r="A74" s="155">
        <v>185.0</v>
      </c>
      <c r="B74" s="155" t="s">
        <v>2271</v>
      </c>
      <c r="C74" s="155" t="s">
        <v>2183</v>
      </c>
      <c r="D74" s="155" t="s">
        <v>2184</v>
      </c>
      <c r="E74" s="155"/>
      <c r="F74" s="136" t="s">
        <v>2272</v>
      </c>
      <c r="G74" s="155" t="s">
        <v>2273</v>
      </c>
      <c r="H74" s="155" t="s">
        <v>2187</v>
      </c>
      <c r="I74" s="155" t="s">
        <v>248</v>
      </c>
      <c r="K74" s="155" t="s">
        <v>44</v>
      </c>
      <c r="L74" s="155" t="s">
        <v>98</v>
      </c>
      <c r="M74" s="136" t="s">
        <v>2274</v>
      </c>
      <c r="N74" s="136" t="s">
        <v>2275</v>
      </c>
      <c r="O74" s="155" t="s">
        <v>2276</v>
      </c>
      <c r="P74" s="136" t="s">
        <v>2277</v>
      </c>
      <c r="Q74" s="45" t="s">
        <v>521</v>
      </c>
      <c r="S74" s="155" t="s">
        <v>1958</v>
      </c>
      <c r="T74" s="155" t="s">
        <v>2278</v>
      </c>
      <c r="U74" s="155" t="s">
        <v>420</v>
      </c>
      <c r="W74" s="155" t="s">
        <v>2279</v>
      </c>
      <c r="Y74" s="155" t="s">
        <v>53</v>
      </c>
      <c r="Z74" s="155" t="s">
        <v>420</v>
      </c>
      <c r="AA74" s="155" t="s">
        <v>570</v>
      </c>
      <c r="AB74" s="155" t="s">
        <v>570</v>
      </c>
      <c r="AC74" s="155">
        <v>61177.0</v>
      </c>
      <c r="AF74" s="155" t="s">
        <v>71</v>
      </c>
      <c r="AH74" s="155" t="s">
        <v>2133</v>
      </c>
      <c r="AI74" s="155"/>
      <c r="AJ74" s="155"/>
      <c r="AL74" s="45" t="s">
        <v>2762</v>
      </c>
      <c r="AM74" s="254">
        <v>45978.0</v>
      </c>
      <c r="AN74" s="254" t="s">
        <v>1484</v>
      </c>
      <c r="AO74" s="477" t="s">
        <v>1648</v>
      </c>
      <c r="AP74" s="45" t="s">
        <v>2135</v>
      </c>
      <c r="AW74" s="45" t="s">
        <v>2762</v>
      </c>
    </row>
    <row r="75" ht="15.75" customHeight="1">
      <c r="A75" s="361">
        <v>193.0</v>
      </c>
      <c r="B75" s="67" t="s">
        <v>2349</v>
      </c>
      <c r="C75" s="154" t="s">
        <v>41</v>
      </c>
      <c r="D75" s="67" t="s">
        <v>923</v>
      </c>
      <c r="E75" s="382" t="s">
        <v>2350</v>
      </c>
      <c r="F75" s="180" t="s">
        <v>2351</v>
      </c>
      <c r="G75" s="117" t="s">
        <v>2352</v>
      </c>
      <c r="H75" s="68" t="s">
        <v>2353</v>
      </c>
      <c r="I75" s="68" t="s">
        <v>248</v>
      </c>
      <c r="J75" s="57"/>
      <c r="K75" s="67" t="s">
        <v>44</v>
      </c>
      <c r="L75" s="67" t="s">
        <v>98</v>
      </c>
      <c r="M75" s="68" t="s">
        <v>2354</v>
      </c>
      <c r="N75" s="180" t="s">
        <v>2355</v>
      </c>
      <c r="O75" s="67" t="s">
        <v>1043</v>
      </c>
      <c r="P75" s="260" t="s">
        <v>2356</v>
      </c>
      <c r="Q75" s="57" t="s">
        <v>521</v>
      </c>
      <c r="R75" s="57"/>
      <c r="S75" s="67" t="s">
        <v>69</v>
      </c>
      <c r="T75" s="121" t="s">
        <v>2357</v>
      </c>
      <c r="U75" s="68" t="s">
        <v>51</v>
      </c>
      <c r="V75" s="57"/>
      <c r="W75" s="68" t="s">
        <v>2358</v>
      </c>
      <c r="X75" s="57"/>
      <c r="Y75" s="68" t="s">
        <v>53</v>
      </c>
      <c r="Z75" s="68" t="s">
        <v>51</v>
      </c>
      <c r="AA75" s="68" t="s">
        <v>987</v>
      </c>
      <c r="AB75" s="68" t="s">
        <v>2359</v>
      </c>
      <c r="AC75" s="325">
        <v>60143.0</v>
      </c>
      <c r="AD75" s="57"/>
      <c r="AE75" s="57"/>
      <c r="AF75" s="127" t="s">
        <v>71</v>
      </c>
      <c r="AG75" s="57"/>
      <c r="AH75" s="121" t="s">
        <v>2133</v>
      </c>
      <c r="AI75" s="68" t="s">
        <v>1010</v>
      </c>
      <c r="AJ75" s="68" t="s">
        <v>1010</v>
      </c>
      <c r="AK75" s="57"/>
      <c r="AL75" s="45" t="s">
        <v>2763</v>
      </c>
      <c r="AM75" s="414">
        <v>46013.0</v>
      </c>
      <c r="AN75" s="620" t="s">
        <v>1648</v>
      </c>
      <c r="AO75" s="140" t="s">
        <v>2360</v>
      </c>
      <c r="AP75" s="57"/>
      <c r="AQ75" s="57"/>
      <c r="AR75" s="57"/>
      <c r="AS75" s="57"/>
      <c r="AT75" s="57"/>
      <c r="AU75" s="57"/>
      <c r="AV75" s="57"/>
      <c r="AW75" s="45" t="s">
        <v>2759</v>
      </c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</row>
    <row r="76" ht="15.75" customHeight="1">
      <c r="A76" s="361">
        <v>171.0</v>
      </c>
      <c r="B76" s="67" t="s">
        <v>2123</v>
      </c>
      <c r="C76" s="154" t="s">
        <v>84</v>
      </c>
      <c r="D76" s="67" t="s">
        <v>923</v>
      </c>
      <c r="E76" s="382" t="s">
        <v>2124</v>
      </c>
      <c r="F76" s="180" t="s">
        <v>2125</v>
      </c>
      <c r="G76" s="117" t="s">
        <v>2126</v>
      </c>
      <c r="H76" s="68" t="s">
        <v>954</v>
      </c>
      <c r="I76" s="68" t="s">
        <v>955</v>
      </c>
      <c r="J76" s="57"/>
      <c r="K76" s="67" t="s">
        <v>44</v>
      </c>
      <c r="L76" s="67" t="s">
        <v>98</v>
      </c>
      <c r="M76" s="68" t="s">
        <v>2127</v>
      </c>
      <c r="N76" s="68" t="s">
        <v>2128</v>
      </c>
      <c r="O76" s="67" t="s">
        <v>1742</v>
      </c>
      <c r="P76" s="65">
        <v>1.420024022807E12</v>
      </c>
      <c r="Q76" s="67" t="s">
        <v>521</v>
      </c>
      <c r="R76" s="57"/>
      <c r="S76" s="67" t="s">
        <v>1958</v>
      </c>
      <c r="T76" s="121" t="s">
        <v>2129</v>
      </c>
      <c r="U76" s="68" t="s">
        <v>548</v>
      </c>
      <c r="V76" s="57"/>
      <c r="W76" s="68" t="s">
        <v>2130</v>
      </c>
      <c r="X76" s="57"/>
      <c r="Y76" s="68" t="s">
        <v>53</v>
      </c>
      <c r="Z76" s="68" t="s">
        <v>238</v>
      </c>
      <c r="AA76" s="68" t="s">
        <v>2131</v>
      </c>
      <c r="AB76" s="68" t="s">
        <v>2132</v>
      </c>
      <c r="AC76" s="325">
        <v>61352.0</v>
      </c>
      <c r="AD76" s="57"/>
      <c r="AE76" s="57"/>
      <c r="AF76" s="127" t="s">
        <v>65</v>
      </c>
      <c r="AG76" s="57"/>
      <c r="AH76" s="121" t="s">
        <v>2133</v>
      </c>
      <c r="AI76" s="68">
        <v>2.6016016425E10</v>
      </c>
      <c r="AJ76" s="180" t="s">
        <v>2134</v>
      </c>
      <c r="AK76" s="57"/>
      <c r="AL76" s="45" t="str">
        <f>DATEDIF(AM76,NOW(),"y")&amp;" Tahun "&amp;DATEDIF(AM76,NOW(),"ym")&amp;" Bulan"</f>
        <v>0 Tahun 7 Bulan</v>
      </c>
      <c r="AM76" s="414">
        <v>45915.0</v>
      </c>
      <c r="AN76" s="415" t="s">
        <v>1662</v>
      </c>
      <c r="AO76" s="90" t="s">
        <v>1648</v>
      </c>
      <c r="AP76" s="67" t="s">
        <v>2135</v>
      </c>
      <c r="AQ76" s="57"/>
      <c r="AR76" s="57"/>
      <c r="AS76" s="57"/>
      <c r="AT76" s="57"/>
      <c r="AU76" s="57"/>
      <c r="AV76" s="57"/>
      <c r="AW76" s="45" t="str">
        <f>DATEDIF(AM76,$AW$2,"Y") &amp; " Tahun " &amp; DATEDIF(AM76,$AW$2,"YM") &amp; " Bulan"</f>
        <v>#NUM!</v>
      </c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</row>
    <row r="77" ht="15.75" customHeight="1">
      <c r="A77" s="155">
        <v>199.0</v>
      </c>
      <c r="B77" s="155" t="s">
        <v>2402</v>
      </c>
      <c r="C77" s="155" t="s">
        <v>498</v>
      </c>
      <c r="D77" s="155" t="s">
        <v>923</v>
      </c>
      <c r="E77" s="155" t="s">
        <v>2403</v>
      </c>
      <c r="F77" s="136" t="s">
        <v>2404</v>
      </c>
      <c r="G77" s="155" t="s">
        <v>2405</v>
      </c>
      <c r="H77" s="155" t="s">
        <v>1188</v>
      </c>
      <c r="I77" s="155" t="s">
        <v>591</v>
      </c>
      <c r="K77" s="155" t="s">
        <v>44</v>
      </c>
      <c r="L77" s="155" t="s">
        <v>98</v>
      </c>
      <c r="M77" s="136" t="s">
        <v>2406</v>
      </c>
      <c r="N77" s="136" t="s">
        <v>2407</v>
      </c>
      <c r="O77" s="155" t="s">
        <v>1043</v>
      </c>
      <c r="P77" s="136" t="s">
        <v>2408</v>
      </c>
      <c r="Q77" s="45" t="s">
        <v>2143</v>
      </c>
      <c r="S77" s="155" t="s">
        <v>1958</v>
      </c>
      <c r="T77" s="155">
        <v>36060.0</v>
      </c>
      <c r="U77" s="155" t="s">
        <v>51</v>
      </c>
      <c r="W77" s="155" t="s">
        <v>2409</v>
      </c>
      <c r="Y77" s="155" t="s">
        <v>53</v>
      </c>
      <c r="Z77" s="155" t="s">
        <v>51</v>
      </c>
      <c r="AA77" s="155" t="s">
        <v>253</v>
      </c>
      <c r="AB77" s="155" t="s">
        <v>254</v>
      </c>
      <c r="AC77" s="155">
        <v>60178.0</v>
      </c>
      <c r="AF77" s="155" t="s">
        <v>71</v>
      </c>
      <c r="AH77" s="155" t="s">
        <v>2133</v>
      </c>
      <c r="AI77" s="155" t="s">
        <v>1010</v>
      </c>
      <c r="AJ77" s="155" t="s">
        <v>1010</v>
      </c>
      <c r="AL77" s="45" t="s">
        <v>2759</v>
      </c>
      <c r="AM77" s="254">
        <v>46030.0</v>
      </c>
      <c r="AN77" s="254" t="s">
        <v>1648</v>
      </c>
      <c r="AO77" s="484" t="s">
        <v>2410</v>
      </c>
      <c r="AW77" s="45" t="s">
        <v>2759</v>
      </c>
    </row>
    <row r="78" ht="15.75" customHeight="1">
      <c r="AO78" s="477"/>
    </row>
    <row r="79" ht="15.75" customHeight="1">
      <c r="AO79" s="477"/>
    </row>
    <row r="80" ht="15.75" customHeight="1">
      <c r="AO80" s="477"/>
    </row>
    <row r="81" ht="15.75" customHeight="1">
      <c r="AO81" s="477"/>
    </row>
    <row r="82" ht="15.75" customHeight="1">
      <c r="AO82" s="477"/>
    </row>
    <row r="83" ht="15.75" customHeight="1">
      <c r="AO83" s="477"/>
    </row>
    <row r="84" ht="15.75" customHeight="1">
      <c r="AO84" s="477"/>
    </row>
    <row r="85" ht="15.75" customHeight="1">
      <c r="AO85" s="477"/>
    </row>
    <row r="86" ht="15.75" customHeight="1">
      <c r="AO86" s="477"/>
    </row>
    <row r="87" ht="15.75" customHeight="1">
      <c r="AO87" s="477"/>
    </row>
    <row r="88" ht="15.75" customHeight="1">
      <c r="AO88" s="477"/>
    </row>
    <row r="89" ht="15.75" customHeight="1">
      <c r="AO89" s="477"/>
    </row>
    <row r="90" ht="15.75" customHeight="1">
      <c r="AO90" s="477"/>
    </row>
    <row r="91" ht="15.75" customHeight="1">
      <c r="AO91" s="477"/>
    </row>
    <row r="92" ht="15.75" customHeight="1">
      <c r="AO92" s="477"/>
    </row>
    <row r="93" ht="15.75" customHeight="1">
      <c r="AO93" s="477"/>
    </row>
    <row r="94" ht="15.75" customHeight="1">
      <c r="AO94" s="477"/>
    </row>
    <row r="95" ht="15.75" customHeight="1">
      <c r="AO95" s="477"/>
    </row>
    <row r="96" ht="15.75" customHeight="1">
      <c r="AO96" s="477"/>
    </row>
    <row r="97" ht="15.75" customHeight="1">
      <c r="AO97" s="477"/>
    </row>
    <row r="98" ht="15.75" customHeight="1">
      <c r="AO98" s="477"/>
    </row>
    <row r="99" ht="15.75" customHeight="1">
      <c r="AO99" s="477"/>
    </row>
    <row r="100" ht="15.75" customHeight="1">
      <c r="AO100" s="477"/>
    </row>
    <row r="101" ht="15.75" customHeight="1">
      <c r="AO101" s="477"/>
    </row>
    <row r="102" ht="15.75" customHeight="1">
      <c r="AO102" s="477"/>
    </row>
    <row r="103" ht="15.75" customHeight="1">
      <c r="AO103" s="477"/>
    </row>
    <row r="104" ht="15.75" customHeight="1">
      <c r="AO104" s="477"/>
    </row>
    <row r="105" ht="15.75" customHeight="1">
      <c r="AO105" s="477"/>
    </row>
    <row r="106" ht="15.75" customHeight="1">
      <c r="AO106" s="477"/>
    </row>
    <row r="107" ht="15.75" customHeight="1">
      <c r="AO107" s="477"/>
    </row>
    <row r="108" ht="15.75" customHeight="1">
      <c r="AO108" s="477"/>
    </row>
    <row r="109" ht="15.75" customHeight="1">
      <c r="AO109" s="477"/>
    </row>
    <row r="110" ht="15.75" customHeight="1">
      <c r="AO110" s="477"/>
    </row>
    <row r="111" ht="15.75" customHeight="1">
      <c r="AO111" s="477"/>
    </row>
    <row r="112" ht="15.75" customHeight="1">
      <c r="AO112" s="477"/>
    </row>
    <row r="113" ht="15.75" customHeight="1">
      <c r="AO113" s="477"/>
    </row>
    <row r="114" ht="15.75" customHeight="1">
      <c r="AO114" s="477"/>
    </row>
    <row r="115" ht="15.75" customHeight="1">
      <c r="AO115" s="477"/>
    </row>
    <row r="116" ht="15.75" customHeight="1">
      <c r="AO116" s="477"/>
    </row>
    <row r="117" ht="15.75" customHeight="1">
      <c r="AO117" s="477"/>
    </row>
    <row r="118" ht="15.75" customHeight="1">
      <c r="AO118" s="477"/>
    </row>
    <row r="119" ht="15.75" customHeight="1">
      <c r="AO119" s="477"/>
    </row>
    <row r="120" ht="15.75" customHeight="1">
      <c r="AO120" s="477"/>
    </row>
    <row r="121" ht="15.75" customHeight="1">
      <c r="AO121" s="477"/>
    </row>
    <row r="122" ht="15.75" customHeight="1">
      <c r="AO122" s="477"/>
    </row>
    <row r="123" ht="15.75" customHeight="1">
      <c r="AO123" s="477"/>
    </row>
    <row r="124" ht="15.75" customHeight="1">
      <c r="AO124" s="477"/>
    </row>
    <row r="125" ht="15.75" customHeight="1">
      <c r="AO125" s="477"/>
    </row>
    <row r="126" ht="15.75" customHeight="1">
      <c r="AO126" s="477"/>
    </row>
    <row r="127" ht="15.75" customHeight="1">
      <c r="AO127" s="477"/>
    </row>
    <row r="128" ht="15.75" customHeight="1">
      <c r="AO128" s="477"/>
    </row>
    <row r="129" ht="15.75" customHeight="1">
      <c r="AO129" s="477"/>
    </row>
    <row r="130" ht="15.75" customHeight="1">
      <c r="AO130" s="477"/>
    </row>
    <row r="131" ht="15.75" customHeight="1">
      <c r="AO131" s="477"/>
    </row>
    <row r="132" ht="15.75" customHeight="1">
      <c r="AO132" s="477"/>
    </row>
    <row r="133" ht="15.75" customHeight="1">
      <c r="AO133" s="477"/>
    </row>
    <row r="134" ht="15.75" customHeight="1">
      <c r="AO134" s="477"/>
    </row>
    <row r="135" ht="15.75" customHeight="1">
      <c r="AO135" s="477"/>
    </row>
    <row r="136" ht="15.75" customHeight="1">
      <c r="AO136" s="477"/>
    </row>
    <row r="137" ht="15.75" customHeight="1">
      <c r="AO137" s="477"/>
    </row>
    <row r="138" ht="15.75" customHeight="1">
      <c r="AO138" s="477"/>
    </row>
    <row r="139" ht="15.75" customHeight="1">
      <c r="AO139" s="477"/>
    </row>
    <row r="140" ht="15.75" customHeight="1">
      <c r="AO140" s="477"/>
    </row>
    <row r="141" ht="15.75" customHeight="1">
      <c r="AO141" s="477"/>
    </row>
    <row r="142" ht="15.75" customHeight="1">
      <c r="AO142" s="477"/>
    </row>
    <row r="143" ht="15.75" customHeight="1">
      <c r="AO143" s="477"/>
    </row>
    <row r="144" ht="15.75" customHeight="1">
      <c r="AO144" s="477"/>
    </row>
    <row r="145" ht="15.75" customHeight="1">
      <c r="AO145" s="477"/>
    </row>
    <row r="146" ht="15.75" customHeight="1">
      <c r="AO146" s="477"/>
    </row>
    <row r="147" ht="15.75" customHeight="1">
      <c r="AO147" s="477"/>
    </row>
    <row r="148" ht="15.75" customHeight="1">
      <c r="AO148" s="477"/>
    </row>
    <row r="149" ht="15.75" customHeight="1">
      <c r="AO149" s="477"/>
    </row>
    <row r="150" ht="15.75" customHeight="1">
      <c r="AO150" s="477"/>
    </row>
    <row r="151" ht="15.75" customHeight="1">
      <c r="AO151" s="477"/>
    </row>
    <row r="152" ht="15.75" customHeight="1">
      <c r="AO152" s="477"/>
    </row>
    <row r="153" ht="15.75" customHeight="1">
      <c r="AO153" s="477"/>
    </row>
    <row r="154" ht="15.75" customHeight="1">
      <c r="AO154" s="477"/>
    </row>
    <row r="155" ht="15.75" customHeight="1">
      <c r="AO155" s="477"/>
    </row>
    <row r="156" ht="15.75" customHeight="1">
      <c r="AO156" s="477"/>
    </row>
    <row r="157" ht="15.75" customHeight="1">
      <c r="AO157" s="477"/>
    </row>
    <row r="158" ht="15.75" customHeight="1">
      <c r="AO158" s="477"/>
    </row>
    <row r="159" ht="15.75" customHeight="1">
      <c r="AO159" s="477"/>
    </row>
    <row r="160" ht="15.75" customHeight="1">
      <c r="AO160" s="477"/>
    </row>
    <row r="161" ht="15.75" customHeight="1">
      <c r="AO161" s="477"/>
    </row>
    <row r="162" ht="15.75" customHeight="1">
      <c r="AO162" s="477"/>
    </row>
    <row r="163" ht="15.75" customHeight="1">
      <c r="AO163" s="477"/>
    </row>
    <row r="164" ht="15.75" customHeight="1">
      <c r="AO164" s="477"/>
    </row>
    <row r="165" ht="15.75" customHeight="1">
      <c r="AO165" s="477"/>
    </row>
    <row r="166" ht="15.75" customHeight="1">
      <c r="AO166" s="477"/>
    </row>
    <row r="167" ht="15.75" customHeight="1">
      <c r="AO167" s="477"/>
    </row>
    <row r="168" ht="15.75" customHeight="1">
      <c r="AO168" s="477"/>
    </row>
    <row r="169" ht="15.75" customHeight="1">
      <c r="AO169" s="477"/>
    </row>
    <row r="170" ht="15.75" customHeight="1">
      <c r="AO170" s="477"/>
    </row>
    <row r="171" ht="15.75" customHeight="1">
      <c r="AO171" s="477"/>
    </row>
    <row r="172" ht="15.75" customHeight="1">
      <c r="AO172" s="477"/>
    </row>
    <row r="173" ht="15.75" customHeight="1">
      <c r="AO173" s="477"/>
    </row>
    <row r="174" ht="15.75" customHeight="1">
      <c r="AO174" s="477"/>
    </row>
    <row r="175" ht="15.75" customHeight="1">
      <c r="AO175" s="477"/>
    </row>
    <row r="176" ht="15.75" customHeight="1">
      <c r="AO176" s="477"/>
    </row>
    <row r="177" ht="15.75" customHeight="1">
      <c r="AO177" s="477"/>
    </row>
    <row r="178" ht="15.75" customHeight="1">
      <c r="AO178" s="477"/>
    </row>
    <row r="179" ht="15.75" customHeight="1">
      <c r="AO179" s="477"/>
    </row>
    <row r="180" ht="15.75" customHeight="1">
      <c r="AO180" s="477"/>
    </row>
    <row r="181" ht="15.75" customHeight="1">
      <c r="AO181" s="477"/>
    </row>
    <row r="182" ht="15.75" customHeight="1">
      <c r="AO182" s="477"/>
    </row>
    <row r="183" ht="15.75" customHeight="1">
      <c r="AO183" s="477"/>
    </row>
    <row r="184" ht="15.75" customHeight="1">
      <c r="AO184" s="477"/>
    </row>
    <row r="185" ht="15.75" customHeight="1">
      <c r="AO185" s="477"/>
    </row>
    <row r="186" ht="15.75" customHeight="1">
      <c r="AO186" s="477"/>
    </row>
    <row r="187" ht="15.75" customHeight="1">
      <c r="AO187" s="477"/>
    </row>
    <row r="188" ht="15.75" customHeight="1">
      <c r="AO188" s="477"/>
    </row>
    <row r="189" ht="15.75" customHeight="1">
      <c r="AO189" s="477"/>
    </row>
    <row r="190" ht="15.75" customHeight="1">
      <c r="AO190" s="477"/>
    </row>
    <row r="191" ht="15.75" customHeight="1">
      <c r="AO191" s="477"/>
    </row>
    <row r="192" ht="15.75" customHeight="1">
      <c r="AO192" s="477"/>
    </row>
    <row r="193" ht="15.75" customHeight="1">
      <c r="AO193" s="477"/>
    </row>
    <row r="194" ht="15.75" customHeight="1">
      <c r="AO194" s="477"/>
    </row>
    <row r="195" ht="15.75" customHeight="1">
      <c r="AO195" s="477"/>
    </row>
    <row r="196" ht="15.75" customHeight="1">
      <c r="AO196" s="477"/>
    </row>
    <row r="197" ht="15.75" customHeight="1">
      <c r="AO197" s="477"/>
    </row>
    <row r="198" ht="15.75" customHeight="1">
      <c r="AO198" s="477"/>
    </row>
    <row r="199" ht="15.75" customHeight="1">
      <c r="AO199" s="477"/>
    </row>
    <row r="200" ht="15.75" customHeight="1">
      <c r="AO200" s="477"/>
    </row>
    <row r="201" ht="15.75" customHeight="1">
      <c r="AO201" s="477"/>
    </row>
    <row r="202" ht="15.75" customHeight="1">
      <c r="AO202" s="477"/>
    </row>
    <row r="203" ht="15.75" customHeight="1">
      <c r="AO203" s="477"/>
    </row>
    <row r="204" ht="15.75" customHeight="1">
      <c r="AO204" s="477"/>
    </row>
    <row r="205" ht="15.75" customHeight="1">
      <c r="AO205" s="477"/>
    </row>
    <row r="206" ht="15.75" customHeight="1">
      <c r="AO206" s="477"/>
    </row>
    <row r="207" ht="15.75" customHeight="1">
      <c r="AO207" s="477"/>
    </row>
    <row r="208" ht="15.75" customHeight="1">
      <c r="AO208" s="477"/>
    </row>
    <row r="209" ht="15.75" customHeight="1">
      <c r="AO209" s="477"/>
    </row>
    <row r="210" ht="15.75" customHeight="1">
      <c r="AO210" s="477"/>
    </row>
    <row r="211" ht="15.75" customHeight="1">
      <c r="AO211" s="477"/>
    </row>
    <row r="212" ht="15.75" customHeight="1">
      <c r="AO212" s="477"/>
    </row>
    <row r="213" ht="15.75" customHeight="1">
      <c r="AO213" s="477"/>
    </row>
    <row r="214" ht="15.75" customHeight="1">
      <c r="AO214" s="477"/>
    </row>
    <row r="215" ht="15.75" customHeight="1">
      <c r="AO215" s="477"/>
    </row>
    <row r="216" ht="15.75" customHeight="1">
      <c r="AO216" s="477"/>
    </row>
    <row r="217" ht="15.75" customHeight="1">
      <c r="AO217" s="477"/>
    </row>
    <row r="218" ht="15.75" customHeight="1">
      <c r="AO218" s="477"/>
    </row>
    <row r="219" ht="15.75" customHeight="1">
      <c r="AO219" s="477"/>
    </row>
    <row r="220" ht="15.75" customHeight="1">
      <c r="AO220" s="477"/>
    </row>
    <row r="221" ht="15.75" customHeight="1">
      <c r="AO221" s="477"/>
    </row>
    <row r="222" ht="15.75" customHeight="1">
      <c r="AO222" s="477"/>
    </row>
    <row r="223" ht="15.75" customHeight="1">
      <c r="AO223" s="477"/>
    </row>
    <row r="224" ht="15.75" customHeight="1">
      <c r="AO224" s="477"/>
    </row>
    <row r="225" ht="15.75" customHeight="1">
      <c r="AO225" s="477"/>
    </row>
    <row r="226" ht="15.75" customHeight="1">
      <c r="AO226" s="477"/>
    </row>
    <row r="227" ht="15.75" customHeight="1">
      <c r="AO227" s="477"/>
    </row>
    <row r="228" ht="15.75" customHeight="1">
      <c r="AO228" s="477"/>
    </row>
    <row r="229" ht="15.75" customHeight="1">
      <c r="AO229" s="477"/>
    </row>
    <row r="230" ht="15.75" customHeight="1">
      <c r="AO230" s="477"/>
    </row>
    <row r="231" ht="15.75" customHeight="1">
      <c r="AO231" s="477"/>
    </row>
    <row r="232" ht="15.75" customHeight="1">
      <c r="AO232" s="477"/>
    </row>
    <row r="233" ht="15.75" customHeight="1">
      <c r="AO233" s="477"/>
    </row>
    <row r="234" ht="15.75" customHeight="1">
      <c r="AO234" s="477"/>
    </row>
    <row r="235" ht="15.75" customHeight="1">
      <c r="AO235" s="477"/>
    </row>
    <row r="236" ht="15.75" customHeight="1">
      <c r="AO236" s="477"/>
    </row>
    <row r="237" ht="15.75" customHeight="1">
      <c r="AO237" s="477"/>
    </row>
    <row r="238" ht="15.75" customHeight="1">
      <c r="AO238" s="477"/>
    </row>
    <row r="239" ht="15.75" customHeight="1">
      <c r="AO239" s="477"/>
    </row>
    <row r="240" ht="15.75" customHeight="1">
      <c r="AO240" s="477"/>
    </row>
    <row r="241" ht="15.75" customHeight="1">
      <c r="AO241" s="477"/>
    </row>
    <row r="242" ht="15.75" customHeight="1">
      <c r="AO242" s="477"/>
    </row>
    <row r="243" ht="15.75" customHeight="1">
      <c r="AO243" s="477"/>
    </row>
    <row r="244" ht="15.75" customHeight="1">
      <c r="AO244" s="477"/>
    </row>
    <row r="245" ht="15.75" customHeight="1">
      <c r="AO245" s="477"/>
    </row>
    <row r="246" ht="15.75" customHeight="1">
      <c r="AO246" s="477"/>
    </row>
    <row r="247" ht="15.75" customHeight="1">
      <c r="AO247" s="477"/>
    </row>
    <row r="248" ht="15.75" customHeight="1">
      <c r="AO248" s="477"/>
    </row>
    <row r="249" ht="15.75" customHeight="1">
      <c r="AO249" s="477"/>
    </row>
    <row r="250" ht="15.75" customHeight="1">
      <c r="AO250" s="477"/>
    </row>
    <row r="251" ht="15.75" customHeight="1">
      <c r="AO251" s="477"/>
    </row>
    <row r="252" ht="15.75" customHeight="1">
      <c r="AO252" s="477"/>
    </row>
    <row r="253" ht="15.75" customHeight="1">
      <c r="AO253" s="477"/>
    </row>
    <row r="254" ht="15.75" customHeight="1">
      <c r="AO254" s="477"/>
    </row>
    <row r="255" ht="15.75" customHeight="1">
      <c r="AO255" s="477"/>
    </row>
    <row r="256" ht="15.75" customHeight="1">
      <c r="AO256" s="477"/>
    </row>
    <row r="257" ht="15.75" customHeight="1">
      <c r="AO257" s="477"/>
    </row>
    <row r="258" ht="15.75" customHeight="1">
      <c r="AO258" s="477"/>
    </row>
    <row r="259" ht="15.75" customHeight="1">
      <c r="AO259" s="477"/>
    </row>
    <row r="260" ht="15.75" customHeight="1">
      <c r="AO260" s="477"/>
    </row>
    <row r="261" ht="15.75" customHeight="1">
      <c r="AO261" s="477"/>
    </row>
    <row r="262" ht="15.75" customHeight="1">
      <c r="AO262" s="477"/>
    </row>
    <row r="263" ht="15.75" customHeight="1">
      <c r="AO263" s="477"/>
    </row>
    <row r="264" ht="15.75" customHeight="1">
      <c r="AO264" s="477"/>
    </row>
    <row r="265" ht="15.75" customHeight="1">
      <c r="AO265" s="477"/>
    </row>
    <row r="266" ht="15.75" customHeight="1">
      <c r="AO266" s="477"/>
    </row>
    <row r="267" ht="15.75" customHeight="1">
      <c r="AO267" s="477"/>
    </row>
    <row r="268" ht="15.75" customHeight="1">
      <c r="AO268" s="477"/>
    </row>
    <row r="269" ht="15.75" customHeight="1">
      <c r="AO269" s="477"/>
    </row>
    <row r="270" ht="15.75" customHeight="1">
      <c r="AO270" s="477"/>
    </row>
    <row r="271" ht="15.75" customHeight="1">
      <c r="AO271" s="477"/>
    </row>
    <row r="272" ht="15.75" customHeight="1">
      <c r="AO272" s="477"/>
    </row>
    <row r="273" ht="15.75" customHeight="1">
      <c r="AO273" s="477"/>
    </row>
    <row r="274" ht="15.75" customHeight="1">
      <c r="AO274" s="477"/>
    </row>
    <row r="275" ht="15.75" customHeight="1">
      <c r="AO275" s="477"/>
    </row>
    <row r="276" ht="15.75" customHeight="1">
      <c r="AO276" s="477"/>
    </row>
    <row r="277" ht="15.75" customHeight="1">
      <c r="AO277" s="477"/>
    </row>
    <row r="278" ht="15.75" customHeight="1">
      <c r="AO278" s="477"/>
    </row>
    <row r="279" ht="15.75" customHeight="1">
      <c r="AO279" s="477"/>
    </row>
    <row r="280" ht="15.75" customHeight="1">
      <c r="AO280" s="477"/>
    </row>
    <row r="281" ht="15.75" customHeight="1">
      <c r="AO281" s="477"/>
    </row>
    <row r="282" ht="15.75" customHeight="1">
      <c r="AO282" s="477"/>
    </row>
    <row r="283" ht="15.75" customHeight="1">
      <c r="AO283" s="477"/>
    </row>
    <row r="284" ht="15.75" customHeight="1">
      <c r="AO284" s="477"/>
    </row>
    <row r="285" ht="15.75" customHeight="1">
      <c r="AO285" s="477"/>
    </row>
    <row r="286" ht="15.75" customHeight="1">
      <c r="AO286" s="477"/>
    </row>
    <row r="287" ht="15.75" customHeight="1">
      <c r="AO287" s="477"/>
    </row>
    <row r="288" ht="15.75" customHeight="1">
      <c r="AO288" s="477"/>
    </row>
    <row r="289" ht="15.75" customHeight="1">
      <c r="AO289" s="477"/>
    </row>
    <row r="290" ht="15.75" customHeight="1">
      <c r="AO290" s="477"/>
    </row>
    <row r="291" ht="15.75" customHeight="1">
      <c r="AO291" s="477"/>
    </row>
    <row r="292" ht="15.75" customHeight="1">
      <c r="AO292" s="477"/>
    </row>
    <row r="293" ht="15.75" customHeight="1">
      <c r="AO293" s="477"/>
    </row>
    <row r="294" ht="15.75" customHeight="1">
      <c r="AO294" s="477"/>
    </row>
    <row r="295" ht="15.75" customHeight="1">
      <c r="AO295" s="477"/>
    </row>
    <row r="296" ht="15.75" customHeight="1">
      <c r="AO296" s="477"/>
    </row>
    <row r="297" ht="15.75" customHeight="1">
      <c r="AO297" s="477"/>
    </row>
    <row r="298" ht="15.75" customHeight="1">
      <c r="AO298" s="477"/>
    </row>
    <row r="299" ht="15.75" customHeight="1">
      <c r="AO299" s="477"/>
    </row>
    <row r="300" ht="15.75" customHeight="1">
      <c r="AO300" s="477"/>
    </row>
    <row r="301" ht="15.75" customHeight="1">
      <c r="AO301" s="477"/>
    </row>
    <row r="302" ht="15.75" customHeight="1">
      <c r="AO302" s="477"/>
    </row>
    <row r="303" ht="15.75" customHeight="1">
      <c r="AO303" s="477"/>
    </row>
    <row r="304" ht="15.75" customHeight="1">
      <c r="AO304" s="477"/>
    </row>
    <row r="305" ht="15.75" customHeight="1">
      <c r="AO305" s="477"/>
    </row>
    <row r="306" ht="15.75" customHeight="1">
      <c r="AO306" s="477"/>
    </row>
    <row r="307" ht="15.75" customHeight="1">
      <c r="AO307" s="477"/>
    </row>
    <row r="308" ht="15.75" customHeight="1">
      <c r="AO308" s="477"/>
    </row>
    <row r="309" ht="15.75" customHeight="1">
      <c r="AO309" s="477"/>
    </row>
    <row r="310" ht="15.75" customHeight="1">
      <c r="AO310" s="477"/>
    </row>
    <row r="311" ht="15.75" customHeight="1">
      <c r="AO311" s="477"/>
    </row>
    <row r="312" ht="15.75" customHeight="1">
      <c r="AO312" s="477"/>
    </row>
    <row r="313" ht="15.75" customHeight="1">
      <c r="AO313" s="477"/>
    </row>
    <row r="314" ht="15.75" customHeight="1">
      <c r="AO314" s="477"/>
    </row>
    <row r="315" ht="15.75" customHeight="1">
      <c r="AO315" s="477"/>
    </row>
    <row r="316" ht="15.75" customHeight="1">
      <c r="AO316" s="477"/>
    </row>
    <row r="317" ht="15.75" customHeight="1">
      <c r="AO317" s="477"/>
    </row>
    <row r="318" ht="15.75" customHeight="1">
      <c r="AO318" s="477"/>
    </row>
    <row r="319" ht="15.75" customHeight="1">
      <c r="AO319" s="477"/>
    </row>
    <row r="320" ht="15.75" customHeight="1">
      <c r="AO320" s="477"/>
    </row>
    <row r="321" ht="15.75" customHeight="1">
      <c r="AO321" s="477"/>
    </row>
    <row r="322" ht="15.75" customHeight="1">
      <c r="AO322" s="477"/>
    </row>
    <row r="323" ht="15.75" customHeight="1">
      <c r="AO323" s="477"/>
    </row>
    <row r="324" ht="15.75" customHeight="1">
      <c r="AO324" s="477"/>
    </row>
    <row r="325" ht="15.75" customHeight="1">
      <c r="AO325" s="477"/>
    </row>
    <row r="326" ht="15.75" customHeight="1">
      <c r="AO326" s="477"/>
    </row>
    <row r="327" ht="15.75" customHeight="1">
      <c r="AO327" s="477"/>
    </row>
    <row r="328" ht="15.75" customHeight="1">
      <c r="AO328" s="477"/>
    </row>
    <row r="329" ht="15.75" customHeight="1">
      <c r="AO329" s="477"/>
    </row>
    <row r="330" ht="15.75" customHeight="1">
      <c r="AO330" s="477"/>
    </row>
    <row r="331" ht="15.75" customHeight="1">
      <c r="AO331" s="477"/>
    </row>
    <row r="332" ht="15.75" customHeight="1">
      <c r="AO332" s="477"/>
    </row>
    <row r="333" ht="15.75" customHeight="1">
      <c r="AO333" s="477"/>
    </row>
    <row r="334" ht="15.75" customHeight="1">
      <c r="AO334" s="477"/>
    </row>
    <row r="335" ht="15.75" customHeight="1">
      <c r="AO335" s="477"/>
    </row>
    <row r="336" ht="15.75" customHeight="1">
      <c r="AO336" s="477"/>
    </row>
    <row r="337" ht="15.75" customHeight="1">
      <c r="AO337" s="477"/>
    </row>
    <row r="338" ht="15.75" customHeight="1">
      <c r="AO338" s="477"/>
    </row>
    <row r="339" ht="15.75" customHeight="1">
      <c r="AO339" s="477"/>
    </row>
    <row r="340" ht="15.75" customHeight="1">
      <c r="AO340" s="477"/>
    </row>
    <row r="341" ht="15.75" customHeight="1">
      <c r="AO341" s="477"/>
    </row>
    <row r="342" ht="15.75" customHeight="1">
      <c r="AO342" s="477"/>
    </row>
    <row r="343" ht="15.75" customHeight="1">
      <c r="AO343" s="477"/>
    </row>
    <row r="344" ht="15.75" customHeight="1">
      <c r="AO344" s="477"/>
    </row>
    <row r="345" ht="15.75" customHeight="1">
      <c r="AO345" s="477"/>
    </row>
    <row r="346" ht="15.75" customHeight="1">
      <c r="AO346" s="477"/>
    </row>
    <row r="347" ht="15.75" customHeight="1">
      <c r="AO347" s="477"/>
    </row>
    <row r="348" ht="15.75" customHeight="1">
      <c r="AO348" s="477"/>
    </row>
    <row r="349" ht="15.75" customHeight="1">
      <c r="AO349" s="477"/>
    </row>
    <row r="350" ht="15.75" customHeight="1">
      <c r="AO350" s="477"/>
    </row>
    <row r="351" ht="15.75" customHeight="1">
      <c r="AO351" s="477"/>
    </row>
    <row r="352" ht="15.75" customHeight="1">
      <c r="AO352" s="477"/>
    </row>
    <row r="353" ht="15.75" customHeight="1">
      <c r="AO353" s="477"/>
    </row>
    <row r="354" ht="15.75" customHeight="1">
      <c r="AO354" s="477"/>
    </row>
    <row r="355" ht="15.75" customHeight="1">
      <c r="AO355" s="477"/>
    </row>
    <row r="356" ht="15.75" customHeight="1">
      <c r="AO356" s="477"/>
    </row>
    <row r="357" ht="15.75" customHeight="1">
      <c r="AO357" s="477"/>
    </row>
    <row r="358" ht="15.75" customHeight="1">
      <c r="AO358" s="477"/>
    </row>
    <row r="359" ht="15.75" customHeight="1">
      <c r="AO359" s="477"/>
    </row>
    <row r="360" ht="15.75" customHeight="1">
      <c r="AO360" s="477"/>
    </row>
    <row r="361" ht="15.75" customHeight="1">
      <c r="AO361" s="477"/>
    </row>
    <row r="362" ht="15.75" customHeight="1">
      <c r="AO362" s="477"/>
    </row>
    <row r="363" ht="15.75" customHeight="1">
      <c r="AO363" s="477"/>
    </row>
    <row r="364" ht="15.75" customHeight="1">
      <c r="AO364" s="477"/>
    </row>
    <row r="365" ht="15.75" customHeight="1">
      <c r="AO365" s="477"/>
    </row>
    <row r="366" ht="15.75" customHeight="1">
      <c r="AO366" s="477"/>
    </row>
    <row r="367" ht="15.75" customHeight="1">
      <c r="AO367" s="477"/>
    </row>
    <row r="368" ht="15.75" customHeight="1">
      <c r="AO368" s="477"/>
    </row>
    <row r="369" ht="15.75" customHeight="1">
      <c r="AO369" s="477"/>
    </row>
    <row r="370" ht="15.75" customHeight="1">
      <c r="AO370" s="477"/>
    </row>
    <row r="371" ht="15.75" customHeight="1">
      <c r="AO371" s="477"/>
    </row>
    <row r="372" ht="15.75" customHeight="1">
      <c r="AO372" s="477"/>
    </row>
    <row r="373" ht="15.75" customHeight="1">
      <c r="AO373" s="477"/>
    </row>
    <row r="374" ht="15.75" customHeight="1">
      <c r="AO374" s="477"/>
    </row>
    <row r="375" ht="15.75" customHeight="1">
      <c r="AO375" s="477"/>
    </row>
    <row r="376" ht="15.75" customHeight="1">
      <c r="AO376" s="477"/>
    </row>
    <row r="377" ht="15.75" customHeight="1">
      <c r="AO377" s="477"/>
    </row>
    <row r="378" ht="15.75" customHeight="1">
      <c r="AO378" s="477"/>
    </row>
    <row r="379" ht="15.75" customHeight="1">
      <c r="AO379" s="477"/>
    </row>
    <row r="380" ht="15.75" customHeight="1">
      <c r="AO380" s="477"/>
    </row>
    <row r="381" ht="15.75" customHeight="1">
      <c r="AO381" s="477"/>
    </row>
    <row r="382" ht="15.75" customHeight="1">
      <c r="AO382" s="477"/>
    </row>
    <row r="383" ht="15.75" customHeight="1">
      <c r="AO383" s="477"/>
    </row>
    <row r="384" ht="15.75" customHeight="1">
      <c r="AO384" s="477"/>
    </row>
    <row r="385" ht="15.75" customHeight="1">
      <c r="AO385" s="477"/>
    </row>
    <row r="386" ht="15.75" customHeight="1">
      <c r="AO386" s="477"/>
    </row>
    <row r="387" ht="15.75" customHeight="1">
      <c r="AO387" s="477"/>
    </row>
    <row r="388" ht="15.75" customHeight="1">
      <c r="AO388" s="477"/>
    </row>
    <row r="389" ht="15.75" customHeight="1">
      <c r="AO389" s="477"/>
    </row>
    <row r="390" ht="15.75" customHeight="1">
      <c r="AO390" s="477"/>
    </row>
    <row r="391" ht="15.75" customHeight="1">
      <c r="AO391" s="477"/>
    </row>
    <row r="392" ht="15.75" customHeight="1">
      <c r="AO392" s="477"/>
    </row>
    <row r="393" ht="15.75" customHeight="1">
      <c r="AO393" s="477"/>
    </row>
    <row r="394" ht="15.75" customHeight="1">
      <c r="AO394" s="477"/>
    </row>
    <row r="395" ht="15.75" customHeight="1">
      <c r="AO395" s="477"/>
    </row>
    <row r="396" ht="15.75" customHeight="1">
      <c r="AO396" s="477"/>
    </row>
    <row r="397" ht="15.75" customHeight="1">
      <c r="AO397" s="477"/>
    </row>
    <row r="398" ht="15.75" customHeight="1">
      <c r="AO398" s="477"/>
    </row>
    <row r="399" ht="15.75" customHeight="1">
      <c r="AO399" s="477"/>
    </row>
    <row r="400" ht="15.75" customHeight="1">
      <c r="AO400" s="477"/>
    </row>
    <row r="401" ht="15.75" customHeight="1">
      <c r="AO401" s="477"/>
    </row>
    <row r="402" ht="15.75" customHeight="1">
      <c r="AO402" s="477"/>
    </row>
    <row r="403" ht="15.75" customHeight="1">
      <c r="AO403" s="477"/>
    </row>
    <row r="404" ht="15.75" customHeight="1">
      <c r="AO404" s="477"/>
    </row>
    <row r="405" ht="15.75" customHeight="1">
      <c r="AO405" s="477"/>
    </row>
    <row r="406" ht="15.75" customHeight="1">
      <c r="AO406" s="477"/>
    </row>
    <row r="407" ht="15.75" customHeight="1">
      <c r="AO407" s="477"/>
    </row>
    <row r="408" ht="15.75" customHeight="1">
      <c r="AO408" s="477"/>
    </row>
    <row r="409" ht="15.75" customHeight="1">
      <c r="AO409" s="477"/>
    </row>
    <row r="410" ht="15.75" customHeight="1">
      <c r="AO410" s="477"/>
    </row>
    <row r="411" ht="15.75" customHeight="1">
      <c r="AO411" s="477"/>
    </row>
    <row r="412" ht="15.75" customHeight="1">
      <c r="AO412" s="477"/>
    </row>
    <row r="413" ht="15.75" customHeight="1">
      <c r="AO413" s="477"/>
    </row>
    <row r="414" ht="15.75" customHeight="1">
      <c r="AO414" s="477"/>
    </row>
    <row r="415" ht="15.75" customHeight="1">
      <c r="AO415" s="477"/>
    </row>
    <row r="416" ht="15.75" customHeight="1">
      <c r="AO416" s="477"/>
    </row>
    <row r="417" ht="15.75" customHeight="1">
      <c r="AO417" s="477"/>
    </row>
    <row r="418" ht="15.75" customHeight="1">
      <c r="AO418" s="477"/>
    </row>
    <row r="419" ht="15.75" customHeight="1">
      <c r="AO419" s="477"/>
    </row>
    <row r="420" ht="15.75" customHeight="1">
      <c r="AO420" s="477"/>
    </row>
    <row r="421" ht="15.75" customHeight="1">
      <c r="AO421" s="477"/>
    </row>
    <row r="422" ht="15.75" customHeight="1">
      <c r="AO422" s="477"/>
    </row>
    <row r="423" ht="15.75" customHeight="1">
      <c r="AO423" s="477"/>
    </row>
    <row r="424" ht="15.75" customHeight="1">
      <c r="AO424" s="477"/>
    </row>
    <row r="425" ht="15.75" customHeight="1">
      <c r="AO425" s="477"/>
    </row>
    <row r="426" ht="15.75" customHeight="1">
      <c r="AO426" s="477"/>
    </row>
    <row r="427" ht="15.75" customHeight="1">
      <c r="AO427" s="477"/>
    </row>
    <row r="428" ht="15.75" customHeight="1">
      <c r="AO428" s="477"/>
    </row>
    <row r="429" ht="15.75" customHeight="1">
      <c r="AO429" s="477"/>
    </row>
    <row r="430" ht="15.75" customHeight="1">
      <c r="AO430" s="477"/>
    </row>
    <row r="431" ht="15.75" customHeight="1">
      <c r="AO431" s="477"/>
    </row>
    <row r="432" ht="15.75" customHeight="1">
      <c r="AO432" s="477"/>
    </row>
    <row r="433" ht="15.75" customHeight="1">
      <c r="AO433" s="477"/>
    </row>
    <row r="434" ht="15.75" customHeight="1">
      <c r="AO434" s="477"/>
    </row>
    <row r="435" ht="15.75" customHeight="1">
      <c r="AO435" s="477"/>
    </row>
    <row r="436" ht="15.75" customHeight="1">
      <c r="AO436" s="477"/>
    </row>
    <row r="437" ht="15.75" customHeight="1">
      <c r="AO437" s="477"/>
    </row>
    <row r="438" ht="15.75" customHeight="1">
      <c r="AO438" s="477"/>
    </row>
    <row r="439" ht="15.75" customHeight="1">
      <c r="AO439" s="477"/>
    </row>
    <row r="440" ht="15.75" customHeight="1">
      <c r="AO440" s="477"/>
    </row>
    <row r="441" ht="15.75" customHeight="1">
      <c r="AO441" s="477"/>
    </row>
    <row r="442" ht="15.75" customHeight="1">
      <c r="AO442" s="477"/>
    </row>
    <row r="443" ht="15.75" customHeight="1">
      <c r="AO443" s="477"/>
    </row>
    <row r="444" ht="15.75" customHeight="1">
      <c r="AO444" s="477"/>
    </row>
    <row r="445" ht="15.75" customHeight="1">
      <c r="AO445" s="477"/>
    </row>
    <row r="446" ht="15.75" customHeight="1">
      <c r="AO446" s="477"/>
    </row>
    <row r="447" ht="15.75" customHeight="1">
      <c r="AO447" s="477"/>
    </row>
    <row r="448" ht="15.75" customHeight="1">
      <c r="AO448" s="477"/>
    </row>
    <row r="449" ht="15.75" customHeight="1">
      <c r="AO449" s="477"/>
    </row>
    <row r="450" ht="15.75" customHeight="1">
      <c r="AO450" s="477"/>
    </row>
    <row r="451" ht="15.75" customHeight="1">
      <c r="AO451" s="477"/>
    </row>
    <row r="452" ht="15.75" customHeight="1">
      <c r="AO452" s="477"/>
    </row>
    <row r="453" ht="15.75" customHeight="1">
      <c r="AO453" s="477"/>
    </row>
    <row r="454" ht="15.75" customHeight="1">
      <c r="AO454" s="477"/>
    </row>
    <row r="455" ht="15.75" customHeight="1">
      <c r="AO455" s="477"/>
    </row>
    <row r="456" ht="15.75" customHeight="1">
      <c r="AO456" s="477"/>
    </row>
    <row r="457" ht="15.75" customHeight="1">
      <c r="AO457" s="477"/>
    </row>
    <row r="458" ht="15.75" customHeight="1">
      <c r="AO458" s="477"/>
    </row>
    <row r="459" ht="15.75" customHeight="1">
      <c r="AO459" s="477"/>
    </row>
    <row r="460" ht="15.75" customHeight="1">
      <c r="AO460" s="477"/>
    </row>
    <row r="461" ht="15.75" customHeight="1">
      <c r="AO461" s="477"/>
    </row>
    <row r="462" ht="15.75" customHeight="1">
      <c r="AO462" s="477"/>
    </row>
    <row r="463" ht="15.75" customHeight="1">
      <c r="AO463" s="477"/>
    </row>
    <row r="464" ht="15.75" customHeight="1">
      <c r="AO464" s="477"/>
    </row>
    <row r="465" ht="15.75" customHeight="1">
      <c r="AO465" s="477"/>
    </row>
    <row r="466" ht="15.75" customHeight="1">
      <c r="AO466" s="477"/>
    </row>
    <row r="467" ht="15.75" customHeight="1">
      <c r="AO467" s="477"/>
    </row>
    <row r="468" ht="15.75" customHeight="1">
      <c r="AO468" s="477"/>
    </row>
    <row r="469" ht="15.75" customHeight="1">
      <c r="AO469" s="477"/>
    </row>
    <row r="470" ht="15.75" customHeight="1">
      <c r="AO470" s="477"/>
    </row>
    <row r="471" ht="15.75" customHeight="1">
      <c r="AO471" s="477"/>
    </row>
    <row r="472" ht="15.75" customHeight="1">
      <c r="AO472" s="477"/>
    </row>
    <row r="473" ht="15.75" customHeight="1">
      <c r="AO473" s="477"/>
    </row>
    <row r="474" ht="15.75" customHeight="1">
      <c r="AO474" s="477"/>
    </row>
    <row r="475" ht="15.75" customHeight="1">
      <c r="AO475" s="477"/>
    </row>
    <row r="476" ht="15.75" customHeight="1">
      <c r="AO476" s="477"/>
    </row>
    <row r="477" ht="15.75" customHeight="1">
      <c r="AO477" s="477"/>
    </row>
    <row r="478" ht="15.75" customHeight="1">
      <c r="AO478" s="477"/>
    </row>
    <row r="479" ht="15.75" customHeight="1">
      <c r="AO479" s="477"/>
    </row>
    <row r="480" ht="15.75" customHeight="1">
      <c r="AO480" s="477"/>
    </row>
    <row r="481" ht="15.75" customHeight="1">
      <c r="AO481" s="477"/>
    </row>
    <row r="482" ht="15.75" customHeight="1">
      <c r="AO482" s="477"/>
    </row>
    <row r="483" ht="15.75" customHeight="1">
      <c r="AO483" s="477"/>
    </row>
    <row r="484" ht="15.75" customHeight="1">
      <c r="AO484" s="477"/>
    </row>
    <row r="485" ht="15.75" customHeight="1">
      <c r="AO485" s="477"/>
    </row>
    <row r="486" ht="15.75" customHeight="1">
      <c r="AO486" s="477"/>
    </row>
    <row r="487" ht="15.75" customHeight="1">
      <c r="AO487" s="477"/>
    </row>
    <row r="488" ht="15.75" customHeight="1">
      <c r="AO488" s="477"/>
    </row>
    <row r="489" ht="15.75" customHeight="1">
      <c r="AO489" s="477"/>
    </row>
    <row r="490" ht="15.75" customHeight="1">
      <c r="AO490" s="477"/>
    </row>
    <row r="491" ht="15.75" customHeight="1">
      <c r="AO491" s="477"/>
    </row>
    <row r="492" ht="15.75" customHeight="1">
      <c r="AO492" s="477"/>
    </row>
    <row r="493" ht="15.75" customHeight="1">
      <c r="AO493" s="477"/>
    </row>
    <row r="494" ht="15.75" customHeight="1">
      <c r="AO494" s="477"/>
    </row>
    <row r="495" ht="15.75" customHeight="1">
      <c r="AO495" s="477"/>
    </row>
    <row r="496" ht="15.75" customHeight="1">
      <c r="AO496" s="477"/>
    </row>
    <row r="497" ht="15.75" customHeight="1">
      <c r="AO497" s="477"/>
    </row>
    <row r="498" ht="15.75" customHeight="1">
      <c r="AO498" s="477"/>
    </row>
    <row r="499" ht="15.75" customHeight="1">
      <c r="AO499" s="477"/>
    </row>
    <row r="500" ht="15.75" customHeight="1">
      <c r="AO500" s="477"/>
    </row>
    <row r="501" ht="15.75" customHeight="1">
      <c r="AO501" s="477"/>
    </row>
    <row r="502" ht="15.75" customHeight="1">
      <c r="AO502" s="477"/>
    </row>
    <row r="503" ht="15.75" customHeight="1">
      <c r="AO503" s="477"/>
    </row>
    <row r="504" ht="15.75" customHeight="1">
      <c r="AO504" s="477"/>
    </row>
    <row r="505" ht="15.75" customHeight="1">
      <c r="AO505" s="477"/>
    </row>
    <row r="506" ht="15.75" customHeight="1">
      <c r="AO506" s="477"/>
    </row>
    <row r="507" ht="15.75" customHeight="1">
      <c r="AO507" s="477"/>
    </row>
    <row r="508" ht="15.75" customHeight="1">
      <c r="AO508" s="477"/>
    </row>
    <row r="509" ht="15.75" customHeight="1">
      <c r="AO509" s="477"/>
    </row>
    <row r="510" ht="15.75" customHeight="1">
      <c r="AO510" s="477"/>
    </row>
    <row r="511" ht="15.75" customHeight="1">
      <c r="AO511" s="477"/>
    </row>
    <row r="512" ht="15.75" customHeight="1">
      <c r="AO512" s="477"/>
    </row>
    <row r="513" ht="15.75" customHeight="1">
      <c r="AO513" s="477"/>
    </row>
    <row r="514" ht="15.75" customHeight="1">
      <c r="AO514" s="477"/>
    </row>
    <row r="515" ht="15.75" customHeight="1">
      <c r="AO515" s="477"/>
    </row>
    <row r="516" ht="15.75" customHeight="1">
      <c r="AO516" s="477"/>
    </row>
    <row r="517" ht="15.75" customHeight="1">
      <c r="AO517" s="477"/>
    </row>
    <row r="518" ht="15.75" customHeight="1">
      <c r="AO518" s="477"/>
    </row>
    <row r="519" ht="15.75" customHeight="1">
      <c r="AO519" s="477"/>
    </row>
    <row r="520" ht="15.75" customHeight="1">
      <c r="AO520" s="477"/>
    </row>
    <row r="521" ht="15.75" customHeight="1">
      <c r="AO521" s="477"/>
    </row>
    <row r="522" ht="15.75" customHeight="1">
      <c r="AO522" s="477"/>
    </row>
    <row r="523" ht="15.75" customHeight="1">
      <c r="AO523" s="477"/>
    </row>
    <row r="524" ht="15.75" customHeight="1">
      <c r="AO524" s="477"/>
    </row>
    <row r="525" ht="15.75" customHeight="1">
      <c r="AO525" s="477"/>
    </row>
    <row r="526" ht="15.75" customHeight="1">
      <c r="AO526" s="477"/>
    </row>
    <row r="527" ht="15.75" customHeight="1">
      <c r="AO527" s="477"/>
    </row>
    <row r="528" ht="15.75" customHeight="1">
      <c r="AO528" s="477"/>
    </row>
    <row r="529" ht="15.75" customHeight="1">
      <c r="AO529" s="477"/>
    </row>
    <row r="530" ht="15.75" customHeight="1">
      <c r="AO530" s="477"/>
    </row>
    <row r="531" ht="15.75" customHeight="1">
      <c r="AO531" s="477"/>
    </row>
    <row r="532" ht="15.75" customHeight="1">
      <c r="AO532" s="477"/>
    </row>
    <row r="533" ht="15.75" customHeight="1">
      <c r="AO533" s="477"/>
    </row>
    <row r="534" ht="15.75" customHeight="1">
      <c r="AO534" s="477"/>
    </row>
    <row r="535" ht="15.75" customHeight="1">
      <c r="AO535" s="477"/>
    </row>
    <row r="536" ht="15.75" customHeight="1">
      <c r="AO536" s="477"/>
    </row>
    <row r="537" ht="15.75" customHeight="1">
      <c r="AO537" s="477"/>
    </row>
    <row r="538" ht="15.75" customHeight="1">
      <c r="AO538" s="477"/>
    </row>
    <row r="539" ht="15.75" customHeight="1">
      <c r="AO539" s="477"/>
    </row>
    <row r="540" ht="15.75" customHeight="1">
      <c r="AO540" s="477"/>
    </row>
    <row r="541" ht="15.75" customHeight="1">
      <c r="AO541" s="477"/>
    </row>
    <row r="542" ht="15.75" customHeight="1">
      <c r="AO542" s="477"/>
    </row>
    <row r="543" ht="15.75" customHeight="1">
      <c r="AO543" s="477"/>
    </row>
    <row r="544" ht="15.75" customHeight="1">
      <c r="AO544" s="477"/>
    </row>
    <row r="545" ht="15.75" customHeight="1">
      <c r="AO545" s="477"/>
    </row>
    <row r="546" ht="15.75" customHeight="1">
      <c r="AO546" s="477"/>
    </row>
    <row r="547" ht="15.75" customHeight="1">
      <c r="AO547" s="477"/>
    </row>
    <row r="548" ht="15.75" customHeight="1">
      <c r="AO548" s="477"/>
    </row>
    <row r="549" ht="15.75" customHeight="1">
      <c r="AO549" s="477"/>
    </row>
    <row r="550" ht="15.75" customHeight="1">
      <c r="AO550" s="477"/>
    </row>
    <row r="551" ht="15.75" customHeight="1">
      <c r="AO551" s="477"/>
    </row>
    <row r="552" ht="15.75" customHeight="1">
      <c r="AO552" s="477"/>
    </row>
    <row r="553" ht="15.75" customHeight="1">
      <c r="AO553" s="477"/>
    </row>
    <row r="554" ht="15.75" customHeight="1">
      <c r="AO554" s="477"/>
    </row>
    <row r="555" ht="15.75" customHeight="1">
      <c r="AO555" s="477"/>
    </row>
    <row r="556" ht="15.75" customHeight="1">
      <c r="AO556" s="477"/>
    </row>
    <row r="557" ht="15.75" customHeight="1">
      <c r="AO557" s="477"/>
    </row>
    <row r="558" ht="15.75" customHeight="1">
      <c r="AO558" s="477"/>
    </row>
    <row r="559" ht="15.75" customHeight="1">
      <c r="AO559" s="477"/>
    </row>
    <row r="560" ht="15.75" customHeight="1">
      <c r="AO560" s="477"/>
    </row>
    <row r="561" ht="15.75" customHeight="1">
      <c r="AO561" s="477"/>
    </row>
    <row r="562" ht="15.75" customHeight="1">
      <c r="AO562" s="477"/>
    </row>
    <row r="563" ht="15.75" customHeight="1">
      <c r="AO563" s="477"/>
    </row>
    <row r="564" ht="15.75" customHeight="1">
      <c r="AO564" s="477"/>
    </row>
    <row r="565" ht="15.75" customHeight="1">
      <c r="AO565" s="477"/>
    </row>
    <row r="566" ht="15.75" customHeight="1">
      <c r="AO566" s="477"/>
    </row>
    <row r="567" ht="15.75" customHeight="1">
      <c r="AO567" s="477"/>
    </row>
    <row r="568" ht="15.75" customHeight="1">
      <c r="AO568" s="477"/>
    </row>
    <row r="569" ht="15.75" customHeight="1">
      <c r="AO569" s="477"/>
    </row>
    <row r="570" ht="15.75" customHeight="1">
      <c r="AO570" s="477"/>
    </row>
    <row r="571" ht="15.75" customHeight="1">
      <c r="AO571" s="477"/>
    </row>
    <row r="572" ht="15.75" customHeight="1">
      <c r="AO572" s="477"/>
    </row>
    <row r="573" ht="15.75" customHeight="1">
      <c r="AO573" s="477"/>
    </row>
    <row r="574" ht="15.75" customHeight="1">
      <c r="AO574" s="477"/>
    </row>
    <row r="575" ht="15.75" customHeight="1">
      <c r="AO575" s="477"/>
    </row>
    <row r="576" ht="15.75" customHeight="1">
      <c r="AO576" s="477"/>
    </row>
    <row r="577" ht="15.75" customHeight="1">
      <c r="AO577" s="477"/>
    </row>
    <row r="578" ht="15.75" customHeight="1">
      <c r="AO578" s="477"/>
    </row>
    <row r="579" ht="15.75" customHeight="1">
      <c r="AO579" s="477"/>
    </row>
    <row r="580" ht="15.75" customHeight="1">
      <c r="AO580" s="477"/>
    </row>
    <row r="581" ht="15.75" customHeight="1">
      <c r="AO581" s="477"/>
    </row>
    <row r="582" ht="15.75" customHeight="1">
      <c r="AO582" s="477"/>
    </row>
    <row r="583" ht="15.75" customHeight="1">
      <c r="AO583" s="477"/>
    </row>
    <row r="584" ht="15.75" customHeight="1">
      <c r="AO584" s="477"/>
    </row>
    <row r="585" ht="15.75" customHeight="1">
      <c r="AO585" s="477"/>
    </row>
    <row r="586" ht="15.75" customHeight="1">
      <c r="AO586" s="477"/>
    </row>
    <row r="587" ht="15.75" customHeight="1">
      <c r="AO587" s="477"/>
    </row>
    <row r="588" ht="15.75" customHeight="1">
      <c r="AO588" s="477"/>
    </row>
    <row r="589" ht="15.75" customHeight="1">
      <c r="AO589" s="477"/>
    </row>
    <row r="590" ht="15.75" customHeight="1">
      <c r="AO590" s="477"/>
    </row>
    <row r="591" ht="15.75" customHeight="1">
      <c r="AO591" s="477"/>
    </row>
    <row r="592" ht="15.75" customHeight="1">
      <c r="AO592" s="477"/>
    </row>
    <row r="593" ht="15.75" customHeight="1">
      <c r="AO593" s="477"/>
    </row>
    <row r="594" ht="15.75" customHeight="1">
      <c r="AO594" s="477"/>
    </row>
    <row r="595" ht="15.75" customHeight="1">
      <c r="AO595" s="477"/>
    </row>
    <row r="596" ht="15.75" customHeight="1">
      <c r="AO596" s="477"/>
    </row>
    <row r="597" ht="15.75" customHeight="1">
      <c r="AO597" s="477"/>
    </row>
    <row r="598" ht="15.75" customHeight="1">
      <c r="AO598" s="477"/>
    </row>
    <row r="599" ht="15.75" customHeight="1">
      <c r="AO599" s="477"/>
    </row>
    <row r="600" ht="15.75" customHeight="1">
      <c r="AO600" s="477"/>
    </row>
    <row r="601" ht="15.75" customHeight="1">
      <c r="AO601" s="477"/>
    </row>
    <row r="602" ht="15.75" customHeight="1">
      <c r="AO602" s="477"/>
    </row>
    <row r="603" ht="15.75" customHeight="1">
      <c r="AO603" s="477"/>
    </row>
    <row r="604" ht="15.75" customHeight="1">
      <c r="AO604" s="477"/>
    </row>
    <row r="605" ht="15.75" customHeight="1">
      <c r="AO605" s="477"/>
    </row>
    <row r="606" ht="15.75" customHeight="1">
      <c r="AO606" s="477"/>
    </row>
    <row r="607" ht="15.75" customHeight="1">
      <c r="AO607" s="477"/>
    </row>
    <row r="608" ht="15.75" customHeight="1">
      <c r="AO608" s="477"/>
    </row>
    <row r="609" ht="15.75" customHeight="1">
      <c r="AO609" s="477"/>
    </row>
    <row r="610" ht="15.75" customHeight="1">
      <c r="AO610" s="477"/>
    </row>
    <row r="611" ht="15.75" customHeight="1">
      <c r="AO611" s="477"/>
    </row>
    <row r="612" ht="15.75" customHeight="1">
      <c r="AO612" s="477"/>
    </row>
    <row r="613" ht="15.75" customHeight="1">
      <c r="AO613" s="477"/>
    </row>
    <row r="614" ht="15.75" customHeight="1">
      <c r="AO614" s="477"/>
    </row>
    <row r="615" ht="15.75" customHeight="1">
      <c r="AO615" s="477"/>
    </row>
    <row r="616" ht="15.75" customHeight="1">
      <c r="AO616" s="477"/>
    </row>
    <row r="617" ht="15.75" customHeight="1">
      <c r="AO617" s="477"/>
    </row>
    <row r="618" ht="15.75" customHeight="1">
      <c r="AO618" s="477"/>
    </row>
    <row r="619" ht="15.75" customHeight="1">
      <c r="AO619" s="477"/>
    </row>
    <row r="620" ht="15.75" customHeight="1">
      <c r="AO620" s="477"/>
    </row>
    <row r="621" ht="15.75" customHeight="1">
      <c r="AO621" s="477"/>
    </row>
    <row r="622" ht="15.75" customHeight="1">
      <c r="AO622" s="477"/>
    </row>
    <row r="623" ht="15.75" customHeight="1">
      <c r="AO623" s="477"/>
    </row>
    <row r="624" ht="15.75" customHeight="1">
      <c r="AO624" s="477"/>
    </row>
    <row r="625" ht="15.75" customHeight="1">
      <c r="AO625" s="477"/>
    </row>
    <row r="626" ht="15.75" customHeight="1">
      <c r="AO626" s="477"/>
    </row>
    <row r="627" ht="15.75" customHeight="1">
      <c r="AO627" s="477"/>
    </row>
    <row r="628" ht="15.75" customHeight="1">
      <c r="AO628" s="477"/>
    </row>
    <row r="629" ht="15.75" customHeight="1">
      <c r="AO629" s="477"/>
    </row>
    <row r="630" ht="15.75" customHeight="1">
      <c r="AO630" s="477"/>
    </row>
    <row r="631" ht="15.75" customHeight="1">
      <c r="AO631" s="477"/>
    </row>
    <row r="632" ht="15.75" customHeight="1">
      <c r="AO632" s="477"/>
    </row>
    <row r="633" ht="15.75" customHeight="1">
      <c r="AO633" s="477"/>
    </row>
    <row r="634" ht="15.75" customHeight="1">
      <c r="AO634" s="477"/>
    </row>
    <row r="635" ht="15.75" customHeight="1">
      <c r="AO635" s="477"/>
    </row>
    <row r="636" ht="15.75" customHeight="1">
      <c r="AO636" s="477"/>
    </row>
    <row r="637" ht="15.75" customHeight="1">
      <c r="AO637" s="477"/>
    </row>
    <row r="638" ht="15.75" customHeight="1">
      <c r="AO638" s="477"/>
    </row>
    <row r="639" ht="15.75" customHeight="1">
      <c r="AO639" s="477"/>
    </row>
    <row r="640" ht="15.75" customHeight="1">
      <c r="AO640" s="477"/>
    </row>
    <row r="641" ht="15.75" customHeight="1">
      <c r="AO641" s="477"/>
    </row>
    <row r="642" ht="15.75" customHeight="1">
      <c r="AO642" s="477"/>
    </row>
    <row r="643" ht="15.75" customHeight="1">
      <c r="AO643" s="477"/>
    </row>
    <row r="644" ht="15.75" customHeight="1">
      <c r="AO644" s="477"/>
    </row>
    <row r="645" ht="15.75" customHeight="1">
      <c r="AO645" s="477"/>
    </row>
    <row r="646" ht="15.75" customHeight="1">
      <c r="AO646" s="477"/>
    </row>
    <row r="647" ht="15.75" customHeight="1">
      <c r="AO647" s="477"/>
    </row>
    <row r="648" ht="15.75" customHeight="1">
      <c r="AO648" s="477"/>
    </row>
    <row r="649" ht="15.75" customHeight="1">
      <c r="AO649" s="477"/>
    </row>
    <row r="650" ht="15.75" customHeight="1">
      <c r="AO650" s="477"/>
    </row>
    <row r="651" ht="15.75" customHeight="1">
      <c r="AO651" s="477"/>
    </row>
    <row r="652" ht="15.75" customHeight="1">
      <c r="AO652" s="477"/>
    </row>
    <row r="653" ht="15.75" customHeight="1">
      <c r="AO653" s="477"/>
    </row>
    <row r="654" ht="15.75" customHeight="1">
      <c r="AO654" s="477"/>
    </row>
    <row r="655" ht="15.75" customHeight="1">
      <c r="AO655" s="477"/>
    </row>
    <row r="656" ht="15.75" customHeight="1">
      <c r="AO656" s="477"/>
    </row>
    <row r="657" ht="15.75" customHeight="1">
      <c r="AO657" s="477"/>
    </row>
    <row r="658" ht="15.75" customHeight="1">
      <c r="AO658" s="477"/>
    </row>
    <row r="659" ht="15.75" customHeight="1">
      <c r="AO659" s="477"/>
    </row>
    <row r="660" ht="15.75" customHeight="1">
      <c r="AO660" s="477"/>
    </row>
    <row r="661" ht="15.75" customHeight="1">
      <c r="AO661" s="477"/>
    </row>
    <row r="662" ht="15.75" customHeight="1">
      <c r="AO662" s="477"/>
    </row>
    <row r="663" ht="15.75" customHeight="1">
      <c r="AO663" s="477"/>
    </row>
    <row r="664" ht="15.75" customHeight="1">
      <c r="AO664" s="477"/>
    </row>
    <row r="665" ht="15.75" customHeight="1">
      <c r="AO665" s="477"/>
    </row>
    <row r="666" ht="15.75" customHeight="1">
      <c r="AO666" s="477"/>
    </row>
    <row r="667" ht="15.75" customHeight="1">
      <c r="AO667" s="477"/>
    </row>
    <row r="668" ht="15.75" customHeight="1">
      <c r="AO668" s="477"/>
    </row>
    <row r="669" ht="15.75" customHeight="1">
      <c r="AO669" s="477"/>
    </row>
    <row r="670" ht="15.75" customHeight="1">
      <c r="AO670" s="477"/>
    </row>
    <row r="671" ht="15.75" customHeight="1">
      <c r="AO671" s="477"/>
    </row>
    <row r="672" ht="15.75" customHeight="1">
      <c r="AO672" s="477"/>
    </row>
    <row r="673" ht="15.75" customHeight="1">
      <c r="AO673" s="477"/>
    </row>
    <row r="674" ht="15.75" customHeight="1">
      <c r="AO674" s="477"/>
    </row>
    <row r="675" ht="15.75" customHeight="1">
      <c r="AO675" s="477"/>
    </row>
    <row r="676" ht="15.75" customHeight="1">
      <c r="AO676" s="477"/>
    </row>
    <row r="677" ht="15.75" customHeight="1">
      <c r="AO677" s="477"/>
    </row>
    <row r="678" ht="15.75" customHeight="1">
      <c r="AO678" s="477"/>
    </row>
    <row r="679" ht="15.75" customHeight="1">
      <c r="AO679" s="477"/>
    </row>
    <row r="680" ht="15.75" customHeight="1">
      <c r="AO680" s="477"/>
    </row>
    <row r="681" ht="15.75" customHeight="1">
      <c r="AO681" s="477"/>
    </row>
    <row r="682" ht="15.75" customHeight="1">
      <c r="AO682" s="477"/>
    </row>
    <row r="683" ht="15.75" customHeight="1">
      <c r="AO683" s="477"/>
    </row>
    <row r="684" ht="15.75" customHeight="1">
      <c r="AO684" s="477"/>
    </row>
    <row r="685" ht="15.75" customHeight="1">
      <c r="AO685" s="477"/>
    </row>
    <row r="686" ht="15.75" customHeight="1">
      <c r="AO686" s="477"/>
    </row>
    <row r="687" ht="15.75" customHeight="1">
      <c r="AO687" s="477"/>
    </row>
    <row r="688" ht="15.75" customHeight="1">
      <c r="AO688" s="477"/>
    </row>
    <row r="689" ht="15.75" customHeight="1">
      <c r="AO689" s="477"/>
    </row>
    <row r="690" ht="15.75" customHeight="1">
      <c r="AO690" s="477"/>
    </row>
    <row r="691" ht="15.75" customHeight="1">
      <c r="AO691" s="477"/>
    </row>
    <row r="692" ht="15.75" customHeight="1">
      <c r="AO692" s="477"/>
    </row>
    <row r="693" ht="15.75" customHeight="1">
      <c r="AO693" s="477"/>
    </row>
    <row r="694" ht="15.75" customHeight="1">
      <c r="AO694" s="477"/>
    </row>
    <row r="695" ht="15.75" customHeight="1">
      <c r="AO695" s="477"/>
    </row>
    <row r="696" ht="15.75" customHeight="1">
      <c r="AO696" s="477"/>
    </row>
    <row r="697" ht="15.75" customHeight="1">
      <c r="AO697" s="477"/>
    </row>
    <row r="698" ht="15.75" customHeight="1">
      <c r="AO698" s="477"/>
    </row>
    <row r="699" ht="15.75" customHeight="1">
      <c r="AO699" s="477"/>
    </row>
    <row r="700" ht="15.75" customHeight="1">
      <c r="AO700" s="477"/>
    </row>
    <row r="701" ht="15.75" customHeight="1">
      <c r="AO701" s="477"/>
    </row>
    <row r="702" ht="15.75" customHeight="1">
      <c r="AO702" s="477"/>
    </row>
    <row r="703" ht="15.75" customHeight="1">
      <c r="AO703" s="477"/>
    </row>
    <row r="704" ht="15.75" customHeight="1">
      <c r="AO704" s="477"/>
    </row>
    <row r="705" ht="15.75" customHeight="1">
      <c r="AO705" s="477"/>
    </row>
    <row r="706" ht="15.75" customHeight="1">
      <c r="AO706" s="477"/>
    </row>
    <row r="707" ht="15.75" customHeight="1">
      <c r="AO707" s="477"/>
    </row>
    <row r="708" ht="15.75" customHeight="1">
      <c r="AO708" s="477"/>
    </row>
    <row r="709" ht="15.75" customHeight="1">
      <c r="AO709" s="477"/>
    </row>
    <row r="710" ht="15.75" customHeight="1">
      <c r="AO710" s="477"/>
    </row>
    <row r="711" ht="15.75" customHeight="1">
      <c r="AO711" s="477"/>
    </row>
    <row r="712" ht="15.75" customHeight="1">
      <c r="AO712" s="477"/>
    </row>
    <row r="713" ht="15.75" customHeight="1">
      <c r="AO713" s="477"/>
    </row>
    <row r="714" ht="15.75" customHeight="1">
      <c r="AO714" s="477"/>
    </row>
    <row r="715" ht="15.75" customHeight="1">
      <c r="AO715" s="477"/>
    </row>
    <row r="716" ht="15.75" customHeight="1">
      <c r="AO716" s="477"/>
    </row>
    <row r="717" ht="15.75" customHeight="1">
      <c r="AO717" s="477"/>
    </row>
    <row r="718" ht="15.75" customHeight="1">
      <c r="AO718" s="477"/>
    </row>
    <row r="719" ht="15.75" customHeight="1">
      <c r="AO719" s="477"/>
    </row>
    <row r="720" ht="15.75" customHeight="1">
      <c r="AO720" s="477"/>
    </row>
    <row r="721" ht="15.75" customHeight="1">
      <c r="AO721" s="477"/>
    </row>
    <row r="722" ht="15.75" customHeight="1">
      <c r="AO722" s="477"/>
    </row>
    <row r="723" ht="15.75" customHeight="1">
      <c r="AO723" s="477"/>
    </row>
    <row r="724" ht="15.75" customHeight="1">
      <c r="AO724" s="477"/>
    </row>
    <row r="725" ht="15.75" customHeight="1">
      <c r="AO725" s="477"/>
    </row>
    <row r="726" ht="15.75" customHeight="1">
      <c r="AO726" s="477"/>
    </row>
    <row r="727" ht="15.75" customHeight="1">
      <c r="AO727" s="477"/>
    </row>
    <row r="728" ht="15.75" customHeight="1">
      <c r="AO728" s="477"/>
    </row>
    <row r="729" ht="15.75" customHeight="1">
      <c r="AO729" s="477"/>
    </row>
    <row r="730" ht="15.75" customHeight="1">
      <c r="AO730" s="477"/>
    </row>
    <row r="731" ht="15.75" customHeight="1">
      <c r="AO731" s="477"/>
    </row>
    <row r="732" ht="15.75" customHeight="1">
      <c r="AO732" s="477"/>
    </row>
    <row r="733" ht="15.75" customHeight="1">
      <c r="AO733" s="477"/>
    </row>
    <row r="734" ht="15.75" customHeight="1">
      <c r="AO734" s="477"/>
    </row>
    <row r="735" ht="15.75" customHeight="1">
      <c r="AO735" s="477"/>
    </row>
    <row r="736" ht="15.75" customHeight="1">
      <c r="AO736" s="477"/>
    </row>
    <row r="737" ht="15.75" customHeight="1">
      <c r="AO737" s="477"/>
    </row>
    <row r="738" ht="15.75" customHeight="1">
      <c r="AO738" s="477"/>
    </row>
    <row r="739" ht="15.75" customHeight="1">
      <c r="AO739" s="477"/>
    </row>
    <row r="740" ht="15.75" customHeight="1">
      <c r="AO740" s="477"/>
    </row>
    <row r="741" ht="15.75" customHeight="1">
      <c r="AO741" s="477"/>
    </row>
    <row r="742" ht="15.75" customHeight="1">
      <c r="AO742" s="477"/>
    </row>
    <row r="743" ht="15.75" customHeight="1">
      <c r="AO743" s="477"/>
    </row>
    <row r="744" ht="15.75" customHeight="1">
      <c r="AO744" s="477"/>
    </row>
    <row r="745" ht="15.75" customHeight="1">
      <c r="AO745" s="477"/>
    </row>
    <row r="746" ht="15.75" customHeight="1">
      <c r="AO746" s="477"/>
    </row>
    <row r="747" ht="15.75" customHeight="1">
      <c r="AO747" s="477"/>
    </row>
    <row r="748" ht="15.75" customHeight="1">
      <c r="AO748" s="477"/>
    </row>
    <row r="749" ht="15.75" customHeight="1">
      <c r="AO749" s="477"/>
    </row>
    <row r="750" ht="15.75" customHeight="1">
      <c r="AO750" s="477"/>
    </row>
    <row r="751" ht="15.75" customHeight="1">
      <c r="AO751" s="477"/>
    </row>
    <row r="752" ht="15.75" customHeight="1">
      <c r="AO752" s="477"/>
    </row>
    <row r="753" ht="15.75" customHeight="1">
      <c r="AO753" s="477"/>
    </row>
    <row r="754" ht="15.75" customHeight="1">
      <c r="AO754" s="477"/>
    </row>
    <row r="755" ht="15.75" customHeight="1">
      <c r="AO755" s="477"/>
    </row>
    <row r="756" ht="15.75" customHeight="1">
      <c r="AO756" s="477"/>
    </row>
    <row r="757" ht="15.75" customHeight="1">
      <c r="AO757" s="477"/>
    </row>
    <row r="758" ht="15.75" customHeight="1">
      <c r="AO758" s="477"/>
    </row>
    <row r="759" ht="15.75" customHeight="1">
      <c r="AO759" s="477"/>
    </row>
    <row r="760" ht="15.75" customHeight="1">
      <c r="AO760" s="477"/>
    </row>
    <row r="761" ht="15.75" customHeight="1">
      <c r="AO761" s="477"/>
    </row>
    <row r="762" ht="15.75" customHeight="1">
      <c r="AO762" s="477"/>
    </row>
    <row r="763" ht="15.75" customHeight="1">
      <c r="AO763" s="477"/>
    </row>
    <row r="764" ht="15.75" customHeight="1">
      <c r="AO764" s="477"/>
    </row>
    <row r="765" ht="15.75" customHeight="1">
      <c r="AO765" s="477"/>
    </row>
    <row r="766" ht="15.75" customHeight="1">
      <c r="AO766" s="477"/>
    </row>
    <row r="767" ht="15.75" customHeight="1">
      <c r="AO767" s="477"/>
    </row>
    <row r="768" ht="15.75" customHeight="1">
      <c r="AO768" s="477"/>
    </row>
    <row r="769" ht="15.75" customHeight="1">
      <c r="AO769" s="477"/>
    </row>
    <row r="770" ht="15.75" customHeight="1">
      <c r="AO770" s="477"/>
    </row>
    <row r="771" ht="15.75" customHeight="1">
      <c r="AO771" s="477"/>
    </row>
    <row r="772" ht="15.75" customHeight="1">
      <c r="AO772" s="477"/>
    </row>
    <row r="773" ht="15.75" customHeight="1">
      <c r="AO773" s="477"/>
    </row>
    <row r="774" ht="15.75" customHeight="1">
      <c r="AO774" s="477"/>
    </row>
    <row r="775" ht="15.75" customHeight="1">
      <c r="AO775" s="477"/>
    </row>
    <row r="776" ht="15.75" customHeight="1">
      <c r="AO776" s="477"/>
    </row>
    <row r="777" ht="15.75" customHeight="1">
      <c r="AO777" s="477"/>
    </row>
    <row r="778" ht="15.75" customHeight="1">
      <c r="AO778" s="477"/>
    </row>
    <row r="779" ht="15.75" customHeight="1">
      <c r="AO779" s="477"/>
    </row>
    <row r="780" ht="15.75" customHeight="1">
      <c r="AO780" s="477"/>
    </row>
    <row r="781" ht="15.75" customHeight="1">
      <c r="AO781" s="477"/>
    </row>
    <row r="782" ht="15.75" customHeight="1">
      <c r="AO782" s="477"/>
    </row>
    <row r="783" ht="15.75" customHeight="1">
      <c r="AO783" s="477"/>
    </row>
    <row r="784" ht="15.75" customHeight="1">
      <c r="AO784" s="477"/>
    </row>
    <row r="785" ht="15.75" customHeight="1">
      <c r="AO785" s="477"/>
    </row>
    <row r="786" ht="15.75" customHeight="1">
      <c r="AO786" s="477"/>
    </row>
    <row r="787" ht="15.75" customHeight="1">
      <c r="AO787" s="477"/>
    </row>
    <row r="788" ht="15.75" customHeight="1">
      <c r="AO788" s="477"/>
    </row>
    <row r="789" ht="15.75" customHeight="1">
      <c r="AO789" s="477"/>
    </row>
    <row r="790" ht="15.75" customHeight="1">
      <c r="AO790" s="477"/>
    </row>
    <row r="791" ht="15.75" customHeight="1">
      <c r="AO791" s="477"/>
    </row>
    <row r="792" ht="15.75" customHeight="1">
      <c r="AO792" s="477"/>
    </row>
    <row r="793" ht="15.75" customHeight="1">
      <c r="AO793" s="477"/>
    </row>
    <row r="794" ht="15.75" customHeight="1">
      <c r="AO794" s="477"/>
    </row>
    <row r="795" ht="15.75" customHeight="1">
      <c r="AO795" s="477"/>
    </row>
    <row r="796" ht="15.75" customHeight="1">
      <c r="AO796" s="477"/>
    </row>
    <row r="797" ht="15.75" customHeight="1">
      <c r="AO797" s="477"/>
    </row>
    <row r="798" ht="15.75" customHeight="1">
      <c r="AO798" s="477"/>
    </row>
    <row r="799" ht="15.75" customHeight="1">
      <c r="AO799" s="477"/>
    </row>
    <row r="800" ht="15.75" customHeight="1">
      <c r="AO800" s="477"/>
    </row>
    <row r="801" ht="15.75" customHeight="1">
      <c r="AO801" s="477"/>
    </row>
    <row r="802" ht="15.75" customHeight="1">
      <c r="AO802" s="477"/>
    </row>
    <row r="803" ht="15.75" customHeight="1">
      <c r="AO803" s="477"/>
    </row>
    <row r="804" ht="15.75" customHeight="1">
      <c r="AO804" s="477"/>
    </row>
    <row r="805" ht="15.75" customHeight="1">
      <c r="AO805" s="477"/>
    </row>
    <row r="806" ht="15.75" customHeight="1">
      <c r="AO806" s="477"/>
    </row>
    <row r="807" ht="15.75" customHeight="1">
      <c r="AO807" s="477"/>
    </row>
    <row r="808" ht="15.75" customHeight="1">
      <c r="AO808" s="477"/>
    </row>
    <row r="809" ht="15.75" customHeight="1">
      <c r="AO809" s="477"/>
    </row>
    <row r="810" ht="15.75" customHeight="1">
      <c r="AO810" s="477"/>
    </row>
    <row r="811" ht="15.75" customHeight="1">
      <c r="AO811" s="477"/>
    </row>
    <row r="812" ht="15.75" customHeight="1">
      <c r="AO812" s="477"/>
    </row>
    <row r="813" ht="15.75" customHeight="1">
      <c r="AO813" s="477"/>
    </row>
    <row r="814" ht="15.75" customHeight="1">
      <c r="AO814" s="477"/>
    </row>
    <row r="815" ht="15.75" customHeight="1">
      <c r="AO815" s="477"/>
    </row>
    <row r="816" ht="15.75" customHeight="1">
      <c r="AO816" s="477"/>
    </row>
    <row r="817" ht="15.75" customHeight="1">
      <c r="AO817" s="477"/>
    </row>
    <row r="818" ht="15.75" customHeight="1">
      <c r="AO818" s="477"/>
    </row>
    <row r="819" ht="15.75" customHeight="1">
      <c r="AO819" s="477"/>
    </row>
    <row r="820" ht="15.75" customHeight="1">
      <c r="AO820" s="477"/>
    </row>
    <row r="821" ht="15.75" customHeight="1">
      <c r="AO821" s="477"/>
    </row>
    <row r="822" ht="15.75" customHeight="1">
      <c r="AO822" s="477"/>
    </row>
    <row r="823" ht="15.75" customHeight="1">
      <c r="AO823" s="477"/>
    </row>
    <row r="824" ht="15.75" customHeight="1">
      <c r="AO824" s="477"/>
    </row>
    <row r="825" ht="15.75" customHeight="1">
      <c r="AO825" s="477"/>
    </row>
    <row r="826" ht="15.75" customHeight="1">
      <c r="AO826" s="477"/>
    </row>
    <row r="827" ht="15.75" customHeight="1">
      <c r="AO827" s="477"/>
    </row>
    <row r="828" ht="15.75" customHeight="1">
      <c r="AO828" s="477"/>
    </row>
    <row r="829" ht="15.75" customHeight="1">
      <c r="AO829" s="477"/>
    </row>
    <row r="830" ht="15.75" customHeight="1">
      <c r="AO830" s="477"/>
    </row>
    <row r="831" ht="15.75" customHeight="1">
      <c r="AO831" s="477"/>
    </row>
    <row r="832" ht="15.75" customHeight="1">
      <c r="AO832" s="477"/>
    </row>
    <row r="833" ht="15.75" customHeight="1">
      <c r="AO833" s="477"/>
    </row>
    <row r="834" ht="15.75" customHeight="1">
      <c r="AO834" s="477"/>
    </row>
    <row r="835" ht="15.75" customHeight="1">
      <c r="AO835" s="477"/>
    </row>
    <row r="836" ht="15.75" customHeight="1">
      <c r="AO836" s="477"/>
    </row>
    <row r="837" ht="15.75" customHeight="1">
      <c r="AO837" s="477"/>
    </row>
    <row r="838" ht="15.75" customHeight="1">
      <c r="AO838" s="477"/>
    </row>
    <row r="839" ht="15.75" customHeight="1">
      <c r="AO839" s="477"/>
    </row>
    <row r="840" ht="15.75" customHeight="1">
      <c r="AO840" s="477"/>
    </row>
    <row r="841" ht="15.75" customHeight="1">
      <c r="AO841" s="477"/>
    </row>
    <row r="842" ht="15.75" customHeight="1">
      <c r="AO842" s="477"/>
    </row>
    <row r="843" ht="15.75" customHeight="1">
      <c r="AO843" s="477"/>
    </row>
    <row r="844" ht="15.75" customHeight="1">
      <c r="AO844" s="477"/>
    </row>
    <row r="845" ht="15.75" customHeight="1">
      <c r="AO845" s="477"/>
    </row>
    <row r="846" ht="15.75" customHeight="1">
      <c r="AO846" s="477"/>
    </row>
    <row r="847" ht="15.75" customHeight="1">
      <c r="AO847" s="477"/>
    </row>
    <row r="848" ht="15.75" customHeight="1">
      <c r="AO848" s="477"/>
    </row>
    <row r="849" ht="15.75" customHeight="1">
      <c r="AO849" s="477"/>
    </row>
    <row r="850" ht="15.75" customHeight="1">
      <c r="AO850" s="477"/>
    </row>
    <row r="851" ht="15.75" customHeight="1">
      <c r="AO851" s="477"/>
    </row>
    <row r="852" ht="15.75" customHeight="1">
      <c r="AO852" s="477"/>
    </row>
    <row r="853" ht="15.75" customHeight="1">
      <c r="AO853" s="477"/>
    </row>
    <row r="854" ht="15.75" customHeight="1">
      <c r="AO854" s="477"/>
    </row>
    <row r="855" ht="15.75" customHeight="1">
      <c r="AO855" s="477"/>
    </row>
    <row r="856" ht="15.75" customHeight="1">
      <c r="AO856" s="477"/>
    </row>
    <row r="857" ht="15.75" customHeight="1">
      <c r="AO857" s="477"/>
    </row>
    <row r="858" ht="15.75" customHeight="1">
      <c r="AO858" s="477"/>
    </row>
    <row r="859" ht="15.75" customHeight="1">
      <c r="AO859" s="477"/>
    </row>
    <row r="860" ht="15.75" customHeight="1">
      <c r="AO860" s="477"/>
    </row>
    <row r="861" ht="15.75" customHeight="1">
      <c r="AO861" s="477"/>
    </row>
    <row r="862" ht="15.75" customHeight="1">
      <c r="AO862" s="477"/>
    </row>
    <row r="863" ht="15.75" customHeight="1">
      <c r="AO863" s="477"/>
    </row>
    <row r="864" ht="15.75" customHeight="1">
      <c r="AO864" s="477"/>
    </row>
    <row r="865" ht="15.75" customHeight="1">
      <c r="AO865" s="477"/>
    </row>
    <row r="866" ht="15.75" customHeight="1">
      <c r="AO866" s="477"/>
    </row>
    <row r="867" ht="15.75" customHeight="1">
      <c r="AO867" s="477"/>
    </row>
    <row r="868" ht="15.75" customHeight="1">
      <c r="AO868" s="477"/>
    </row>
    <row r="869" ht="15.75" customHeight="1">
      <c r="AO869" s="477"/>
    </row>
    <row r="870" ht="15.75" customHeight="1">
      <c r="AO870" s="477"/>
    </row>
    <row r="871" ht="15.75" customHeight="1">
      <c r="AO871" s="477"/>
    </row>
    <row r="872" ht="15.75" customHeight="1">
      <c r="AO872" s="477"/>
    </row>
    <row r="873" ht="15.75" customHeight="1">
      <c r="AO873" s="477"/>
    </row>
    <row r="874" ht="15.75" customHeight="1">
      <c r="AO874" s="477"/>
    </row>
    <row r="875" ht="15.75" customHeight="1">
      <c r="AO875" s="477"/>
    </row>
    <row r="876" ht="15.75" customHeight="1">
      <c r="AO876" s="477"/>
    </row>
    <row r="877" ht="15.75" customHeight="1">
      <c r="AO877" s="477"/>
    </row>
    <row r="878" ht="15.75" customHeight="1">
      <c r="AO878" s="477"/>
    </row>
    <row r="879" ht="15.75" customHeight="1">
      <c r="AO879" s="477"/>
    </row>
    <row r="880" ht="15.75" customHeight="1">
      <c r="AO880" s="477"/>
    </row>
    <row r="881" ht="15.75" customHeight="1">
      <c r="AO881" s="477"/>
    </row>
    <row r="882" ht="15.75" customHeight="1">
      <c r="AO882" s="477"/>
    </row>
    <row r="883" ht="15.75" customHeight="1">
      <c r="AO883" s="477"/>
    </row>
    <row r="884" ht="15.75" customHeight="1">
      <c r="AO884" s="477"/>
    </row>
    <row r="885" ht="15.75" customHeight="1">
      <c r="AO885" s="477"/>
    </row>
    <row r="886" ht="15.75" customHeight="1">
      <c r="AO886" s="477"/>
    </row>
    <row r="887" ht="15.75" customHeight="1">
      <c r="AO887" s="477"/>
    </row>
    <row r="888" ht="15.75" customHeight="1">
      <c r="AO888" s="477"/>
    </row>
    <row r="889" ht="15.75" customHeight="1">
      <c r="AO889" s="477"/>
    </row>
    <row r="890" ht="15.75" customHeight="1">
      <c r="AO890" s="477"/>
    </row>
    <row r="891" ht="15.75" customHeight="1">
      <c r="AO891" s="477"/>
    </row>
    <row r="892" ht="15.75" customHeight="1">
      <c r="AO892" s="477"/>
    </row>
    <row r="893" ht="15.75" customHeight="1">
      <c r="AO893" s="477"/>
    </row>
    <row r="894" ht="15.75" customHeight="1">
      <c r="AO894" s="477"/>
    </row>
    <row r="895" ht="15.75" customHeight="1">
      <c r="AO895" s="477"/>
    </row>
    <row r="896" ht="15.75" customHeight="1">
      <c r="AO896" s="477"/>
    </row>
    <row r="897" ht="15.75" customHeight="1">
      <c r="AO897" s="477"/>
    </row>
    <row r="898" ht="15.75" customHeight="1">
      <c r="AO898" s="477"/>
    </row>
    <row r="899" ht="15.75" customHeight="1">
      <c r="AO899" s="477"/>
    </row>
    <row r="900" ht="15.75" customHeight="1">
      <c r="AO900" s="477"/>
    </row>
    <row r="901" ht="15.75" customHeight="1">
      <c r="AO901" s="477"/>
    </row>
    <row r="902" ht="15.75" customHeight="1">
      <c r="AO902" s="477"/>
    </row>
    <row r="903" ht="15.75" customHeight="1">
      <c r="AO903" s="477"/>
    </row>
    <row r="904" ht="15.75" customHeight="1">
      <c r="AO904" s="477"/>
    </row>
    <row r="905" ht="15.75" customHeight="1">
      <c r="AO905" s="477"/>
    </row>
    <row r="906" ht="15.75" customHeight="1">
      <c r="AO906" s="477"/>
    </row>
    <row r="907" ht="15.75" customHeight="1">
      <c r="AO907" s="477"/>
    </row>
    <row r="908" ht="15.75" customHeight="1">
      <c r="AO908" s="477"/>
    </row>
    <row r="909" ht="15.75" customHeight="1">
      <c r="AO909" s="477"/>
    </row>
    <row r="910" ht="15.75" customHeight="1">
      <c r="AO910" s="477"/>
    </row>
    <row r="911" ht="15.75" customHeight="1">
      <c r="AO911" s="477"/>
    </row>
    <row r="912" ht="15.75" customHeight="1">
      <c r="AO912" s="477"/>
    </row>
    <row r="913" ht="15.75" customHeight="1">
      <c r="AO913" s="477"/>
    </row>
    <row r="914" ht="15.75" customHeight="1">
      <c r="AO914" s="477"/>
    </row>
    <row r="915" ht="15.75" customHeight="1">
      <c r="AO915" s="477"/>
    </row>
    <row r="916" ht="15.75" customHeight="1">
      <c r="AO916" s="477"/>
    </row>
    <row r="917" ht="15.75" customHeight="1">
      <c r="AO917" s="477"/>
    </row>
    <row r="918" ht="15.75" customHeight="1">
      <c r="AO918" s="477"/>
    </row>
    <row r="919" ht="15.75" customHeight="1">
      <c r="AO919" s="477"/>
    </row>
    <row r="920" ht="15.75" customHeight="1">
      <c r="AO920" s="477"/>
    </row>
    <row r="921" ht="15.75" customHeight="1">
      <c r="AO921" s="477"/>
    </row>
    <row r="922" ht="15.75" customHeight="1">
      <c r="AO922" s="477"/>
    </row>
    <row r="923" ht="15.75" customHeight="1">
      <c r="AO923" s="477"/>
    </row>
    <row r="924" ht="15.75" customHeight="1">
      <c r="AO924" s="477"/>
    </row>
    <row r="925" ht="15.75" customHeight="1">
      <c r="AO925" s="477"/>
    </row>
    <row r="926" ht="15.75" customHeight="1">
      <c r="AO926" s="477"/>
    </row>
    <row r="927" ht="15.75" customHeight="1">
      <c r="AO927" s="477"/>
    </row>
    <row r="928" ht="15.75" customHeight="1">
      <c r="AO928" s="477"/>
    </row>
    <row r="929" ht="15.75" customHeight="1">
      <c r="AO929" s="477"/>
    </row>
    <row r="930" ht="15.75" customHeight="1">
      <c r="AO930" s="477"/>
    </row>
    <row r="931" ht="15.75" customHeight="1">
      <c r="AO931" s="477"/>
    </row>
    <row r="932" ht="15.75" customHeight="1">
      <c r="AO932" s="477"/>
    </row>
    <row r="933" ht="15.75" customHeight="1">
      <c r="AO933" s="477"/>
    </row>
    <row r="934" ht="15.75" customHeight="1">
      <c r="AO934" s="477"/>
    </row>
    <row r="935" ht="15.75" customHeight="1">
      <c r="AO935" s="477"/>
    </row>
    <row r="936" ht="15.75" customHeight="1">
      <c r="AO936" s="477"/>
    </row>
    <row r="937" ht="15.75" customHeight="1">
      <c r="AO937" s="477"/>
    </row>
    <row r="938" ht="15.75" customHeight="1">
      <c r="AO938" s="477"/>
    </row>
    <row r="939" ht="15.75" customHeight="1">
      <c r="AO939" s="477"/>
    </row>
    <row r="940" ht="15.75" customHeight="1">
      <c r="AO940" s="477"/>
    </row>
    <row r="941" ht="15.75" customHeight="1">
      <c r="AO941" s="477"/>
    </row>
    <row r="942" ht="15.75" customHeight="1">
      <c r="AO942" s="477"/>
    </row>
    <row r="943" ht="15.75" customHeight="1">
      <c r="AO943" s="477"/>
    </row>
    <row r="944" ht="15.75" customHeight="1">
      <c r="AO944" s="477"/>
    </row>
    <row r="945" ht="15.75" customHeight="1">
      <c r="AO945" s="477"/>
    </row>
    <row r="946" ht="15.75" customHeight="1">
      <c r="AO946" s="477"/>
    </row>
    <row r="947" ht="15.75" customHeight="1">
      <c r="AO947" s="477"/>
    </row>
    <row r="948" ht="15.75" customHeight="1">
      <c r="AO948" s="477"/>
    </row>
    <row r="949" ht="15.75" customHeight="1">
      <c r="AO949" s="477"/>
    </row>
    <row r="950" ht="15.75" customHeight="1">
      <c r="AO950" s="477"/>
    </row>
    <row r="951" ht="15.75" customHeight="1">
      <c r="AO951" s="477"/>
    </row>
    <row r="952" ht="15.75" customHeight="1">
      <c r="AO952" s="477"/>
    </row>
    <row r="953" ht="15.75" customHeight="1">
      <c r="AO953" s="477"/>
    </row>
    <row r="954" ht="15.75" customHeight="1">
      <c r="AO954" s="477"/>
    </row>
    <row r="955" ht="15.75" customHeight="1">
      <c r="AO955" s="477"/>
    </row>
    <row r="956" ht="15.75" customHeight="1">
      <c r="AO956" s="477"/>
    </row>
    <row r="957" ht="15.75" customHeight="1">
      <c r="AO957" s="477"/>
    </row>
    <row r="958" ht="15.75" customHeight="1">
      <c r="AO958" s="477"/>
    </row>
    <row r="959" ht="15.75" customHeight="1">
      <c r="AO959" s="477"/>
    </row>
    <row r="960" ht="15.75" customHeight="1">
      <c r="AO960" s="477"/>
    </row>
    <row r="961" ht="15.75" customHeight="1">
      <c r="AO961" s="477"/>
    </row>
    <row r="962" ht="15.75" customHeight="1">
      <c r="AO962" s="477"/>
    </row>
    <row r="963" ht="15.75" customHeight="1">
      <c r="AO963" s="477"/>
    </row>
    <row r="964" ht="15.75" customHeight="1">
      <c r="AO964" s="477"/>
    </row>
    <row r="965" ht="15.75" customHeight="1">
      <c r="AO965" s="477"/>
    </row>
    <row r="966" ht="15.75" customHeight="1">
      <c r="AO966" s="477"/>
    </row>
    <row r="967" ht="15.75" customHeight="1">
      <c r="AO967" s="477"/>
    </row>
    <row r="968" ht="15.75" customHeight="1">
      <c r="AO968" s="477"/>
    </row>
    <row r="969" ht="15.75" customHeight="1">
      <c r="AO969" s="477"/>
    </row>
    <row r="970" ht="15.75" customHeight="1">
      <c r="AO970" s="477"/>
    </row>
    <row r="971" ht="15.75" customHeight="1">
      <c r="AO971" s="477"/>
    </row>
    <row r="972" ht="15.75" customHeight="1">
      <c r="AO972" s="477"/>
    </row>
    <row r="973" ht="15.75" customHeight="1">
      <c r="AO973" s="477"/>
    </row>
    <row r="974" ht="15.75" customHeight="1">
      <c r="AO974" s="477"/>
    </row>
    <row r="975" ht="15.75" customHeight="1">
      <c r="AO975" s="477"/>
    </row>
    <row r="976" ht="15.75" customHeight="1">
      <c r="AO976" s="477"/>
    </row>
    <row r="977" ht="15.75" customHeight="1">
      <c r="AO977" s="477"/>
    </row>
    <row r="978" ht="15.75" customHeight="1">
      <c r="AO978" s="477"/>
    </row>
    <row r="979" ht="15.75" customHeight="1">
      <c r="AO979" s="477"/>
    </row>
    <row r="980" ht="15.75" customHeight="1">
      <c r="AO980" s="477"/>
    </row>
    <row r="981" ht="15.75" customHeight="1">
      <c r="AO981" s="477"/>
    </row>
    <row r="982" ht="15.75" customHeight="1">
      <c r="AO982" s="477"/>
    </row>
    <row r="983" ht="15.75" customHeight="1">
      <c r="AO983" s="477"/>
    </row>
    <row r="984" ht="15.75" customHeight="1">
      <c r="AO984" s="477"/>
    </row>
    <row r="985" ht="15.75" customHeight="1">
      <c r="AO985" s="477"/>
    </row>
    <row r="986" ht="15.75" customHeight="1">
      <c r="AO986" s="477"/>
    </row>
    <row r="987" ht="15.75" customHeight="1">
      <c r="AO987" s="477"/>
    </row>
  </sheetData>
  <autoFilter ref="$A$1:$CI$987"/>
  <hyperlinks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8"/>
    <hyperlink r:id="rId12" ref="G19"/>
    <hyperlink r:id="rId13" ref="G21"/>
    <hyperlink r:id="rId14" ref="G22"/>
    <hyperlink r:id="rId15" ref="G26"/>
    <hyperlink r:id="rId16" ref="G28"/>
    <hyperlink r:id="rId17" ref="G29"/>
    <hyperlink r:id="rId18" ref="G30"/>
    <hyperlink r:id="rId19" ref="G37"/>
    <hyperlink r:id="rId20" ref="G40"/>
    <hyperlink r:id="rId21" ref="G42"/>
    <hyperlink r:id="rId22" ref="G45"/>
    <hyperlink r:id="rId23" ref="G52"/>
    <hyperlink r:id="rId24" ref="G53"/>
  </hyperlinks>
  <printOptions/>
  <pageMargins bottom="0.75" footer="0.0" header="0.0" left="0.7" right="0.7" top="0.75"/>
  <pageSetup orientation="landscape"/>
  <drawing r:id="rId25"/>
  <legacyDrawing r:id="rId2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2" max="2" width="40.43"/>
    <col customWidth="1" min="3" max="3" width="21.57"/>
    <col customWidth="1" min="4" max="4" width="15.43"/>
    <col customWidth="1" min="5" max="5" width="11.57"/>
    <col customWidth="1" min="6" max="6" width="20.0"/>
    <col customWidth="1" min="7" max="7" width="21.71"/>
    <col customWidth="1" min="8" max="25" width="9.14"/>
  </cols>
  <sheetData>
    <row r="1">
      <c r="A1" s="621" t="s">
        <v>2674</v>
      </c>
      <c r="B1" s="622" t="s">
        <v>1</v>
      </c>
      <c r="C1" s="623" t="s">
        <v>9</v>
      </c>
      <c r="D1" s="155" t="s">
        <v>2764</v>
      </c>
    </row>
    <row r="2">
      <c r="A2" s="624">
        <v>1.0</v>
      </c>
      <c r="B2" s="448" t="s">
        <v>90</v>
      </c>
      <c r="C2" s="155" t="s">
        <v>97</v>
      </c>
      <c r="D2" s="155" t="s">
        <v>41</v>
      </c>
    </row>
    <row r="3" ht="15.0" customHeight="1">
      <c r="A3" s="624">
        <v>2.0</v>
      </c>
      <c r="B3" s="452" t="s">
        <v>109</v>
      </c>
      <c r="C3" s="98" t="s">
        <v>115</v>
      </c>
      <c r="D3" s="155" t="s">
        <v>41</v>
      </c>
    </row>
    <row r="4" ht="15.0" customHeight="1">
      <c r="A4" s="624">
        <v>3.0</v>
      </c>
      <c r="B4" s="124" t="s">
        <v>142</v>
      </c>
      <c r="C4" s="489" t="s">
        <v>97</v>
      </c>
      <c r="D4" s="155" t="s">
        <v>41</v>
      </c>
    </row>
    <row r="5" ht="15.75" customHeight="1">
      <c r="A5" s="624">
        <v>4.0</v>
      </c>
      <c r="B5" s="45" t="s">
        <v>153</v>
      </c>
      <c r="C5" s="155" t="s">
        <v>115</v>
      </c>
      <c r="D5" s="155" t="s">
        <v>41</v>
      </c>
    </row>
    <row r="6" ht="15.0" customHeight="1">
      <c r="A6" s="624">
        <v>5.0</v>
      </c>
      <c r="B6" s="45" t="s">
        <v>167</v>
      </c>
      <c r="C6" s="155" t="s">
        <v>172</v>
      </c>
      <c r="D6" s="155" t="s">
        <v>41</v>
      </c>
    </row>
    <row r="7" ht="15.0" customHeight="1">
      <c r="A7" s="624">
        <v>6.0</v>
      </c>
      <c r="B7" s="38" t="s">
        <v>181</v>
      </c>
      <c r="C7" s="25" t="s">
        <v>97</v>
      </c>
      <c r="D7" s="155" t="s">
        <v>41</v>
      </c>
    </row>
    <row r="8" ht="15.0" customHeight="1">
      <c r="A8" s="624">
        <v>7.0</v>
      </c>
      <c r="B8" s="45" t="s">
        <v>195</v>
      </c>
      <c r="C8" s="25" t="s">
        <v>97</v>
      </c>
      <c r="D8" s="155" t="s">
        <v>41</v>
      </c>
    </row>
    <row r="9" ht="15.0" customHeight="1">
      <c r="A9" s="624">
        <v>8.0</v>
      </c>
      <c r="B9" s="45" t="s">
        <v>208</v>
      </c>
      <c r="C9" s="155" t="s">
        <v>97</v>
      </c>
      <c r="D9" s="155" t="s">
        <v>41</v>
      </c>
    </row>
    <row r="10" ht="15.0" customHeight="1">
      <c r="A10" s="624">
        <v>9.0</v>
      </c>
      <c r="B10" s="124" t="s">
        <v>231</v>
      </c>
      <c r="C10" s="8" t="s">
        <v>97</v>
      </c>
      <c r="D10" s="155" t="s">
        <v>41</v>
      </c>
    </row>
    <row r="11">
      <c r="A11" s="624">
        <v>10.0</v>
      </c>
      <c r="B11" s="45" t="s">
        <v>243</v>
      </c>
      <c r="C11" s="25" t="s">
        <v>97</v>
      </c>
      <c r="D11" s="155" t="s">
        <v>41</v>
      </c>
    </row>
    <row r="12" ht="16.5" customHeight="1">
      <c r="A12" s="624">
        <v>11.0</v>
      </c>
      <c r="B12" s="45" t="s">
        <v>256</v>
      </c>
      <c r="C12" s="25" t="s">
        <v>97</v>
      </c>
      <c r="D12" s="155" t="s">
        <v>41</v>
      </c>
    </row>
    <row r="13">
      <c r="A13" s="624">
        <v>12.0</v>
      </c>
      <c r="B13" s="45" t="s">
        <v>268</v>
      </c>
      <c r="C13" s="155" t="s">
        <v>115</v>
      </c>
      <c r="D13" s="155" t="s">
        <v>41</v>
      </c>
    </row>
    <row r="14">
      <c r="A14" s="624">
        <v>13.0</v>
      </c>
      <c r="B14" s="45" t="s">
        <v>278</v>
      </c>
      <c r="C14" s="25" t="s">
        <v>97</v>
      </c>
      <c r="D14" s="155" t="s">
        <v>41</v>
      </c>
    </row>
    <row r="15">
      <c r="A15" s="624">
        <v>14.0</v>
      </c>
      <c r="B15" s="45" t="s">
        <v>293</v>
      </c>
      <c r="C15" s="45" t="s">
        <v>97</v>
      </c>
      <c r="D15" s="155" t="s">
        <v>41</v>
      </c>
    </row>
    <row r="16">
      <c r="A16" s="624">
        <v>15.0</v>
      </c>
      <c r="B16" s="45" t="s">
        <v>304</v>
      </c>
      <c r="C16" s="25" t="s">
        <v>97</v>
      </c>
      <c r="D16" s="155" t="s">
        <v>41</v>
      </c>
    </row>
    <row r="17">
      <c r="A17" s="624">
        <v>16.0</v>
      </c>
      <c r="B17" s="45" t="s">
        <v>318</v>
      </c>
      <c r="C17" s="25" t="s">
        <v>97</v>
      </c>
      <c r="D17" s="155" t="s">
        <v>41</v>
      </c>
    </row>
    <row r="18">
      <c r="A18" s="624">
        <v>17.0</v>
      </c>
      <c r="B18" s="625" t="s">
        <v>326</v>
      </c>
      <c r="C18" s="155" t="s">
        <v>2765</v>
      </c>
      <c r="D18" s="155" t="s">
        <v>41</v>
      </c>
    </row>
    <row r="19" ht="15.75" customHeight="1">
      <c r="A19" s="624">
        <v>18.0</v>
      </c>
      <c r="B19" s="45" t="s">
        <v>338</v>
      </c>
      <c r="C19" s="25" t="s">
        <v>97</v>
      </c>
      <c r="D19" s="155" t="s">
        <v>41</v>
      </c>
    </row>
    <row r="20" ht="15.75" customHeight="1">
      <c r="A20" s="624">
        <v>19.0</v>
      </c>
      <c r="B20" s="45" t="s">
        <v>352</v>
      </c>
      <c r="C20" s="155" t="s">
        <v>355</v>
      </c>
      <c r="D20" s="155" t="s">
        <v>41</v>
      </c>
    </row>
    <row r="21" ht="15.75" customHeight="1">
      <c r="A21" s="624">
        <v>20.0</v>
      </c>
      <c r="B21" s="45" t="s">
        <v>369</v>
      </c>
      <c r="C21" s="155" t="s">
        <v>374</v>
      </c>
      <c r="D21" s="155" t="s">
        <v>41</v>
      </c>
    </row>
    <row r="22" ht="15.75" customHeight="1">
      <c r="A22" s="624">
        <v>21.0</v>
      </c>
      <c r="B22" s="45" t="s">
        <v>383</v>
      </c>
      <c r="C22" s="155" t="s">
        <v>355</v>
      </c>
      <c r="D22" s="155" t="s">
        <v>41</v>
      </c>
    </row>
    <row r="23" ht="15.75" customHeight="1">
      <c r="A23" s="624">
        <v>22.0</v>
      </c>
      <c r="B23" s="45" t="s">
        <v>392</v>
      </c>
      <c r="C23" s="25" t="s">
        <v>97</v>
      </c>
      <c r="D23" s="155" t="s">
        <v>41</v>
      </c>
    </row>
    <row r="24" ht="15.75" customHeight="1">
      <c r="A24" s="624">
        <v>23.0</v>
      </c>
      <c r="B24" s="45" t="s">
        <v>401</v>
      </c>
      <c r="C24" s="155" t="s">
        <v>374</v>
      </c>
      <c r="D24" s="155" t="s">
        <v>41</v>
      </c>
    </row>
    <row r="25" ht="15.75" customHeight="1">
      <c r="A25" s="624">
        <v>24.0</v>
      </c>
      <c r="B25" s="45" t="s">
        <v>413</v>
      </c>
      <c r="C25" s="155" t="s">
        <v>115</v>
      </c>
      <c r="D25" s="155" t="s">
        <v>41</v>
      </c>
    </row>
    <row r="26" ht="15.75" customHeight="1">
      <c r="A26" s="624">
        <v>25.0</v>
      </c>
      <c r="B26" s="124" t="s">
        <v>425</v>
      </c>
      <c r="C26" s="98" t="s">
        <v>97</v>
      </c>
      <c r="D26" s="155" t="s">
        <v>41</v>
      </c>
    </row>
    <row r="27" ht="15.75" customHeight="1">
      <c r="A27" s="624">
        <v>26.0</v>
      </c>
      <c r="B27" s="45" t="s">
        <v>435</v>
      </c>
      <c r="C27" s="155" t="s">
        <v>115</v>
      </c>
      <c r="D27" s="155" t="s">
        <v>41</v>
      </c>
    </row>
    <row r="28" ht="15.75" customHeight="1">
      <c r="A28" s="624">
        <v>27.0</v>
      </c>
      <c r="B28" s="45" t="s">
        <v>455</v>
      </c>
      <c r="C28" s="25" t="s">
        <v>97</v>
      </c>
      <c r="D28" s="155" t="s">
        <v>41</v>
      </c>
    </row>
    <row r="29" ht="15.75" customHeight="1">
      <c r="A29" s="624">
        <v>28.0</v>
      </c>
      <c r="B29" s="45" t="s">
        <v>464</v>
      </c>
      <c r="C29" s="155" t="s">
        <v>115</v>
      </c>
      <c r="D29" s="155" t="s">
        <v>41</v>
      </c>
    </row>
    <row r="30" ht="15.75" customHeight="1">
      <c r="A30" s="624">
        <v>29.0</v>
      </c>
      <c r="B30" s="45" t="s">
        <v>475</v>
      </c>
      <c r="C30" s="155" t="s">
        <v>115</v>
      </c>
      <c r="D30" s="155" t="s">
        <v>41</v>
      </c>
    </row>
    <row r="31" ht="15.75" customHeight="1">
      <c r="A31" s="624">
        <v>30.0</v>
      </c>
      <c r="B31" s="45" t="s">
        <v>486</v>
      </c>
      <c r="C31" s="155" t="s">
        <v>97</v>
      </c>
      <c r="D31" s="155" t="s">
        <v>41</v>
      </c>
    </row>
    <row r="32" ht="15.75" customHeight="1">
      <c r="A32" s="624">
        <v>31.0</v>
      </c>
      <c r="B32" s="45" t="s">
        <v>497</v>
      </c>
      <c r="C32" s="45" t="s">
        <v>503</v>
      </c>
      <c r="D32" s="155" t="s">
        <v>498</v>
      </c>
    </row>
    <row r="33" ht="15.75" customHeight="1">
      <c r="A33" s="624">
        <v>32.0</v>
      </c>
      <c r="B33" s="45" t="s">
        <v>513</v>
      </c>
      <c r="C33" s="626" t="s">
        <v>186</v>
      </c>
      <c r="D33" s="155" t="s">
        <v>2732</v>
      </c>
    </row>
    <row r="34" ht="15.75" customHeight="1">
      <c r="A34" s="624">
        <v>33.0</v>
      </c>
      <c r="B34" s="45" t="s">
        <v>538</v>
      </c>
      <c r="C34" s="155" t="s">
        <v>115</v>
      </c>
      <c r="D34" s="155" t="s">
        <v>41</v>
      </c>
    </row>
    <row r="35" ht="15.75" customHeight="1">
      <c r="A35" s="624">
        <v>34.0</v>
      </c>
      <c r="B35" s="45" t="s">
        <v>552</v>
      </c>
      <c r="C35" s="155" t="s">
        <v>172</v>
      </c>
      <c r="D35" s="155" t="s">
        <v>41</v>
      </c>
    </row>
    <row r="36" ht="15.75" customHeight="1">
      <c r="A36" s="624">
        <v>35.0</v>
      </c>
      <c r="B36" s="45" t="s">
        <v>561</v>
      </c>
      <c r="C36" s="25" t="s">
        <v>97</v>
      </c>
      <c r="D36" s="155" t="s">
        <v>41</v>
      </c>
    </row>
    <row r="37" ht="15.75" customHeight="1">
      <c r="A37" s="624">
        <v>36.0</v>
      </c>
      <c r="B37" s="45" t="s">
        <v>574</v>
      </c>
      <c r="C37" s="25" t="s">
        <v>97</v>
      </c>
      <c r="D37" s="155" t="s">
        <v>498</v>
      </c>
    </row>
    <row r="38" ht="15.75" customHeight="1">
      <c r="A38" s="624">
        <v>37.0</v>
      </c>
      <c r="B38" s="45" t="s">
        <v>599</v>
      </c>
      <c r="C38" s="45" t="s">
        <v>97</v>
      </c>
      <c r="D38" s="155" t="s">
        <v>41</v>
      </c>
    </row>
    <row r="39" ht="15.75" customHeight="1">
      <c r="A39" s="624">
        <v>38.0</v>
      </c>
      <c r="B39" s="45" t="s">
        <v>609</v>
      </c>
      <c r="C39" s="45" t="s">
        <v>97</v>
      </c>
      <c r="D39" s="155" t="s">
        <v>41</v>
      </c>
    </row>
    <row r="40" ht="15.75" customHeight="1">
      <c r="A40" s="624">
        <v>39.0</v>
      </c>
      <c r="B40" s="45" t="s">
        <v>623</v>
      </c>
      <c r="C40" s="155" t="s">
        <v>115</v>
      </c>
      <c r="D40" s="155" t="s">
        <v>41</v>
      </c>
    </row>
    <row r="41" ht="15.0" customHeight="1">
      <c r="A41" s="624">
        <v>40.0</v>
      </c>
      <c r="B41" s="45" t="s">
        <v>635</v>
      </c>
      <c r="C41" s="25" t="s">
        <v>97</v>
      </c>
      <c r="D41" s="155" t="s">
        <v>636</v>
      </c>
    </row>
    <row r="42" ht="15.0" customHeight="1">
      <c r="A42" s="624">
        <v>41.0</v>
      </c>
      <c r="B42" s="45" t="s">
        <v>651</v>
      </c>
      <c r="C42" s="155" t="s">
        <v>172</v>
      </c>
      <c r="D42" s="155" t="s">
        <v>41</v>
      </c>
    </row>
    <row r="43" ht="15.0" customHeight="1">
      <c r="A43" s="624">
        <v>42.0</v>
      </c>
      <c r="B43" s="45" t="s">
        <v>676</v>
      </c>
      <c r="C43" s="25" t="s">
        <v>97</v>
      </c>
      <c r="D43" s="155" t="s">
        <v>84</v>
      </c>
    </row>
    <row r="44" ht="15.0" customHeight="1">
      <c r="A44" s="624">
        <v>43.0</v>
      </c>
      <c r="B44" s="45" t="s">
        <v>691</v>
      </c>
      <c r="C44" s="155" t="s">
        <v>374</v>
      </c>
      <c r="D44" s="155" t="s">
        <v>41</v>
      </c>
    </row>
    <row r="45" ht="15.0" customHeight="1">
      <c r="A45" s="624">
        <v>44.0</v>
      </c>
      <c r="B45" s="45" t="s">
        <v>701</v>
      </c>
      <c r="C45" s="25" t="s">
        <v>97</v>
      </c>
      <c r="D45" s="155" t="s">
        <v>41</v>
      </c>
    </row>
    <row r="46" ht="15.0" customHeight="1">
      <c r="A46" s="624">
        <v>45.0</v>
      </c>
      <c r="B46" s="45" t="s">
        <v>717</v>
      </c>
      <c r="C46" s="25" t="s">
        <v>97</v>
      </c>
      <c r="D46" s="155" t="s">
        <v>41</v>
      </c>
    </row>
    <row r="47" ht="15.0" customHeight="1">
      <c r="A47" s="624">
        <v>46.0</v>
      </c>
      <c r="B47" s="45" t="s">
        <v>728</v>
      </c>
      <c r="C47" s="25" t="s">
        <v>97</v>
      </c>
      <c r="D47" s="155" t="s">
        <v>729</v>
      </c>
    </row>
    <row r="48" ht="15.0" customHeight="1">
      <c r="A48" s="624">
        <v>47.0</v>
      </c>
      <c r="B48" s="45" t="s">
        <v>742</v>
      </c>
      <c r="C48" s="25" t="s">
        <v>97</v>
      </c>
      <c r="D48" s="155" t="s">
        <v>2732</v>
      </c>
    </row>
    <row r="49" ht="15.0" customHeight="1">
      <c r="A49" s="624">
        <v>48.0</v>
      </c>
      <c r="B49" s="496" t="s">
        <v>754</v>
      </c>
      <c r="C49" s="346" t="s">
        <v>115</v>
      </c>
      <c r="D49" s="155" t="s">
        <v>2732</v>
      </c>
    </row>
    <row r="50" ht="15.75" customHeight="1">
      <c r="A50" s="624">
        <v>49.0</v>
      </c>
      <c r="B50" s="496" t="s">
        <v>766</v>
      </c>
      <c r="C50" s="155" t="s">
        <v>115</v>
      </c>
      <c r="D50" s="155" t="s">
        <v>2732</v>
      </c>
    </row>
    <row r="51" ht="16.5" customHeight="1">
      <c r="A51" s="624">
        <v>50.0</v>
      </c>
      <c r="B51" s="627" t="s">
        <v>777</v>
      </c>
      <c r="C51" s="25" t="s">
        <v>97</v>
      </c>
      <c r="D51" s="155" t="s">
        <v>2732</v>
      </c>
    </row>
    <row r="52" ht="15.75" customHeight="1">
      <c r="A52" s="628">
        <v>51.0</v>
      </c>
      <c r="B52" s="45" t="s">
        <v>839</v>
      </c>
      <c r="C52" s="155" t="s">
        <v>355</v>
      </c>
      <c r="D52" s="155" t="s">
        <v>41</v>
      </c>
    </row>
    <row r="53" ht="16.5" customHeight="1">
      <c r="A53" s="624">
        <v>52.0</v>
      </c>
      <c r="B53" s="103" t="s">
        <v>861</v>
      </c>
      <c r="C53" s="45" t="s">
        <v>186</v>
      </c>
      <c r="D53" s="155" t="s">
        <v>498</v>
      </c>
    </row>
    <row r="54" ht="15.75" customHeight="1">
      <c r="A54" s="624">
        <v>53.0</v>
      </c>
      <c r="B54" s="629" t="s">
        <v>893</v>
      </c>
      <c r="C54" s="25" t="s">
        <v>97</v>
      </c>
      <c r="D54" s="155" t="s">
        <v>498</v>
      </c>
    </row>
    <row r="55" ht="15.75" customHeight="1">
      <c r="A55" s="624">
        <v>54.0</v>
      </c>
      <c r="B55" s="496" t="s">
        <v>905</v>
      </c>
      <c r="C55" s="155" t="s">
        <v>97</v>
      </c>
      <c r="D55" s="155" t="s">
        <v>498</v>
      </c>
    </row>
    <row r="56" ht="15.75" customHeight="1">
      <c r="A56" s="624">
        <v>55.0</v>
      </c>
      <c r="B56" s="103" t="s">
        <v>935</v>
      </c>
      <c r="C56" s="45" t="s">
        <v>503</v>
      </c>
      <c r="D56" s="155" t="s">
        <v>636</v>
      </c>
    </row>
    <row r="57" ht="14.25" customHeight="1">
      <c r="A57" s="624">
        <v>56.0</v>
      </c>
      <c r="B57" s="496" t="s">
        <v>950</v>
      </c>
      <c r="C57" s="25" t="s">
        <v>97</v>
      </c>
      <c r="D57" s="155" t="s">
        <v>2732</v>
      </c>
    </row>
    <row r="58" ht="15.75" customHeight="1">
      <c r="A58" s="624">
        <v>57.0</v>
      </c>
      <c r="B58" s="496" t="s">
        <v>2666</v>
      </c>
      <c r="C58" s="45" t="s">
        <v>503</v>
      </c>
      <c r="D58" s="155" t="s">
        <v>2732</v>
      </c>
    </row>
    <row r="59" ht="15.75" customHeight="1">
      <c r="A59" s="624">
        <v>58.0</v>
      </c>
      <c r="B59" s="243" t="s">
        <v>979</v>
      </c>
      <c r="C59" s="237" t="s">
        <v>97</v>
      </c>
      <c r="D59" s="237" t="s">
        <v>498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</row>
    <row r="60" ht="15.75" customHeight="1">
      <c r="A60" s="624">
        <v>59.0</v>
      </c>
      <c r="B60" s="103" t="s">
        <v>2766</v>
      </c>
      <c r="C60" s="103" t="s">
        <v>503</v>
      </c>
      <c r="D60" s="237" t="s">
        <v>636</v>
      </c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</row>
    <row r="61" ht="15.75" customHeight="1">
      <c r="A61" s="624">
        <v>60.0</v>
      </c>
      <c r="B61" s="103" t="s">
        <v>1025</v>
      </c>
      <c r="C61" s="103" t="s">
        <v>97</v>
      </c>
      <c r="D61" s="237" t="s">
        <v>41</v>
      </c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</row>
    <row r="62" ht="15.75" customHeight="1">
      <c r="A62" s="624">
        <v>61.0</v>
      </c>
      <c r="B62" s="38" t="s">
        <v>1037</v>
      </c>
      <c r="C62" s="237" t="s">
        <v>115</v>
      </c>
      <c r="D62" s="237" t="s">
        <v>41</v>
      </c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</row>
    <row r="63" ht="15.75" customHeight="1">
      <c r="A63" s="624">
        <v>62.0</v>
      </c>
      <c r="B63" s="38" t="s">
        <v>1065</v>
      </c>
      <c r="C63" s="237" t="s">
        <v>115</v>
      </c>
      <c r="D63" s="237" t="s">
        <v>2732</v>
      </c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</row>
    <row r="64" ht="15.75" customHeight="1">
      <c r="A64" s="624">
        <v>63.0</v>
      </c>
      <c r="B64" s="103" t="s">
        <v>1078</v>
      </c>
      <c r="C64" s="25" t="s">
        <v>97</v>
      </c>
      <c r="D64" s="237" t="s">
        <v>41</v>
      </c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</row>
    <row r="65" ht="15.75" customHeight="1">
      <c r="A65" s="624">
        <v>64.0</v>
      </c>
      <c r="B65" s="38" t="s">
        <v>1090</v>
      </c>
      <c r="C65" s="25" t="s">
        <v>97</v>
      </c>
      <c r="D65" s="237" t="s">
        <v>41</v>
      </c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</row>
    <row r="66" ht="15.75" customHeight="1">
      <c r="A66" s="624">
        <v>65.0</v>
      </c>
      <c r="B66" s="103" t="s">
        <v>1103</v>
      </c>
      <c r="C66" s="103" t="s">
        <v>97</v>
      </c>
      <c r="D66" s="237" t="s">
        <v>729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</row>
    <row r="67" ht="15.75" customHeight="1">
      <c r="A67" s="624">
        <v>66.0</v>
      </c>
      <c r="B67" s="38" t="s">
        <v>1138</v>
      </c>
      <c r="C67" s="237" t="s">
        <v>97</v>
      </c>
      <c r="D67" s="237" t="s">
        <v>1139</v>
      </c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</row>
    <row r="68" ht="15.75" customHeight="1">
      <c r="A68" s="624">
        <v>67.0</v>
      </c>
      <c r="B68" s="38" t="s">
        <v>1149</v>
      </c>
      <c r="C68" s="103" t="s">
        <v>503</v>
      </c>
      <c r="D68" s="237" t="s">
        <v>636</v>
      </c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</row>
    <row r="69" ht="15.75" customHeight="1">
      <c r="A69" s="624">
        <v>68.0</v>
      </c>
      <c r="B69" s="38" t="s">
        <v>1164</v>
      </c>
      <c r="C69" s="17" t="s">
        <v>97</v>
      </c>
      <c r="D69" s="237" t="s">
        <v>1139</v>
      </c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</row>
    <row r="70" ht="15.75" customHeight="1">
      <c r="A70" s="624">
        <v>69.0</v>
      </c>
      <c r="B70" s="38" t="s">
        <v>1195</v>
      </c>
      <c r="C70" s="237" t="s">
        <v>115</v>
      </c>
      <c r="D70" s="237" t="s">
        <v>1139</v>
      </c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</row>
    <row r="71" ht="15.75" customHeight="1">
      <c r="A71" s="277">
        <v>70.0</v>
      </c>
      <c r="B71" s="38" t="s">
        <v>1221</v>
      </c>
      <c r="C71" s="237" t="s">
        <v>115</v>
      </c>
      <c r="D71" s="237" t="s">
        <v>1139</v>
      </c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ht="15.75" customHeight="1">
      <c r="A72" s="277">
        <v>72.0</v>
      </c>
      <c r="B72" s="38" t="s">
        <v>1297</v>
      </c>
      <c r="C72" s="103" t="s">
        <v>1119</v>
      </c>
      <c r="D72" s="237" t="s">
        <v>729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ht="15.75" customHeight="1">
      <c r="A73" s="277">
        <v>73.0</v>
      </c>
      <c r="B73" s="38" t="s">
        <v>1309</v>
      </c>
      <c r="C73" s="103" t="s">
        <v>1119</v>
      </c>
      <c r="D73" s="237" t="s">
        <v>729</v>
      </c>
      <c r="E73" s="103"/>
      <c r="F73" s="103"/>
      <c r="G73" s="103"/>
    </row>
    <row r="74" ht="15.75" customHeight="1">
      <c r="A74" s="630">
        <v>74.0</v>
      </c>
      <c r="B74" s="28" t="s">
        <v>1321</v>
      </c>
      <c r="C74" s="45" t="s">
        <v>503</v>
      </c>
      <c r="D74" s="237" t="s">
        <v>636</v>
      </c>
      <c r="E74" s="103"/>
      <c r="F74" s="103"/>
      <c r="G74" s="103"/>
    </row>
    <row r="75" ht="15.75" customHeight="1">
      <c r="A75" s="277">
        <v>75.0</v>
      </c>
      <c r="B75" s="38" t="s">
        <v>1345</v>
      </c>
      <c r="C75" s="25" t="s">
        <v>97</v>
      </c>
      <c r="D75" s="155" t="s">
        <v>1139</v>
      </c>
    </row>
    <row r="76" ht="15.75" customHeight="1">
      <c r="A76" s="277">
        <v>76.0</v>
      </c>
      <c r="B76" s="155" t="s">
        <v>1398</v>
      </c>
      <c r="C76" s="155" t="s">
        <v>115</v>
      </c>
      <c r="D76" s="155" t="s">
        <v>498</v>
      </c>
    </row>
    <row r="77" ht="15.75" customHeight="1">
      <c r="A77" s="630">
        <v>77.0</v>
      </c>
      <c r="B77" s="279" t="s">
        <v>1423</v>
      </c>
      <c r="C77" s="484" t="s">
        <v>2767</v>
      </c>
      <c r="D77" s="252" t="s">
        <v>2768</v>
      </c>
    </row>
    <row r="78" ht="15.75" customHeight="1">
      <c r="A78" s="277">
        <v>78.0</v>
      </c>
      <c r="B78" s="279" t="s">
        <v>1457</v>
      </c>
      <c r="C78" s="155" t="s">
        <v>115</v>
      </c>
      <c r="D78" s="155" t="s">
        <v>2732</v>
      </c>
    </row>
    <row r="79" ht="15.75" customHeight="1">
      <c r="A79" s="277">
        <v>79.0</v>
      </c>
      <c r="B79" s="279" t="s">
        <v>1469</v>
      </c>
      <c r="C79" s="484" t="s">
        <v>503</v>
      </c>
      <c r="D79" s="155" t="s">
        <v>636</v>
      </c>
    </row>
    <row r="80" ht="15.75" customHeight="1">
      <c r="A80" s="277">
        <v>80.0</v>
      </c>
      <c r="B80" s="279" t="s">
        <v>1485</v>
      </c>
      <c r="C80" s="484" t="s">
        <v>2767</v>
      </c>
      <c r="D80" s="252" t="s">
        <v>2768</v>
      </c>
    </row>
    <row r="81" ht="15.75" customHeight="1">
      <c r="A81" s="277">
        <v>81.0</v>
      </c>
      <c r="B81" s="155" t="s">
        <v>1498</v>
      </c>
      <c r="C81" s="25" t="s">
        <v>97</v>
      </c>
      <c r="D81" s="155" t="s">
        <v>2732</v>
      </c>
    </row>
    <row r="82" ht="15.75" customHeight="1">
      <c r="A82" s="630">
        <v>82.0</v>
      </c>
      <c r="B82" s="52" t="s">
        <v>2769</v>
      </c>
      <c r="C82" s="103" t="s">
        <v>1119</v>
      </c>
      <c r="D82" s="155" t="s">
        <v>729</v>
      </c>
    </row>
    <row r="83" ht="15.75" customHeight="1">
      <c r="A83" s="630">
        <v>83.0</v>
      </c>
      <c r="B83" s="408" t="s">
        <v>1531</v>
      </c>
      <c r="C83" s="155" t="s">
        <v>97</v>
      </c>
      <c r="D83" s="155" t="s">
        <v>1139</v>
      </c>
    </row>
    <row r="84" ht="15.75" customHeight="1">
      <c r="A84" s="277">
        <v>84.0</v>
      </c>
      <c r="B84" s="52" t="s">
        <v>1556</v>
      </c>
      <c r="C84" s="25" t="s">
        <v>97</v>
      </c>
      <c r="D84" s="155" t="s">
        <v>84</v>
      </c>
    </row>
    <row r="85" ht="15.75" customHeight="1">
      <c r="A85" s="630">
        <v>85.0</v>
      </c>
      <c r="B85" s="52" t="s">
        <v>1569</v>
      </c>
      <c r="C85" s="103" t="s">
        <v>1119</v>
      </c>
      <c r="D85" s="155" t="s">
        <v>729</v>
      </c>
    </row>
    <row r="86" ht="15.75" customHeight="1">
      <c r="A86" s="277">
        <v>86.0</v>
      </c>
      <c r="B86" s="52" t="s">
        <v>1582</v>
      </c>
      <c r="C86" s="155" t="s">
        <v>115</v>
      </c>
      <c r="D86" s="155" t="s">
        <v>84</v>
      </c>
    </row>
    <row r="87" ht="15.75" customHeight="1">
      <c r="A87" s="277">
        <v>87.0</v>
      </c>
      <c r="B87" s="52" t="s">
        <v>1593</v>
      </c>
      <c r="C87" s="484" t="s">
        <v>503</v>
      </c>
      <c r="D87" s="155" t="s">
        <v>636</v>
      </c>
    </row>
    <row r="88" ht="15.75" customHeight="1">
      <c r="A88" s="630">
        <v>88.0</v>
      </c>
      <c r="B88" s="52" t="s">
        <v>1607</v>
      </c>
      <c r="C88" s="155" t="s">
        <v>115</v>
      </c>
      <c r="D88" s="155" t="s">
        <v>84</v>
      </c>
    </row>
    <row r="89" ht="15.75" customHeight="1">
      <c r="A89" s="277">
        <v>89.0</v>
      </c>
      <c r="B89" s="357" t="s">
        <v>1636</v>
      </c>
      <c r="C89" s="25" t="s">
        <v>97</v>
      </c>
      <c r="D89" s="155" t="s">
        <v>84</v>
      </c>
    </row>
    <row r="90" ht="15.75" customHeight="1">
      <c r="A90" s="370">
        <v>90.0</v>
      </c>
      <c r="B90" s="52" t="s">
        <v>1649</v>
      </c>
      <c r="C90" s="25" t="s">
        <v>97</v>
      </c>
      <c r="D90" s="155" t="s">
        <v>84</v>
      </c>
    </row>
    <row r="91" ht="15.75" customHeight="1">
      <c r="A91" s="370">
        <v>91.0</v>
      </c>
      <c r="B91" s="52" t="s">
        <v>1663</v>
      </c>
      <c r="C91" s="25" t="s">
        <v>97</v>
      </c>
      <c r="D91" s="155" t="s">
        <v>84</v>
      </c>
    </row>
    <row r="92" ht="15.75" customHeight="1">
      <c r="A92" s="631">
        <v>92.0</v>
      </c>
      <c r="B92" s="357" t="s">
        <v>1687</v>
      </c>
      <c r="C92" s="155" t="s">
        <v>97</v>
      </c>
      <c r="D92" s="155" t="s">
        <v>84</v>
      </c>
      <c r="E92" s="252"/>
    </row>
    <row r="93" ht="15.75" customHeight="1">
      <c r="A93" s="631">
        <v>93.0</v>
      </c>
      <c r="B93" s="52" t="s">
        <v>1708</v>
      </c>
      <c r="C93" s="484" t="s">
        <v>355</v>
      </c>
      <c r="D93" s="155" t="s">
        <v>498</v>
      </c>
    </row>
    <row r="94" ht="15.75" customHeight="1">
      <c r="A94" s="631">
        <v>94.0</v>
      </c>
      <c r="B94" s="52" t="s">
        <v>2770</v>
      </c>
      <c r="C94" s="484" t="s">
        <v>172</v>
      </c>
      <c r="D94" s="155" t="s">
        <v>498</v>
      </c>
    </row>
    <row r="95" ht="15.75" customHeight="1">
      <c r="A95" s="370">
        <v>95.0</v>
      </c>
      <c r="B95" s="357" t="s">
        <v>1726</v>
      </c>
      <c r="C95" s="155" t="s">
        <v>97</v>
      </c>
      <c r="D95" s="155" t="s">
        <v>498</v>
      </c>
    </row>
    <row r="96" ht="15.75" customHeight="1">
      <c r="A96" s="370">
        <v>96.0</v>
      </c>
      <c r="B96" s="357" t="s">
        <v>1736</v>
      </c>
      <c r="C96" s="155" t="s">
        <v>97</v>
      </c>
      <c r="D96" s="155" t="s">
        <v>498</v>
      </c>
    </row>
    <row r="97" ht="15.75" customHeight="1">
      <c r="A97" s="370">
        <v>97.0</v>
      </c>
      <c r="B97" s="370" t="s">
        <v>1746</v>
      </c>
      <c r="C97" s="484" t="s">
        <v>355</v>
      </c>
      <c r="D97" s="155" t="s">
        <v>84</v>
      </c>
    </row>
    <row r="98" ht="15.75" customHeight="1">
      <c r="A98" s="370">
        <v>98.0</v>
      </c>
      <c r="B98" s="155" t="s">
        <v>1758</v>
      </c>
      <c r="C98" s="103" t="s">
        <v>1119</v>
      </c>
      <c r="D98" s="155" t="s">
        <v>729</v>
      </c>
    </row>
    <row r="99" ht="15.75" customHeight="1">
      <c r="A99" s="631">
        <v>99.0</v>
      </c>
      <c r="B99" s="367" t="s">
        <v>1338</v>
      </c>
      <c r="C99" s="103" t="s">
        <v>1119</v>
      </c>
      <c r="D99" s="155" t="s">
        <v>729</v>
      </c>
    </row>
    <row r="100" ht="15.75" customHeight="1">
      <c r="A100" s="370">
        <v>100.0</v>
      </c>
      <c r="B100" s="357" t="s">
        <v>1774</v>
      </c>
      <c r="C100" s="484" t="s">
        <v>503</v>
      </c>
      <c r="D100" s="155" t="s">
        <v>636</v>
      </c>
    </row>
    <row r="101" ht="15.75" customHeight="1">
      <c r="A101" s="370">
        <v>101.0</v>
      </c>
      <c r="B101" s="357" t="s">
        <v>2771</v>
      </c>
      <c r="C101" s="103" t="s">
        <v>1119</v>
      </c>
      <c r="D101" s="155" t="s">
        <v>729</v>
      </c>
    </row>
    <row r="102" ht="15.75" customHeight="1">
      <c r="A102" s="370">
        <v>102.0</v>
      </c>
      <c r="B102" s="370" t="s">
        <v>1807</v>
      </c>
      <c r="C102" s="155" t="s">
        <v>115</v>
      </c>
      <c r="D102" s="237" t="s">
        <v>2732</v>
      </c>
      <c r="E102" s="252"/>
    </row>
    <row r="103" ht="15.75" customHeight="1">
      <c r="A103" s="277">
        <v>103.0</v>
      </c>
      <c r="B103" s="370" t="s">
        <v>1819</v>
      </c>
      <c r="C103" s="155" t="s">
        <v>97</v>
      </c>
      <c r="D103" s="237" t="s">
        <v>2732</v>
      </c>
      <c r="E103" s="252"/>
    </row>
    <row r="104" ht="15.75" customHeight="1">
      <c r="A104" s="370">
        <v>104.0</v>
      </c>
      <c r="B104" s="370" t="s">
        <v>1829</v>
      </c>
      <c r="C104" s="155" t="s">
        <v>97</v>
      </c>
      <c r="D104" s="237" t="s">
        <v>2732</v>
      </c>
      <c r="E104" s="252"/>
    </row>
    <row r="105" ht="15.75" customHeight="1">
      <c r="A105" s="370">
        <v>105.0</v>
      </c>
      <c r="B105" s="370" t="s">
        <v>1841</v>
      </c>
      <c r="C105" s="155" t="s">
        <v>97</v>
      </c>
      <c r="D105" s="237" t="s">
        <v>2732</v>
      </c>
      <c r="E105" s="252"/>
    </row>
    <row r="106" ht="15.75" customHeight="1">
      <c r="A106" s="370">
        <v>106.0</v>
      </c>
      <c r="B106" s="370" t="s">
        <v>2772</v>
      </c>
      <c r="C106" s="103" t="s">
        <v>1119</v>
      </c>
      <c r="D106" s="155" t="s">
        <v>729</v>
      </c>
      <c r="E106" s="252"/>
    </row>
    <row r="107" ht="15.75" customHeight="1">
      <c r="A107" s="370">
        <v>107.0</v>
      </c>
      <c r="B107" s="370" t="s">
        <v>1859</v>
      </c>
      <c r="C107" s="155" t="s">
        <v>186</v>
      </c>
      <c r="D107" s="237" t="s">
        <v>2732</v>
      </c>
      <c r="E107" s="252"/>
    </row>
    <row r="108" ht="15.75" customHeight="1">
      <c r="A108" s="370">
        <v>108.0</v>
      </c>
      <c r="B108" s="370" t="s">
        <v>1873</v>
      </c>
      <c r="C108" s="155" t="s">
        <v>97</v>
      </c>
      <c r="D108" s="237" t="s">
        <v>2732</v>
      </c>
      <c r="E108" s="252"/>
    </row>
    <row r="109" ht="15.75" customHeight="1">
      <c r="A109" s="370">
        <v>109.0</v>
      </c>
      <c r="B109" s="632" t="s">
        <v>2773</v>
      </c>
      <c r="C109" s="155" t="s">
        <v>97</v>
      </c>
      <c r="D109" s="237" t="s">
        <v>2732</v>
      </c>
      <c r="E109" s="252"/>
    </row>
    <row r="110" ht="15.75" customHeight="1">
      <c r="A110" s="370">
        <v>110.0</v>
      </c>
      <c r="B110" s="370" t="s">
        <v>1895</v>
      </c>
      <c r="C110" s="155" t="s">
        <v>97</v>
      </c>
      <c r="D110" s="237" t="s">
        <v>2732</v>
      </c>
      <c r="E110" s="252"/>
    </row>
    <row r="111" ht="15.75" customHeight="1">
      <c r="A111" s="370">
        <v>111.0</v>
      </c>
      <c r="B111" s="370" t="s">
        <v>1904</v>
      </c>
      <c r="C111" s="484" t="s">
        <v>503</v>
      </c>
      <c r="D111" s="155" t="s">
        <v>636</v>
      </c>
      <c r="E111" s="252"/>
    </row>
    <row r="112" ht="15.75" customHeight="1">
      <c r="A112" s="370">
        <v>112.0</v>
      </c>
      <c r="B112" s="370" t="s">
        <v>1921</v>
      </c>
      <c r="C112" s="155" t="s">
        <v>97</v>
      </c>
      <c r="D112" s="237" t="s">
        <v>2732</v>
      </c>
      <c r="E112" s="252"/>
    </row>
    <row r="113" ht="15.75" customHeight="1">
      <c r="A113" s="370">
        <v>113.0</v>
      </c>
      <c r="B113" s="370" t="s">
        <v>1930</v>
      </c>
      <c r="C113" s="103" t="s">
        <v>1119</v>
      </c>
      <c r="D113" s="155" t="s">
        <v>729</v>
      </c>
      <c r="E113" s="252"/>
    </row>
    <row r="114" ht="15.75" customHeight="1">
      <c r="A114" s="370">
        <v>114.0</v>
      </c>
      <c r="B114" s="370" t="s">
        <v>1941</v>
      </c>
      <c r="C114" s="370" t="s">
        <v>115</v>
      </c>
      <c r="D114" s="370" t="s">
        <v>498</v>
      </c>
      <c r="E114" s="370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</row>
    <row r="115" ht="15.75" customHeight="1">
      <c r="A115" s="370">
        <v>115.0</v>
      </c>
      <c r="B115" s="155" t="s">
        <v>1961</v>
      </c>
      <c r="C115" s="370" t="s">
        <v>97</v>
      </c>
      <c r="D115" s="370" t="s">
        <v>1139</v>
      </c>
      <c r="E115" s="370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</row>
    <row r="116" ht="15.75" customHeight="1">
      <c r="A116" s="370">
        <v>116.0</v>
      </c>
      <c r="B116" s="155" t="s">
        <v>1973</v>
      </c>
      <c r="C116" s="155" t="s">
        <v>172</v>
      </c>
      <c r="D116" s="370" t="s">
        <v>498</v>
      </c>
      <c r="E116" s="370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</row>
    <row r="117" ht="15.75" customHeight="1">
      <c r="A117" s="370">
        <v>117.0</v>
      </c>
      <c r="B117" s="90" t="s">
        <v>1982</v>
      </c>
      <c r="C117" s="155" t="s">
        <v>503</v>
      </c>
      <c r="D117" s="155" t="s">
        <v>636</v>
      </c>
      <c r="E117" s="370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</row>
    <row r="118" ht="15.75" customHeight="1">
      <c r="A118" s="370">
        <v>118.0</v>
      </c>
      <c r="B118" s="90" t="s">
        <v>2774</v>
      </c>
      <c r="C118" s="155" t="s">
        <v>1119</v>
      </c>
      <c r="D118" s="155" t="s">
        <v>729</v>
      </c>
      <c r="E118" s="252"/>
    </row>
    <row r="119" ht="15.75" customHeight="1">
      <c r="A119" s="370">
        <v>119.0</v>
      </c>
      <c r="B119" s="155" t="s">
        <v>2003</v>
      </c>
      <c r="C119" s="155" t="s">
        <v>115</v>
      </c>
      <c r="D119" s="155" t="s">
        <v>84</v>
      </c>
      <c r="E119" s="252"/>
    </row>
    <row r="120" ht="15.75" customHeight="1">
      <c r="A120" s="370">
        <v>120.0</v>
      </c>
      <c r="B120" s="90" t="s">
        <v>2015</v>
      </c>
      <c r="C120" s="155" t="s">
        <v>1119</v>
      </c>
      <c r="D120" s="155" t="s">
        <v>729</v>
      </c>
      <c r="E120" s="252"/>
    </row>
    <row r="121" ht="15.75" customHeight="1">
      <c r="A121" s="370">
        <v>121.0</v>
      </c>
      <c r="B121" s="98" t="s">
        <v>2022</v>
      </c>
      <c r="C121" s="155" t="s">
        <v>97</v>
      </c>
      <c r="D121" s="237" t="s">
        <v>2732</v>
      </c>
      <c r="F121" s="410"/>
      <c r="G121" s="481"/>
    </row>
    <row r="122" ht="15.75" customHeight="1">
      <c r="A122" s="370">
        <v>122.0</v>
      </c>
      <c r="B122" s="265" t="s">
        <v>2030</v>
      </c>
      <c r="C122" s="155" t="s">
        <v>97</v>
      </c>
      <c r="D122" s="155" t="s">
        <v>1953</v>
      </c>
      <c r="F122" s="410"/>
      <c r="G122" s="481"/>
    </row>
    <row r="123" ht="15.75" customHeight="1">
      <c r="A123" s="370">
        <v>123.0</v>
      </c>
      <c r="B123" s="633" t="s">
        <v>2038</v>
      </c>
      <c r="C123" s="155" t="s">
        <v>97</v>
      </c>
      <c r="D123" s="155" t="s">
        <v>2732</v>
      </c>
      <c r="F123" s="410"/>
      <c r="G123" s="481"/>
    </row>
    <row r="124" ht="15.75" customHeight="1">
      <c r="A124" s="370">
        <v>124.0</v>
      </c>
      <c r="B124" s="90" t="s">
        <v>2062</v>
      </c>
      <c r="C124" s="155" t="s">
        <v>97</v>
      </c>
      <c r="D124" s="155" t="s">
        <v>1953</v>
      </c>
      <c r="F124" s="410"/>
      <c r="G124" s="481"/>
    </row>
    <row r="125" ht="15.75" customHeight="1">
      <c r="A125" s="155">
        <v>125.0</v>
      </c>
      <c r="B125" s="90" t="s">
        <v>2070</v>
      </c>
      <c r="C125" s="155" t="s">
        <v>355</v>
      </c>
      <c r="D125" s="155" t="s">
        <v>84</v>
      </c>
      <c r="F125" s="410"/>
      <c r="G125" s="481"/>
    </row>
    <row r="126" ht="15.75" customHeight="1">
      <c r="A126" s="370">
        <v>126.0</v>
      </c>
      <c r="B126" s="155" t="s">
        <v>2081</v>
      </c>
      <c r="C126" s="155" t="s">
        <v>97</v>
      </c>
      <c r="D126" s="155" t="s">
        <v>498</v>
      </c>
      <c r="F126" s="410"/>
      <c r="G126" s="481"/>
    </row>
    <row r="127" ht="15.75" customHeight="1">
      <c r="A127" s="370">
        <v>127.0</v>
      </c>
      <c r="B127" s="155" t="s">
        <v>2123</v>
      </c>
      <c r="C127" s="155" t="s">
        <v>97</v>
      </c>
      <c r="D127" s="155" t="s">
        <v>84</v>
      </c>
      <c r="F127" s="410"/>
      <c r="G127" s="481"/>
    </row>
    <row r="128" ht="15.75" customHeight="1">
      <c r="A128" s="370">
        <v>128.0</v>
      </c>
      <c r="B128" s="155" t="s">
        <v>2136</v>
      </c>
      <c r="C128" s="155" t="s">
        <v>186</v>
      </c>
      <c r="D128" s="155" t="s">
        <v>2732</v>
      </c>
      <c r="F128" s="410"/>
      <c r="G128" s="481"/>
    </row>
    <row r="129" ht="15.75" customHeight="1">
      <c r="A129" s="370">
        <v>129.0</v>
      </c>
      <c r="B129" s="155" t="s">
        <v>2150</v>
      </c>
      <c r="C129" s="155" t="s">
        <v>97</v>
      </c>
      <c r="D129" s="155" t="s">
        <v>84</v>
      </c>
      <c r="F129" s="410"/>
      <c r="G129" s="481"/>
    </row>
    <row r="130" ht="15.75" customHeight="1">
      <c r="A130" s="370">
        <v>130.0</v>
      </c>
      <c r="F130" s="410"/>
      <c r="G130" s="481"/>
    </row>
    <row r="131" ht="15.75" customHeight="1">
      <c r="A131" s="370">
        <v>131.0</v>
      </c>
      <c r="F131" s="410"/>
      <c r="G131" s="481"/>
    </row>
    <row r="132" ht="15.75" customHeight="1">
      <c r="A132" s="370">
        <v>132.0</v>
      </c>
      <c r="F132" s="410"/>
      <c r="G132" s="481"/>
    </row>
    <row r="133" ht="15.75" customHeight="1">
      <c r="A133" s="370"/>
      <c r="F133" s="410"/>
      <c r="G133" s="481"/>
    </row>
    <row r="134" ht="15.75" customHeight="1">
      <c r="A134" s="370"/>
      <c r="F134" s="410"/>
      <c r="G134" s="481"/>
    </row>
    <row r="135" ht="15.75" customHeight="1">
      <c r="A135" s="370"/>
      <c r="F135" s="410"/>
      <c r="G135" s="481"/>
    </row>
    <row r="136" ht="15.75" customHeight="1">
      <c r="A136" s="277"/>
      <c r="B136" s="155" t="s">
        <v>2775</v>
      </c>
      <c r="E136" s="155">
        <v>65.0</v>
      </c>
      <c r="F136" s="410" t="s">
        <v>97</v>
      </c>
      <c r="G136" s="634">
        <v>60.0</v>
      </c>
      <c r="H136" s="155" t="s">
        <v>2776</v>
      </c>
    </row>
    <row r="137" ht="15.75" customHeight="1">
      <c r="A137" s="277"/>
      <c r="B137" s="155" t="s">
        <v>2777</v>
      </c>
      <c r="E137" s="155">
        <v>22.0</v>
      </c>
      <c r="F137" s="410" t="s">
        <v>115</v>
      </c>
      <c r="G137" s="634">
        <v>22.0</v>
      </c>
    </row>
    <row r="138" ht="15.75" customHeight="1">
      <c r="A138" s="277"/>
      <c r="B138" s="155" t="s">
        <v>2778</v>
      </c>
      <c r="F138" s="155" t="s">
        <v>374</v>
      </c>
      <c r="G138" s="634">
        <v>3.0</v>
      </c>
    </row>
    <row r="139" ht="15.75" customHeight="1">
      <c r="A139" s="277"/>
      <c r="B139" s="155" t="s">
        <v>2779</v>
      </c>
      <c r="E139" s="155">
        <v>5.0</v>
      </c>
      <c r="F139" s="410" t="s">
        <v>355</v>
      </c>
      <c r="G139" s="634">
        <v>6.0</v>
      </c>
    </row>
    <row r="140" ht="15.75" customHeight="1">
      <c r="A140" s="277"/>
      <c r="B140" s="155" t="s">
        <v>2780</v>
      </c>
      <c r="F140" s="155" t="s">
        <v>503</v>
      </c>
      <c r="G140" s="634">
        <v>13.0</v>
      </c>
    </row>
    <row r="141" ht="15.75" customHeight="1">
      <c r="A141" s="277"/>
      <c r="F141" s="155" t="s">
        <v>1178</v>
      </c>
      <c r="G141" s="634">
        <v>11.0</v>
      </c>
    </row>
    <row r="142" ht="15.75" customHeight="1">
      <c r="A142" s="277"/>
      <c r="E142" s="155">
        <v>5.0</v>
      </c>
      <c r="F142" s="410" t="s">
        <v>172</v>
      </c>
      <c r="G142" s="634">
        <v>5.0</v>
      </c>
    </row>
    <row r="143" ht="15.75" customHeight="1">
      <c r="A143" s="277"/>
      <c r="B143" s="155" t="s">
        <v>2781</v>
      </c>
      <c r="F143" s="155" t="s">
        <v>186</v>
      </c>
      <c r="G143" s="634">
        <v>3.0</v>
      </c>
    </row>
    <row r="144" ht="15.75" customHeight="1">
      <c r="A144" s="277"/>
      <c r="B144" s="155" t="s">
        <v>2782</v>
      </c>
      <c r="F144" s="155" t="s">
        <v>2783</v>
      </c>
      <c r="G144" s="634">
        <v>1.0</v>
      </c>
    </row>
    <row r="145" ht="15.75" customHeight="1">
      <c r="A145" s="277"/>
      <c r="B145" s="155" t="s">
        <v>2784</v>
      </c>
      <c r="F145" s="155" t="s">
        <v>2785</v>
      </c>
      <c r="G145" s="477">
        <f>SUM(G136:G144)</f>
        <v>124</v>
      </c>
    </row>
    <row r="146" ht="15.75" customHeight="1">
      <c r="A146" s="277"/>
    </row>
    <row r="147" ht="15.75" customHeight="1">
      <c r="A147" s="277"/>
      <c r="F147" s="155" t="s">
        <v>2786</v>
      </c>
      <c r="G147" s="477">
        <f>G136+G137+G139+G142</f>
        <v>93</v>
      </c>
    </row>
    <row r="148" ht="15.75" customHeight="1">
      <c r="A148" s="277"/>
    </row>
    <row r="149" ht="15.75" customHeight="1">
      <c r="A149" s="277"/>
    </row>
    <row r="150" ht="15.75" customHeight="1">
      <c r="A150" s="277"/>
    </row>
    <row r="151" ht="15.75" customHeight="1">
      <c r="A151" s="277"/>
    </row>
    <row r="152" ht="15.75" customHeight="1">
      <c r="A152" s="277"/>
    </row>
    <row r="153" ht="15.75" customHeight="1">
      <c r="A153" s="543"/>
    </row>
    <row r="154" ht="15.75" customHeight="1">
      <c r="A154" s="543"/>
    </row>
    <row r="155" ht="15.75" customHeight="1">
      <c r="A155" s="543"/>
    </row>
    <row r="156" ht="15.75" customHeight="1">
      <c r="A156" s="543"/>
    </row>
    <row r="157" ht="15.75" customHeight="1">
      <c r="A157" s="543"/>
    </row>
    <row r="158" ht="15.75" customHeight="1">
      <c r="A158" s="543"/>
    </row>
    <row r="159" ht="15.75" customHeight="1">
      <c r="A159" s="543"/>
    </row>
    <row r="160" ht="15.75" customHeight="1">
      <c r="A160" s="543"/>
    </row>
    <row r="161" ht="15.75" customHeight="1">
      <c r="A161" s="543"/>
    </row>
    <row r="162" ht="15.75" customHeight="1">
      <c r="A162" s="543"/>
    </row>
    <row r="163" ht="15.75" customHeight="1">
      <c r="A163" s="543"/>
    </row>
    <row r="164" ht="15.75" customHeight="1">
      <c r="A164" s="543"/>
    </row>
    <row r="165" ht="15.75" customHeight="1">
      <c r="A165" s="543"/>
    </row>
    <row r="166" ht="15.75" customHeight="1">
      <c r="A166" s="543"/>
    </row>
    <row r="167" ht="15.75" customHeight="1">
      <c r="A167" s="543"/>
    </row>
    <row r="168" ht="15.75" customHeight="1">
      <c r="A168" s="543"/>
    </row>
    <row r="169" ht="15.75" customHeight="1">
      <c r="A169" s="543"/>
    </row>
    <row r="170" ht="15.75" customHeight="1">
      <c r="A170" s="543"/>
    </row>
    <row r="171" ht="15.75" customHeight="1">
      <c r="A171" s="543"/>
    </row>
    <row r="172" ht="15.75" customHeight="1">
      <c r="A172" s="543"/>
    </row>
    <row r="173" ht="15.75" customHeight="1">
      <c r="A173" s="543"/>
    </row>
    <row r="174" ht="15.75" customHeight="1">
      <c r="A174" s="543"/>
    </row>
    <row r="175" ht="15.75" customHeight="1">
      <c r="A175" s="543"/>
    </row>
    <row r="176" ht="15.75" customHeight="1">
      <c r="A176" s="543"/>
    </row>
    <row r="177" ht="15.75" customHeight="1">
      <c r="A177" s="543"/>
    </row>
    <row r="178" ht="15.75" customHeight="1">
      <c r="A178" s="543"/>
    </row>
    <row r="179" ht="15.75" customHeight="1">
      <c r="A179" s="543"/>
    </row>
    <row r="180" ht="15.75" customHeight="1">
      <c r="A180" s="543"/>
    </row>
    <row r="181" ht="15.75" customHeight="1">
      <c r="A181" s="543"/>
    </row>
    <row r="182" ht="15.75" customHeight="1">
      <c r="A182" s="543"/>
    </row>
    <row r="183" ht="15.75" customHeight="1">
      <c r="A183" s="543"/>
    </row>
    <row r="184" ht="15.75" customHeight="1">
      <c r="A184" s="543"/>
    </row>
    <row r="185" ht="15.75" customHeight="1">
      <c r="A185" s="543"/>
    </row>
    <row r="186" ht="15.75" customHeight="1">
      <c r="A186" s="543"/>
    </row>
    <row r="187" ht="15.75" customHeight="1">
      <c r="A187" s="543"/>
    </row>
    <row r="188" ht="15.75" customHeight="1">
      <c r="A188" s="543"/>
    </row>
    <row r="189" ht="15.75" customHeight="1">
      <c r="A189" s="543"/>
    </row>
    <row r="190" ht="15.75" customHeight="1">
      <c r="A190" s="543"/>
    </row>
    <row r="191" ht="15.75" customHeight="1">
      <c r="A191" s="543"/>
    </row>
    <row r="192" ht="15.75" customHeight="1">
      <c r="A192" s="543"/>
    </row>
    <row r="193" ht="15.75" customHeight="1">
      <c r="A193" s="543"/>
    </row>
    <row r="194" ht="15.75" customHeight="1">
      <c r="A194" s="543"/>
    </row>
    <row r="195" ht="15.75" customHeight="1">
      <c r="A195" s="543"/>
    </row>
    <row r="196" ht="15.75" customHeight="1">
      <c r="A196" s="543"/>
    </row>
    <row r="197" ht="15.75" customHeight="1">
      <c r="A197" s="543"/>
    </row>
    <row r="198" ht="15.75" customHeight="1">
      <c r="A198" s="543"/>
    </row>
    <row r="199" ht="15.75" customHeight="1">
      <c r="A199" s="543"/>
    </row>
    <row r="200" ht="15.75" customHeight="1">
      <c r="A200" s="543"/>
    </row>
    <row r="201" ht="15.75" customHeight="1">
      <c r="A201" s="543"/>
    </row>
    <row r="202" ht="15.75" customHeight="1">
      <c r="A202" s="543"/>
    </row>
    <row r="203" ht="15.75" customHeight="1">
      <c r="A203" s="543"/>
    </row>
    <row r="204" ht="15.75" customHeight="1">
      <c r="A204" s="543"/>
    </row>
    <row r="205" ht="15.75" customHeight="1">
      <c r="A205" s="543"/>
    </row>
    <row r="206" ht="15.75" customHeight="1">
      <c r="A206" s="543"/>
    </row>
    <row r="207" ht="15.75" customHeight="1">
      <c r="A207" s="543"/>
    </row>
    <row r="208" ht="15.75" customHeight="1">
      <c r="A208" s="543"/>
    </row>
    <row r="209" ht="15.75" customHeight="1">
      <c r="A209" s="543"/>
    </row>
    <row r="210" ht="15.75" customHeight="1">
      <c r="A210" s="543"/>
    </row>
    <row r="211" ht="15.75" customHeight="1">
      <c r="A211" s="543"/>
    </row>
    <row r="212" ht="15.75" customHeight="1">
      <c r="A212" s="543"/>
    </row>
    <row r="213" ht="15.75" customHeight="1">
      <c r="A213" s="543"/>
    </row>
    <row r="214" ht="15.75" customHeight="1">
      <c r="A214" s="543"/>
    </row>
    <row r="215" ht="15.75" customHeight="1">
      <c r="A215" s="543"/>
    </row>
    <row r="216" ht="15.75" customHeight="1">
      <c r="A216" s="543"/>
    </row>
    <row r="217" ht="15.75" customHeight="1">
      <c r="A217" s="543"/>
    </row>
    <row r="218" ht="15.75" customHeight="1">
      <c r="A218" s="543"/>
    </row>
    <row r="219" ht="15.75" customHeight="1">
      <c r="A219" s="543"/>
    </row>
    <row r="220" ht="15.75" customHeight="1">
      <c r="A220" s="543"/>
    </row>
    <row r="221" ht="15.75" customHeight="1">
      <c r="A221" s="543"/>
    </row>
    <row r="222" ht="15.75" customHeight="1">
      <c r="A222" s="543"/>
    </row>
    <row r="223" ht="15.75" customHeight="1">
      <c r="A223" s="543"/>
    </row>
    <row r="224" ht="15.75" customHeight="1">
      <c r="A224" s="543"/>
    </row>
    <row r="225" ht="15.75" customHeight="1">
      <c r="A225" s="543"/>
    </row>
    <row r="226" ht="15.75" customHeight="1">
      <c r="A226" s="543"/>
    </row>
    <row r="227" ht="15.75" customHeight="1">
      <c r="A227" s="543"/>
    </row>
    <row r="228" ht="15.75" customHeight="1">
      <c r="A228" s="543"/>
    </row>
    <row r="229" ht="15.75" customHeight="1">
      <c r="A229" s="543"/>
    </row>
    <row r="230" ht="15.75" customHeight="1">
      <c r="A230" s="543"/>
    </row>
    <row r="231" ht="15.75" customHeight="1">
      <c r="A231" s="543"/>
    </row>
    <row r="232" ht="15.75" customHeight="1">
      <c r="A232" s="543"/>
    </row>
    <row r="233" ht="15.75" customHeight="1">
      <c r="A233" s="543"/>
    </row>
    <row r="234" ht="15.75" customHeight="1">
      <c r="A234" s="543"/>
    </row>
    <row r="235" ht="15.75" customHeight="1">
      <c r="A235" s="543"/>
    </row>
    <row r="236" ht="15.75" customHeight="1">
      <c r="A236" s="543"/>
    </row>
    <row r="237" ht="15.75" customHeight="1">
      <c r="A237" s="543"/>
    </row>
    <row r="238" ht="15.75" customHeight="1">
      <c r="A238" s="543"/>
    </row>
    <row r="239" ht="15.75" customHeight="1">
      <c r="A239" s="543"/>
    </row>
    <row r="240" ht="15.75" customHeight="1">
      <c r="A240" s="543"/>
    </row>
    <row r="241" ht="15.75" customHeight="1">
      <c r="A241" s="543"/>
    </row>
    <row r="242" ht="15.75" customHeight="1">
      <c r="A242" s="543"/>
    </row>
    <row r="243" ht="15.75" customHeight="1">
      <c r="A243" s="543"/>
    </row>
    <row r="244" ht="15.75" customHeight="1">
      <c r="A244" s="543"/>
    </row>
    <row r="245" ht="15.75" customHeight="1">
      <c r="A245" s="543"/>
    </row>
    <row r="246" ht="15.75" customHeight="1">
      <c r="A246" s="543"/>
    </row>
    <row r="247" ht="15.75" customHeight="1">
      <c r="A247" s="543"/>
    </row>
    <row r="248" ht="15.75" customHeight="1">
      <c r="A248" s="543"/>
    </row>
    <row r="249" ht="15.75" customHeight="1">
      <c r="A249" s="543"/>
    </row>
    <row r="250" ht="15.75" customHeight="1">
      <c r="A250" s="543"/>
    </row>
    <row r="251" ht="15.75" customHeight="1">
      <c r="A251" s="543"/>
    </row>
    <row r="252" ht="15.75" customHeight="1">
      <c r="A252" s="543"/>
    </row>
    <row r="253" ht="15.75" customHeight="1">
      <c r="A253" s="543"/>
    </row>
    <row r="254" ht="15.75" customHeight="1">
      <c r="A254" s="543"/>
    </row>
    <row r="255" ht="15.75" customHeight="1">
      <c r="A255" s="543"/>
    </row>
    <row r="256" ht="15.75" customHeight="1">
      <c r="A256" s="543"/>
    </row>
    <row r="257" ht="15.75" customHeight="1">
      <c r="A257" s="543"/>
    </row>
    <row r="258" ht="15.75" customHeight="1">
      <c r="A258" s="543"/>
    </row>
    <row r="259" ht="15.75" customHeight="1">
      <c r="A259" s="543"/>
    </row>
    <row r="260" ht="15.75" customHeight="1">
      <c r="A260" s="543"/>
    </row>
    <row r="261" ht="15.75" customHeight="1">
      <c r="A261" s="543"/>
    </row>
    <row r="262" ht="15.75" customHeight="1">
      <c r="A262" s="543"/>
    </row>
    <row r="263" ht="15.75" customHeight="1">
      <c r="A263" s="543"/>
    </row>
    <row r="264" ht="15.75" customHeight="1">
      <c r="A264" s="543"/>
    </row>
    <row r="265" ht="15.75" customHeight="1">
      <c r="A265" s="543"/>
    </row>
    <row r="266" ht="15.75" customHeight="1">
      <c r="A266" s="543"/>
    </row>
    <row r="267" ht="15.75" customHeight="1">
      <c r="A267" s="543"/>
    </row>
    <row r="268" ht="15.75" customHeight="1">
      <c r="A268" s="543"/>
    </row>
    <row r="269" ht="15.75" customHeight="1">
      <c r="A269" s="543"/>
    </row>
    <row r="270" ht="15.75" customHeight="1">
      <c r="A270" s="543"/>
    </row>
    <row r="271" ht="15.75" customHeight="1">
      <c r="A271" s="543"/>
    </row>
    <row r="272" ht="15.75" customHeight="1">
      <c r="A272" s="543"/>
    </row>
    <row r="273" ht="15.75" customHeight="1">
      <c r="A273" s="543"/>
    </row>
    <row r="274" ht="15.75" customHeight="1">
      <c r="A274" s="543"/>
    </row>
    <row r="275" ht="15.75" customHeight="1">
      <c r="A275" s="543"/>
    </row>
    <row r="276" ht="15.75" customHeight="1">
      <c r="A276" s="543"/>
    </row>
    <row r="277" ht="15.75" customHeight="1">
      <c r="A277" s="543"/>
    </row>
    <row r="278" ht="15.75" customHeight="1">
      <c r="A278" s="543"/>
    </row>
    <row r="279" ht="15.75" customHeight="1">
      <c r="A279" s="543"/>
    </row>
    <row r="280" ht="15.75" customHeight="1">
      <c r="A280" s="543"/>
    </row>
    <row r="281" ht="15.75" customHeight="1">
      <c r="A281" s="543"/>
    </row>
    <row r="282" ht="15.75" customHeight="1">
      <c r="A282" s="543"/>
    </row>
    <row r="283" ht="15.75" customHeight="1">
      <c r="A283" s="543"/>
    </row>
    <row r="284" ht="15.75" customHeight="1">
      <c r="A284" s="543"/>
    </row>
    <row r="285" ht="15.75" customHeight="1">
      <c r="A285" s="543"/>
    </row>
    <row r="286" ht="15.75" customHeight="1">
      <c r="A286" s="543"/>
    </row>
    <row r="287" ht="15.75" customHeight="1">
      <c r="A287" s="543"/>
    </row>
    <row r="288" ht="15.75" customHeight="1">
      <c r="A288" s="543"/>
    </row>
    <row r="289" ht="15.75" customHeight="1">
      <c r="A289" s="543"/>
    </row>
    <row r="290" ht="15.75" customHeight="1">
      <c r="A290" s="543"/>
    </row>
    <row r="291" ht="15.75" customHeight="1">
      <c r="A291" s="543"/>
    </row>
    <row r="292" ht="15.75" customHeight="1">
      <c r="A292" s="543"/>
    </row>
    <row r="293" ht="15.75" customHeight="1">
      <c r="A293" s="543"/>
    </row>
    <row r="294" ht="15.75" customHeight="1">
      <c r="A294" s="543"/>
    </row>
    <row r="295" ht="15.75" customHeight="1">
      <c r="A295" s="543"/>
    </row>
    <row r="296" ht="15.75" customHeight="1">
      <c r="A296" s="543"/>
    </row>
    <row r="297" ht="15.75" customHeight="1">
      <c r="A297" s="543"/>
    </row>
    <row r="298" ht="15.75" customHeight="1">
      <c r="A298" s="543"/>
    </row>
    <row r="299" ht="15.75" customHeight="1">
      <c r="A299" s="543"/>
    </row>
    <row r="300" ht="15.75" customHeight="1">
      <c r="A300" s="543"/>
    </row>
    <row r="301" ht="15.75" customHeight="1">
      <c r="A301" s="543"/>
    </row>
    <row r="302" ht="15.75" customHeight="1">
      <c r="A302" s="543"/>
    </row>
    <row r="303" ht="15.75" customHeight="1">
      <c r="A303" s="543"/>
    </row>
    <row r="304" ht="15.75" customHeight="1">
      <c r="A304" s="543"/>
    </row>
    <row r="305" ht="15.75" customHeight="1">
      <c r="A305" s="543"/>
    </row>
    <row r="306" ht="15.75" customHeight="1">
      <c r="A306" s="543"/>
    </row>
    <row r="307" ht="15.75" customHeight="1">
      <c r="A307" s="543"/>
    </row>
    <row r="308" ht="15.75" customHeight="1">
      <c r="A308" s="543"/>
    </row>
    <row r="309" ht="15.75" customHeight="1">
      <c r="A309" s="543"/>
    </row>
    <row r="310" ht="15.75" customHeight="1">
      <c r="A310" s="543"/>
    </row>
    <row r="311" ht="15.75" customHeight="1">
      <c r="A311" s="543"/>
    </row>
    <row r="312" ht="15.75" customHeight="1">
      <c r="A312" s="543"/>
    </row>
    <row r="313" ht="15.75" customHeight="1">
      <c r="A313" s="543"/>
    </row>
    <row r="314" ht="15.75" customHeight="1">
      <c r="A314" s="543"/>
    </row>
    <row r="315" ht="15.75" customHeight="1">
      <c r="A315" s="543"/>
    </row>
    <row r="316" ht="15.75" customHeight="1">
      <c r="A316" s="543"/>
    </row>
    <row r="317" ht="15.75" customHeight="1">
      <c r="A317" s="543"/>
    </row>
    <row r="318" ht="15.75" customHeight="1">
      <c r="A318" s="543"/>
    </row>
    <row r="319" ht="15.75" customHeight="1">
      <c r="A319" s="543"/>
    </row>
    <row r="320" ht="15.75" customHeight="1">
      <c r="A320" s="543"/>
    </row>
    <row r="321" ht="15.75" customHeight="1">
      <c r="A321" s="543"/>
    </row>
    <row r="322" ht="15.75" customHeight="1">
      <c r="A322" s="543"/>
    </row>
    <row r="323" ht="15.75" customHeight="1">
      <c r="A323" s="543"/>
    </row>
    <row r="324" ht="15.75" customHeight="1">
      <c r="A324" s="543"/>
    </row>
    <row r="325" ht="15.75" customHeight="1">
      <c r="A325" s="543"/>
    </row>
    <row r="326" ht="15.75" customHeight="1">
      <c r="A326" s="543"/>
    </row>
    <row r="327" ht="15.75" customHeight="1">
      <c r="A327" s="543"/>
    </row>
    <row r="328" ht="15.75" customHeight="1">
      <c r="A328" s="543"/>
    </row>
    <row r="329" ht="15.75" customHeight="1">
      <c r="A329" s="543"/>
    </row>
    <row r="330" ht="15.75" customHeight="1">
      <c r="A330" s="543"/>
    </row>
    <row r="331" ht="15.75" customHeight="1">
      <c r="A331" s="543"/>
    </row>
    <row r="332" ht="15.75" customHeight="1">
      <c r="A332" s="543"/>
    </row>
    <row r="333" ht="15.75" customHeight="1">
      <c r="A333" s="543"/>
    </row>
    <row r="334" ht="15.75" customHeight="1">
      <c r="A334" s="543"/>
    </row>
    <row r="335" ht="15.75" customHeight="1">
      <c r="A335" s="543"/>
    </row>
    <row r="336" ht="15.75" customHeight="1">
      <c r="A336" s="543"/>
    </row>
    <row r="337" ht="15.75" customHeight="1">
      <c r="A337" s="543"/>
    </row>
    <row r="338" ht="15.75" customHeight="1">
      <c r="A338" s="543"/>
    </row>
    <row r="339" ht="15.75" customHeight="1">
      <c r="A339" s="543"/>
    </row>
    <row r="340" ht="15.75" customHeight="1">
      <c r="A340" s="543"/>
    </row>
    <row r="341" ht="15.75" customHeight="1">
      <c r="A341" s="543"/>
    </row>
    <row r="342" ht="15.75" customHeight="1">
      <c r="A342" s="543"/>
    </row>
    <row r="343" ht="15.75" customHeight="1">
      <c r="A343" s="543"/>
    </row>
    <row r="344" ht="15.75" customHeight="1">
      <c r="A344" s="543"/>
    </row>
    <row r="345" ht="15.75" customHeight="1">
      <c r="A345" s="543"/>
    </row>
    <row r="346" ht="15.75" customHeight="1">
      <c r="A346" s="543"/>
    </row>
    <row r="347" ht="15.75" customHeight="1">
      <c r="A347" s="543"/>
    </row>
    <row r="348" ht="15.75" customHeight="1">
      <c r="A348" s="543"/>
    </row>
    <row r="349" ht="15.75" customHeight="1">
      <c r="A349" s="543"/>
    </row>
    <row r="350" ht="15.75" customHeight="1">
      <c r="A350" s="543"/>
    </row>
    <row r="351" ht="15.75" customHeight="1">
      <c r="A351" s="543"/>
    </row>
    <row r="352" ht="15.75" customHeight="1">
      <c r="A352" s="543"/>
    </row>
    <row r="353" ht="15.75" customHeight="1">
      <c r="A353" s="543"/>
    </row>
    <row r="354" ht="15.75" customHeight="1">
      <c r="A354" s="543"/>
    </row>
    <row r="355" ht="15.75" customHeight="1">
      <c r="A355" s="543"/>
    </row>
    <row r="356" ht="15.75" customHeight="1">
      <c r="A356" s="543"/>
    </row>
    <row r="357" ht="15.75" customHeight="1">
      <c r="A357" s="543"/>
    </row>
    <row r="358" ht="15.75" customHeight="1">
      <c r="A358" s="543"/>
    </row>
    <row r="359" ht="15.75" customHeight="1">
      <c r="A359" s="543"/>
    </row>
    <row r="360" ht="15.75" customHeight="1">
      <c r="A360" s="543"/>
    </row>
    <row r="361" ht="15.75" customHeight="1">
      <c r="A361" s="543"/>
    </row>
    <row r="362" ht="15.75" customHeight="1">
      <c r="A362" s="543"/>
    </row>
    <row r="363" ht="15.75" customHeight="1">
      <c r="A363" s="543"/>
    </row>
    <row r="364" ht="15.75" customHeight="1">
      <c r="A364" s="543"/>
    </row>
    <row r="365" ht="15.75" customHeight="1">
      <c r="A365" s="543"/>
    </row>
    <row r="366" ht="15.75" customHeight="1">
      <c r="A366" s="543"/>
    </row>
    <row r="367" ht="15.75" customHeight="1">
      <c r="A367" s="543"/>
    </row>
    <row r="368" ht="15.75" customHeight="1">
      <c r="A368" s="543"/>
    </row>
    <row r="369" ht="15.75" customHeight="1">
      <c r="A369" s="543"/>
    </row>
    <row r="370" ht="15.75" customHeight="1">
      <c r="A370" s="543"/>
    </row>
    <row r="371" ht="15.75" customHeight="1">
      <c r="A371" s="543"/>
    </row>
    <row r="372" ht="15.75" customHeight="1">
      <c r="A372" s="543"/>
    </row>
    <row r="373" ht="15.75" customHeight="1">
      <c r="A373" s="543"/>
    </row>
    <row r="374" ht="15.75" customHeight="1">
      <c r="A374" s="543"/>
    </row>
    <row r="375" ht="15.75" customHeight="1">
      <c r="A375" s="543"/>
    </row>
    <row r="376" ht="15.75" customHeight="1">
      <c r="A376" s="543"/>
    </row>
    <row r="377" ht="15.75" customHeight="1">
      <c r="A377" s="543"/>
    </row>
    <row r="378" ht="15.75" customHeight="1">
      <c r="A378" s="543"/>
    </row>
    <row r="379" ht="15.75" customHeight="1">
      <c r="A379" s="543"/>
    </row>
    <row r="380" ht="15.75" customHeight="1">
      <c r="A380" s="543"/>
    </row>
    <row r="381" ht="15.75" customHeight="1">
      <c r="A381" s="543"/>
    </row>
    <row r="382" ht="15.75" customHeight="1">
      <c r="A382" s="543"/>
    </row>
    <row r="383" ht="15.75" customHeight="1">
      <c r="A383" s="543"/>
    </row>
    <row r="384" ht="15.75" customHeight="1">
      <c r="A384" s="543"/>
    </row>
    <row r="385" ht="15.75" customHeight="1">
      <c r="A385" s="543"/>
    </row>
    <row r="386" ht="15.75" customHeight="1">
      <c r="A386" s="543"/>
    </row>
    <row r="387" ht="15.75" customHeight="1">
      <c r="A387" s="543"/>
    </row>
    <row r="388" ht="15.75" customHeight="1">
      <c r="A388" s="543"/>
    </row>
    <row r="389" ht="15.75" customHeight="1">
      <c r="A389" s="543"/>
    </row>
    <row r="390" ht="15.75" customHeight="1">
      <c r="A390" s="543"/>
    </row>
    <row r="391" ht="15.75" customHeight="1">
      <c r="A391" s="543"/>
    </row>
    <row r="392" ht="15.75" customHeight="1">
      <c r="A392" s="543"/>
    </row>
    <row r="393" ht="15.75" customHeight="1">
      <c r="A393" s="543"/>
    </row>
    <row r="394" ht="15.75" customHeight="1">
      <c r="A394" s="543"/>
    </row>
    <row r="395" ht="15.75" customHeight="1">
      <c r="A395" s="543"/>
    </row>
    <row r="396" ht="15.75" customHeight="1">
      <c r="A396" s="543"/>
    </row>
    <row r="397" ht="15.75" customHeight="1">
      <c r="A397" s="543"/>
    </row>
    <row r="398" ht="15.75" customHeight="1">
      <c r="A398" s="543"/>
    </row>
    <row r="399" ht="15.75" customHeight="1">
      <c r="A399" s="543"/>
    </row>
    <row r="400" ht="15.75" customHeight="1">
      <c r="A400" s="543"/>
    </row>
    <row r="401" ht="15.75" customHeight="1">
      <c r="A401" s="543"/>
    </row>
    <row r="402" ht="15.75" customHeight="1">
      <c r="A402" s="543"/>
    </row>
    <row r="403" ht="15.75" customHeight="1">
      <c r="A403" s="543"/>
    </row>
    <row r="404" ht="15.75" customHeight="1">
      <c r="A404" s="543"/>
    </row>
    <row r="405" ht="15.75" customHeight="1">
      <c r="A405" s="543"/>
    </row>
    <row r="406" ht="15.75" customHeight="1">
      <c r="A406" s="543"/>
    </row>
    <row r="407" ht="15.75" customHeight="1">
      <c r="A407" s="543"/>
    </row>
    <row r="408" ht="15.75" customHeight="1">
      <c r="A408" s="543"/>
    </row>
    <row r="409" ht="15.75" customHeight="1">
      <c r="A409" s="543"/>
    </row>
    <row r="410" ht="15.75" customHeight="1">
      <c r="A410" s="543"/>
    </row>
    <row r="411" ht="15.75" customHeight="1">
      <c r="A411" s="543"/>
    </row>
    <row r="412" ht="15.75" customHeight="1">
      <c r="A412" s="543"/>
    </row>
    <row r="413" ht="15.75" customHeight="1">
      <c r="A413" s="543"/>
    </row>
    <row r="414" ht="15.75" customHeight="1">
      <c r="A414" s="543"/>
    </row>
    <row r="415" ht="15.75" customHeight="1">
      <c r="A415" s="543"/>
    </row>
    <row r="416" ht="15.75" customHeight="1">
      <c r="A416" s="543"/>
    </row>
    <row r="417" ht="15.75" customHeight="1">
      <c r="A417" s="543"/>
    </row>
    <row r="418" ht="15.75" customHeight="1">
      <c r="A418" s="543"/>
    </row>
    <row r="419" ht="15.75" customHeight="1">
      <c r="A419" s="543"/>
    </row>
    <row r="420" ht="15.75" customHeight="1">
      <c r="A420" s="543"/>
    </row>
    <row r="421" ht="15.75" customHeight="1">
      <c r="A421" s="543"/>
    </row>
    <row r="422" ht="15.75" customHeight="1">
      <c r="A422" s="543"/>
    </row>
    <row r="423" ht="15.75" customHeight="1">
      <c r="A423" s="543"/>
    </row>
    <row r="424" ht="15.75" customHeight="1">
      <c r="A424" s="543"/>
    </row>
    <row r="425" ht="15.75" customHeight="1">
      <c r="A425" s="543"/>
    </row>
    <row r="426" ht="15.75" customHeight="1">
      <c r="A426" s="543"/>
    </row>
    <row r="427" ht="15.75" customHeight="1">
      <c r="A427" s="543"/>
    </row>
    <row r="428" ht="15.75" customHeight="1">
      <c r="A428" s="543"/>
    </row>
    <row r="429" ht="15.75" customHeight="1">
      <c r="A429" s="543"/>
    </row>
    <row r="430" ht="15.75" customHeight="1">
      <c r="A430" s="543"/>
    </row>
    <row r="431" ht="15.75" customHeight="1">
      <c r="A431" s="543"/>
    </row>
    <row r="432" ht="15.75" customHeight="1">
      <c r="A432" s="543"/>
    </row>
    <row r="433" ht="15.75" customHeight="1">
      <c r="A433" s="543"/>
    </row>
    <row r="434" ht="15.75" customHeight="1">
      <c r="A434" s="543"/>
    </row>
    <row r="435" ht="15.75" customHeight="1">
      <c r="A435" s="543"/>
    </row>
    <row r="436" ht="15.75" customHeight="1">
      <c r="A436" s="543"/>
    </row>
    <row r="437" ht="15.75" customHeight="1">
      <c r="A437" s="543"/>
    </row>
    <row r="438" ht="15.75" customHeight="1">
      <c r="A438" s="543"/>
    </row>
    <row r="439" ht="15.75" customHeight="1">
      <c r="A439" s="543"/>
    </row>
    <row r="440" ht="15.75" customHeight="1">
      <c r="A440" s="543"/>
    </row>
    <row r="441" ht="15.75" customHeight="1">
      <c r="A441" s="543"/>
    </row>
    <row r="442" ht="15.75" customHeight="1">
      <c r="A442" s="543"/>
    </row>
    <row r="443" ht="15.75" customHeight="1">
      <c r="A443" s="543"/>
    </row>
    <row r="444" ht="15.75" customHeight="1">
      <c r="A444" s="543"/>
    </row>
    <row r="445" ht="15.75" customHeight="1">
      <c r="A445" s="543"/>
    </row>
    <row r="446" ht="15.75" customHeight="1">
      <c r="A446" s="543"/>
    </row>
    <row r="447" ht="15.75" customHeight="1">
      <c r="A447" s="543"/>
    </row>
    <row r="448" ht="15.75" customHeight="1">
      <c r="A448" s="543"/>
    </row>
    <row r="449" ht="15.75" customHeight="1">
      <c r="A449" s="543"/>
    </row>
    <row r="450" ht="15.75" customHeight="1">
      <c r="A450" s="543"/>
    </row>
    <row r="451" ht="15.75" customHeight="1">
      <c r="A451" s="543"/>
    </row>
    <row r="452" ht="15.75" customHeight="1">
      <c r="A452" s="543"/>
    </row>
    <row r="453" ht="15.75" customHeight="1">
      <c r="A453" s="543"/>
    </row>
    <row r="454" ht="15.75" customHeight="1">
      <c r="A454" s="543"/>
    </row>
    <row r="455" ht="15.75" customHeight="1">
      <c r="A455" s="543"/>
    </row>
    <row r="456" ht="15.75" customHeight="1">
      <c r="A456" s="543"/>
    </row>
    <row r="457" ht="15.75" customHeight="1">
      <c r="A457" s="543"/>
    </row>
    <row r="458" ht="15.75" customHeight="1">
      <c r="A458" s="543"/>
    </row>
    <row r="459" ht="15.75" customHeight="1">
      <c r="A459" s="543"/>
    </row>
    <row r="460" ht="15.75" customHeight="1">
      <c r="A460" s="543"/>
    </row>
    <row r="461" ht="15.75" customHeight="1">
      <c r="A461" s="543"/>
    </row>
    <row r="462" ht="15.75" customHeight="1">
      <c r="A462" s="543"/>
    </row>
    <row r="463" ht="15.75" customHeight="1">
      <c r="A463" s="543"/>
    </row>
    <row r="464" ht="15.75" customHeight="1">
      <c r="A464" s="543"/>
    </row>
    <row r="465" ht="15.75" customHeight="1">
      <c r="A465" s="543"/>
    </row>
    <row r="466" ht="15.75" customHeight="1">
      <c r="A466" s="543"/>
    </row>
    <row r="467" ht="15.75" customHeight="1">
      <c r="A467" s="543"/>
    </row>
    <row r="468" ht="15.75" customHeight="1">
      <c r="A468" s="543"/>
    </row>
    <row r="469" ht="15.75" customHeight="1">
      <c r="A469" s="543"/>
    </row>
    <row r="470" ht="15.75" customHeight="1">
      <c r="A470" s="543"/>
    </row>
    <row r="471" ht="15.75" customHeight="1">
      <c r="A471" s="543"/>
    </row>
    <row r="472" ht="15.75" customHeight="1">
      <c r="A472" s="543"/>
    </row>
    <row r="473" ht="15.75" customHeight="1">
      <c r="A473" s="543"/>
    </row>
    <row r="474" ht="15.75" customHeight="1">
      <c r="A474" s="543"/>
    </row>
    <row r="475" ht="15.75" customHeight="1">
      <c r="A475" s="543"/>
    </row>
    <row r="476" ht="15.75" customHeight="1">
      <c r="A476" s="543"/>
    </row>
    <row r="477" ht="15.75" customHeight="1">
      <c r="A477" s="543"/>
    </row>
    <row r="478" ht="15.75" customHeight="1">
      <c r="A478" s="543"/>
    </row>
    <row r="479" ht="15.75" customHeight="1">
      <c r="A479" s="543"/>
    </row>
    <row r="480" ht="15.75" customHeight="1">
      <c r="A480" s="543"/>
    </row>
    <row r="481" ht="15.75" customHeight="1">
      <c r="A481" s="543"/>
    </row>
    <row r="482" ht="15.75" customHeight="1">
      <c r="A482" s="543"/>
    </row>
    <row r="483" ht="15.75" customHeight="1">
      <c r="A483" s="543"/>
    </row>
    <row r="484" ht="15.75" customHeight="1">
      <c r="A484" s="543"/>
    </row>
    <row r="485" ht="15.75" customHeight="1">
      <c r="A485" s="543"/>
    </row>
    <row r="486" ht="15.75" customHeight="1">
      <c r="A486" s="543"/>
    </row>
    <row r="487" ht="15.75" customHeight="1">
      <c r="A487" s="543"/>
    </row>
    <row r="488" ht="15.75" customHeight="1">
      <c r="A488" s="543"/>
    </row>
    <row r="489" ht="15.75" customHeight="1">
      <c r="A489" s="543"/>
    </row>
    <row r="490" ht="15.75" customHeight="1">
      <c r="A490" s="543"/>
    </row>
    <row r="491" ht="15.75" customHeight="1">
      <c r="A491" s="543"/>
    </row>
    <row r="492" ht="15.75" customHeight="1">
      <c r="A492" s="543"/>
    </row>
    <row r="493" ht="15.75" customHeight="1">
      <c r="A493" s="543"/>
    </row>
    <row r="494" ht="15.75" customHeight="1">
      <c r="A494" s="543"/>
    </row>
    <row r="495" ht="15.75" customHeight="1">
      <c r="A495" s="543"/>
    </row>
    <row r="496" ht="15.75" customHeight="1">
      <c r="A496" s="543"/>
    </row>
    <row r="497" ht="15.75" customHeight="1">
      <c r="A497" s="543"/>
    </row>
    <row r="498" ht="15.75" customHeight="1">
      <c r="A498" s="543"/>
    </row>
    <row r="499" ht="15.75" customHeight="1">
      <c r="A499" s="543"/>
    </row>
    <row r="500" ht="15.75" customHeight="1">
      <c r="A500" s="543"/>
    </row>
    <row r="501" ht="15.75" customHeight="1">
      <c r="A501" s="543"/>
    </row>
    <row r="502" ht="15.75" customHeight="1">
      <c r="A502" s="543"/>
    </row>
    <row r="503" ht="15.75" customHeight="1">
      <c r="A503" s="543"/>
    </row>
    <row r="504" ht="15.75" customHeight="1">
      <c r="A504" s="543"/>
    </row>
    <row r="505" ht="15.75" customHeight="1">
      <c r="A505" s="543"/>
    </row>
    <row r="506" ht="15.75" customHeight="1">
      <c r="A506" s="543"/>
    </row>
    <row r="507" ht="15.75" customHeight="1">
      <c r="A507" s="543"/>
    </row>
    <row r="508" ht="15.75" customHeight="1">
      <c r="A508" s="543"/>
    </row>
    <row r="509" ht="15.75" customHeight="1">
      <c r="A509" s="543"/>
    </row>
    <row r="510" ht="15.75" customHeight="1">
      <c r="A510" s="543"/>
    </row>
    <row r="511" ht="15.75" customHeight="1">
      <c r="A511" s="543"/>
    </row>
    <row r="512" ht="15.75" customHeight="1">
      <c r="A512" s="543"/>
    </row>
    <row r="513" ht="15.75" customHeight="1">
      <c r="A513" s="543"/>
    </row>
    <row r="514" ht="15.75" customHeight="1">
      <c r="A514" s="543"/>
    </row>
    <row r="515" ht="15.75" customHeight="1">
      <c r="A515" s="543"/>
    </row>
    <row r="516" ht="15.75" customHeight="1">
      <c r="A516" s="543"/>
    </row>
    <row r="517" ht="15.75" customHeight="1">
      <c r="A517" s="543"/>
    </row>
    <row r="518" ht="15.75" customHeight="1">
      <c r="A518" s="543"/>
    </row>
    <row r="519" ht="15.75" customHeight="1">
      <c r="A519" s="543"/>
    </row>
    <row r="520" ht="15.75" customHeight="1">
      <c r="A520" s="543"/>
    </row>
    <row r="521" ht="15.75" customHeight="1">
      <c r="A521" s="543"/>
    </row>
    <row r="522" ht="15.75" customHeight="1">
      <c r="A522" s="543"/>
    </row>
    <row r="523" ht="15.75" customHeight="1">
      <c r="A523" s="543"/>
    </row>
    <row r="524" ht="15.75" customHeight="1">
      <c r="A524" s="543"/>
    </row>
    <row r="525" ht="15.75" customHeight="1">
      <c r="A525" s="543"/>
    </row>
    <row r="526" ht="15.75" customHeight="1">
      <c r="A526" s="543"/>
    </row>
    <row r="527" ht="15.75" customHeight="1">
      <c r="A527" s="543"/>
    </row>
    <row r="528" ht="15.75" customHeight="1">
      <c r="A528" s="543"/>
    </row>
    <row r="529" ht="15.75" customHeight="1">
      <c r="A529" s="543"/>
    </row>
    <row r="530" ht="15.75" customHeight="1">
      <c r="A530" s="543"/>
    </row>
    <row r="531" ht="15.75" customHeight="1">
      <c r="A531" s="543"/>
    </row>
    <row r="532" ht="15.75" customHeight="1">
      <c r="A532" s="543"/>
    </row>
    <row r="533" ht="15.75" customHeight="1">
      <c r="A533" s="543"/>
    </row>
    <row r="534" ht="15.75" customHeight="1">
      <c r="A534" s="543"/>
    </row>
    <row r="535" ht="15.75" customHeight="1">
      <c r="A535" s="543"/>
    </row>
    <row r="536" ht="15.75" customHeight="1">
      <c r="A536" s="543"/>
    </row>
    <row r="537" ht="15.75" customHeight="1">
      <c r="A537" s="543"/>
    </row>
    <row r="538" ht="15.75" customHeight="1">
      <c r="A538" s="543"/>
    </row>
    <row r="539" ht="15.75" customHeight="1">
      <c r="A539" s="543"/>
    </row>
    <row r="540" ht="15.75" customHeight="1">
      <c r="A540" s="543"/>
    </row>
    <row r="541" ht="15.75" customHeight="1">
      <c r="A541" s="543"/>
    </row>
    <row r="542" ht="15.75" customHeight="1">
      <c r="A542" s="543"/>
    </row>
    <row r="543" ht="15.75" customHeight="1">
      <c r="A543" s="543"/>
    </row>
    <row r="544" ht="15.75" customHeight="1">
      <c r="A544" s="543"/>
    </row>
    <row r="545" ht="15.75" customHeight="1">
      <c r="A545" s="543"/>
    </row>
    <row r="546" ht="15.75" customHeight="1">
      <c r="A546" s="543"/>
    </row>
    <row r="547" ht="15.75" customHeight="1">
      <c r="A547" s="543"/>
    </row>
    <row r="548" ht="15.75" customHeight="1">
      <c r="A548" s="543"/>
    </row>
    <row r="549" ht="15.75" customHeight="1">
      <c r="A549" s="543"/>
    </row>
    <row r="550" ht="15.75" customHeight="1">
      <c r="A550" s="543"/>
    </row>
    <row r="551" ht="15.75" customHeight="1">
      <c r="A551" s="543"/>
    </row>
    <row r="552" ht="15.75" customHeight="1">
      <c r="A552" s="543"/>
    </row>
    <row r="553" ht="15.75" customHeight="1">
      <c r="A553" s="543"/>
    </row>
    <row r="554" ht="15.75" customHeight="1">
      <c r="A554" s="543"/>
    </row>
    <row r="555" ht="15.75" customHeight="1">
      <c r="A555" s="543"/>
    </row>
    <row r="556" ht="15.75" customHeight="1">
      <c r="A556" s="543"/>
    </row>
    <row r="557" ht="15.75" customHeight="1">
      <c r="A557" s="543"/>
    </row>
    <row r="558" ht="15.75" customHeight="1">
      <c r="A558" s="543"/>
    </row>
    <row r="559" ht="15.75" customHeight="1">
      <c r="A559" s="543"/>
    </row>
    <row r="560" ht="15.75" customHeight="1">
      <c r="A560" s="543"/>
    </row>
    <row r="561" ht="15.75" customHeight="1">
      <c r="A561" s="543"/>
    </row>
    <row r="562" ht="15.75" customHeight="1">
      <c r="A562" s="543"/>
    </row>
    <row r="563" ht="15.75" customHeight="1">
      <c r="A563" s="543"/>
    </row>
    <row r="564" ht="15.75" customHeight="1">
      <c r="A564" s="543"/>
    </row>
    <row r="565" ht="15.75" customHeight="1">
      <c r="A565" s="543"/>
    </row>
    <row r="566" ht="15.75" customHeight="1">
      <c r="A566" s="543"/>
    </row>
    <row r="567" ht="15.75" customHeight="1">
      <c r="A567" s="543"/>
    </row>
    <row r="568" ht="15.75" customHeight="1">
      <c r="A568" s="543"/>
    </row>
    <row r="569" ht="15.75" customHeight="1">
      <c r="A569" s="543"/>
    </row>
    <row r="570" ht="15.75" customHeight="1">
      <c r="A570" s="543"/>
    </row>
    <row r="571" ht="15.75" customHeight="1">
      <c r="A571" s="543"/>
    </row>
    <row r="572" ht="15.75" customHeight="1">
      <c r="A572" s="543"/>
    </row>
    <row r="573" ht="15.75" customHeight="1">
      <c r="A573" s="543"/>
    </row>
    <row r="574" ht="15.75" customHeight="1">
      <c r="A574" s="543"/>
    </row>
    <row r="575" ht="15.75" customHeight="1">
      <c r="A575" s="543"/>
    </row>
    <row r="576" ht="15.75" customHeight="1">
      <c r="A576" s="543"/>
    </row>
    <row r="577" ht="15.75" customHeight="1">
      <c r="A577" s="543"/>
    </row>
    <row r="578" ht="15.75" customHeight="1">
      <c r="A578" s="543"/>
    </row>
    <row r="579" ht="15.75" customHeight="1">
      <c r="A579" s="543"/>
    </row>
    <row r="580" ht="15.75" customHeight="1">
      <c r="A580" s="543"/>
    </row>
    <row r="581" ht="15.75" customHeight="1">
      <c r="A581" s="543"/>
    </row>
    <row r="582" ht="15.75" customHeight="1">
      <c r="A582" s="543"/>
    </row>
    <row r="583" ht="15.75" customHeight="1">
      <c r="A583" s="543"/>
    </row>
    <row r="584" ht="15.75" customHeight="1">
      <c r="A584" s="543"/>
    </row>
    <row r="585" ht="15.75" customHeight="1">
      <c r="A585" s="543"/>
    </row>
    <row r="586" ht="15.75" customHeight="1">
      <c r="A586" s="543"/>
    </row>
    <row r="587" ht="15.75" customHeight="1">
      <c r="A587" s="543"/>
    </row>
    <row r="588" ht="15.75" customHeight="1">
      <c r="A588" s="543"/>
    </row>
    <row r="589" ht="15.75" customHeight="1">
      <c r="A589" s="543"/>
    </row>
    <row r="590" ht="15.75" customHeight="1">
      <c r="A590" s="543"/>
    </row>
    <row r="591" ht="15.75" customHeight="1">
      <c r="A591" s="543"/>
    </row>
    <row r="592" ht="15.75" customHeight="1">
      <c r="A592" s="543"/>
    </row>
    <row r="593" ht="15.75" customHeight="1">
      <c r="A593" s="543"/>
    </row>
    <row r="594" ht="15.75" customHeight="1">
      <c r="A594" s="543"/>
    </row>
    <row r="595" ht="15.75" customHeight="1">
      <c r="A595" s="543"/>
    </row>
    <row r="596" ht="15.75" customHeight="1">
      <c r="A596" s="543"/>
    </row>
    <row r="597" ht="15.75" customHeight="1">
      <c r="A597" s="543"/>
    </row>
    <row r="598" ht="15.75" customHeight="1">
      <c r="A598" s="543"/>
    </row>
    <row r="599" ht="15.75" customHeight="1">
      <c r="A599" s="543"/>
    </row>
    <row r="600" ht="15.75" customHeight="1">
      <c r="A600" s="543"/>
    </row>
    <row r="601" ht="15.75" customHeight="1">
      <c r="A601" s="543"/>
    </row>
    <row r="602" ht="15.75" customHeight="1">
      <c r="A602" s="543"/>
    </row>
    <row r="603" ht="15.75" customHeight="1">
      <c r="A603" s="543"/>
    </row>
    <row r="604" ht="15.75" customHeight="1">
      <c r="A604" s="543"/>
    </row>
    <row r="605" ht="15.75" customHeight="1">
      <c r="A605" s="543"/>
    </row>
    <row r="606" ht="15.75" customHeight="1">
      <c r="A606" s="543"/>
    </row>
    <row r="607" ht="15.75" customHeight="1">
      <c r="A607" s="543"/>
    </row>
    <row r="608" ht="15.75" customHeight="1">
      <c r="A608" s="543"/>
    </row>
    <row r="609" ht="15.75" customHeight="1">
      <c r="A609" s="543"/>
    </row>
    <row r="610" ht="15.75" customHeight="1">
      <c r="A610" s="543"/>
    </row>
    <row r="611" ht="15.75" customHeight="1">
      <c r="A611" s="543"/>
    </row>
    <row r="612" ht="15.75" customHeight="1">
      <c r="A612" s="543"/>
    </row>
    <row r="613" ht="15.75" customHeight="1">
      <c r="A613" s="543"/>
    </row>
    <row r="614" ht="15.75" customHeight="1">
      <c r="A614" s="543"/>
    </row>
    <row r="615" ht="15.75" customHeight="1">
      <c r="A615" s="543"/>
    </row>
    <row r="616" ht="15.75" customHeight="1">
      <c r="A616" s="543"/>
    </row>
    <row r="617" ht="15.75" customHeight="1">
      <c r="A617" s="543"/>
    </row>
    <row r="618" ht="15.75" customHeight="1">
      <c r="A618" s="543"/>
    </row>
    <row r="619" ht="15.75" customHeight="1">
      <c r="A619" s="543"/>
    </row>
    <row r="620" ht="15.75" customHeight="1">
      <c r="A620" s="543"/>
    </row>
    <row r="621" ht="15.75" customHeight="1">
      <c r="A621" s="543"/>
    </row>
    <row r="622" ht="15.75" customHeight="1">
      <c r="A622" s="543"/>
    </row>
    <row r="623" ht="15.75" customHeight="1">
      <c r="A623" s="543"/>
    </row>
    <row r="624" ht="15.75" customHeight="1">
      <c r="A624" s="543"/>
    </row>
    <row r="625" ht="15.75" customHeight="1">
      <c r="A625" s="543"/>
    </row>
    <row r="626" ht="15.75" customHeight="1">
      <c r="A626" s="543"/>
    </row>
    <row r="627" ht="15.75" customHeight="1">
      <c r="A627" s="543"/>
    </row>
    <row r="628" ht="15.75" customHeight="1">
      <c r="A628" s="543"/>
    </row>
    <row r="629" ht="15.75" customHeight="1">
      <c r="A629" s="543"/>
    </row>
    <row r="630" ht="15.75" customHeight="1">
      <c r="A630" s="543"/>
    </row>
    <row r="631" ht="15.75" customHeight="1">
      <c r="A631" s="543"/>
    </row>
    <row r="632" ht="15.75" customHeight="1">
      <c r="A632" s="543"/>
    </row>
    <row r="633" ht="15.75" customHeight="1">
      <c r="A633" s="543"/>
    </row>
    <row r="634" ht="15.75" customHeight="1">
      <c r="A634" s="543"/>
    </row>
    <row r="635" ht="15.75" customHeight="1">
      <c r="A635" s="543"/>
    </row>
    <row r="636" ht="15.75" customHeight="1">
      <c r="A636" s="543"/>
    </row>
    <row r="637" ht="15.75" customHeight="1">
      <c r="A637" s="543"/>
    </row>
    <row r="638" ht="15.75" customHeight="1">
      <c r="A638" s="543"/>
    </row>
    <row r="639" ht="15.75" customHeight="1">
      <c r="A639" s="543"/>
    </row>
    <row r="640" ht="15.75" customHeight="1">
      <c r="A640" s="543"/>
    </row>
    <row r="641" ht="15.75" customHeight="1">
      <c r="A641" s="543"/>
    </row>
    <row r="642" ht="15.75" customHeight="1">
      <c r="A642" s="543"/>
    </row>
    <row r="643" ht="15.75" customHeight="1">
      <c r="A643" s="543"/>
    </row>
    <row r="644" ht="15.75" customHeight="1">
      <c r="A644" s="543"/>
    </row>
    <row r="645" ht="15.75" customHeight="1">
      <c r="A645" s="543"/>
    </row>
    <row r="646" ht="15.75" customHeight="1">
      <c r="A646" s="543"/>
    </row>
    <row r="647" ht="15.75" customHeight="1">
      <c r="A647" s="543"/>
    </row>
    <row r="648" ht="15.75" customHeight="1">
      <c r="A648" s="543"/>
    </row>
    <row r="649" ht="15.75" customHeight="1">
      <c r="A649" s="543"/>
    </row>
    <row r="650" ht="15.75" customHeight="1">
      <c r="A650" s="543"/>
    </row>
    <row r="651" ht="15.75" customHeight="1">
      <c r="A651" s="543"/>
    </row>
    <row r="652" ht="15.75" customHeight="1">
      <c r="A652" s="543"/>
    </row>
    <row r="653" ht="15.75" customHeight="1">
      <c r="A653" s="543"/>
    </row>
    <row r="654" ht="15.75" customHeight="1">
      <c r="A654" s="543"/>
    </row>
    <row r="655" ht="15.75" customHeight="1">
      <c r="A655" s="543"/>
    </row>
    <row r="656" ht="15.75" customHeight="1">
      <c r="A656" s="543"/>
    </row>
    <row r="657" ht="15.75" customHeight="1">
      <c r="A657" s="543"/>
    </row>
    <row r="658" ht="15.75" customHeight="1">
      <c r="A658" s="543"/>
    </row>
    <row r="659" ht="15.75" customHeight="1">
      <c r="A659" s="543"/>
    </row>
    <row r="660" ht="15.75" customHeight="1">
      <c r="A660" s="543"/>
    </row>
    <row r="661" ht="15.75" customHeight="1">
      <c r="A661" s="543"/>
    </row>
    <row r="662" ht="15.75" customHeight="1">
      <c r="A662" s="543"/>
    </row>
    <row r="663" ht="15.75" customHeight="1">
      <c r="A663" s="543"/>
    </row>
    <row r="664" ht="15.75" customHeight="1">
      <c r="A664" s="543"/>
    </row>
    <row r="665" ht="15.75" customHeight="1">
      <c r="A665" s="543"/>
    </row>
    <row r="666" ht="15.75" customHeight="1">
      <c r="A666" s="543"/>
    </row>
    <row r="667" ht="15.75" customHeight="1">
      <c r="A667" s="543"/>
    </row>
    <row r="668" ht="15.75" customHeight="1">
      <c r="A668" s="543"/>
    </row>
    <row r="669" ht="15.75" customHeight="1">
      <c r="A669" s="543"/>
    </row>
    <row r="670" ht="15.75" customHeight="1">
      <c r="A670" s="543"/>
    </row>
    <row r="671" ht="15.75" customHeight="1">
      <c r="A671" s="543"/>
    </row>
    <row r="672" ht="15.75" customHeight="1">
      <c r="A672" s="543"/>
    </row>
    <row r="673" ht="15.75" customHeight="1">
      <c r="A673" s="543"/>
    </row>
    <row r="674" ht="15.75" customHeight="1">
      <c r="A674" s="543"/>
    </row>
    <row r="675" ht="15.75" customHeight="1">
      <c r="A675" s="543"/>
    </row>
    <row r="676" ht="15.75" customHeight="1">
      <c r="A676" s="543"/>
    </row>
    <row r="677" ht="15.75" customHeight="1">
      <c r="A677" s="543"/>
    </row>
    <row r="678" ht="15.75" customHeight="1">
      <c r="A678" s="543"/>
    </row>
    <row r="679" ht="15.75" customHeight="1">
      <c r="A679" s="543"/>
    </row>
    <row r="680" ht="15.75" customHeight="1">
      <c r="A680" s="543"/>
    </row>
    <row r="681" ht="15.75" customHeight="1">
      <c r="A681" s="543"/>
    </row>
    <row r="682" ht="15.75" customHeight="1">
      <c r="A682" s="543"/>
    </row>
    <row r="683" ht="15.75" customHeight="1">
      <c r="A683" s="543"/>
    </row>
    <row r="684" ht="15.75" customHeight="1">
      <c r="A684" s="543"/>
    </row>
    <row r="685" ht="15.75" customHeight="1">
      <c r="A685" s="543"/>
    </row>
    <row r="686" ht="15.75" customHeight="1">
      <c r="A686" s="543"/>
    </row>
    <row r="687" ht="15.75" customHeight="1">
      <c r="A687" s="543"/>
    </row>
    <row r="688" ht="15.75" customHeight="1">
      <c r="A688" s="543"/>
    </row>
    <row r="689" ht="15.75" customHeight="1">
      <c r="A689" s="543"/>
    </row>
    <row r="690" ht="15.75" customHeight="1">
      <c r="A690" s="543"/>
    </row>
    <row r="691" ht="15.75" customHeight="1">
      <c r="A691" s="543"/>
    </row>
    <row r="692" ht="15.75" customHeight="1">
      <c r="A692" s="543"/>
    </row>
    <row r="693" ht="15.75" customHeight="1">
      <c r="A693" s="543"/>
    </row>
    <row r="694" ht="15.75" customHeight="1">
      <c r="A694" s="543"/>
    </row>
    <row r="695" ht="15.75" customHeight="1">
      <c r="A695" s="543"/>
    </row>
    <row r="696" ht="15.75" customHeight="1">
      <c r="A696" s="543"/>
    </row>
    <row r="697" ht="15.75" customHeight="1">
      <c r="A697" s="543"/>
    </row>
    <row r="698" ht="15.75" customHeight="1">
      <c r="A698" s="543"/>
    </row>
    <row r="699" ht="15.75" customHeight="1">
      <c r="A699" s="543"/>
    </row>
    <row r="700" ht="15.75" customHeight="1">
      <c r="A700" s="543"/>
    </row>
    <row r="701" ht="15.75" customHeight="1">
      <c r="A701" s="543"/>
    </row>
    <row r="702" ht="15.75" customHeight="1">
      <c r="A702" s="543"/>
    </row>
    <row r="703" ht="15.75" customHeight="1">
      <c r="A703" s="543"/>
    </row>
    <row r="704" ht="15.75" customHeight="1">
      <c r="A704" s="543"/>
    </row>
    <row r="705" ht="15.75" customHeight="1">
      <c r="A705" s="543"/>
    </row>
    <row r="706" ht="15.75" customHeight="1">
      <c r="A706" s="543"/>
    </row>
    <row r="707" ht="15.75" customHeight="1">
      <c r="A707" s="543"/>
    </row>
    <row r="708" ht="15.75" customHeight="1">
      <c r="A708" s="543"/>
    </row>
    <row r="709" ht="15.75" customHeight="1">
      <c r="A709" s="543"/>
    </row>
    <row r="710" ht="15.75" customHeight="1">
      <c r="A710" s="543"/>
    </row>
    <row r="711" ht="15.75" customHeight="1">
      <c r="A711" s="543"/>
    </row>
    <row r="712" ht="15.75" customHeight="1">
      <c r="A712" s="543"/>
    </row>
    <row r="713" ht="15.75" customHeight="1">
      <c r="A713" s="543"/>
    </row>
    <row r="714" ht="15.75" customHeight="1">
      <c r="A714" s="543"/>
    </row>
    <row r="715" ht="15.75" customHeight="1">
      <c r="A715" s="543"/>
    </row>
    <row r="716" ht="15.75" customHeight="1">
      <c r="A716" s="543"/>
    </row>
    <row r="717" ht="15.75" customHeight="1">
      <c r="A717" s="543"/>
    </row>
    <row r="718" ht="15.75" customHeight="1">
      <c r="A718" s="543"/>
    </row>
    <row r="719" ht="15.75" customHeight="1">
      <c r="A719" s="543"/>
    </row>
    <row r="720" ht="15.75" customHeight="1">
      <c r="A720" s="543"/>
    </row>
    <row r="721" ht="15.75" customHeight="1">
      <c r="A721" s="543"/>
    </row>
    <row r="722" ht="15.75" customHeight="1">
      <c r="A722" s="543"/>
    </row>
    <row r="723" ht="15.75" customHeight="1">
      <c r="A723" s="543"/>
    </row>
    <row r="724" ht="15.75" customHeight="1">
      <c r="A724" s="543"/>
    </row>
    <row r="725" ht="15.75" customHeight="1">
      <c r="A725" s="543"/>
    </row>
    <row r="726" ht="15.75" customHeight="1">
      <c r="A726" s="543"/>
    </row>
    <row r="727" ht="15.75" customHeight="1">
      <c r="A727" s="543"/>
    </row>
    <row r="728" ht="15.75" customHeight="1">
      <c r="A728" s="543"/>
    </row>
    <row r="729" ht="15.75" customHeight="1">
      <c r="A729" s="543"/>
    </row>
    <row r="730" ht="15.75" customHeight="1">
      <c r="A730" s="543"/>
    </row>
    <row r="731" ht="15.75" customHeight="1">
      <c r="A731" s="543"/>
    </row>
    <row r="732" ht="15.75" customHeight="1">
      <c r="A732" s="543"/>
    </row>
    <row r="733" ht="15.75" customHeight="1">
      <c r="A733" s="543"/>
    </row>
    <row r="734" ht="15.75" customHeight="1">
      <c r="A734" s="543"/>
    </row>
    <row r="735" ht="15.75" customHeight="1">
      <c r="A735" s="543"/>
    </row>
    <row r="736" ht="15.75" customHeight="1">
      <c r="A736" s="543"/>
    </row>
    <row r="737" ht="15.75" customHeight="1">
      <c r="A737" s="543"/>
    </row>
    <row r="738" ht="15.75" customHeight="1">
      <c r="A738" s="543"/>
    </row>
    <row r="739" ht="15.75" customHeight="1">
      <c r="A739" s="543"/>
    </row>
    <row r="740" ht="15.75" customHeight="1">
      <c r="A740" s="543"/>
    </row>
    <row r="741" ht="15.75" customHeight="1">
      <c r="A741" s="543"/>
    </row>
    <row r="742" ht="15.75" customHeight="1">
      <c r="A742" s="543"/>
    </row>
    <row r="743" ht="15.75" customHeight="1">
      <c r="A743" s="543"/>
    </row>
    <row r="744" ht="15.75" customHeight="1">
      <c r="A744" s="543"/>
    </row>
    <row r="745" ht="15.75" customHeight="1">
      <c r="A745" s="543"/>
    </row>
    <row r="746" ht="15.75" customHeight="1">
      <c r="A746" s="543"/>
    </row>
    <row r="747" ht="15.75" customHeight="1">
      <c r="A747" s="543"/>
    </row>
    <row r="748" ht="15.75" customHeight="1">
      <c r="A748" s="543"/>
    </row>
    <row r="749" ht="15.75" customHeight="1">
      <c r="A749" s="543"/>
    </row>
    <row r="750" ht="15.75" customHeight="1">
      <c r="A750" s="543"/>
    </row>
    <row r="751" ht="15.75" customHeight="1">
      <c r="A751" s="543"/>
    </row>
    <row r="752" ht="15.75" customHeight="1">
      <c r="A752" s="543"/>
    </row>
    <row r="753" ht="15.75" customHeight="1">
      <c r="A753" s="543"/>
    </row>
    <row r="754" ht="15.75" customHeight="1">
      <c r="A754" s="543"/>
    </row>
    <row r="755" ht="15.75" customHeight="1">
      <c r="A755" s="543"/>
    </row>
    <row r="756" ht="15.75" customHeight="1">
      <c r="A756" s="543"/>
    </row>
    <row r="757" ht="15.75" customHeight="1">
      <c r="A757" s="543"/>
    </row>
    <row r="758" ht="15.75" customHeight="1">
      <c r="A758" s="543"/>
    </row>
    <row r="759" ht="15.75" customHeight="1">
      <c r="A759" s="543"/>
    </row>
    <row r="760" ht="15.75" customHeight="1">
      <c r="A760" s="543"/>
    </row>
    <row r="761" ht="15.75" customHeight="1">
      <c r="A761" s="543"/>
    </row>
    <row r="762" ht="15.75" customHeight="1">
      <c r="A762" s="543"/>
    </row>
    <row r="763" ht="15.75" customHeight="1">
      <c r="A763" s="543"/>
    </row>
    <row r="764" ht="15.75" customHeight="1">
      <c r="A764" s="543"/>
    </row>
    <row r="765" ht="15.75" customHeight="1">
      <c r="A765" s="543"/>
    </row>
    <row r="766" ht="15.75" customHeight="1">
      <c r="A766" s="543"/>
    </row>
    <row r="767" ht="15.75" customHeight="1">
      <c r="A767" s="543"/>
    </row>
    <row r="768" ht="15.75" customHeight="1">
      <c r="A768" s="543"/>
    </row>
    <row r="769" ht="15.75" customHeight="1">
      <c r="A769" s="543"/>
    </row>
    <row r="770" ht="15.75" customHeight="1">
      <c r="A770" s="543"/>
    </row>
    <row r="771" ht="15.75" customHeight="1">
      <c r="A771" s="543"/>
    </row>
    <row r="772" ht="15.75" customHeight="1">
      <c r="A772" s="543"/>
    </row>
    <row r="773" ht="15.75" customHeight="1">
      <c r="A773" s="543"/>
    </row>
    <row r="774" ht="15.75" customHeight="1">
      <c r="A774" s="543"/>
    </row>
    <row r="775" ht="15.75" customHeight="1">
      <c r="A775" s="543"/>
    </row>
    <row r="776" ht="15.75" customHeight="1">
      <c r="A776" s="543"/>
    </row>
    <row r="777" ht="15.75" customHeight="1">
      <c r="A777" s="543"/>
    </row>
    <row r="778" ht="15.75" customHeight="1">
      <c r="A778" s="543"/>
    </row>
    <row r="779" ht="15.75" customHeight="1">
      <c r="A779" s="543"/>
    </row>
    <row r="780" ht="15.75" customHeight="1">
      <c r="A780" s="543"/>
    </row>
    <row r="781" ht="15.75" customHeight="1">
      <c r="A781" s="543"/>
    </row>
    <row r="782" ht="15.75" customHeight="1">
      <c r="A782" s="543"/>
    </row>
    <row r="783" ht="15.75" customHeight="1">
      <c r="A783" s="543"/>
    </row>
    <row r="784" ht="15.75" customHeight="1">
      <c r="A784" s="543"/>
    </row>
    <row r="785" ht="15.75" customHeight="1">
      <c r="A785" s="543"/>
    </row>
    <row r="786" ht="15.75" customHeight="1">
      <c r="A786" s="543"/>
    </row>
    <row r="787" ht="15.75" customHeight="1">
      <c r="A787" s="543"/>
    </row>
    <row r="788" ht="15.75" customHeight="1">
      <c r="A788" s="543"/>
    </row>
    <row r="789" ht="15.75" customHeight="1">
      <c r="A789" s="543"/>
    </row>
    <row r="790" ht="15.75" customHeight="1">
      <c r="A790" s="543"/>
    </row>
    <row r="791" ht="15.75" customHeight="1">
      <c r="A791" s="543"/>
    </row>
    <row r="792" ht="15.75" customHeight="1">
      <c r="A792" s="543"/>
    </row>
    <row r="793" ht="15.75" customHeight="1">
      <c r="A793" s="543"/>
    </row>
    <row r="794" ht="15.75" customHeight="1">
      <c r="A794" s="543"/>
    </row>
    <row r="795" ht="15.75" customHeight="1">
      <c r="A795" s="543"/>
    </row>
    <row r="796" ht="15.75" customHeight="1">
      <c r="A796" s="543"/>
    </row>
    <row r="797" ht="15.75" customHeight="1">
      <c r="A797" s="543"/>
    </row>
    <row r="798" ht="15.75" customHeight="1">
      <c r="A798" s="543"/>
    </row>
    <row r="799" ht="15.75" customHeight="1">
      <c r="A799" s="543"/>
    </row>
    <row r="800" ht="15.75" customHeight="1">
      <c r="A800" s="543"/>
    </row>
    <row r="801" ht="15.75" customHeight="1">
      <c r="A801" s="543"/>
    </row>
    <row r="802" ht="15.75" customHeight="1">
      <c r="A802" s="543"/>
    </row>
    <row r="803" ht="15.75" customHeight="1">
      <c r="A803" s="543"/>
    </row>
    <row r="804" ht="15.75" customHeight="1">
      <c r="A804" s="543"/>
    </row>
    <row r="805" ht="15.75" customHeight="1">
      <c r="A805" s="543"/>
    </row>
    <row r="806" ht="15.75" customHeight="1">
      <c r="A806" s="543"/>
    </row>
    <row r="807" ht="15.75" customHeight="1">
      <c r="A807" s="543"/>
    </row>
    <row r="808" ht="15.75" customHeight="1">
      <c r="A808" s="543"/>
    </row>
    <row r="809" ht="15.75" customHeight="1">
      <c r="A809" s="543"/>
    </row>
    <row r="810" ht="15.75" customHeight="1">
      <c r="A810" s="543"/>
    </row>
    <row r="811" ht="15.75" customHeight="1">
      <c r="A811" s="543"/>
    </row>
    <row r="812" ht="15.75" customHeight="1">
      <c r="A812" s="543"/>
    </row>
    <row r="813" ht="15.75" customHeight="1">
      <c r="A813" s="543"/>
    </row>
    <row r="814" ht="15.75" customHeight="1">
      <c r="A814" s="543"/>
    </row>
    <row r="815" ht="15.75" customHeight="1">
      <c r="A815" s="543"/>
    </row>
    <row r="816" ht="15.75" customHeight="1">
      <c r="A816" s="543"/>
    </row>
    <row r="817" ht="15.75" customHeight="1">
      <c r="A817" s="543"/>
    </row>
    <row r="818" ht="15.75" customHeight="1">
      <c r="A818" s="543"/>
    </row>
    <row r="819" ht="15.75" customHeight="1">
      <c r="A819" s="543"/>
    </row>
    <row r="820" ht="15.75" customHeight="1">
      <c r="A820" s="543"/>
    </row>
    <row r="821" ht="15.75" customHeight="1">
      <c r="A821" s="543"/>
    </row>
    <row r="822" ht="15.75" customHeight="1">
      <c r="A822" s="543"/>
    </row>
    <row r="823" ht="15.75" customHeight="1">
      <c r="A823" s="543"/>
    </row>
    <row r="824" ht="15.75" customHeight="1">
      <c r="A824" s="543"/>
    </row>
    <row r="825" ht="15.75" customHeight="1">
      <c r="A825" s="543"/>
    </row>
    <row r="826" ht="15.75" customHeight="1">
      <c r="A826" s="543"/>
    </row>
    <row r="827" ht="15.75" customHeight="1">
      <c r="A827" s="543"/>
    </row>
    <row r="828" ht="15.75" customHeight="1">
      <c r="A828" s="543"/>
    </row>
    <row r="829" ht="15.75" customHeight="1">
      <c r="A829" s="543"/>
    </row>
    <row r="830" ht="15.75" customHeight="1">
      <c r="A830" s="543"/>
    </row>
    <row r="831" ht="15.75" customHeight="1">
      <c r="A831" s="543"/>
    </row>
    <row r="832" ht="15.75" customHeight="1">
      <c r="A832" s="543"/>
    </row>
    <row r="833" ht="15.75" customHeight="1">
      <c r="A833" s="543"/>
    </row>
    <row r="834" ht="15.75" customHeight="1">
      <c r="A834" s="543"/>
    </row>
    <row r="835" ht="15.75" customHeight="1">
      <c r="A835" s="543"/>
    </row>
    <row r="836" ht="15.75" customHeight="1">
      <c r="A836" s="543"/>
    </row>
    <row r="837" ht="15.75" customHeight="1">
      <c r="A837" s="543"/>
    </row>
    <row r="838" ht="15.75" customHeight="1">
      <c r="A838" s="543"/>
    </row>
    <row r="839" ht="15.75" customHeight="1">
      <c r="A839" s="543"/>
    </row>
    <row r="840" ht="15.75" customHeight="1">
      <c r="A840" s="543"/>
    </row>
    <row r="841" ht="15.75" customHeight="1">
      <c r="A841" s="543"/>
    </row>
    <row r="842" ht="15.75" customHeight="1">
      <c r="A842" s="543"/>
    </row>
    <row r="843" ht="15.75" customHeight="1">
      <c r="A843" s="543"/>
    </row>
    <row r="844" ht="15.75" customHeight="1">
      <c r="A844" s="543"/>
    </row>
    <row r="845" ht="15.75" customHeight="1">
      <c r="A845" s="543"/>
    </row>
    <row r="846" ht="15.75" customHeight="1">
      <c r="A846" s="543"/>
    </row>
    <row r="847" ht="15.75" customHeight="1">
      <c r="A847" s="543"/>
    </row>
    <row r="848" ht="15.75" customHeight="1">
      <c r="A848" s="543"/>
    </row>
    <row r="849" ht="15.75" customHeight="1">
      <c r="A849" s="543"/>
    </row>
    <row r="850" ht="15.75" customHeight="1">
      <c r="A850" s="543"/>
    </row>
    <row r="851" ht="15.75" customHeight="1">
      <c r="A851" s="543"/>
    </row>
    <row r="852" ht="15.75" customHeight="1">
      <c r="A852" s="543"/>
    </row>
    <row r="853" ht="15.75" customHeight="1">
      <c r="A853" s="543"/>
    </row>
    <row r="854" ht="15.75" customHeight="1">
      <c r="A854" s="543"/>
    </row>
    <row r="855" ht="15.75" customHeight="1">
      <c r="A855" s="543"/>
    </row>
    <row r="856" ht="15.75" customHeight="1">
      <c r="A856" s="543"/>
    </row>
    <row r="857" ht="15.75" customHeight="1">
      <c r="A857" s="543"/>
    </row>
    <row r="858" ht="15.75" customHeight="1">
      <c r="A858" s="543"/>
    </row>
    <row r="859" ht="15.75" customHeight="1">
      <c r="A859" s="543"/>
    </row>
    <row r="860" ht="15.75" customHeight="1">
      <c r="A860" s="543"/>
    </row>
    <row r="861" ht="15.75" customHeight="1">
      <c r="A861" s="543"/>
    </row>
    <row r="862" ht="15.75" customHeight="1">
      <c r="A862" s="543"/>
    </row>
    <row r="863" ht="15.75" customHeight="1">
      <c r="A863" s="543"/>
    </row>
    <row r="864" ht="15.75" customHeight="1">
      <c r="A864" s="543"/>
    </row>
    <row r="865" ht="15.75" customHeight="1">
      <c r="A865" s="543"/>
    </row>
    <row r="866" ht="15.75" customHeight="1">
      <c r="A866" s="543"/>
    </row>
    <row r="867" ht="15.75" customHeight="1">
      <c r="A867" s="543"/>
    </row>
    <row r="868" ht="15.75" customHeight="1">
      <c r="A868" s="543"/>
    </row>
    <row r="869" ht="15.75" customHeight="1">
      <c r="A869" s="543"/>
    </row>
    <row r="870" ht="15.75" customHeight="1">
      <c r="A870" s="543"/>
    </row>
    <row r="871" ht="15.75" customHeight="1">
      <c r="A871" s="543"/>
    </row>
    <row r="872" ht="15.75" customHeight="1">
      <c r="A872" s="543"/>
    </row>
    <row r="873" ht="15.75" customHeight="1">
      <c r="A873" s="543"/>
    </row>
    <row r="874" ht="15.75" customHeight="1">
      <c r="A874" s="543"/>
    </row>
    <row r="875" ht="15.75" customHeight="1">
      <c r="A875" s="543"/>
    </row>
    <row r="876" ht="15.75" customHeight="1">
      <c r="A876" s="543"/>
    </row>
    <row r="877" ht="15.75" customHeight="1">
      <c r="A877" s="543"/>
    </row>
    <row r="878" ht="15.75" customHeight="1">
      <c r="A878" s="543"/>
    </row>
    <row r="879" ht="15.75" customHeight="1">
      <c r="A879" s="543"/>
    </row>
    <row r="880" ht="15.75" customHeight="1">
      <c r="A880" s="543"/>
    </row>
    <row r="881" ht="15.75" customHeight="1">
      <c r="A881" s="543"/>
    </row>
    <row r="882" ht="15.75" customHeight="1">
      <c r="A882" s="543"/>
    </row>
    <row r="883" ht="15.75" customHeight="1">
      <c r="A883" s="543"/>
    </row>
    <row r="884" ht="15.75" customHeight="1">
      <c r="A884" s="543"/>
    </row>
    <row r="885" ht="15.75" customHeight="1">
      <c r="A885" s="543"/>
    </row>
    <row r="886" ht="15.75" customHeight="1">
      <c r="A886" s="543"/>
    </row>
    <row r="887" ht="15.75" customHeight="1">
      <c r="A887" s="543"/>
    </row>
    <row r="888" ht="15.75" customHeight="1">
      <c r="A888" s="543"/>
    </row>
    <row r="889" ht="15.75" customHeight="1">
      <c r="A889" s="543"/>
    </row>
    <row r="890" ht="15.75" customHeight="1">
      <c r="A890" s="543"/>
    </row>
    <row r="891" ht="15.75" customHeight="1">
      <c r="A891" s="543"/>
    </row>
    <row r="892" ht="15.75" customHeight="1">
      <c r="A892" s="543"/>
    </row>
    <row r="893" ht="15.75" customHeight="1">
      <c r="A893" s="543"/>
    </row>
    <row r="894" ht="15.75" customHeight="1">
      <c r="A894" s="543"/>
    </row>
    <row r="895" ht="15.75" customHeight="1">
      <c r="A895" s="543"/>
    </row>
    <row r="896" ht="15.75" customHeight="1">
      <c r="A896" s="543"/>
    </row>
    <row r="897" ht="15.75" customHeight="1">
      <c r="A897" s="543"/>
    </row>
    <row r="898" ht="15.75" customHeight="1">
      <c r="A898" s="543"/>
    </row>
    <row r="899" ht="15.75" customHeight="1">
      <c r="A899" s="543"/>
    </row>
    <row r="900" ht="15.75" customHeight="1">
      <c r="A900" s="543"/>
    </row>
    <row r="901" ht="15.75" customHeight="1">
      <c r="A901" s="543"/>
    </row>
    <row r="902" ht="15.75" customHeight="1">
      <c r="A902" s="543"/>
    </row>
    <row r="903" ht="15.75" customHeight="1">
      <c r="A903" s="543"/>
    </row>
    <row r="904" ht="15.75" customHeight="1">
      <c r="A904" s="543"/>
    </row>
    <row r="905" ht="15.75" customHeight="1">
      <c r="A905" s="543"/>
    </row>
    <row r="906" ht="15.75" customHeight="1">
      <c r="A906" s="543"/>
    </row>
    <row r="907" ht="15.75" customHeight="1">
      <c r="A907" s="543"/>
    </row>
    <row r="908" ht="15.75" customHeight="1">
      <c r="A908" s="543"/>
    </row>
    <row r="909" ht="15.75" customHeight="1">
      <c r="A909" s="543"/>
    </row>
    <row r="910" ht="15.75" customHeight="1">
      <c r="A910" s="543"/>
    </row>
    <row r="911" ht="15.75" customHeight="1">
      <c r="A911" s="543"/>
    </row>
    <row r="912" ht="15.75" customHeight="1">
      <c r="A912" s="543"/>
    </row>
    <row r="913" ht="15.75" customHeight="1">
      <c r="A913" s="543"/>
    </row>
    <row r="914" ht="15.75" customHeight="1">
      <c r="A914" s="543"/>
    </row>
    <row r="915" ht="15.75" customHeight="1">
      <c r="A915" s="543"/>
    </row>
    <row r="916" ht="15.75" customHeight="1">
      <c r="A916" s="543"/>
    </row>
    <row r="917" ht="15.75" customHeight="1">
      <c r="A917" s="543"/>
    </row>
    <row r="918" ht="15.75" customHeight="1">
      <c r="A918" s="543"/>
    </row>
    <row r="919" ht="15.75" customHeight="1">
      <c r="A919" s="543"/>
    </row>
    <row r="920" ht="15.75" customHeight="1">
      <c r="A920" s="543"/>
    </row>
    <row r="921" ht="15.75" customHeight="1">
      <c r="A921" s="543"/>
    </row>
    <row r="922" ht="15.75" customHeight="1">
      <c r="A922" s="543"/>
    </row>
    <row r="923" ht="15.75" customHeight="1">
      <c r="A923" s="543"/>
    </row>
    <row r="924" ht="15.75" customHeight="1">
      <c r="A924" s="543"/>
    </row>
    <row r="925" ht="15.75" customHeight="1">
      <c r="A925" s="543"/>
    </row>
    <row r="926" ht="15.75" customHeight="1">
      <c r="A926" s="543"/>
    </row>
    <row r="927" ht="15.75" customHeight="1">
      <c r="A927" s="543"/>
    </row>
    <row r="928" ht="15.75" customHeight="1">
      <c r="A928" s="543"/>
    </row>
    <row r="929" ht="15.75" customHeight="1">
      <c r="A929" s="543"/>
    </row>
    <row r="930" ht="15.75" customHeight="1">
      <c r="A930" s="543"/>
    </row>
    <row r="931" ht="15.75" customHeight="1">
      <c r="A931" s="543"/>
    </row>
    <row r="932" ht="15.75" customHeight="1">
      <c r="A932" s="543"/>
    </row>
    <row r="933" ht="15.75" customHeight="1">
      <c r="A933" s="543"/>
    </row>
    <row r="934" ht="15.75" customHeight="1">
      <c r="A934" s="543"/>
    </row>
    <row r="935" ht="15.75" customHeight="1">
      <c r="A935" s="543"/>
    </row>
    <row r="936" ht="15.75" customHeight="1">
      <c r="A936" s="543"/>
    </row>
    <row r="937" ht="15.75" customHeight="1">
      <c r="A937" s="543"/>
    </row>
    <row r="938" ht="15.75" customHeight="1">
      <c r="A938" s="543"/>
    </row>
    <row r="939" ht="15.75" customHeight="1">
      <c r="A939" s="543"/>
    </row>
    <row r="940" ht="15.75" customHeight="1">
      <c r="A940" s="543"/>
    </row>
    <row r="941" ht="15.75" customHeight="1">
      <c r="A941" s="543"/>
    </row>
    <row r="942" ht="15.75" customHeight="1">
      <c r="A942" s="543"/>
    </row>
    <row r="943" ht="15.75" customHeight="1">
      <c r="A943" s="543"/>
    </row>
    <row r="944" ht="15.75" customHeight="1">
      <c r="A944" s="543"/>
    </row>
    <row r="945" ht="15.75" customHeight="1">
      <c r="A945" s="543"/>
    </row>
    <row r="946" ht="15.75" customHeight="1">
      <c r="A946" s="543"/>
    </row>
    <row r="947" ht="15.75" customHeight="1">
      <c r="A947" s="543"/>
    </row>
    <row r="948" ht="15.75" customHeight="1">
      <c r="A948" s="543"/>
    </row>
    <row r="949" ht="15.75" customHeight="1">
      <c r="A949" s="543"/>
    </row>
    <row r="950" ht="15.75" customHeight="1">
      <c r="A950" s="543"/>
    </row>
    <row r="951" ht="15.75" customHeight="1">
      <c r="A951" s="543"/>
    </row>
    <row r="952" ht="15.75" customHeight="1">
      <c r="A952" s="543"/>
    </row>
    <row r="953" ht="15.75" customHeight="1">
      <c r="A953" s="543"/>
    </row>
    <row r="954" ht="15.75" customHeight="1">
      <c r="A954" s="543"/>
    </row>
    <row r="955" ht="15.75" customHeight="1">
      <c r="A955" s="543"/>
    </row>
    <row r="956" ht="15.75" customHeight="1">
      <c r="A956" s="543"/>
    </row>
    <row r="957" ht="15.75" customHeight="1">
      <c r="A957" s="543"/>
    </row>
    <row r="958" ht="15.75" customHeight="1">
      <c r="A958" s="543"/>
    </row>
    <row r="959" ht="15.75" customHeight="1">
      <c r="A959" s="543"/>
    </row>
    <row r="960" ht="15.75" customHeight="1">
      <c r="A960" s="543"/>
    </row>
    <row r="961" ht="15.75" customHeight="1">
      <c r="A961" s="543"/>
    </row>
    <row r="962" ht="15.75" customHeight="1">
      <c r="A962" s="543"/>
    </row>
    <row r="963" ht="15.75" customHeight="1">
      <c r="A963" s="543"/>
    </row>
    <row r="964" ht="15.75" customHeight="1">
      <c r="A964" s="543"/>
    </row>
    <row r="965" ht="15.75" customHeight="1">
      <c r="A965" s="543"/>
    </row>
    <row r="966" ht="15.75" customHeight="1">
      <c r="A966" s="543"/>
    </row>
    <row r="967" ht="15.75" customHeight="1">
      <c r="A967" s="543"/>
    </row>
    <row r="968" ht="15.75" customHeight="1">
      <c r="A968" s="543"/>
    </row>
    <row r="969" ht="15.75" customHeight="1">
      <c r="A969" s="543"/>
    </row>
    <row r="970" ht="15.75" customHeight="1">
      <c r="A970" s="543"/>
    </row>
    <row r="971" ht="15.75" customHeight="1">
      <c r="A971" s="543"/>
    </row>
    <row r="972" ht="15.75" customHeight="1">
      <c r="A972" s="543"/>
    </row>
    <row r="973" ht="15.75" customHeight="1">
      <c r="A973" s="543"/>
    </row>
    <row r="974" ht="15.75" customHeight="1">
      <c r="A974" s="543"/>
    </row>
    <row r="975" ht="15.75" customHeight="1">
      <c r="A975" s="543"/>
    </row>
    <row r="976" ht="15.75" customHeight="1">
      <c r="A976" s="543"/>
    </row>
    <row r="977" ht="15.75" customHeight="1">
      <c r="A977" s="543"/>
    </row>
    <row r="978" ht="15.75" customHeight="1">
      <c r="A978" s="543"/>
    </row>
    <row r="979" ht="15.75" customHeight="1">
      <c r="A979" s="543"/>
    </row>
    <row r="980" ht="15.75" customHeight="1">
      <c r="A980" s="543"/>
    </row>
    <row r="981" ht="15.75" customHeight="1">
      <c r="A981" s="543"/>
    </row>
    <row r="982" ht="15.75" customHeight="1">
      <c r="A982" s="543"/>
    </row>
    <row r="983" ht="15.75" customHeight="1">
      <c r="A983" s="543"/>
    </row>
    <row r="984" ht="15.75" customHeight="1">
      <c r="A984" s="543"/>
    </row>
    <row r="985" ht="15.75" customHeight="1">
      <c r="A985" s="543"/>
    </row>
    <row r="986" ht="15.75" customHeight="1">
      <c r="A986" s="543"/>
    </row>
    <row r="987" ht="15.75" customHeight="1">
      <c r="A987" s="543"/>
    </row>
    <row r="988" ht="15.75" customHeight="1">
      <c r="A988" s="543"/>
    </row>
    <row r="989" ht="15.75" customHeight="1">
      <c r="A989" s="543"/>
    </row>
    <row r="990" ht="15.75" customHeight="1">
      <c r="A990" s="543"/>
    </row>
    <row r="991" ht="15.75" customHeight="1">
      <c r="A991" s="543"/>
    </row>
    <row r="992" ht="15.75" customHeight="1">
      <c r="A992" s="543"/>
    </row>
    <row r="993" ht="15.75" customHeight="1">
      <c r="A993" s="543"/>
    </row>
    <row r="994" ht="15.75" customHeight="1">
      <c r="A994" s="543"/>
    </row>
    <row r="995" ht="15.75" customHeight="1">
      <c r="A995" s="543"/>
    </row>
    <row r="996" ht="15.75" customHeight="1">
      <c r="A996" s="543"/>
    </row>
    <row r="997" ht="15.75" customHeight="1">
      <c r="A997" s="543"/>
    </row>
    <row r="998" ht="15.75" customHeight="1">
      <c r="A998" s="543"/>
    </row>
    <row r="999" ht="15.75" customHeight="1">
      <c r="A999" s="543"/>
    </row>
    <row r="1000" ht="15.75" customHeight="1">
      <c r="A1000" s="543"/>
    </row>
    <row r="1001" ht="15.75" customHeight="1">
      <c r="A1001" s="543"/>
    </row>
    <row r="1002" ht="15.75" customHeight="1">
      <c r="A1002" s="543"/>
    </row>
    <row r="1003" ht="15.75" customHeight="1">
      <c r="A1003" s="543"/>
    </row>
    <row r="1004" ht="15.75" customHeight="1">
      <c r="A1004" s="543"/>
    </row>
    <row r="1005" ht="15.75" customHeight="1">
      <c r="A1005" s="543"/>
    </row>
    <row r="1006" ht="15.75" customHeight="1">
      <c r="A1006" s="543"/>
    </row>
    <row r="1007" ht="15.75" customHeight="1">
      <c r="A1007" s="543"/>
    </row>
    <row r="1008" ht="15.75" customHeight="1">
      <c r="A1008" s="543"/>
    </row>
    <row r="1009" ht="15.75" customHeight="1">
      <c r="A1009" s="543"/>
    </row>
    <row r="1010" ht="15.75" customHeight="1">
      <c r="A1010" s="543"/>
    </row>
    <row r="1011" ht="15.75" customHeight="1">
      <c r="A1011" s="543"/>
    </row>
    <row r="1012" ht="15.75" customHeight="1">
      <c r="A1012" s="543"/>
    </row>
    <row r="1013" ht="15.75" customHeight="1">
      <c r="A1013" s="543"/>
    </row>
    <row r="1014" ht="15.75" customHeight="1">
      <c r="A1014" s="543"/>
    </row>
    <row r="1015" ht="15.75" customHeight="1">
      <c r="A1015" s="543"/>
    </row>
    <row r="1016" ht="15.75" customHeight="1">
      <c r="A1016" s="543"/>
    </row>
    <row r="1017" ht="15.75" customHeight="1">
      <c r="A1017" s="543"/>
    </row>
    <row r="1018" ht="15.75" customHeight="1">
      <c r="A1018" s="543"/>
    </row>
    <row r="1019" ht="15.75" customHeight="1">
      <c r="A1019" s="543"/>
    </row>
    <row r="1020" ht="15.75" customHeight="1">
      <c r="A1020" s="543"/>
    </row>
    <row r="1021" ht="15.75" customHeight="1">
      <c r="A1021" s="543"/>
    </row>
    <row r="1022" ht="15.75" customHeight="1">
      <c r="A1022" s="543"/>
    </row>
    <row r="1023" ht="15.75" customHeight="1">
      <c r="A1023" s="543"/>
    </row>
    <row r="1024" ht="15.75" customHeight="1">
      <c r="A1024" s="543"/>
    </row>
    <row r="1025" ht="15.75" customHeight="1">
      <c r="A1025" s="543"/>
    </row>
    <row r="1026" ht="15.75" customHeight="1">
      <c r="A1026" s="543"/>
    </row>
    <row r="1027" ht="15.75" customHeight="1">
      <c r="A1027" s="543"/>
    </row>
    <row r="1028" ht="15.75" customHeight="1">
      <c r="A1028" s="543"/>
    </row>
    <row r="1029" ht="15.75" customHeight="1">
      <c r="A1029" s="543"/>
    </row>
    <row r="1030" ht="15.75" customHeight="1">
      <c r="A1030" s="543"/>
    </row>
    <row r="1031" ht="15.75" customHeight="1">
      <c r="A1031" s="543"/>
    </row>
    <row r="1032" ht="15.75" customHeight="1">
      <c r="A1032" s="543"/>
    </row>
    <row r="1033" ht="15.75" customHeight="1">
      <c r="A1033" s="543"/>
    </row>
    <row r="1034" ht="15.75" customHeight="1">
      <c r="A1034" s="543"/>
    </row>
    <row r="1035" ht="15.75" customHeight="1">
      <c r="A1035" s="543"/>
    </row>
    <row r="1036" ht="15.75" customHeight="1">
      <c r="A1036" s="543"/>
    </row>
    <row r="1037" ht="15.75" customHeight="1">
      <c r="A1037" s="543"/>
    </row>
    <row r="1038" ht="15.75" customHeight="1">
      <c r="A1038" s="543"/>
    </row>
    <row r="1039" ht="15.75" customHeight="1">
      <c r="A1039" s="543"/>
    </row>
    <row r="1040" ht="15.75" customHeight="1">
      <c r="A1040" s="543"/>
    </row>
    <row r="1041" ht="15.75" customHeight="1">
      <c r="A1041" s="543"/>
    </row>
    <row r="1042" ht="15.75" customHeight="1">
      <c r="A1042" s="543"/>
    </row>
    <row r="1043" ht="15.75" customHeight="1">
      <c r="A1043" s="543"/>
    </row>
    <row r="1044" ht="15.75" customHeight="1">
      <c r="A1044" s="543"/>
    </row>
    <row r="1045" ht="15.75" customHeight="1">
      <c r="A1045" s="543"/>
    </row>
    <row r="1046" ht="15.75" customHeight="1">
      <c r="A1046" s="543"/>
    </row>
    <row r="1047" ht="15.75" customHeight="1">
      <c r="A1047" s="543"/>
    </row>
    <row r="1048" ht="15.75" customHeight="1">
      <c r="A1048" s="543"/>
    </row>
    <row r="1049" ht="15.75" customHeight="1">
      <c r="A1049" s="543"/>
    </row>
    <row r="1050" ht="15.75" customHeight="1">
      <c r="A1050" s="543"/>
    </row>
    <row r="1051" ht="15.75" customHeight="1">
      <c r="A1051" s="543"/>
    </row>
    <row r="1052" ht="15.75" customHeight="1">
      <c r="A1052" s="543"/>
    </row>
    <row r="1053" ht="15.75" customHeight="1">
      <c r="A1053" s="543"/>
    </row>
    <row r="1054" ht="15.75" customHeight="1">
      <c r="A1054" s="543"/>
    </row>
    <row r="1055" ht="15.75" customHeight="1">
      <c r="A1055" s="543"/>
    </row>
    <row r="1056" ht="15.75" customHeight="1">
      <c r="A1056" s="543"/>
    </row>
    <row r="1057" ht="15.75" customHeight="1">
      <c r="A1057" s="543"/>
    </row>
    <row r="1058" ht="15.75" customHeight="1">
      <c r="A1058" s="543"/>
    </row>
    <row r="1059" ht="15.75" customHeight="1">
      <c r="A1059" s="543"/>
    </row>
    <row r="1060" ht="15.75" customHeight="1">
      <c r="A1060" s="543"/>
    </row>
    <row r="1061" ht="15.75" customHeight="1">
      <c r="A1061" s="543"/>
    </row>
    <row r="1062" ht="15.75" customHeight="1">
      <c r="A1062" s="543"/>
    </row>
    <row r="1063" ht="15.75" customHeight="1">
      <c r="A1063" s="543"/>
    </row>
    <row r="1064" ht="15.75" customHeight="1">
      <c r="A1064" s="543"/>
    </row>
    <row r="1065" ht="15.75" customHeight="1">
      <c r="A1065" s="543"/>
    </row>
    <row r="1066" ht="15.75" customHeight="1">
      <c r="A1066" s="543"/>
    </row>
    <row r="1067" ht="15.75" customHeight="1">
      <c r="A1067" s="543"/>
    </row>
    <row r="1068" ht="15.75" customHeight="1">
      <c r="A1068" s="543"/>
    </row>
    <row r="1069" ht="15.75" customHeight="1">
      <c r="A1069" s="543"/>
    </row>
    <row r="1070" ht="15.75" customHeight="1">
      <c r="A1070" s="543"/>
    </row>
    <row r="1071" ht="15.75" customHeight="1">
      <c r="A1071" s="543"/>
    </row>
    <row r="1072" ht="15.75" customHeight="1">
      <c r="A1072" s="543"/>
    </row>
    <row r="1073" ht="15.75" customHeight="1">
      <c r="A1073" s="543"/>
    </row>
    <row r="1074" ht="15.75" customHeight="1">
      <c r="A1074" s="543"/>
    </row>
    <row r="1075" ht="15.75" customHeight="1">
      <c r="A1075" s="543"/>
    </row>
    <row r="1076" ht="15.75" customHeight="1">
      <c r="A1076" s="543"/>
    </row>
    <row r="1077" ht="15.75" customHeight="1">
      <c r="A1077" s="543"/>
    </row>
    <row r="1078" ht="15.75" customHeight="1">
      <c r="A1078" s="543"/>
    </row>
    <row r="1079" ht="15.75" customHeight="1">
      <c r="A1079" s="543"/>
    </row>
    <row r="1080" ht="15.75" customHeight="1">
      <c r="A1080" s="543"/>
    </row>
    <row r="1081" ht="15.75" customHeight="1">
      <c r="A1081" s="543"/>
    </row>
    <row r="1082" ht="15.75" customHeight="1">
      <c r="A1082" s="543"/>
    </row>
    <row r="1083" ht="15.75" customHeight="1">
      <c r="A1083" s="543"/>
    </row>
    <row r="1084" ht="15.75" customHeight="1">
      <c r="A1084" s="543"/>
    </row>
    <row r="1085" ht="15.75" customHeight="1">
      <c r="A1085" s="543"/>
    </row>
    <row r="1086" ht="15.75" customHeight="1">
      <c r="A1086" s="543"/>
    </row>
    <row r="1087" ht="15.75" customHeight="1">
      <c r="A1087" s="543"/>
    </row>
    <row r="1088" ht="15.75" customHeight="1">
      <c r="A1088" s="543"/>
    </row>
    <row r="1089" ht="15.75" customHeight="1">
      <c r="A1089" s="543"/>
    </row>
    <row r="1090" ht="15.75" customHeight="1">
      <c r="A1090" s="543"/>
    </row>
    <row r="1091" ht="15.75" customHeight="1">
      <c r="A1091" s="543"/>
    </row>
    <row r="1092" ht="15.75" customHeight="1">
      <c r="A1092" s="543"/>
    </row>
    <row r="1093" ht="15.75" customHeight="1">
      <c r="A1093" s="543"/>
    </row>
    <row r="1094" ht="15.75" customHeight="1">
      <c r="A1094" s="543"/>
    </row>
    <row r="1095" ht="15.75" customHeight="1">
      <c r="A1095" s="543"/>
    </row>
    <row r="1096" ht="15.75" customHeight="1">
      <c r="A1096" s="543"/>
    </row>
    <row r="1097" ht="15.75" customHeight="1">
      <c r="A1097" s="543"/>
    </row>
    <row r="1098" ht="15.75" customHeight="1">
      <c r="A1098" s="543"/>
    </row>
    <row r="1099" ht="15.75" customHeight="1">
      <c r="A1099" s="543"/>
    </row>
    <row r="1100" ht="15.75" customHeight="1">
      <c r="A1100" s="543"/>
    </row>
    <row r="1101" ht="15.75" customHeight="1">
      <c r="A1101" s="543"/>
    </row>
    <row r="1102" ht="15.75" customHeight="1">
      <c r="A1102" s="543"/>
    </row>
    <row r="1103" ht="15.75" customHeight="1">
      <c r="A1103" s="543"/>
    </row>
    <row r="1104" ht="15.75" customHeight="1">
      <c r="A1104" s="543"/>
    </row>
    <row r="1105" ht="15.75" customHeight="1">
      <c r="A1105" s="543"/>
    </row>
    <row r="1106" ht="15.75" customHeight="1">
      <c r="A1106" s="543"/>
    </row>
    <row r="1107" ht="15.75" customHeight="1">
      <c r="A1107" s="543"/>
    </row>
    <row r="1108" ht="15.75" customHeight="1">
      <c r="A1108" s="543"/>
    </row>
    <row r="1109" ht="15.75" customHeight="1">
      <c r="A1109" s="543"/>
    </row>
    <row r="1110" ht="15.75" customHeight="1">
      <c r="A1110" s="543"/>
    </row>
    <row r="1111" ht="15.75" customHeight="1">
      <c r="A1111" s="543"/>
    </row>
    <row r="1112" ht="15.75" customHeight="1">
      <c r="A1112" s="543"/>
    </row>
    <row r="1113" ht="15.75" customHeight="1">
      <c r="A1113" s="543"/>
    </row>
    <row r="1114" ht="15.75" customHeight="1">
      <c r="A1114" s="543"/>
    </row>
    <row r="1115" ht="15.75" customHeight="1">
      <c r="A1115" s="543"/>
    </row>
    <row r="1116" ht="15.75" customHeight="1">
      <c r="A1116" s="543"/>
    </row>
    <row r="1117" ht="15.75" customHeight="1">
      <c r="A1117" s="543"/>
    </row>
    <row r="1118" ht="15.75" customHeight="1">
      <c r="A1118" s="543"/>
    </row>
    <row r="1119" ht="15.75" customHeight="1">
      <c r="A1119" s="543"/>
    </row>
    <row r="1120" ht="15.75" customHeight="1">
      <c r="A1120" s="543"/>
    </row>
  </sheetData>
  <autoFilter ref="$A$1:$Y$132"/>
  <printOptions/>
  <pageMargins bottom="0.75" footer="0.0" header="0.0" left="0.7" right="0.7" top="0.75"/>
  <pageSetup paperSize="9" orientation="portrait"/>
  <drawing r:id="rId2"/>
  <legacyDrawing r:id="rId3"/>
</worksheet>
</file>